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Показатели 2026" sheetId="1" state="visible" r:id="rId1"/>
    <sheet name="Рекрутинг " sheetId="2" state="visible" r:id="rId2"/>
    <sheet name="Иные направления" sheetId="3" state="visible" r:id="rId3"/>
    <sheet name="Список уволенных" sheetId="4" state="visible" r:id="rId4"/>
    <sheet name="Текучесть расчетный файл 2026" sheetId="5" state="visible" r:id="rId5"/>
  </sheets>
  <definedNames>
    <definedName name="_xlnm._FilterDatabase" localSheetId="1" hidden="1">'Рекрутинг '!$A$2:$E$261</definedName>
    <definedName name="_xlnm._FilterDatabase" localSheetId="3" hidden="1">'Список уволенных'!$A$1:$H$133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0.0"/>
    <numFmt numFmtId="167" formatCode="dd\.mm\.yyyy"/>
  </numFmts>
  <fonts count="48">
    <font>
      <name val="Calibri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9"/>
      <scheme val="minor"/>
    </font>
    <font>
      <name val="Arial"/>
      <charset val="204"/>
      <family val="2"/>
      <b val="1"/>
      <sz val="11"/>
    </font>
    <font>
      <name val="Arial"/>
      <charset val="204"/>
      <family val="2"/>
      <sz val="11"/>
    </font>
    <font>
      <name val="Calibri"/>
      <charset val="204"/>
      <family val="2"/>
      <sz val="11"/>
    </font>
    <font>
      <name val="Calibri"/>
      <charset val="204"/>
      <family val="2"/>
      <color theme="1"/>
      <sz val="9"/>
      <scheme val="minor"/>
    </font>
    <font>
      <name val="Calibri"/>
      <charset val="204"/>
      <family val="2"/>
      <sz val="9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theme="1"/>
      <sz val="10"/>
      <scheme val="minor"/>
    </font>
    <font>
      <name val="Calibri"/>
      <charset val="204"/>
      <family val="2"/>
      <b val="1"/>
      <sz val="16"/>
    </font>
    <font>
      <name val="Calibri"/>
      <charset val="204"/>
      <family val="2"/>
      <b val="1"/>
      <sz val="14"/>
    </font>
    <font>
      <name val="Calibri"/>
      <charset val="204"/>
      <family val="2"/>
      <sz val="12"/>
    </font>
    <font>
      <name val="Calibri"/>
      <charset val="204"/>
      <family val="2"/>
      <sz val="11"/>
      <scheme val="minor"/>
    </font>
    <font>
      <name val="Calibri"/>
      <charset val="204"/>
      <family val="2"/>
      <color indexed="2"/>
      <sz val="11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b val="1"/>
      <sz val="12"/>
    </font>
    <font>
      <name val="Calibri"/>
      <charset val="204"/>
      <family val="2"/>
      <sz val="10"/>
    </font>
    <font>
      <name val="Calibri"/>
      <charset val="204"/>
      <family val="2"/>
      <b val="1"/>
      <sz val="11"/>
    </font>
    <font>
      <name val="Calibri"/>
      <charset val="204"/>
      <family val="2"/>
      <b val="1"/>
      <sz val="10"/>
    </font>
    <font>
      <name val="Trebuchet MS"/>
      <charset val="204"/>
      <family val="2"/>
      <b val="1"/>
      <sz val="11"/>
    </font>
    <font>
      <name val="Calibri"/>
      <charset val="204"/>
      <family val="2"/>
      <color theme="1"/>
      <sz val="10"/>
      <scheme val="minor"/>
    </font>
    <font>
      <name val="Trebuchet MS"/>
      <charset val="204"/>
      <family val="2"/>
      <sz val="11"/>
    </font>
    <font>
      <name val="Trebuchet MS"/>
      <charset val="204"/>
      <family val="2"/>
      <sz val="10"/>
    </font>
    <font>
      <name val="Trebuchet MS"/>
      <charset val="204"/>
      <family val="2"/>
      <b val="1"/>
      <sz val="9"/>
    </font>
    <font>
      <name val="Calibri"/>
      <charset val="204"/>
      <family val="2"/>
      <sz val="10"/>
      <scheme val="minor"/>
    </font>
    <font>
      <name val="Trebuchet MS"/>
      <charset val="204"/>
      <family val="2"/>
      <b val="1"/>
      <sz val="10"/>
    </font>
    <font>
      <name val="Trebuchet MS Bold"/>
      <b val="1"/>
      <color indexed="2"/>
      <sz val="11"/>
    </font>
    <font>
      <name val="Trebuchet MS Bold"/>
      <sz val="11"/>
    </font>
    <font>
      <name val="Calibri"/>
      <charset val="204"/>
      <family val="2"/>
      <b val="1"/>
      <sz val="10"/>
      <scheme val="minor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b val="1"/>
      <color rgb="FFFF0000"/>
      <sz val="11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34343C"/>
      <sz val="10"/>
      <scheme val="minor"/>
    </font>
    <font>
      <name val="Tahoma"/>
      <charset val="204"/>
      <family val="2"/>
      <b val="1"/>
      <sz val="9"/>
    </font>
    <font>
      <name val="Tahoma"/>
      <charset val="204"/>
      <family val="2"/>
      <sz val="9"/>
    </font>
    <font>
      <name val="Calibri"/>
      <b val="1"/>
      <sz val="11"/>
    </font>
    <font>
      <name val="Calibri"/>
      <sz val="10"/>
    </font>
    <font>
      <name val="Calibri"/>
      <color rgb="FF000000"/>
      <sz val="11"/>
    </font>
    <font>
      <name val="Calibri"/>
      <sz val="11"/>
    </font>
    <font>
      <name val="Calibri"/>
      <sz val="10"/>
    </font>
    <font>
      <name val="Calibri"/>
      <charset val="204"/>
      <family val="2"/>
      <sz val="14"/>
    </font>
    <font>
      <name val="Calibri"/>
      <charset val="204"/>
      <family val="2"/>
      <sz val="12"/>
    </font>
    <font>
      <name val="Calibri"/>
      <color rgb="FF000000"/>
      <sz val="10"/>
      <scheme val="minor"/>
    </font>
    <font>
      <name val="Calibri"/>
      <sz val="11"/>
      <scheme val="minor"/>
    </font>
    <font>
      <name val="Calibri"/>
      <b val="1"/>
      <sz val="11"/>
      <scheme val="minor"/>
    </font>
  </fonts>
  <fills count="28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rgb="FFC6E0B4"/>
        <bgColor rgb="FFC6E0B4"/>
      </patternFill>
    </fill>
    <fill>
      <patternFill patternType="solid">
        <fgColor indexed="65"/>
      </patternFill>
    </fill>
    <fill>
      <patternFill patternType="solid">
        <fgColor theme="5" tint="0.7999816888943144"/>
        <bgColor theme="5" tint="0.7999816888943144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5"/>
        <bgColor indexed="5"/>
      </patternFill>
    </fill>
    <fill>
      <patternFill patternType="solid">
        <fgColor theme="8" tint="0.7999816888943144"/>
        <bgColor theme="8" tint="0.7999816888943144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A9D08E"/>
        <bgColor rgb="FFA9D08E"/>
      </patternFill>
    </fill>
    <fill>
      <patternFill patternType="solid">
        <fgColor indexed="17"/>
        <bgColor indexed="17"/>
      </patternFill>
    </fill>
    <fill>
      <patternFill patternType="solid">
        <fgColor rgb="FFFFFFFF"/>
      </patternFill>
    </fill>
    <fill>
      <patternFill patternType="solid">
        <fgColor rgb="FFFFEDBA"/>
        <bgColor rgb="FFFFEDBA"/>
      </patternFill>
    </fill>
    <fill>
      <patternFill patternType="solid">
        <fgColor rgb="FFFFFF00"/>
      </patternFill>
    </fill>
    <fill>
      <patternFill patternType="solid">
        <fgColor rgb="FFF4B084"/>
      </patternFill>
    </fill>
    <fill>
      <patternFill patternType="solid">
        <fgColor rgb="FFC9C9C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A8DCFF"/>
        <bgColor rgb="FFA8DCFF"/>
      </patternFill>
    </fill>
    <fill>
      <patternFill patternType="solid">
        <fgColor rgb="FFFFC062"/>
        <bgColor rgb="FFFFC062"/>
      </patternFill>
    </fill>
    <fill>
      <patternFill patternType="solid">
        <fgColor theme="8" tint="0.3999755851924192"/>
        <bgColor indexed="64"/>
      </patternFill>
    </fill>
  </fills>
  <borders count="1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thin">
        <color auto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/>
      <bottom style="thin">
        <color auto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5"/>
      </left>
      <right/>
      <top/>
      <bottom/>
      <diagonal/>
    </border>
    <border>
      <left style="thin">
        <color indexed="65"/>
      </left>
      <right style="thin">
        <color indexed="65"/>
      </right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 style="thin">
        <color indexed="65"/>
      </bottom>
      <diagonal/>
    </border>
    <border>
      <left/>
      <right/>
      <top style="thin">
        <color indexed="65"/>
      </top>
      <bottom style="thin">
        <color indexed="65"/>
      </bottom>
      <diagonal/>
    </border>
    <border>
      <left/>
      <right style="thin">
        <color indexed="65"/>
      </right>
      <top style="thin">
        <color indexed="65"/>
      </top>
      <bottom style="thin">
        <color indexed="65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indexed="65"/>
      </right>
      <top style="thin">
        <color indexed="65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/>
      <bottom style="thin">
        <color theme="1"/>
      </bottom>
      <diagonal/>
    </border>
    <border>
      <left style="thin">
        <color theme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/>
    </border>
  </borders>
  <cellStyleXfs count="4">
    <xf numFmtId="0" fontId="0" fillId="0" borderId="121"/>
    <xf numFmtId="0" fontId="34" fillId="0" borderId="121"/>
    <xf numFmtId="0" fontId="34" fillId="0" borderId="121"/>
    <xf numFmtId="0" fontId="34" fillId="0" borderId="121"/>
  </cellStyleXfs>
  <cellXfs count="860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2" pivotButton="0" quotePrefix="0" xfId="0"/>
    <xf numFmtId="0" fontId="0" fillId="3" borderId="2" applyAlignment="1" pivotButton="0" quotePrefix="0" xfId="0">
      <alignment horizontal="center"/>
    </xf>
    <xf numFmtId="0" fontId="0" fillId="2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/>
    </xf>
    <xf numFmtId="0" fontId="0" fillId="3" borderId="2" applyAlignment="1" pivotButton="0" quotePrefix="0" xfId="0">
      <alignment wrapText="1"/>
    </xf>
    <xf numFmtId="0" fontId="0" fillId="3" borderId="2" applyAlignment="1" pivotButton="0" quotePrefix="0" xfId="0">
      <alignment horizontal="center" vertical="center" wrapText="1"/>
    </xf>
    <xf numFmtId="164" fontId="0" fillId="3" borderId="9" applyAlignment="1" pivotButton="0" quotePrefix="0" xfId="0">
      <alignment horizontal="center"/>
    </xf>
    <xf numFmtId="165" fontId="0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wrapText="1"/>
    </xf>
    <xf numFmtId="10" fontId="0" fillId="2" borderId="2" applyAlignment="1" pivotButton="0" quotePrefix="0" xfId="0">
      <alignment horizontal="center" vertical="center"/>
    </xf>
    <xf numFmtId="10" fontId="0" fillId="4" borderId="2" applyAlignment="1" pivotButton="0" quotePrefix="0" xfId="0">
      <alignment vertical="center"/>
    </xf>
    <xf numFmtId="0" fontId="2" fillId="2" borderId="0" applyAlignment="1" pivotButton="0" quotePrefix="0" xfId="0">
      <alignment wrapText="1"/>
    </xf>
    <xf numFmtId="10" fontId="0" fillId="2" borderId="0" applyAlignment="1" pivotButton="0" quotePrefix="0" xfId="0">
      <alignment horizontal="center" vertical="center"/>
    </xf>
    <xf numFmtId="10" fontId="0" fillId="3" borderId="0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6" fontId="0" fillId="4" borderId="2" applyAlignment="1" pivotButton="0" quotePrefix="0" xfId="0">
      <alignment horizontal="center"/>
    </xf>
    <xf numFmtId="0" fontId="2" fillId="3" borderId="2" applyAlignment="1" pivotButton="0" quotePrefix="0" xfId="0">
      <alignment wrapText="1"/>
    </xf>
    <xf numFmtId="0" fontId="3" fillId="0" borderId="2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right" vertical="top"/>
    </xf>
    <xf numFmtId="0" fontId="5" fillId="3" borderId="1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1" fontId="5" fillId="0" borderId="2" applyAlignment="1" pivotButton="0" quotePrefix="0" xfId="0">
      <alignment horizontal="center" vertical="top" wrapText="1"/>
    </xf>
    <xf numFmtId="1" fontId="5" fillId="0" borderId="4" applyAlignment="1" pivotButton="0" quotePrefix="0" xfId="0">
      <alignment horizontal="center" vertical="top" wrapText="1"/>
    </xf>
    <xf numFmtId="9" fontId="5" fillId="5" borderId="4" applyAlignment="1" pivotButton="0" quotePrefix="0" xfId="0">
      <alignment horizontal="center" vertical="top" wrapText="1"/>
    </xf>
    <xf numFmtId="1" fontId="5" fillId="4" borderId="2" applyAlignment="1" pivotButton="0" quotePrefix="0" xfId="0">
      <alignment horizontal="center" vertical="top" wrapText="1"/>
    </xf>
    <xf numFmtId="164" fontId="0" fillId="0" borderId="0" pivotButton="0" quotePrefix="0" xfId="0"/>
    <xf numFmtId="0" fontId="5" fillId="0" borderId="0" applyAlignment="1" pivotButton="0" quotePrefix="0" xfId="0">
      <alignment horizontal="left" vertical="top" wrapText="1"/>
    </xf>
    <xf numFmtId="1" fontId="0" fillId="0" borderId="0" pivotButton="0" quotePrefix="0" xfId="0"/>
    <xf numFmtId="0" fontId="2" fillId="3" borderId="2" pivotButton="0" quotePrefix="0" xfId="0"/>
    <xf numFmtId="0" fontId="8" fillId="6" borderId="7" applyAlignment="1" pivotButton="0" quotePrefix="0" xfId="0">
      <alignment horizontal="left"/>
    </xf>
    <xf numFmtId="0" fontId="6" fillId="3" borderId="7" applyAlignment="1" pivotButton="0" quotePrefix="0" xfId="0">
      <alignment horizontal="left" vertical="top" wrapText="1"/>
    </xf>
    <xf numFmtId="0" fontId="0" fillId="0" borderId="11" pivotButton="0" quotePrefix="0" xfId="0"/>
    <xf numFmtId="0" fontId="6" fillId="6" borderId="1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/>
    </xf>
    <xf numFmtId="0" fontId="16" fillId="9" borderId="11" applyAlignment="1" pivotButton="0" quotePrefix="0" xfId="0">
      <alignment horizontal="center" vertical="top"/>
    </xf>
    <xf numFmtId="0" fontId="18" fillId="6" borderId="8" applyAlignment="1" pivotButton="0" quotePrefix="0" xfId="0">
      <alignment horizontal="left" vertical="top" wrapText="1"/>
    </xf>
    <xf numFmtId="0" fontId="18" fillId="6" borderId="0" applyAlignment="1" pivotButton="0" quotePrefix="0" xfId="0">
      <alignment horizontal="left" vertical="top" wrapText="1"/>
    </xf>
    <xf numFmtId="0" fontId="18" fillId="0" borderId="11" applyAlignment="1" pivotButton="0" quotePrefix="0" xfId="0">
      <alignment horizontal="left" vertical="top" wrapText="1"/>
    </xf>
    <xf numFmtId="0" fontId="18" fillId="6" borderId="13" applyAlignment="1" pivotButton="0" quotePrefix="0" xfId="0">
      <alignment horizontal="center" vertical="top" wrapText="1"/>
    </xf>
    <xf numFmtId="0" fontId="18" fillId="6" borderId="8" applyAlignment="1" pivotButton="0" quotePrefix="0" xfId="0">
      <alignment vertical="top" wrapText="1"/>
    </xf>
    <xf numFmtId="0" fontId="18" fillId="6" borderId="11" applyAlignment="1" pivotButton="0" quotePrefix="0" xfId="0">
      <alignment horizontal="left" vertical="top" wrapText="1"/>
    </xf>
    <xf numFmtId="0" fontId="18" fillId="6" borderId="11" applyAlignment="1" pivotButton="0" quotePrefix="0" xfId="0">
      <alignment horizontal="center" vertical="top" wrapText="1"/>
    </xf>
    <xf numFmtId="0" fontId="18" fillId="6" borderId="1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8" fillId="6" borderId="11" applyAlignment="1" pivotButton="0" quotePrefix="0" xfId="0">
      <alignment vertical="top" wrapText="1"/>
    </xf>
    <xf numFmtId="0" fontId="18" fillId="6" borderId="2" applyAlignment="1" pivotButton="0" quotePrefix="0" xfId="0">
      <alignment horizontal="left" vertical="top" wrapText="1"/>
    </xf>
    <xf numFmtId="0" fontId="18" fillId="6" borderId="4" applyAlignment="1" pivotButton="0" quotePrefix="0" xfId="0">
      <alignment horizontal="left" vertical="top" wrapText="1"/>
    </xf>
    <xf numFmtId="0" fontId="18" fillId="6" borderId="2" applyAlignment="1" pivotButton="0" quotePrefix="0" xfId="0">
      <alignment horizontal="center" vertical="top" wrapText="1"/>
    </xf>
    <xf numFmtId="0" fontId="18" fillId="6" borderId="2" applyAlignment="1" pivotButton="0" quotePrefix="0" xfId="0">
      <alignment vertical="top" wrapText="1"/>
    </xf>
    <xf numFmtId="0" fontId="18" fillId="6" borderId="20" applyAlignment="1" pivotButton="0" quotePrefix="0" xfId="0">
      <alignment horizontal="left" vertical="top" wrapText="1"/>
    </xf>
    <xf numFmtId="0" fontId="18" fillId="6" borderId="21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18" fillId="6" borderId="22" applyAlignment="1" pivotButton="0" quotePrefix="0" xfId="0">
      <alignment horizontal="left" vertical="top" wrapText="1"/>
    </xf>
    <xf numFmtId="0" fontId="18" fillId="6" borderId="23" applyAlignment="1" pivotButton="0" quotePrefix="0" xfId="0">
      <alignment vertical="top" wrapText="1"/>
    </xf>
    <xf numFmtId="0" fontId="6" fillId="0" borderId="21" applyAlignment="1" pivotButton="0" quotePrefix="0" xfId="0">
      <alignment horizontal="center" vertical="top" wrapText="1"/>
    </xf>
    <xf numFmtId="0" fontId="18" fillId="6" borderId="24" applyAlignment="1" pivotButton="0" quotePrefix="0" xfId="0">
      <alignment horizontal="left" vertical="top" wrapText="1"/>
    </xf>
    <xf numFmtId="0" fontId="18" fillId="6" borderId="25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center" vertical="top" wrapText="1"/>
    </xf>
    <xf numFmtId="0" fontId="18" fillId="6" borderId="26" applyAlignment="1" pivotButton="0" quotePrefix="0" xfId="0">
      <alignment vertical="top" wrapText="1"/>
    </xf>
    <xf numFmtId="0" fontId="18" fillId="0" borderId="4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top" wrapText="1"/>
    </xf>
    <xf numFmtId="0" fontId="6" fillId="0" borderId="28" applyAlignment="1" pivotButton="0" quotePrefix="0" xfId="0">
      <alignment vertical="top" wrapText="1"/>
    </xf>
    <xf numFmtId="0" fontId="6" fillId="0" borderId="6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28" applyAlignment="1" pivotButton="0" quotePrefix="0" xfId="0">
      <alignment horizontal="center" vertical="top" wrapText="1"/>
    </xf>
    <xf numFmtId="0" fontId="18" fillId="0" borderId="2" applyAlignment="1" pivotButton="0" quotePrefix="0" xfId="0">
      <alignment horizontal="left" vertical="top" wrapText="1"/>
    </xf>
    <xf numFmtId="0" fontId="18" fillId="0" borderId="2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18" fillId="0" borderId="6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center" vertical="top" wrapText="1"/>
    </xf>
    <xf numFmtId="0" fontId="18" fillId="0" borderId="30" applyAlignment="1" pivotButton="0" quotePrefix="0" xfId="0">
      <alignment horizontal="left" vertical="top" wrapText="1"/>
    </xf>
    <xf numFmtId="0" fontId="18" fillId="0" borderId="9" applyAlignment="1" pivotButton="0" quotePrefix="0" xfId="0">
      <alignment horizontal="center" vertical="top" wrapText="1"/>
    </xf>
    <xf numFmtId="0" fontId="6" fillId="0" borderId="11" applyAlignment="1" pivotButton="0" quotePrefix="0" xfId="0">
      <alignment vertical="top" wrapText="1"/>
    </xf>
    <xf numFmtId="0" fontId="6" fillId="0" borderId="8" applyAlignment="1" pivotButton="0" quotePrefix="0" xfId="0">
      <alignment vertical="top" wrapText="1"/>
    </xf>
    <xf numFmtId="0" fontId="8" fillId="3" borderId="11" applyAlignment="1" pivotButton="0" quotePrefix="0" xfId="0">
      <alignment horizontal="left" vertical="top" wrapText="1"/>
    </xf>
    <xf numFmtId="0" fontId="18" fillId="0" borderId="11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left" vertical="top" wrapText="1"/>
    </xf>
    <xf numFmtId="0" fontId="8" fillId="0" borderId="11" applyAlignment="1" pivotButton="0" quotePrefix="0" xfId="0">
      <alignment horizontal="center" vertical="top" wrapText="1"/>
    </xf>
    <xf numFmtId="0" fontId="8" fillId="3" borderId="11" applyAlignment="1" pivotButton="0" quotePrefix="0" xfId="0">
      <alignment horizontal="center" vertical="top" wrapText="1"/>
    </xf>
    <xf numFmtId="0" fontId="6" fillId="0" borderId="17" applyAlignment="1" pivotButton="0" quotePrefix="0" xfId="0">
      <alignment horizontal="center" vertical="top" wrapText="1"/>
    </xf>
    <xf numFmtId="0" fontId="8" fillId="3" borderId="32" applyAlignment="1" pivotButton="0" quotePrefix="0" xfId="0">
      <alignment horizontal="left" vertical="top" wrapText="1"/>
    </xf>
    <xf numFmtId="0" fontId="8" fillId="3" borderId="29" applyAlignment="1" pivotButton="0" quotePrefix="0" xfId="0">
      <alignment horizontal="center" vertical="top" wrapText="1"/>
    </xf>
    <xf numFmtId="0" fontId="8" fillId="3" borderId="33" applyAlignment="1" pivotButton="0" quotePrefix="0" xfId="0">
      <alignment horizontal="left" vertical="top" wrapText="1"/>
    </xf>
    <xf numFmtId="0" fontId="8" fillId="0" borderId="24" applyAlignment="1" pivotButton="0" quotePrefix="0" xfId="0">
      <alignment horizontal="left" vertical="top" wrapText="1"/>
    </xf>
    <xf numFmtId="0" fontId="8" fillId="0" borderId="28" applyAlignment="1" pivotButton="0" quotePrefix="0" xfId="0">
      <alignment horizontal="left" vertical="top" wrapText="1"/>
    </xf>
    <xf numFmtId="0" fontId="8" fillId="0" borderId="28" applyAlignment="1" pivotButton="0" quotePrefix="0" xfId="0">
      <alignment horizontal="center" vertical="top" wrapText="1"/>
    </xf>
    <xf numFmtId="0" fontId="8" fillId="6" borderId="28" applyAlignment="1" pivotButton="0" quotePrefix="0" xfId="0">
      <alignment horizontal="left" vertical="top" wrapText="1"/>
    </xf>
    <xf numFmtId="0" fontId="18" fillId="0" borderId="21" applyAlignment="1" pivotButton="0" quotePrefix="0" xfId="0">
      <alignment horizontal="left" vertical="top" wrapText="1"/>
    </xf>
    <xf numFmtId="0" fontId="18" fillId="3" borderId="11" applyAlignment="1" pivotButton="0" quotePrefix="0" xfId="0">
      <alignment horizontal="left" vertical="top" wrapText="1"/>
    </xf>
    <xf numFmtId="0" fontId="18" fillId="3" borderId="34" applyAlignment="1" pivotButton="0" quotePrefix="0" xfId="0">
      <alignment horizontal="center" vertical="top" wrapText="1"/>
    </xf>
    <xf numFmtId="0" fontId="18" fillId="3" borderId="2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center" vertical="top" wrapText="1"/>
    </xf>
    <xf numFmtId="0" fontId="18" fillId="3" borderId="0" applyAlignment="1" pivotButton="0" quotePrefix="0" xfId="0">
      <alignment horizontal="left" vertical="top" wrapText="1"/>
    </xf>
    <xf numFmtId="0" fontId="18" fillId="3" borderId="23" applyAlignment="1" pivotButton="0" quotePrefix="0" xfId="0">
      <alignment horizontal="center" vertical="top" wrapText="1"/>
    </xf>
    <xf numFmtId="0" fontId="18" fillId="3" borderId="1" applyAlignment="1" pivotButton="0" quotePrefix="0" xfId="0">
      <alignment horizontal="left" vertical="top" wrapText="1"/>
    </xf>
    <xf numFmtId="0" fontId="18" fillId="3" borderId="35" applyAlignment="1" pivotButton="0" quotePrefix="0" xfId="0">
      <alignment horizontal="center" vertical="top" wrapText="1"/>
    </xf>
    <xf numFmtId="0" fontId="18" fillId="3" borderId="21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top" wrapText="1"/>
    </xf>
    <xf numFmtId="0" fontId="18" fillId="3" borderId="9" applyAlignment="1" pivotButton="0" quotePrefix="0" xfId="0">
      <alignment horizontal="left" vertical="top" wrapText="1"/>
    </xf>
    <xf numFmtId="0" fontId="18" fillId="0" borderId="38" applyAlignment="1" pivotButton="0" quotePrefix="0" xfId="0">
      <alignment horizontal="center" vertical="top" wrapText="1"/>
    </xf>
    <xf numFmtId="0" fontId="18" fillId="0" borderId="34" applyAlignment="1" pivotButton="0" quotePrefix="0" xfId="0">
      <alignment horizontal="left" vertical="top" wrapText="1"/>
    </xf>
    <xf numFmtId="0" fontId="18" fillId="0" borderId="24" applyAlignment="1" pivotButton="0" quotePrefix="0" xfId="0">
      <alignment horizontal="left" vertical="top" wrapText="1"/>
    </xf>
    <xf numFmtId="0" fontId="18" fillId="0" borderId="28" applyAlignment="1" pivotButton="0" quotePrefix="0" xfId="0">
      <alignment horizontal="center" vertical="top" wrapText="1"/>
    </xf>
    <xf numFmtId="0" fontId="6" fillId="0" borderId="36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8" fillId="6" borderId="4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center" vertical="top" wrapText="1"/>
    </xf>
    <xf numFmtId="0" fontId="8" fillId="6" borderId="0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8" fillId="3" borderId="4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8" fillId="3" borderId="6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0" fontId="6" fillId="3" borderId="11" applyAlignment="1" pivotButton="0" quotePrefix="0" xfId="0">
      <alignment horizontal="left" vertical="top" wrapText="1"/>
    </xf>
    <xf numFmtId="0" fontId="8" fillId="6" borderId="11" applyAlignment="1" pivotButton="0" quotePrefix="0" xfId="0">
      <alignment horizontal="left" vertical="top" wrapText="1"/>
    </xf>
    <xf numFmtId="0" fontId="8" fillId="6" borderId="1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6" fillId="6" borderId="6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left" vertical="top" wrapText="1"/>
    </xf>
    <xf numFmtId="0" fontId="6" fillId="6" borderId="11" applyAlignment="1" pivotButton="0" quotePrefix="0" xfId="0">
      <alignment horizontal="center" vertical="top" wrapText="1"/>
    </xf>
    <xf numFmtId="0" fontId="6" fillId="0" borderId="24" applyAlignment="1" pivotButton="0" quotePrefix="0" xfId="0">
      <alignment horizontal="left" vertical="top" wrapText="1"/>
    </xf>
    <xf numFmtId="0" fontId="6" fillId="0" borderId="20" applyAlignment="1" pivotButton="0" quotePrefix="0" xfId="0">
      <alignment horizontal="left" vertical="top" wrapText="1"/>
    </xf>
    <xf numFmtId="0" fontId="6" fillId="0" borderId="43" applyAlignment="1" pivotButton="0" quotePrefix="0" xfId="0">
      <alignment horizontal="left" vertical="top" wrapText="1"/>
    </xf>
    <xf numFmtId="0" fontId="6" fillId="0" borderId="44" applyAlignment="1" pivotButton="0" quotePrefix="0" xfId="0">
      <alignment horizontal="center" vertical="top" wrapText="1"/>
    </xf>
    <xf numFmtId="0" fontId="6" fillId="6" borderId="28" applyAlignment="1" pivotButton="0" quotePrefix="0" xfId="0">
      <alignment horizontal="center" vertical="top" wrapText="1"/>
    </xf>
    <xf numFmtId="0" fontId="6" fillId="0" borderId="45" applyAlignment="1" pivotButton="0" quotePrefix="0" xfId="0">
      <alignment horizontal="center" vertical="top" wrapText="1"/>
    </xf>
    <xf numFmtId="0" fontId="6" fillId="0" borderId="4" applyAlignment="1" pivotButton="0" quotePrefix="0" xfId="0">
      <alignment horizontal="left" vertical="top" wrapText="1"/>
    </xf>
    <xf numFmtId="0" fontId="6" fillId="0" borderId="21" applyAlignment="1" pivotButton="0" quotePrefix="0" xfId="0">
      <alignment horizontal="left" vertical="top" wrapText="1"/>
    </xf>
    <xf numFmtId="0" fontId="6" fillId="6" borderId="21" applyAlignment="1" pivotButton="0" quotePrefix="0" xfId="0">
      <alignment horizontal="center" vertical="top" wrapText="1"/>
    </xf>
    <xf numFmtId="0" fontId="6" fillId="3" borderId="11" applyAlignment="1" pivotButton="0" quotePrefix="0" xfId="0">
      <alignment horizontal="center" vertical="top" wrapText="1"/>
    </xf>
    <xf numFmtId="0" fontId="6" fillId="3" borderId="16" applyAlignment="1" pivotButton="0" quotePrefix="0" xfId="0">
      <alignment horizontal="left" vertical="top" wrapText="1"/>
    </xf>
    <xf numFmtId="0" fontId="6" fillId="6" borderId="46" applyAlignment="1" pivotButton="0" quotePrefix="0" xfId="0">
      <alignment horizontal="left" vertical="top" wrapText="1"/>
    </xf>
    <xf numFmtId="0" fontId="6" fillId="6" borderId="32" applyAlignment="1" pivotButton="0" quotePrefix="0" xfId="0">
      <alignment horizontal="center" vertical="top" wrapText="1"/>
    </xf>
    <xf numFmtId="0" fontId="0" fillId="0" borderId="32" applyAlignment="1" pivotButton="0" quotePrefix="0" xfId="0">
      <alignment horizontal="center" vertical="top" wrapText="1"/>
    </xf>
    <xf numFmtId="0" fontId="6" fillId="6" borderId="48" applyAlignment="1" pivotButton="0" quotePrefix="0" xfId="0">
      <alignment horizontal="left" vertical="top" wrapText="1"/>
    </xf>
    <xf numFmtId="0" fontId="6" fillId="0" borderId="43" applyAlignment="1" pivotButton="0" quotePrefix="0" xfId="0">
      <alignment horizontal="center" vertical="top" wrapText="1"/>
    </xf>
    <xf numFmtId="0" fontId="6" fillId="0" borderId="46" applyAlignment="1" pivotButton="0" quotePrefix="0" xfId="0">
      <alignment horizontal="left" vertical="top" wrapText="1"/>
    </xf>
    <xf numFmtId="0" fontId="6" fillId="0" borderId="22" applyAlignment="1" pivotButton="0" quotePrefix="0" xfId="0">
      <alignment horizontal="center" vertical="top" wrapText="1"/>
    </xf>
    <xf numFmtId="0" fontId="6" fillId="0" borderId="23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/>
    </xf>
    <xf numFmtId="0" fontId="6" fillId="0" borderId="49" applyAlignment="1" pivotButton="0" quotePrefix="0" xfId="0">
      <alignment horizontal="center" vertical="top" wrapText="1"/>
    </xf>
    <xf numFmtId="0" fontId="6" fillId="0" borderId="34" applyAlignment="1" pivotButton="0" quotePrefix="0" xfId="0">
      <alignment horizontal="center" vertical="top" wrapText="1"/>
    </xf>
    <xf numFmtId="0" fontId="6" fillId="6" borderId="49" applyAlignment="1" pivotButton="0" quotePrefix="0" xfId="0">
      <alignment horizontal="left" vertical="top" wrapText="1"/>
    </xf>
    <xf numFmtId="0" fontId="6" fillId="0" borderId="38" applyAlignment="1" pivotButton="0" quotePrefix="0" xfId="0">
      <alignment horizontal="center" vertical="top" wrapText="1"/>
    </xf>
    <xf numFmtId="0" fontId="6" fillId="0" borderId="50" applyAlignment="1" pivotButton="0" quotePrefix="0" xfId="0">
      <alignment horizontal="center" vertical="top" wrapText="1"/>
    </xf>
    <xf numFmtId="0" fontId="6" fillId="3" borderId="24" applyAlignment="1" pivotButton="0" quotePrefix="0" xfId="0">
      <alignment horizontal="left" vertical="top" wrapText="1"/>
    </xf>
    <xf numFmtId="0" fontId="6" fillId="3" borderId="36" applyAlignment="1" pivotButton="0" quotePrefix="0" xfId="0">
      <alignment horizontal="center" vertical="top" wrapText="1"/>
    </xf>
    <xf numFmtId="0" fontId="6" fillId="3" borderId="4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top" wrapText="1"/>
    </xf>
    <xf numFmtId="0" fontId="6" fillId="6" borderId="2" applyAlignment="1" pivotButton="0" quotePrefix="0" xfId="0">
      <alignment horizontal="center" vertical="top" wrapText="1"/>
    </xf>
    <xf numFmtId="0" fontId="6" fillId="6" borderId="21" applyAlignment="1" pivotButton="0" quotePrefix="0" xfId="0">
      <alignment horizontal="left" vertical="top" wrapText="1"/>
    </xf>
    <xf numFmtId="0" fontId="6" fillId="6" borderId="2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6" borderId="15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6" borderId="7" applyAlignment="1" pivotButton="0" quotePrefix="0" xfId="0">
      <alignment horizontal="left" vertical="center" wrapText="1"/>
    </xf>
    <xf numFmtId="0" fontId="18" fillId="6" borderId="4" applyAlignment="1" pivotButton="0" quotePrefix="0" xfId="0">
      <alignment horizontal="center" vertical="top" wrapText="1"/>
    </xf>
    <xf numFmtId="0" fontId="18" fillId="0" borderId="7" applyAlignment="1" pivotButton="0" quotePrefix="0" xfId="0">
      <alignment horizontal="left" vertical="top" wrapText="1"/>
    </xf>
    <xf numFmtId="0" fontId="18" fillId="6" borderId="15" applyAlignment="1" pivotButton="0" quotePrefix="0" xfId="0">
      <alignment horizontal="left" vertical="top" wrapText="1"/>
    </xf>
    <xf numFmtId="0" fontId="18" fillId="6" borderId="15" applyAlignment="1" pivotButton="0" quotePrefix="0" xfId="0">
      <alignment horizontal="center" vertical="top" wrapText="1"/>
    </xf>
    <xf numFmtId="0" fontId="18" fillId="0" borderId="15" applyAlignment="1" pivotButton="0" quotePrefix="0" xfId="0">
      <alignment horizontal="center" vertical="top" wrapText="1"/>
    </xf>
    <xf numFmtId="0" fontId="18" fillId="0" borderId="8" applyAlignment="1" pivotButton="0" quotePrefix="0" xfId="0">
      <alignment horizontal="left" vertical="top" wrapText="1"/>
    </xf>
    <xf numFmtId="0" fontId="18" fillId="0" borderId="15" applyAlignment="1" pivotButton="0" quotePrefix="0" xfId="0">
      <alignment horizontal="left" vertical="top" wrapText="1"/>
    </xf>
    <xf numFmtId="0" fontId="18" fillId="0" borderId="13" applyAlignment="1" pivotButton="0" quotePrefix="0" xfId="0">
      <alignment horizontal="left" vertical="top" wrapText="1"/>
    </xf>
    <xf numFmtId="0" fontId="18" fillId="0" borderId="4" applyAlignment="1" pivotButton="0" quotePrefix="0" xfId="0">
      <alignment horizontal="center" vertical="top" wrapText="1"/>
    </xf>
    <xf numFmtId="0" fontId="18" fillId="6" borderId="6" applyAlignment="1" pivotButton="0" quotePrefix="0" xfId="0">
      <alignment horizontal="center" vertical="top" wrapText="1"/>
    </xf>
    <xf numFmtId="0" fontId="18" fillId="0" borderId="17" applyAlignment="1" pivotButton="0" quotePrefix="0" xfId="0">
      <alignment horizontal="left" vertical="top" wrapText="1"/>
    </xf>
    <xf numFmtId="0" fontId="0" fillId="3" borderId="0" applyAlignment="1" pivotButton="0" quotePrefix="0" xfId="0">
      <alignment vertical="top"/>
    </xf>
    <xf numFmtId="0" fontId="18" fillId="3" borderId="7" applyAlignment="1" pivotButton="0" quotePrefix="0" xfId="0">
      <alignment horizontal="left" vertical="top" wrapText="1"/>
    </xf>
    <xf numFmtId="0" fontId="18" fillId="3" borderId="15" applyAlignment="1" pivotButton="0" quotePrefix="0" xfId="0">
      <alignment horizontal="left" vertical="top" wrapText="1"/>
    </xf>
    <xf numFmtId="0" fontId="18" fillId="3" borderId="4" applyAlignment="1" pivotButton="0" quotePrefix="0" xfId="0">
      <alignment horizontal="center" vertical="top" wrapText="1"/>
    </xf>
    <xf numFmtId="0" fontId="18" fillId="3" borderId="15" applyAlignment="1" pivotButton="0" quotePrefix="0" xfId="0">
      <alignment horizontal="center" vertical="top" wrapText="1"/>
    </xf>
    <xf numFmtId="0" fontId="18" fillId="6" borderId="7" applyAlignment="1" pivotButton="0" quotePrefix="0" xfId="0">
      <alignment horizontal="left" vertical="top" wrapText="1"/>
    </xf>
    <xf numFmtId="0" fontId="18" fillId="0" borderId="7" applyAlignment="1" pivotButton="0" quotePrefix="0" xfId="0">
      <alignment horizontal="center" vertical="top" wrapText="1"/>
    </xf>
    <xf numFmtId="0" fontId="18" fillId="0" borderId="43" applyAlignment="1" pivotButton="0" quotePrefix="0" xfId="0">
      <alignment horizontal="left" vertical="top" wrapText="1"/>
    </xf>
    <xf numFmtId="0" fontId="18" fillId="0" borderId="44" applyAlignment="1" pivotButton="0" quotePrefix="0" xfId="0">
      <alignment horizontal="center" vertical="top" wrapText="1"/>
    </xf>
    <xf numFmtId="0" fontId="18" fillId="6" borderId="28" applyAlignment="1" pivotButton="0" quotePrefix="0" xfId="0">
      <alignment horizontal="center" vertical="top" wrapText="1"/>
    </xf>
    <xf numFmtId="0" fontId="18" fillId="0" borderId="45" applyAlignment="1" pivotButton="0" quotePrefix="0" xfId="0">
      <alignment horizontal="center" vertical="top" wrapText="1"/>
    </xf>
    <xf numFmtId="0" fontId="18" fillId="3" borderId="8" applyAlignment="1" pivotButton="0" quotePrefix="0" xfId="0">
      <alignment horizontal="left" vertical="top" wrapText="1"/>
    </xf>
    <xf numFmtId="0" fontId="18" fillId="3" borderId="13" applyAlignment="1" pivotButton="0" quotePrefix="0" xfId="0">
      <alignment horizontal="left" vertical="top" wrapText="1"/>
    </xf>
    <xf numFmtId="0" fontId="18" fillId="3" borderId="13" applyAlignment="1" pivotButton="0" quotePrefix="0" xfId="0">
      <alignment horizontal="center" vertical="top" wrapText="1"/>
    </xf>
    <xf numFmtId="0" fontId="18" fillId="0" borderId="18" applyAlignment="1" pivotButton="0" quotePrefix="0" xfId="0">
      <alignment horizontal="center" vertical="top" wrapText="1"/>
    </xf>
    <xf numFmtId="0" fontId="18" fillId="3" borderId="18" applyAlignment="1" pivotButton="0" quotePrefix="0" xfId="0">
      <alignment horizontal="center" vertical="top" wrapText="1"/>
    </xf>
    <xf numFmtId="0" fontId="18" fillId="3" borderId="1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 shrinkToFit="1"/>
    </xf>
    <xf numFmtId="0" fontId="0" fillId="0" borderId="0" applyAlignment="1" pivotButton="0" quotePrefix="0" xfId="0">
      <alignment horizontal="center" vertical="top" wrapText="1" shrinkToFit="1"/>
    </xf>
    <xf numFmtId="0" fontId="0" fillId="0" borderId="0" applyAlignment="1" pivotButton="0" quotePrefix="0" xfId="0">
      <alignment horizontal="center" vertical="center" wrapText="1" shrinkToFit="1"/>
    </xf>
    <xf numFmtId="0" fontId="2" fillId="4" borderId="1" applyAlignment="1" pivotButton="0" quotePrefix="0" xfId="0">
      <alignment horizontal="center" vertical="center" wrapText="1" shrinkToFit="1"/>
    </xf>
    <xf numFmtId="0" fontId="0" fillId="0" borderId="0" applyAlignment="1" pivotButton="0" quotePrefix="0" xfId="0">
      <alignment vertical="center" wrapText="1" shrinkToFit="1"/>
    </xf>
    <xf numFmtId="0" fontId="0" fillId="9" borderId="0" applyAlignment="1" pivotButton="0" quotePrefix="0" xfId="0">
      <alignment horizontal="center" vertical="top" wrapText="1" shrinkToFit="1"/>
    </xf>
    <xf numFmtId="0" fontId="6" fillId="0" borderId="4" applyAlignment="1" pivotButton="0" quotePrefix="0" xfId="0">
      <alignment horizontal="center" vertical="center" wrapText="1" shrinkToFit="1"/>
    </xf>
    <xf numFmtId="0" fontId="6" fillId="0" borderId="2" applyAlignment="1" pivotButton="0" quotePrefix="0" xfId="0">
      <alignment horizontal="center" vertical="center" wrapText="1" shrinkToFit="1"/>
    </xf>
    <xf numFmtId="0" fontId="0" fillId="0" borderId="11" applyAlignment="1" pivotButton="0" quotePrefix="0" xfId="0">
      <alignment horizontal="center" vertical="center" wrapText="1" shrinkToFit="1"/>
    </xf>
    <xf numFmtId="0" fontId="0" fillId="3" borderId="0" applyAlignment="1" pivotButton="0" quotePrefix="0" xfId="0">
      <alignment wrapText="1" shrinkToFit="1"/>
    </xf>
    <xf numFmtId="0" fontId="0" fillId="3" borderId="11" applyAlignment="1" pivotButton="0" quotePrefix="0" xfId="0">
      <alignment horizontal="center" vertical="center" wrapText="1" shrinkToFit="1"/>
    </xf>
    <xf numFmtId="0" fontId="0" fillId="3" borderId="9" applyAlignment="1" pivotButton="0" quotePrefix="0" xfId="0">
      <alignment horizontal="center" vertical="center" wrapText="1" shrinkToFit="1"/>
    </xf>
    <xf numFmtId="0" fontId="2" fillId="0" borderId="0" applyAlignment="1" pivotButton="0" quotePrefix="0" xfId="0">
      <alignment wrapText="1"/>
    </xf>
    <xf numFmtId="0" fontId="23" fillId="0" borderId="53" pivotButton="0" quotePrefix="0" xfId="0"/>
    <xf numFmtId="0" fontId="24" fillId="0" borderId="2" pivotButton="0" quotePrefix="0" xfId="0"/>
    <xf numFmtId="0" fontId="24" fillId="9" borderId="2" applyAlignment="1" pivotButton="0" quotePrefix="0" xfId="0">
      <alignment horizontal="center" vertical="center" wrapText="1"/>
    </xf>
    <xf numFmtId="0" fontId="26" fillId="0" borderId="2" applyAlignment="1" pivotButton="0" quotePrefix="0" xfId="0">
      <alignment wrapText="1"/>
    </xf>
    <xf numFmtId="0" fontId="24" fillId="3" borderId="2" applyAlignment="1" pivotButton="0" quotePrefix="0" xfId="0">
      <alignment horizontal="center" vertical="center" wrapText="1"/>
    </xf>
    <xf numFmtId="0" fontId="21" fillId="4" borderId="2" applyAlignment="1" pivotButton="0" quotePrefix="0" xfId="0">
      <alignment horizontal="center" wrapText="1"/>
    </xf>
    <xf numFmtId="0" fontId="27" fillId="4" borderId="2" applyAlignment="1" pivotButton="0" quotePrefix="0" xfId="0">
      <alignment horizontal="center" wrapText="1"/>
    </xf>
    <xf numFmtId="0" fontId="24" fillId="3" borderId="7" applyAlignment="1" pivotButton="0" quotePrefix="0" xfId="0">
      <alignment horizontal="center" vertical="center" wrapText="1"/>
    </xf>
    <xf numFmtId="0" fontId="26" fillId="2" borderId="2" applyAlignment="1" pivotButton="0" quotePrefix="0" xfId="0">
      <alignment horizontal="center" vertical="center" wrapText="1"/>
    </xf>
    <xf numFmtId="0" fontId="23" fillId="0" borderId="2" pivotButton="0" quotePrefix="0" xfId="0"/>
    <xf numFmtId="0" fontId="23" fillId="0" borderId="2" applyAlignment="1" pivotButton="0" quotePrefix="0" xfId="0">
      <alignment horizontal="right" wrapText="1"/>
    </xf>
    <xf numFmtId="0" fontId="23" fillId="0" borderId="4" applyAlignment="1" pivotButton="0" quotePrefix="0" xfId="0">
      <alignment horizontal="right" wrapText="1"/>
    </xf>
    <xf numFmtId="0" fontId="23" fillId="6" borderId="4" applyAlignment="1" pivotButton="0" quotePrefix="0" xfId="0">
      <alignment horizontal="right" wrapText="1"/>
    </xf>
    <xf numFmtId="0" fontId="23" fillId="2" borderId="2" applyAlignment="1" pivotButton="0" quotePrefix="0" xfId="0">
      <alignment horizontal="right" wrapText="1"/>
    </xf>
    <xf numFmtId="0" fontId="23" fillId="8" borderId="2" applyAlignment="1" pivotButton="0" quotePrefix="0" xfId="0">
      <alignment horizontal="right" wrapText="1"/>
    </xf>
    <xf numFmtId="9" fontId="21" fillId="8" borderId="2" pivotButton="0" quotePrefix="0" xfId="0"/>
    <xf numFmtId="0" fontId="18" fillId="3" borderId="7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23" fillId="6" borderId="7" applyAlignment="1" pivotButton="0" quotePrefix="0" xfId="0">
      <alignment horizontal="right" wrapText="1"/>
    </xf>
    <xf numFmtId="0" fontId="23" fillId="6" borderId="15" applyAlignment="1" pivotButton="0" quotePrefix="0" xfId="0">
      <alignment horizontal="right" wrapText="1"/>
    </xf>
    <xf numFmtId="0" fontId="18" fillId="3" borderId="2" applyAlignment="1" pivotButton="0" quotePrefix="0" xfId="0">
      <alignment horizontal="center" vertical="center" wrapText="1"/>
    </xf>
    <xf numFmtId="0" fontId="26" fillId="0" borderId="0" applyAlignment="1" pivotButton="0" quotePrefix="0" xfId="0">
      <alignment wrapText="1"/>
    </xf>
    <xf numFmtId="0" fontId="28" fillId="0" borderId="2" applyAlignment="1" pivotButton="0" quotePrefix="0" xfId="0">
      <alignment horizontal="left"/>
    </xf>
    <xf numFmtId="0" fontId="29" fillId="0" borderId="2" pivotButton="0" quotePrefix="0" xfId="0"/>
    <xf numFmtId="9" fontId="23" fillId="0" borderId="2" pivotButton="0" quotePrefix="0" xfId="0"/>
    <xf numFmtId="0" fontId="30" fillId="0" borderId="2" pivotButton="0" quotePrefix="0" xfId="0"/>
    <xf numFmtId="10" fontId="30" fillId="2" borderId="2" applyAlignment="1" pivotButton="0" quotePrefix="0" xfId="0">
      <alignment horizontal="center" vertical="center"/>
    </xf>
    <xf numFmtId="1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24" fillId="2" borderId="2" applyAlignment="1" pivotButton="0" quotePrefix="0" xfId="0">
      <alignment horizontal="center" vertical="center" wrapText="1"/>
    </xf>
    <xf numFmtId="0" fontId="26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10" fontId="30" fillId="3" borderId="2" applyAlignment="1" pivotButton="0" quotePrefix="0" xfId="0">
      <alignment horizontal="center" vertical="center"/>
    </xf>
    <xf numFmtId="0" fontId="0" fillId="7" borderId="1" applyAlignment="1" pivotButton="0" quotePrefix="0" xfId="0">
      <alignment wrapText="1"/>
    </xf>
    <xf numFmtId="0" fontId="0" fillId="7" borderId="2" applyAlignment="1" pivotButton="0" quotePrefix="0" xfId="0">
      <alignment wrapText="1"/>
    </xf>
    <xf numFmtId="0" fontId="0" fillId="7" borderId="2" pivotButton="0" quotePrefix="0" xfId="0"/>
    <xf numFmtId="0" fontId="0" fillId="8" borderId="11" applyAlignment="1" pivotButton="0" quotePrefix="0" xfId="0">
      <alignment wrapText="1"/>
    </xf>
    <xf numFmtId="0" fontId="0" fillId="0" borderId="4" pivotButton="0" quotePrefix="0" xfId="0"/>
    <xf numFmtId="9" fontId="0" fillId="0" borderId="2" pivotButton="0" quotePrefix="0" xfId="0"/>
    <xf numFmtId="0" fontId="0" fillId="0" borderId="11" applyAlignment="1" pivotButton="0" quotePrefix="0" xfId="0">
      <alignment wrapText="1"/>
    </xf>
    <xf numFmtId="0" fontId="0" fillId="3" borderId="11" applyAlignment="1" pivotButton="0" quotePrefix="0" xfId="0">
      <alignment wrapText="1"/>
    </xf>
    <xf numFmtId="0" fontId="0" fillId="9" borderId="2" pivotButton="0" quotePrefix="0" xfId="0"/>
    <xf numFmtId="0" fontId="0" fillId="9" borderId="7" pivotButton="0" quotePrefix="0" xfId="0"/>
    <xf numFmtId="9" fontId="0" fillId="9" borderId="7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0" fontId="7" fillId="2" borderId="0" applyAlignment="1" pivotButton="0" quotePrefix="0" xfId="0">
      <alignment wrapText="1"/>
    </xf>
    <xf numFmtId="0" fontId="6" fillId="0" borderId="60" pivotButton="0" quotePrefix="0" xfId="0"/>
    <xf numFmtId="0" fontId="33" fillId="18" borderId="61" applyAlignment="1" pivotButton="0" quotePrefix="0" xfId="0">
      <alignment horizontal="left"/>
    </xf>
    <xf numFmtId="0" fontId="33" fillId="0" borderId="60" applyAlignment="1" pivotButton="0" quotePrefix="0" xfId="0">
      <alignment horizontal="right"/>
    </xf>
    <xf numFmtId="0" fontId="31" fillId="0" borderId="62" applyAlignment="1" pivotButton="0" quotePrefix="0" xfId="0">
      <alignment horizontal="right"/>
    </xf>
    <xf numFmtId="166" fontId="0" fillId="0" borderId="11" applyAlignment="1" pivotButton="0" quotePrefix="0" xfId="0">
      <alignment horizontal="center" vertical="center" wrapText="1" shrinkToFit="1"/>
    </xf>
    <xf numFmtId="0" fontId="6" fillId="0" borderId="2" applyAlignment="1" pivotButton="0" quotePrefix="0" xfId="0">
      <alignment horizontal="center" vertical="top" wrapText="1" shrinkToFit="1"/>
    </xf>
    <xf numFmtId="0" fontId="6" fillId="0" borderId="11" applyAlignment="1" pivotButton="0" quotePrefix="0" xfId="0">
      <alignment horizontal="left" wrapText="1" shrinkToFit="1"/>
    </xf>
    <xf numFmtId="0" fontId="6" fillId="0" borderId="2" applyAlignment="1" pivotButton="0" quotePrefix="0" xfId="0">
      <alignment horizontal="left" wrapText="1" shrinkToFit="1"/>
    </xf>
    <xf numFmtId="0" fontId="6" fillId="0" borderId="7" applyAlignment="1" pivotButton="0" quotePrefix="0" xfId="0">
      <alignment horizontal="left" wrapText="1" shrinkToFit="1"/>
    </xf>
    <xf numFmtId="0" fontId="6" fillId="0" borderId="8" applyAlignment="1" pivotButton="0" quotePrefix="0" xfId="0">
      <alignment horizontal="left" wrapText="1" shrinkToFit="1"/>
    </xf>
    <xf numFmtId="0" fontId="6" fillId="0" borderId="1" applyAlignment="1" pivotButton="0" quotePrefix="0" xfId="0">
      <alignment horizontal="left" wrapText="1" shrinkToFit="1"/>
    </xf>
    <xf numFmtId="0" fontId="6" fillId="0" borderId="78" applyAlignment="1" pivotButton="0" quotePrefix="0" xfId="0">
      <alignment horizontal="left" wrapText="1" shrinkToFit="1"/>
    </xf>
    <xf numFmtId="166" fontId="0" fillId="0" borderId="78" applyAlignment="1" pivotButton="0" quotePrefix="0" xfId="0">
      <alignment horizontal="center" vertical="center" wrapText="1" shrinkToFit="1"/>
    </xf>
    <xf numFmtId="0" fontId="6" fillId="0" borderId="79" applyAlignment="1" pivotButton="0" quotePrefix="0" xfId="0">
      <alignment horizontal="center" vertical="center" wrapText="1" shrinkToFit="1"/>
    </xf>
    <xf numFmtId="0" fontId="6" fillId="0" borderId="80" applyAlignment="1" pivotButton="0" quotePrefix="0" xfId="0">
      <alignment horizontal="left" wrapText="1" shrinkToFit="1"/>
    </xf>
    <xf numFmtId="166" fontId="0" fillId="0" borderId="80" applyAlignment="1" pivotButton="0" quotePrefix="0" xfId="0">
      <alignment horizontal="center" vertical="center" wrapText="1" shrinkToFit="1"/>
    </xf>
    <xf numFmtId="0" fontId="0" fillId="0" borderId="80" applyAlignment="1" pivotButton="0" quotePrefix="0" xfId="0">
      <alignment horizontal="center" vertical="center" wrapText="1" shrinkToFit="1"/>
    </xf>
    <xf numFmtId="0" fontId="6" fillId="0" borderId="80" applyAlignment="1" pivotButton="0" quotePrefix="0" xfId="0">
      <alignment horizontal="center" vertical="center" wrapText="1" shrinkToFit="1"/>
    </xf>
    <xf numFmtId="0" fontId="31" fillId="0" borderId="80" applyAlignment="1" pivotButton="0" quotePrefix="0" xfId="0">
      <alignment horizontal="left" wrapText="1"/>
    </xf>
    <xf numFmtId="167" fontId="31" fillId="0" borderId="80" applyAlignment="1" pivotButton="0" quotePrefix="0" xfId="0">
      <alignment horizontal="left" wrapText="1"/>
    </xf>
    <xf numFmtId="0" fontId="6" fillId="0" borderId="80" applyAlignment="1" pivotButton="0" quotePrefix="0" xfId="0">
      <alignment horizontal="center" vertical="center" wrapText="1"/>
    </xf>
    <xf numFmtId="0" fontId="0" fillId="3" borderId="80" applyAlignment="1" pivotButton="0" quotePrefix="0" xfId="0">
      <alignment horizontal="center" vertical="center" wrapText="1" shrinkToFit="1"/>
    </xf>
    <xf numFmtId="0" fontId="0" fillId="3" borderId="81" applyAlignment="1" pivotButton="0" quotePrefix="0" xfId="0">
      <alignment horizontal="center" vertical="center" wrapText="1" shrinkToFit="1"/>
    </xf>
    <xf numFmtId="0" fontId="18" fillId="0" borderId="82" applyAlignment="1" pivotButton="0" quotePrefix="0" xfId="0">
      <alignment horizontal="left" vertical="top" wrapText="1"/>
    </xf>
    <xf numFmtId="0" fontId="18" fillId="0" borderId="80" applyAlignment="1" pivotButton="0" quotePrefix="0" xfId="0">
      <alignment horizontal="left" vertical="top" wrapText="1"/>
    </xf>
    <xf numFmtId="0" fontId="18" fillId="6" borderId="80" applyAlignment="1" pivotButton="0" quotePrefix="0" xfId="0">
      <alignment horizontal="left" vertical="top" wrapText="1"/>
    </xf>
    <xf numFmtId="0" fontId="18" fillId="0" borderId="80" applyAlignment="1" pivotButton="0" quotePrefix="0" xfId="0">
      <alignment horizontal="center" vertical="top" wrapText="1"/>
    </xf>
    <xf numFmtId="0" fontId="31" fillId="0" borderId="80" applyAlignment="1" pivotButton="0" quotePrefix="0" xfId="0">
      <alignment horizontal="left" vertical="center"/>
    </xf>
    <xf numFmtId="0" fontId="31" fillId="0" borderId="80" applyAlignment="1" pivotButton="0" quotePrefix="0" xfId="0">
      <alignment horizontal="center" vertical="center"/>
    </xf>
    <xf numFmtId="0" fontId="31" fillId="0" borderId="80" applyAlignment="1" pivotButton="0" quotePrefix="0" xfId="0">
      <alignment horizontal="left" vertical="center" wrapText="1"/>
    </xf>
    <xf numFmtId="0" fontId="6" fillId="0" borderId="80" applyAlignment="1" pivotButton="0" quotePrefix="0" xfId="0">
      <alignment vertical="center" wrapText="1"/>
    </xf>
    <xf numFmtId="0" fontId="31" fillId="17" borderId="80" applyAlignment="1" pivotButton="0" quotePrefix="0" xfId="0">
      <alignment horizontal="right"/>
    </xf>
    <xf numFmtId="0" fontId="31" fillId="15" borderId="80" applyAlignment="1" pivotButton="0" quotePrefix="0" xfId="0">
      <alignment horizontal="right"/>
    </xf>
    <xf numFmtId="0" fontId="31" fillId="0" borderId="80" applyAlignment="1" pivotButton="0" quotePrefix="0" xfId="0">
      <alignment horizontal="right"/>
    </xf>
    <xf numFmtId="0" fontId="31" fillId="0" borderId="80" pivotButton="0" quotePrefix="0" xfId="0"/>
    <xf numFmtId="0" fontId="31" fillId="15" borderId="80" pivotButton="0" quotePrefix="0" xfId="0"/>
    <xf numFmtId="0" fontId="21" fillId="4" borderId="80" applyAlignment="1" pivotButton="0" quotePrefix="0" xfId="0">
      <alignment horizontal="center" wrapText="1"/>
    </xf>
    <xf numFmtId="0" fontId="27" fillId="4" borderId="80" applyAlignment="1" pivotButton="0" quotePrefix="0" xfId="0">
      <alignment horizontal="center" wrapText="1"/>
    </xf>
    <xf numFmtId="0" fontId="21" fillId="14" borderId="80" applyAlignment="1" pivotButton="0" quotePrefix="0" xfId="0">
      <alignment horizontal="center" wrapText="1"/>
    </xf>
    <xf numFmtId="0" fontId="31" fillId="18" borderId="80" applyAlignment="1" pivotButton="0" quotePrefix="0" xfId="0">
      <alignment horizontal="left"/>
    </xf>
    <xf numFmtId="0" fontId="31" fillId="19" borderId="80" applyAlignment="1" pivotButton="0" quotePrefix="0" xfId="0">
      <alignment horizontal="right"/>
    </xf>
    <xf numFmtId="9" fontId="32" fillId="20" borderId="80" applyAlignment="1" pivotButton="0" quotePrefix="0" xfId="0">
      <alignment horizontal="right"/>
    </xf>
    <xf numFmtId="10" fontId="32" fillId="20" borderId="80" applyAlignment="1" pivotButton="0" quotePrefix="0" xfId="0">
      <alignment horizontal="right"/>
    </xf>
    <xf numFmtId="0" fontId="31" fillId="17" borderId="80" applyAlignment="1" pivotButton="0" quotePrefix="0" xfId="0">
      <alignment horizontal="left"/>
    </xf>
    <xf numFmtId="0" fontId="31" fillId="20" borderId="80" applyAlignment="1" pivotButton="0" quotePrefix="0" xfId="0">
      <alignment horizontal="right"/>
    </xf>
    <xf numFmtId="0" fontId="31" fillId="21" borderId="80" applyAlignment="1" pivotButton="0" quotePrefix="0" xfId="0">
      <alignment horizontal="left"/>
    </xf>
    <xf numFmtId="0" fontId="31" fillId="21" borderId="80" applyAlignment="1" pivotButton="0" quotePrefix="0" xfId="0">
      <alignment horizontal="right"/>
    </xf>
    <xf numFmtId="0" fontId="32" fillId="21" borderId="80" pivotButton="0" quotePrefix="0" xfId="0"/>
    <xf numFmtId="0" fontId="33" fillId="0" borderId="80" applyAlignment="1" pivotButton="0" quotePrefix="0" xfId="0">
      <alignment horizontal="left"/>
    </xf>
    <xf numFmtId="0" fontId="6" fillId="0" borderId="80" pivotButton="0" quotePrefix="0" xfId="0"/>
    <xf numFmtId="0" fontId="6" fillId="0" borderId="80" applyAlignment="1" pivotButton="0" quotePrefix="0" xfId="0">
      <alignment horizontal="right"/>
    </xf>
    <xf numFmtId="0" fontId="33" fillId="0" borderId="80" pivotButton="0" quotePrefix="0" xfId="0"/>
    <xf numFmtId="0" fontId="31" fillId="0" borderId="80" applyAlignment="1" pivotButton="0" quotePrefix="0" xfId="0">
      <alignment horizontal="center" vertical="center" wrapText="1"/>
    </xf>
    <xf numFmtId="0" fontId="1" fillId="0" borderId="62" pivotButton="0" quotePrefix="0" xfId="2"/>
    <xf numFmtId="0" fontId="1" fillId="0" borderId="62" applyAlignment="1" pivotButton="0" quotePrefix="0" xfId="2">
      <alignment horizontal="center"/>
    </xf>
    <xf numFmtId="0" fontId="1" fillId="0" borderId="62" applyAlignment="1" pivotButton="0" quotePrefix="0" xfId="2">
      <alignment horizontal="center" wrapText="1"/>
    </xf>
    <xf numFmtId="0" fontId="1" fillId="0" borderId="62" applyAlignment="1" pivotButton="0" quotePrefix="0" xfId="2">
      <alignment wrapText="1"/>
    </xf>
    <xf numFmtId="0" fontId="1" fillId="0" borderId="62" applyAlignment="1" pivotButton="0" quotePrefix="0" xfId="2">
      <alignment horizontal="center" vertical="top" wrapText="1"/>
    </xf>
    <xf numFmtId="10" fontId="1" fillId="3" borderId="80" applyAlignment="1" pivotButton="0" quotePrefix="0" xfId="2">
      <alignment horizontal="center" wrapText="1"/>
    </xf>
    <xf numFmtId="0" fontId="1" fillId="3" borderId="80" applyAlignment="1" pivotButton="0" quotePrefix="0" xfId="2">
      <alignment wrapText="1"/>
    </xf>
    <xf numFmtId="0" fontId="2" fillId="3" borderId="80" applyAlignment="1" pivotButton="0" quotePrefix="0" xfId="2">
      <alignment horizontal="center" vertical="top" wrapText="1"/>
    </xf>
    <xf numFmtId="0" fontId="1" fillId="3" borderId="80" applyAlignment="1" pivotButton="0" quotePrefix="0" xfId="2">
      <alignment horizontal="center" vertical="top" wrapText="1"/>
    </xf>
    <xf numFmtId="0" fontId="1" fillId="9" borderId="11" applyAlignment="1" pivotButton="0" quotePrefix="0" xfId="2">
      <alignment horizontal="center"/>
    </xf>
    <xf numFmtId="0" fontId="2" fillId="9" borderId="11" applyAlignment="1" pivotButton="0" quotePrefix="0" xfId="2">
      <alignment horizontal="center"/>
    </xf>
    <xf numFmtId="0" fontId="1" fillId="3" borderId="80" applyAlignment="1" pivotButton="0" quotePrefix="0" xfId="2">
      <alignment horizontal="center" vertical="center" wrapText="1"/>
    </xf>
    <xf numFmtId="0" fontId="1" fillId="3" borderId="80" applyAlignment="1" pivotButton="0" quotePrefix="0" xfId="2">
      <alignment vertical="center" wrapText="1"/>
    </xf>
    <xf numFmtId="0" fontId="1" fillId="10" borderId="82" applyAlignment="1" pivotButton="0" quotePrefix="0" xfId="2">
      <alignment horizontal="center" vertical="center"/>
    </xf>
    <xf numFmtId="0" fontId="1" fillId="10" borderId="75" applyAlignment="1" pivotButton="0" quotePrefix="0" xfId="2">
      <alignment horizontal="center" vertical="center"/>
    </xf>
    <xf numFmtId="0" fontId="2" fillId="10" borderId="67" applyAlignment="1" pivotButton="0" quotePrefix="0" xfId="2">
      <alignment horizontal="center"/>
    </xf>
    <xf numFmtId="0" fontId="2" fillId="10" borderId="75" applyAlignment="1" pivotButton="0" quotePrefix="0" xfId="2">
      <alignment horizontal="center" wrapText="1"/>
    </xf>
    <xf numFmtId="0" fontId="2" fillId="10" borderId="74" applyAlignment="1" pivotButton="0" quotePrefix="0" xfId="2">
      <alignment horizontal="center" wrapText="1"/>
    </xf>
    <xf numFmtId="0" fontId="2" fillId="10" borderId="74" applyAlignment="1" pivotButton="0" quotePrefix="0" xfId="2">
      <alignment wrapText="1"/>
    </xf>
    <xf numFmtId="0" fontId="2" fillId="10" borderId="67" applyAlignment="1" pivotButton="0" quotePrefix="0" xfId="2">
      <alignment horizontal="center" vertical="top" wrapText="1"/>
    </xf>
    <xf numFmtId="0" fontId="1" fillId="3" borderId="11" applyAlignment="1" pivotButton="0" quotePrefix="0" xfId="2">
      <alignment horizontal="center" vertical="center"/>
    </xf>
    <xf numFmtId="0" fontId="6" fillId="3" borderId="82" applyAlignment="1" pivotButton="0" quotePrefix="0" xfId="2">
      <alignment horizontal="center" vertical="center" wrapText="1"/>
    </xf>
    <xf numFmtId="0" fontId="6" fillId="3" borderId="82" applyAlignment="1" pivotButton="0" quotePrefix="0" xfId="2">
      <alignment horizontal="left" wrapText="1"/>
    </xf>
    <xf numFmtId="0" fontId="6" fillId="6" borderId="82" applyAlignment="1" pivotButton="0" quotePrefix="0" xfId="2">
      <alignment horizontal="center" vertical="center" wrapText="1"/>
    </xf>
    <xf numFmtId="0" fontId="14" fillId="3" borderId="11" applyAlignment="1" pivotButton="0" quotePrefix="0" xfId="2">
      <alignment horizontal="center" vertical="center"/>
    </xf>
    <xf numFmtId="0" fontId="6" fillId="3" borderId="82" applyAlignment="1" pivotButton="0" quotePrefix="0" xfId="2">
      <alignment horizontal="center" wrapText="1"/>
    </xf>
    <xf numFmtId="0" fontId="6" fillId="3" borderId="80" applyAlignment="1" pivotButton="0" quotePrefix="0" xfId="2">
      <alignment horizontal="center" vertical="center" wrapText="1"/>
    </xf>
    <xf numFmtId="0" fontId="6" fillId="3" borderId="65" applyAlignment="1" pivotButton="0" quotePrefix="0" xfId="2">
      <alignment horizontal="center" wrapText="1"/>
    </xf>
    <xf numFmtId="0" fontId="6" fillId="3" borderId="65" applyAlignment="1" pivotButton="0" quotePrefix="0" xfId="2">
      <alignment horizontal="left" wrapText="1"/>
    </xf>
    <xf numFmtId="0" fontId="6" fillId="6" borderId="75" applyAlignment="1" pivotButton="0" quotePrefix="0" xfId="2">
      <alignment horizontal="center" vertical="center" wrapText="1"/>
    </xf>
    <xf numFmtId="0" fontId="6" fillId="3" borderId="75" applyAlignment="1" pivotButton="0" quotePrefix="0" xfId="2">
      <alignment horizontal="left" wrapText="1"/>
    </xf>
    <xf numFmtId="0" fontId="6" fillId="3" borderId="75" applyAlignment="1" pivotButton="0" quotePrefix="0" xfId="2">
      <alignment horizontal="center" vertical="center" wrapText="1"/>
    </xf>
    <xf numFmtId="0" fontId="11" fillId="5" borderId="82" applyAlignment="1" pivotButton="0" quotePrefix="0" xfId="2">
      <alignment horizontal="left" vertical="center" wrapText="1"/>
    </xf>
    <xf numFmtId="0" fontId="1" fillId="0" borderId="11" pivotButton="0" quotePrefix="0" xfId="2"/>
    <xf numFmtId="0" fontId="1" fillId="16" borderId="62" pivotButton="0" quotePrefix="0" xfId="2"/>
    <xf numFmtId="0" fontId="1" fillId="16" borderId="11" applyAlignment="1" pivotButton="0" quotePrefix="0" xfId="2">
      <alignment horizontal="center" vertical="center"/>
    </xf>
    <xf numFmtId="0" fontId="6" fillId="16" borderId="82" applyAlignment="1" pivotButton="0" quotePrefix="0" xfId="2">
      <alignment horizontal="center" vertical="center" wrapText="1"/>
    </xf>
    <xf numFmtId="0" fontId="6" fillId="16" borderId="82" applyAlignment="1" pivotButton="0" quotePrefix="0" xfId="2">
      <alignment horizontal="left" wrapText="1"/>
    </xf>
    <xf numFmtId="0" fontId="6" fillId="16" borderId="64" applyAlignment="1" pivotButton="0" quotePrefix="0" xfId="2">
      <alignment horizontal="center" vertical="center" wrapText="1"/>
    </xf>
    <xf numFmtId="0" fontId="13" fillId="3" borderId="76" applyAlignment="1" pivotButton="0" quotePrefix="0" xfId="2">
      <alignment horizontal="center" vertical="center" wrapText="1"/>
    </xf>
    <xf numFmtId="0" fontId="6" fillId="6" borderId="64" applyAlignment="1" pivotButton="0" quotePrefix="0" xfId="2">
      <alignment horizontal="center" vertical="center" wrapText="1"/>
    </xf>
    <xf numFmtId="0" fontId="13" fillId="3" borderId="82" applyAlignment="1" pivotButton="0" quotePrefix="0" xfId="2">
      <alignment horizontal="center" vertical="center" wrapText="1"/>
    </xf>
    <xf numFmtId="0" fontId="13" fillId="3" borderId="80" applyAlignment="1" pivotButton="0" quotePrefix="0" xfId="2">
      <alignment horizontal="center" vertical="center" wrapText="1"/>
    </xf>
    <xf numFmtId="0" fontId="6" fillId="16" borderId="75" applyAlignment="1" pivotButton="0" quotePrefix="0" xfId="2">
      <alignment horizontal="center" vertical="center" wrapText="1"/>
    </xf>
    <xf numFmtId="0" fontId="1" fillId="0" borderId="11" applyAlignment="1" pivotButton="0" quotePrefix="0" xfId="2">
      <alignment horizontal="center" vertical="center"/>
    </xf>
    <xf numFmtId="0" fontId="6" fillId="3" borderId="82" applyAlignment="1" pivotButton="0" quotePrefix="0" xfId="2">
      <alignment horizontal="left" vertical="center" wrapText="1"/>
    </xf>
    <xf numFmtId="0" fontId="6" fillId="3" borderId="82" applyAlignment="1" pivotButton="0" quotePrefix="0" xfId="2">
      <alignment horizontal="left" vertical="top" wrapText="1"/>
    </xf>
    <xf numFmtId="0" fontId="6" fillId="3" borderId="80" applyAlignment="1" pivotButton="0" quotePrefix="0" xfId="2">
      <alignment horizontal="left" wrapText="1"/>
    </xf>
    <xf numFmtId="0" fontId="12" fillId="5" borderId="11" applyAlignment="1" pivotButton="0" quotePrefix="0" xfId="2">
      <alignment horizontal="left" vertical="center" wrapText="1"/>
    </xf>
    <xf numFmtId="0" fontId="10" fillId="7" borderId="76" pivotButton="0" quotePrefix="0" xfId="2"/>
    <xf numFmtId="0" fontId="10" fillId="7" borderId="80" applyAlignment="1" pivotButton="0" quotePrefix="0" xfId="2">
      <alignment horizontal="center" vertical="center"/>
    </xf>
    <xf numFmtId="0" fontId="18" fillId="22" borderId="80" applyAlignment="1" pivotButton="0" quotePrefix="0" xfId="0">
      <alignment horizontal="left" vertical="top" wrapText="1"/>
    </xf>
    <xf numFmtId="0" fontId="18" fillId="22" borderId="80" applyAlignment="1" pivotButton="0" quotePrefix="0" xfId="0">
      <alignment horizontal="center" vertical="top" wrapText="1"/>
    </xf>
    <xf numFmtId="0" fontId="0" fillId="22" borderId="0" applyAlignment="1" pivotButton="0" quotePrefix="0" xfId="0">
      <alignment vertical="top"/>
    </xf>
    <xf numFmtId="0" fontId="39" fillId="22" borderId="75" applyAlignment="1" pivotButton="0" quotePrefix="0" xfId="0">
      <alignment horizontal="center" vertical="top" wrapText="1"/>
    </xf>
    <xf numFmtId="0" fontId="40" fillId="0" borderId="83" applyAlignment="1" pivotButton="0" quotePrefix="0" xfId="0">
      <alignment horizontal="left" vertical="center"/>
    </xf>
    <xf numFmtId="167" fontId="40" fillId="0" borderId="83" applyAlignment="1" pivotButton="0" quotePrefix="0" xfId="0">
      <alignment horizontal="left"/>
    </xf>
    <xf numFmtId="0" fontId="40" fillId="0" borderId="83" applyAlignment="1" pivotButton="0" quotePrefix="0" xfId="0">
      <alignment horizontal="center" vertical="center"/>
    </xf>
    <xf numFmtId="0" fontId="40" fillId="15" borderId="83" applyAlignment="1" pivotButton="0" quotePrefix="0" xfId="0">
      <alignment horizontal="left" vertical="center"/>
    </xf>
    <xf numFmtId="167" fontId="40" fillId="15" borderId="83" applyAlignment="1" pivotButton="0" quotePrefix="0" xfId="0">
      <alignment horizontal="left"/>
    </xf>
    <xf numFmtId="0" fontId="40" fillId="15" borderId="84" applyAlignment="1" pivotButton="0" quotePrefix="0" xfId="0">
      <alignment horizontal="left" vertical="center"/>
    </xf>
    <xf numFmtId="167" fontId="40" fillId="15" borderId="85" applyAlignment="1" pivotButton="0" quotePrefix="0" xfId="0">
      <alignment horizontal="left"/>
    </xf>
    <xf numFmtId="167" fontId="40" fillId="15" borderId="0" applyAlignment="1" pivotButton="0" quotePrefix="0" xfId="0">
      <alignment horizontal="left"/>
    </xf>
    <xf numFmtId="167" fontId="40" fillId="15" borderId="87" applyAlignment="1" pivotButton="0" quotePrefix="0" xfId="0">
      <alignment horizontal="left"/>
    </xf>
    <xf numFmtId="167" fontId="40" fillId="15" borderId="88" applyAlignment="1" pivotButton="0" quotePrefix="0" xfId="0">
      <alignment horizontal="left"/>
    </xf>
    <xf numFmtId="0" fontId="41" fillId="0" borderId="83" pivotButton="0" quotePrefix="0" xfId="0"/>
    <xf numFmtId="167" fontId="41" fillId="0" borderId="88" applyAlignment="1" pivotButton="0" quotePrefix="0" xfId="0">
      <alignment horizontal="left"/>
    </xf>
    <xf numFmtId="167" fontId="41" fillId="0" borderId="83" applyAlignment="1" pivotButton="0" quotePrefix="0" xfId="0">
      <alignment horizontal="left"/>
    </xf>
    <xf numFmtId="0" fontId="18" fillId="23" borderId="80" applyAlignment="1" pivotButton="0" quotePrefix="0" xfId="0">
      <alignment horizontal="left" vertical="top" wrapText="1"/>
    </xf>
    <xf numFmtId="0" fontId="18" fillId="23" borderId="80" applyAlignment="1" pivotButton="0" quotePrefix="0" xfId="0">
      <alignment horizontal="center" vertical="top" wrapText="1"/>
    </xf>
    <xf numFmtId="0" fontId="40" fillId="0" borderId="95" applyAlignment="1" pivotButton="0" quotePrefix="0" xfId="0">
      <alignment vertical="center"/>
    </xf>
    <xf numFmtId="0" fontId="40" fillId="0" borderId="83" applyAlignment="1" pivotButton="0" quotePrefix="0" xfId="0">
      <alignment horizontal="left" vertical="center" wrapText="1"/>
    </xf>
    <xf numFmtId="0" fontId="40" fillId="0" borderId="95" applyAlignment="1" pivotButton="0" quotePrefix="0" xfId="0">
      <alignment vertical="center" wrapText="1"/>
    </xf>
    <xf numFmtId="0" fontId="40" fillId="0" borderId="83" applyAlignment="1" pivotButton="0" quotePrefix="0" xfId="0">
      <alignment vertical="center" wrapText="1"/>
    </xf>
    <xf numFmtId="0" fontId="40" fillId="0" borderId="83" applyAlignment="1" pivotButton="0" quotePrefix="0" xfId="0">
      <alignment horizontal="center" vertical="center" wrapText="1"/>
    </xf>
    <xf numFmtId="0" fontId="40" fillId="0" borderId="87" applyAlignment="1" pivotButton="0" quotePrefix="0" xfId="0">
      <alignment vertical="center"/>
    </xf>
    <xf numFmtId="0" fontId="40" fillId="0" borderId="95" applyAlignment="1" pivotButton="0" quotePrefix="0" xfId="0">
      <alignment horizontal="left" vertical="center"/>
    </xf>
    <xf numFmtId="0" fontId="41" fillId="0" borderId="83" applyAlignment="1" pivotButton="0" quotePrefix="0" xfId="0">
      <alignment vertical="center"/>
    </xf>
    <xf numFmtId="0" fontId="40" fillId="0" borderId="87" applyAlignment="1" pivotButton="0" quotePrefix="0" xfId="0">
      <alignment horizontal="left" vertical="center" wrapText="1"/>
    </xf>
    <xf numFmtId="0" fontId="41" fillId="0" borderId="83" applyAlignment="1" pivotButton="0" quotePrefix="0" xfId="0">
      <alignment vertical="center" wrapText="1"/>
    </xf>
    <xf numFmtId="0" fontId="11" fillId="5" borderId="103" applyAlignment="1" pivotButton="0" quotePrefix="0" xfId="2">
      <alignment horizontal="center" vertical="center" wrapText="1"/>
    </xf>
    <xf numFmtId="0" fontId="6" fillId="3" borderId="94" applyAlignment="1" pivotButton="0" quotePrefix="0" xfId="2">
      <alignment horizontal="center" vertical="center" wrapText="1"/>
    </xf>
    <xf numFmtId="0" fontId="6" fillId="6" borderId="94" applyAlignment="1" pivotButton="0" quotePrefix="0" xfId="2">
      <alignment horizontal="center" vertical="center" wrapText="1"/>
    </xf>
    <xf numFmtId="0" fontId="6" fillId="3" borderId="94" applyAlignment="1" pivotButton="0" quotePrefix="0" xfId="2">
      <alignment horizontal="center" wrapText="1"/>
    </xf>
    <xf numFmtId="0" fontId="40" fillId="0" borderId="84" applyAlignment="1" pivotButton="0" quotePrefix="0" xfId="0">
      <alignment horizontal="center" vertical="top"/>
    </xf>
    <xf numFmtId="0" fontId="40" fillId="0" borderId="86" applyAlignment="1" pivotButton="0" quotePrefix="0" xfId="0">
      <alignment horizontal="left" vertical="top"/>
    </xf>
    <xf numFmtId="0" fontId="18" fillId="24" borderId="7" applyAlignment="1" pivotButton="0" quotePrefix="0" xfId="0">
      <alignment horizontal="left" vertical="top" wrapText="1"/>
    </xf>
    <xf numFmtId="0" fontId="18" fillId="24" borderId="15" applyAlignment="1" pivotButton="0" quotePrefix="0" xfId="0">
      <alignment horizontal="left" vertical="top" wrapText="1"/>
    </xf>
    <xf numFmtId="0" fontId="18" fillId="24" borderId="15" applyAlignment="1" pivotButton="0" quotePrefix="0" xfId="0">
      <alignment horizontal="center" vertical="top" wrapText="1"/>
    </xf>
    <xf numFmtId="0" fontId="0" fillId="24" borderId="0" applyAlignment="1" pivotButton="0" quotePrefix="0" xfId="0">
      <alignment vertical="top"/>
    </xf>
    <xf numFmtId="0" fontId="18" fillId="24" borderId="4" applyAlignment="1" pivotButton="0" quotePrefix="0" xfId="0">
      <alignment horizontal="center" vertical="top" wrapText="1"/>
    </xf>
    <xf numFmtId="0" fontId="18" fillId="0" borderId="107" applyAlignment="1" pivotButton="0" quotePrefix="0" xfId="0">
      <alignment horizontal="left" vertical="top" wrapText="1"/>
    </xf>
    <xf numFmtId="0" fontId="18" fillId="6" borderId="107" applyAlignment="1" pivotButton="0" quotePrefix="0" xfId="0">
      <alignment horizontal="left" vertical="top" wrapText="1"/>
    </xf>
    <xf numFmtId="0" fontId="18" fillId="0" borderId="102" applyAlignment="1" pivotButton="0" quotePrefix="0" xfId="0">
      <alignment horizontal="left" vertical="top" wrapText="1"/>
    </xf>
    <xf numFmtId="0" fontId="18" fillId="0" borderId="108" applyAlignment="1" pivotButton="0" quotePrefix="0" xfId="0">
      <alignment horizontal="left" vertical="top" wrapText="1"/>
    </xf>
    <xf numFmtId="0" fontId="18" fillId="6" borderId="108" applyAlignment="1" pivotButton="0" quotePrefix="0" xfId="0">
      <alignment horizontal="left" vertical="top" wrapText="1"/>
    </xf>
    <xf numFmtId="0" fontId="18" fillId="0" borderId="108" applyAlignment="1" pivotButton="0" quotePrefix="0" xfId="0">
      <alignment horizontal="center" vertical="top" wrapText="1"/>
    </xf>
    <xf numFmtId="166" fontId="40" fillId="0" borderId="83" applyAlignment="1" pivotButton="0" quotePrefix="0" xfId="0">
      <alignment horizontal="center" vertical="center"/>
    </xf>
    <xf numFmtId="0" fontId="18" fillId="22" borderId="96" applyAlignment="1" pivotButton="0" quotePrefix="0" xfId="0">
      <alignment horizontal="left" vertical="top" wrapText="1"/>
    </xf>
    <xf numFmtId="0" fontId="18" fillId="22" borderId="96" applyAlignment="1" pivotButton="0" quotePrefix="0" xfId="0">
      <alignment horizontal="center" vertical="top" wrapText="1"/>
    </xf>
    <xf numFmtId="0" fontId="18" fillId="6" borderId="112" applyAlignment="1" pivotButton="0" quotePrefix="0" xfId="0">
      <alignment horizontal="center" vertical="top" wrapText="1"/>
    </xf>
    <xf numFmtId="0" fontId="31" fillId="25" borderId="80" applyAlignment="1" pivotButton="0" quotePrefix="0" xfId="0">
      <alignment horizontal="right"/>
    </xf>
    <xf numFmtId="0" fontId="31" fillId="25" borderId="80" pivotButton="0" quotePrefix="0" xfId="0"/>
    <xf numFmtId="0" fontId="6" fillId="25" borderId="80" pivotButton="0" quotePrefix="0" xfId="0"/>
    <xf numFmtId="0" fontId="42" fillId="22" borderId="80" applyAlignment="1" pivotButton="0" quotePrefix="0" xfId="0">
      <alignment horizontal="center" vertical="top" wrapText="1"/>
    </xf>
    <xf numFmtId="0" fontId="4" fillId="0" borderId="107" applyAlignment="1" pivotButton="0" quotePrefix="0" xfId="0">
      <alignment horizontal="left" vertical="top"/>
    </xf>
    <xf numFmtId="0" fontId="40" fillId="0" borderId="93" applyAlignment="1" pivotButton="0" quotePrefix="0" xfId="0">
      <alignment horizontal="left" vertical="top"/>
    </xf>
    <xf numFmtId="0" fontId="41" fillId="0" borderId="93" applyAlignment="1" pivotButton="0" quotePrefix="0" xfId="0">
      <alignment horizontal="center"/>
    </xf>
    <xf numFmtId="0" fontId="40" fillId="15" borderId="83" applyAlignment="1" pivotButton="0" quotePrefix="0" xfId="0">
      <alignment horizontal="left" vertical="center" wrapText="1"/>
    </xf>
    <xf numFmtId="0" fontId="40" fillId="15" borderId="84" applyAlignment="1" pivotButton="0" quotePrefix="0" xfId="0">
      <alignment horizontal="left" vertical="center" wrapText="1"/>
    </xf>
    <xf numFmtId="0" fontId="41" fillId="0" borderId="83" applyAlignment="1" pivotButton="0" quotePrefix="0" xfId="0">
      <alignment wrapText="1"/>
    </xf>
    <xf numFmtId="0" fontId="41" fillId="0" borderId="83" applyAlignment="1" pivotButton="0" quotePrefix="0" xfId="0">
      <alignment horizontal="left" wrapText="1"/>
    </xf>
    <xf numFmtId="0" fontId="41" fillId="15" borderId="83" applyAlignment="1" pivotButton="0" quotePrefix="0" xfId="0">
      <alignment horizontal="left" wrapText="1"/>
    </xf>
    <xf numFmtId="0" fontId="40" fillId="0" borderId="83" applyAlignment="1" pivotButton="0" quotePrefix="0" xfId="0">
      <alignment horizontal="left" wrapText="1"/>
    </xf>
    <xf numFmtId="0" fontId="40" fillId="0" borderId="86" applyAlignment="1" pivotButton="0" quotePrefix="0" xfId="0">
      <alignment horizontal="left" wrapText="1"/>
    </xf>
    <xf numFmtId="0" fontId="0" fillId="0" borderId="92" applyAlignment="1" pivotButton="0" quotePrefix="0" xfId="0">
      <alignment horizontal="center" vertical="center" wrapText="1" shrinkToFit="1"/>
    </xf>
    <xf numFmtId="0" fontId="40" fillId="0" borderId="115" applyAlignment="1" pivotButton="0" quotePrefix="0" xfId="0">
      <alignment horizontal="left" wrapText="1"/>
    </xf>
    <xf numFmtId="0" fontId="0" fillId="0" borderId="107" applyAlignment="1" pivotButton="0" quotePrefix="0" xfId="0">
      <alignment horizontal="center" vertical="center" wrapText="1" shrinkToFit="1"/>
    </xf>
    <xf numFmtId="0" fontId="40" fillId="0" borderId="116" applyAlignment="1" pivotButton="0" quotePrefix="0" xfId="0">
      <alignment horizontal="left" wrapText="1"/>
    </xf>
    <xf numFmtId="0" fontId="41" fillId="0" borderId="115" applyAlignment="1" pivotButton="0" quotePrefix="0" xfId="0">
      <alignment horizontal="left" wrapText="1"/>
    </xf>
    <xf numFmtId="0" fontId="0" fillId="0" borderId="93" applyAlignment="1" pivotButton="0" quotePrefix="0" xfId="0">
      <alignment horizontal="center" vertical="center" wrapText="1" shrinkToFit="1"/>
    </xf>
    <xf numFmtId="0" fontId="18" fillId="3" borderId="102" applyAlignment="1" pivotButton="0" quotePrefix="0" xfId="0">
      <alignment horizontal="left" vertical="top" wrapText="1"/>
    </xf>
    <xf numFmtId="0" fontId="18" fillId="3" borderId="108" applyAlignment="1" pivotButton="0" quotePrefix="0" xfId="0">
      <alignment horizontal="left" vertical="top" wrapText="1"/>
    </xf>
    <xf numFmtId="0" fontId="18" fillId="3" borderId="108" applyAlignment="1" pivotButton="0" quotePrefix="0" xfId="0">
      <alignment horizontal="center" vertical="top" wrapText="1"/>
    </xf>
    <xf numFmtId="0" fontId="18" fillId="0" borderId="107" applyAlignment="1" pivotButton="0" quotePrefix="0" xfId="0">
      <alignment horizontal="center" vertical="top" wrapText="1"/>
    </xf>
    <xf numFmtId="0" fontId="40" fillId="0" borderId="84" applyAlignment="1" pivotButton="0" quotePrefix="0" xfId="0">
      <alignment horizontal="center" vertical="top" wrapText="1"/>
    </xf>
    <xf numFmtId="0" fontId="18" fillId="24" borderId="75" applyAlignment="1" pivotButton="0" quotePrefix="0" xfId="0">
      <alignment horizontal="center" vertical="top" wrapText="1"/>
    </xf>
    <xf numFmtId="0" fontId="0" fillId="24" borderId="0" pivotButton="0" quotePrefix="0" xfId="0"/>
    <xf numFmtId="0" fontId="40" fillId="24" borderId="86" applyAlignment="1" pivotButton="0" quotePrefix="0" xfId="0">
      <alignment horizontal="left" vertical="top" wrapText="1"/>
    </xf>
    <xf numFmtId="0" fontId="40" fillId="24" borderId="84" applyAlignment="1" pivotButton="0" quotePrefix="0" xfId="0">
      <alignment horizontal="left" vertical="top" wrapText="1"/>
    </xf>
    <xf numFmtId="0" fontId="40" fillId="24" borderId="84" applyAlignment="1" pivotButton="0" quotePrefix="0" xfId="0">
      <alignment horizontal="center" vertical="top" wrapText="1"/>
    </xf>
    <xf numFmtId="0" fontId="6" fillId="24" borderId="75" applyAlignment="1" pivotButton="0" quotePrefix="0" xfId="2">
      <alignment horizontal="center" vertical="center" wrapText="1"/>
    </xf>
    <xf numFmtId="0" fontId="6" fillId="24" borderId="82" applyAlignment="1" pivotButton="0" quotePrefix="0" xfId="2">
      <alignment horizontal="left" wrapText="1"/>
    </xf>
    <xf numFmtId="0" fontId="6" fillId="24" borderId="82" applyAlignment="1" pivotButton="0" quotePrefix="0" xfId="2">
      <alignment horizontal="center" vertical="center" wrapText="1"/>
    </xf>
    <xf numFmtId="0" fontId="1" fillId="24" borderId="11" applyAlignment="1" pivotButton="0" quotePrefix="0" xfId="2">
      <alignment horizontal="center" vertical="center"/>
    </xf>
    <xf numFmtId="0" fontId="1" fillId="24" borderId="62" pivotButton="0" quotePrefix="0" xfId="2"/>
    <xf numFmtId="0" fontId="40" fillId="0" borderId="95" applyAlignment="1" pivotButton="0" quotePrefix="0" xfId="0">
      <alignment horizontal="left" vertical="center" wrapText="1"/>
    </xf>
    <xf numFmtId="0" fontId="0" fillId="16" borderId="0" pivotButton="0" quotePrefix="0" xfId="0"/>
    <xf numFmtId="0" fontId="11" fillId="16" borderId="12" applyAlignment="1" pivotButton="0" quotePrefix="0" xfId="2">
      <alignment horizontal="center" vertical="center" wrapText="1"/>
    </xf>
    <xf numFmtId="0" fontId="6" fillId="16" borderId="12" applyAlignment="1" pivotButton="0" quotePrefix="0" xfId="2">
      <alignment horizontal="center" wrapText="1"/>
    </xf>
    <xf numFmtId="0" fontId="6" fillId="16" borderId="64" applyAlignment="1" pivotButton="0" quotePrefix="0" xfId="2">
      <alignment horizontal="left" wrapText="1"/>
    </xf>
    <xf numFmtId="0" fontId="6" fillId="16" borderId="12" applyAlignment="1" pivotButton="0" quotePrefix="0" xfId="2">
      <alignment horizontal="left" wrapText="1"/>
    </xf>
    <xf numFmtId="0" fontId="6" fillId="16" borderId="94" applyAlignment="1" pivotButton="0" quotePrefix="0" xfId="2">
      <alignment horizontal="center" vertical="center" wrapText="1"/>
    </xf>
    <xf numFmtId="0" fontId="5" fillId="16" borderId="93" applyAlignment="1" pivotButton="0" quotePrefix="0" xfId="2">
      <alignment horizontal="center" vertical="center" wrapText="1"/>
    </xf>
    <xf numFmtId="0" fontId="6" fillId="16" borderId="102" applyAlignment="1" pivotButton="0" quotePrefix="0" xfId="2">
      <alignment horizontal="left" wrapText="1"/>
    </xf>
    <xf numFmtId="0" fontId="6" fillId="16" borderId="102" applyAlignment="1" pivotButton="0" quotePrefix="0" xfId="2">
      <alignment horizontal="center" vertical="center" wrapText="1"/>
    </xf>
    <xf numFmtId="0" fontId="11" fillId="16" borderId="117" applyAlignment="1" pivotButton="0" quotePrefix="0" xfId="2">
      <alignment horizontal="center" vertical="center" wrapText="1"/>
    </xf>
    <xf numFmtId="0" fontId="6" fillId="16" borderId="107" applyAlignment="1" pivotButton="0" quotePrefix="0" xfId="2">
      <alignment horizontal="left" wrapText="1"/>
    </xf>
    <xf numFmtId="0" fontId="6" fillId="16" borderId="107" applyAlignment="1" pivotButton="0" quotePrefix="0" xfId="2">
      <alignment horizontal="center" wrapText="1"/>
    </xf>
    <xf numFmtId="0" fontId="6" fillId="16" borderId="107" applyAlignment="1" pivotButton="0" quotePrefix="0" xfId="2">
      <alignment horizontal="center" vertical="center" wrapText="1"/>
    </xf>
    <xf numFmtId="0" fontId="1" fillId="16" borderId="118" applyAlignment="1" pivotButton="0" quotePrefix="0" xfId="2">
      <alignment horizontal="center" vertical="center"/>
    </xf>
    <xf numFmtId="0" fontId="11" fillId="16" borderId="107" applyAlignment="1" pivotButton="0" quotePrefix="0" xfId="2">
      <alignment horizontal="center" vertical="center" wrapText="1"/>
    </xf>
    <xf numFmtId="0" fontId="43" fillId="16" borderId="107" applyAlignment="1" pivotButton="0" quotePrefix="0" xfId="2">
      <alignment horizontal="center" vertical="center" wrapText="1"/>
    </xf>
    <xf numFmtId="0" fontId="6" fillId="16" borderId="92" applyAlignment="1" pivotButton="0" quotePrefix="0" xfId="2">
      <alignment horizontal="left" wrapText="1"/>
    </xf>
    <xf numFmtId="0" fontId="6" fillId="16" borderId="108" applyAlignment="1" pivotButton="0" quotePrefix="0" xfId="2">
      <alignment horizontal="center" vertical="center" wrapText="1"/>
    </xf>
    <xf numFmtId="0" fontId="6" fillId="16" borderId="93" applyAlignment="1" pivotButton="0" quotePrefix="0" xfId="2">
      <alignment horizontal="center" wrapText="1"/>
    </xf>
    <xf numFmtId="0" fontId="6" fillId="16" borderId="93" applyAlignment="1" pivotButton="0" quotePrefix="0" xfId="2">
      <alignment horizontal="left" wrapText="1"/>
    </xf>
    <xf numFmtId="0" fontId="6" fillId="16" borderId="125" applyAlignment="1" pivotButton="0" quotePrefix="0" xfId="2">
      <alignment horizontal="center" vertical="center" wrapText="1"/>
    </xf>
    <xf numFmtId="0" fontId="1" fillId="16" borderId="92" applyAlignment="1" pivotButton="0" quotePrefix="0" xfId="2">
      <alignment horizontal="center" vertical="center"/>
    </xf>
    <xf numFmtId="0" fontId="6" fillId="16" borderId="92" applyAlignment="1" pivotButton="0" quotePrefix="0" xfId="2">
      <alignment horizontal="center" vertical="center" wrapText="1"/>
    </xf>
    <xf numFmtId="0" fontId="11" fillId="5" borderId="124" applyAlignment="1" pivotButton="0" quotePrefix="0" xfId="2">
      <alignment horizontal="left" vertical="center" wrapText="1"/>
    </xf>
    <xf numFmtId="0" fontId="6" fillId="3" borderId="107" applyAlignment="1" pivotButton="0" quotePrefix="0" xfId="2">
      <alignment horizontal="center" wrapText="1"/>
    </xf>
    <xf numFmtId="0" fontId="6" fillId="3" borderId="107" applyAlignment="1" pivotButton="0" quotePrefix="0" xfId="2">
      <alignment horizontal="left" wrapText="1"/>
    </xf>
    <xf numFmtId="0" fontId="6" fillId="3" borderId="107" applyAlignment="1" pivotButton="0" quotePrefix="0" xfId="2">
      <alignment horizontal="center" vertical="center" wrapText="1"/>
    </xf>
    <xf numFmtId="0" fontId="1" fillId="3" borderId="107" applyAlignment="1" pivotButton="0" quotePrefix="0" xfId="2">
      <alignment horizontal="center" vertical="center"/>
    </xf>
    <xf numFmtId="0" fontId="6" fillId="16" borderId="93" applyAlignment="1" pivotButton="0" quotePrefix="0" xfId="2">
      <alignment horizontal="center" vertical="center" wrapText="1"/>
    </xf>
    <xf numFmtId="0" fontId="1" fillId="16" borderId="107" applyAlignment="1" pivotButton="0" quotePrefix="0" xfId="2">
      <alignment horizontal="center" vertical="center"/>
    </xf>
    <xf numFmtId="0" fontId="11" fillId="5" borderId="127" applyAlignment="1" pivotButton="0" quotePrefix="0" xfId="2">
      <alignment horizontal="left" vertical="center" wrapText="1"/>
    </xf>
    <xf numFmtId="0" fontId="1" fillId="0" borderId="118" pivotButton="0" quotePrefix="0" xfId="2"/>
    <xf numFmtId="0" fontId="6" fillId="6" borderId="107" applyAlignment="1" pivotButton="0" quotePrefix="0" xfId="2">
      <alignment horizontal="center" vertical="center" wrapText="1"/>
    </xf>
    <xf numFmtId="0" fontId="11" fillId="5" borderId="123" applyAlignment="1" pivotButton="0" quotePrefix="0" xfId="2">
      <alignment horizontal="left" vertical="center" wrapText="1"/>
    </xf>
    <xf numFmtId="0" fontId="5" fillId="3" borderId="107" applyAlignment="1" pivotButton="0" quotePrefix="0" xfId="2">
      <alignment horizontal="center" vertical="center" wrapText="1"/>
    </xf>
    <xf numFmtId="0" fontId="5" fillId="3" borderId="107" applyAlignment="1" pivotButton="0" quotePrefix="0" xfId="2">
      <alignment horizontal="left" vertical="center" wrapText="1"/>
    </xf>
    <xf numFmtId="0" fontId="1" fillId="0" borderId="93" pivotButton="0" quotePrefix="0" xfId="2"/>
    <xf numFmtId="0" fontId="1" fillId="0" borderId="107" pivotButton="0" quotePrefix="0" xfId="2"/>
    <xf numFmtId="0" fontId="6" fillId="0" borderId="107" applyAlignment="1" pivotButton="0" quotePrefix="0" xfId="2">
      <alignment vertical="center"/>
    </xf>
    <xf numFmtId="0" fontId="1" fillId="0" borderId="107" applyAlignment="1" pivotButton="0" quotePrefix="0" xfId="2">
      <alignment horizontal="center"/>
    </xf>
    <xf numFmtId="0" fontId="1" fillId="3" borderId="107" applyAlignment="1" pivotButton="0" quotePrefix="0" xfId="2">
      <alignment horizontal="center" vertical="center" wrapText="1"/>
    </xf>
    <xf numFmtId="0" fontId="13" fillId="3" borderId="107" applyAlignment="1" pivotButton="0" quotePrefix="0" xfId="2">
      <alignment horizontal="left" wrapText="1"/>
    </xf>
    <xf numFmtId="0" fontId="15" fillId="3" borderId="107" applyAlignment="1" pivotButton="0" quotePrefix="0" xfId="2">
      <alignment horizontal="center" vertical="center"/>
    </xf>
    <xf numFmtId="0" fontId="14" fillId="3" borderId="107" applyAlignment="1" pivotButton="0" quotePrefix="0" xfId="2">
      <alignment horizontal="center" vertical="center"/>
    </xf>
    <xf numFmtId="0" fontId="11" fillId="16" borderId="127" applyAlignment="1" pivotButton="0" quotePrefix="0" xfId="2">
      <alignment horizontal="left" vertical="center" wrapText="1"/>
    </xf>
    <xf numFmtId="0" fontId="2" fillId="10" borderId="112" applyAlignment="1" pivotButton="0" quotePrefix="0" xfId="2">
      <alignment horizontal="center" vertical="center"/>
    </xf>
    <xf numFmtId="0" fontId="1" fillId="10" borderId="112" applyAlignment="1" pivotButton="0" quotePrefix="0" xfId="2">
      <alignment horizontal="center" vertical="center"/>
    </xf>
    <xf numFmtId="0" fontId="6" fillId="3" borderId="108" applyAlignment="1" pivotButton="0" quotePrefix="0" xfId="2">
      <alignment horizontal="left" wrapText="1"/>
    </xf>
    <xf numFmtId="0" fontId="6" fillId="3" borderId="102" applyAlignment="1" pivotButton="0" quotePrefix="0" xfId="2">
      <alignment horizontal="left" wrapText="1"/>
    </xf>
    <xf numFmtId="0" fontId="6" fillId="3" borderId="102" applyAlignment="1" pivotButton="0" quotePrefix="0" xfId="2">
      <alignment horizontal="left" vertical="center" wrapText="1"/>
    </xf>
    <xf numFmtId="0" fontId="11" fillId="16" borderId="137" applyAlignment="1" pivotButton="0" quotePrefix="0" xfId="2">
      <alignment horizontal="center" vertical="center" wrapText="1"/>
    </xf>
    <xf numFmtId="0" fontId="0" fillId="26" borderId="0" pivotButton="0" quotePrefix="0" xfId="0"/>
    <xf numFmtId="0" fontId="18" fillId="26" borderId="7" applyAlignment="1" pivotButton="0" quotePrefix="0" xfId="0">
      <alignment horizontal="left" vertical="top" wrapText="1"/>
    </xf>
    <xf numFmtId="0" fontId="18" fillId="26" borderId="15" applyAlignment="1" pivotButton="0" quotePrefix="0" xfId="0">
      <alignment horizontal="left" vertical="top" wrapText="1"/>
    </xf>
    <xf numFmtId="0" fontId="18" fillId="26" borderId="15" applyAlignment="1" pivotButton="0" quotePrefix="0" xfId="0">
      <alignment horizontal="center" vertical="top" wrapText="1"/>
    </xf>
    <xf numFmtId="0" fontId="0" fillId="26" borderId="0" applyAlignment="1" pivotButton="0" quotePrefix="0" xfId="0">
      <alignment vertical="top"/>
    </xf>
    <xf numFmtId="0" fontId="40" fillId="26" borderId="86" applyAlignment="1" pivotButton="0" quotePrefix="0" xfId="0">
      <alignment horizontal="left" vertical="top" wrapText="1"/>
    </xf>
    <xf numFmtId="0" fontId="40" fillId="26" borderId="84" applyAlignment="1" pivotButton="0" quotePrefix="0" xfId="0">
      <alignment horizontal="left" vertical="top" wrapText="1"/>
    </xf>
    <xf numFmtId="0" fontId="40" fillId="26" borderId="84" applyAlignment="1" pivotButton="0" quotePrefix="0" xfId="0">
      <alignment horizontal="center" vertical="top" wrapText="1"/>
    </xf>
    <xf numFmtId="0" fontId="18" fillId="3" borderId="107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wrapText="1"/>
    </xf>
    <xf numFmtId="0" fontId="21" fillId="9" borderId="52" applyAlignment="1" pivotButton="0" quotePrefix="0" xfId="0">
      <alignment horizontal="center"/>
    </xf>
    <xf numFmtId="0" fontId="21" fillId="9" borderId="0" applyAlignment="1" pivotButton="0" quotePrefix="0" xfId="0">
      <alignment horizontal="center"/>
    </xf>
    <xf numFmtId="0" fontId="22" fillId="9" borderId="19" applyAlignment="1" pivotButton="0" quotePrefix="0" xfId="0">
      <alignment horizontal="center"/>
    </xf>
    <xf numFmtId="0" fontId="22" fillId="9" borderId="4" applyAlignment="1" pivotButton="0" quotePrefix="0" xfId="0">
      <alignment horizontal="center"/>
    </xf>
    <xf numFmtId="0" fontId="22" fillId="9" borderId="2" applyAlignment="1" pivotButton="0" quotePrefix="0" xfId="0">
      <alignment horizontal="center"/>
    </xf>
    <xf numFmtId="0" fontId="21" fillId="0" borderId="2" applyAlignment="1" pivotButton="0" quotePrefix="0" xfId="0">
      <alignment horizontal="center"/>
    </xf>
    <xf numFmtId="0" fontId="25" fillId="4" borderId="2" applyAlignment="1" pivotButton="0" quotePrefix="0" xfId="0">
      <alignment horizontal="center" wrapText="1"/>
    </xf>
    <xf numFmtId="0" fontId="25" fillId="14" borderId="2" applyAlignment="1" pivotButton="0" quotePrefix="0" xfId="0">
      <alignment horizontal="center" wrapText="1"/>
    </xf>
    <xf numFmtId="0" fontId="21" fillId="9" borderId="54" applyAlignment="1" pivotButton="0" quotePrefix="0" xfId="0">
      <alignment horizontal="center"/>
    </xf>
    <xf numFmtId="0" fontId="21" fillId="9" borderId="55" applyAlignment="1" pivotButton="0" quotePrefix="0" xfId="0">
      <alignment horizontal="center"/>
    </xf>
    <xf numFmtId="0" fontId="21" fillId="9" borderId="56" applyAlignment="1" pivotButton="0" quotePrefix="0" xfId="0">
      <alignment horizontal="center"/>
    </xf>
    <xf numFmtId="0" fontId="21" fillId="0" borderId="57" applyAlignment="1" pivotButton="0" quotePrefix="0" xfId="0">
      <alignment horizontal="center"/>
    </xf>
    <xf numFmtId="0" fontId="21" fillId="0" borderId="58" applyAlignment="1" pivotButton="0" quotePrefix="0" xfId="0">
      <alignment horizontal="center"/>
    </xf>
    <xf numFmtId="0" fontId="21" fillId="0" borderId="59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2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9" fontId="0" fillId="0" borderId="3" applyAlignment="1" pivotButton="0" quotePrefix="0" xfId="0">
      <alignment horizontal="center" vertical="center"/>
    </xf>
    <xf numFmtId="9" fontId="0" fillId="0" borderId="4" applyAlignment="1" pivotButton="0" quotePrefix="0" xfId="0">
      <alignment horizontal="center" vertical="center"/>
    </xf>
    <xf numFmtId="9" fontId="0" fillId="4" borderId="3" applyAlignment="1" pivotButton="0" quotePrefix="0" xfId="0">
      <alignment horizontal="center" vertical="center"/>
    </xf>
    <xf numFmtId="9" fontId="0" fillId="4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wrapText="1"/>
    </xf>
    <xf numFmtId="0" fontId="2" fillId="3" borderId="7" applyAlignment="1" pivotButton="0" quotePrefix="0" xfId="0">
      <alignment horizontal="left" wrapText="1"/>
    </xf>
    <xf numFmtId="0" fontId="4" fillId="3" borderId="1" applyAlignment="1" pivotButton="0" quotePrefix="0" xfId="0">
      <alignment horizontal="center" vertical="top"/>
    </xf>
    <xf numFmtId="0" fontId="7" fillId="3" borderId="2" applyAlignment="1" pivotButton="0" quotePrefix="0" xfId="0">
      <alignment horizontal="center" wrapText="1"/>
    </xf>
    <xf numFmtId="0" fontId="7" fillId="12" borderId="67" applyAlignment="1" pivotButton="0" quotePrefix="0" xfId="0">
      <alignment horizontal="center" wrapText="1"/>
    </xf>
    <xf numFmtId="0" fontId="7" fillId="12" borderId="74" applyAlignment="1" pivotButton="0" quotePrefix="0" xfId="0">
      <alignment horizontal="center" wrapText="1"/>
    </xf>
    <xf numFmtId="0" fontId="7" fillId="12" borderId="75" applyAlignment="1" pivotButton="0" quotePrefix="0" xfId="0">
      <alignment horizontal="center" wrapText="1"/>
    </xf>
    <xf numFmtId="0" fontId="7" fillId="3" borderId="3" applyAlignment="1" pivotButton="0" quotePrefix="0" xfId="0">
      <alignment horizontal="center" wrapText="1"/>
    </xf>
    <xf numFmtId="0" fontId="7" fillId="3" borderId="4" applyAlignment="1" pivotButton="0" quotePrefix="0" xfId="0">
      <alignment horizontal="center" wrapText="1"/>
    </xf>
    <xf numFmtId="0" fontId="10" fillId="7" borderId="71" applyAlignment="1" pivotButton="0" quotePrefix="0" xfId="2">
      <alignment horizontal="center"/>
    </xf>
    <xf numFmtId="0" fontId="10" fillId="7" borderId="79" applyAlignment="1" pivotButton="0" quotePrefix="0" xfId="2">
      <alignment horizontal="center"/>
    </xf>
    <xf numFmtId="0" fontId="6" fillId="3" borderId="64" applyAlignment="1" pivotButton="0" quotePrefix="0" xfId="2">
      <alignment horizontal="center" vertical="center" wrapText="1"/>
    </xf>
    <xf numFmtId="0" fontId="6" fillId="3" borderId="75" applyAlignment="1" pivotButton="0" quotePrefix="0" xfId="2">
      <alignment horizontal="center" vertical="center" wrapText="1"/>
    </xf>
    <xf numFmtId="0" fontId="9" fillId="7" borderId="80" applyAlignment="1" pivotButton="0" quotePrefix="0" xfId="2">
      <alignment horizontal="center" vertical="center" wrapText="1"/>
    </xf>
    <xf numFmtId="0" fontId="9" fillId="7" borderId="76" applyAlignment="1" pivotButton="0" quotePrefix="0" xfId="2">
      <alignment horizontal="center" vertical="center" wrapText="1"/>
    </xf>
    <xf numFmtId="0" fontId="9" fillId="7" borderId="65" applyAlignment="1" pivotButton="0" quotePrefix="0" xfId="2">
      <alignment horizontal="center" vertical="center" wrapText="1"/>
    </xf>
    <xf numFmtId="0" fontId="6" fillId="16" borderId="12" applyAlignment="1" pivotButton="0" quotePrefix="0" xfId="2">
      <alignment horizontal="center" wrapText="1"/>
    </xf>
    <xf numFmtId="0" fontId="6" fillId="16" borderId="14" applyAlignment="1" pivotButton="0" quotePrefix="0" xfId="2">
      <alignment horizontal="center" wrapText="1"/>
    </xf>
    <xf numFmtId="0" fontId="6" fillId="16" borderId="122" applyAlignment="1" pivotButton="0" quotePrefix="0" xfId="2">
      <alignment horizontal="center" wrapText="1"/>
    </xf>
    <xf numFmtId="0" fontId="11" fillId="5" borderId="65" applyAlignment="1" pivotButton="0" quotePrefix="0" xfId="2">
      <alignment horizontal="left" vertical="center" wrapText="1"/>
    </xf>
    <xf numFmtId="0" fontId="11" fillId="5" borderId="11" applyAlignment="1" pivotButton="0" quotePrefix="0" xfId="2">
      <alignment horizontal="left" vertical="center" wrapText="1"/>
    </xf>
    <xf numFmtId="0" fontId="44" fillId="16" borderId="12" applyAlignment="1" pivotButton="0" quotePrefix="0" xfId="2">
      <alignment horizontal="center" vertical="center" wrapText="1"/>
    </xf>
    <xf numFmtId="0" fontId="44" fillId="16" borderId="117" applyAlignment="1" pivotButton="0" quotePrefix="0" xfId="2">
      <alignment horizontal="center" vertical="center" wrapText="1"/>
    </xf>
    <xf numFmtId="0" fontId="44" fillId="16" borderId="119" applyAlignment="1" pivotButton="0" quotePrefix="0" xfId="2">
      <alignment horizontal="left" wrapText="1"/>
    </xf>
    <xf numFmtId="0" fontId="11" fillId="5" borderId="82" applyAlignment="1" pivotButton="0" quotePrefix="0" xfId="2">
      <alignment horizontal="left" vertical="center" wrapText="1"/>
    </xf>
    <xf numFmtId="0" fontId="6" fillId="6" borderId="65" applyAlignment="1" pivotButton="0" quotePrefix="0" xfId="2">
      <alignment horizontal="center" vertical="center" wrapText="1"/>
    </xf>
    <xf numFmtId="0" fontId="6" fillId="6" borderId="82" applyAlignment="1" pivotButton="0" quotePrefix="0" xfId="2">
      <alignment horizontal="left" vertical="top" wrapText="1"/>
    </xf>
    <xf numFmtId="0" fontId="11" fillId="5" borderId="103" applyAlignment="1" pivotButton="0" quotePrefix="0" xfId="2">
      <alignment horizontal="center" vertical="center" wrapText="1"/>
    </xf>
    <xf numFmtId="0" fontId="11" fillId="5" borderId="104" applyAlignment="1" pivotButton="0" quotePrefix="0" xfId="2">
      <alignment horizontal="center" vertical="center" wrapText="1"/>
    </xf>
    <xf numFmtId="0" fontId="11" fillId="5" borderId="105" applyAlignment="1" pivotButton="0" quotePrefix="0" xfId="2">
      <alignment horizontal="center" vertical="center" wrapText="1"/>
    </xf>
    <xf numFmtId="0" fontId="12" fillId="16" borderId="12" applyAlignment="1" pivotButton="0" quotePrefix="0" xfId="2">
      <alignment horizontal="center" vertical="center" wrapText="1"/>
    </xf>
    <xf numFmtId="0" fontId="12" fillId="16" borderId="64" applyAlignment="1" pivotButton="0" quotePrefix="0" xfId="2">
      <alignment horizontal="center" vertical="center" wrapText="1"/>
    </xf>
    <xf numFmtId="0" fontId="12" fillId="16" borderId="14" applyAlignment="1" pivotButton="0" quotePrefix="0" xfId="2">
      <alignment horizontal="center" vertical="center" wrapText="1"/>
    </xf>
    <xf numFmtId="0" fontId="5" fillId="3" borderId="107" applyAlignment="1" pivotButton="0" quotePrefix="0" xfId="2">
      <alignment horizontal="center" vertical="center" wrapText="1"/>
    </xf>
    <xf numFmtId="0" fontId="5" fillId="3" borderId="107" applyAlignment="1" pivotButton="0" quotePrefix="0" xfId="2">
      <alignment horizontal="left" vertical="top" wrapText="1"/>
    </xf>
    <xf numFmtId="0" fontId="11" fillId="5" borderId="123" applyAlignment="1" pivotButton="0" quotePrefix="0" xfId="2">
      <alignment horizontal="left" vertical="center" wrapText="1"/>
    </xf>
    <xf numFmtId="0" fontId="6" fillId="16" borderId="107" applyAlignment="1" pivotButton="0" quotePrefix="0" xfId="2">
      <alignment horizontal="left" wrapText="1"/>
    </xf>
    <xf numFmtId="0" fontId="6" fillId="6" borderId="107" applyAlignment="1" pivotButton="0" quotePrefix="0" xfId="2">
      <alignment horizontal="center" vertical="center" wrapText="1"/>
    </xf>
    <xf numFmtId="0" fontId="6" fillId="6" borderId="107" applyAlignment="1" pivotButton="0" quotePrefix="0" xfId="2">
      <alignment horizontal="left" vertical="top" wrapText="1"/>
    </xf>
    <xf numFmtId="0" fontId="11" fillId="5" borderId="124" applyAlignment="1" pivotButton="0" quotePrefix="0" xfId="2">
      <alignment horizontal="left" vertical="center" wrapText="1"/>
    </xf>
    <xf numFmtId="0" fontId="11" fillId="16" borderId="123" applyAlignment="1" pivotButton="0" quotePrefix="0" xfId="2">
      <alignment horizontal="center" vertical="center" wrapText="1"/>
    </xf>
    <xf numFmtId="0" fontId="11" fillId="16" borderId="124" applyAlignment="1" pivotButton="0" quotePrefix="0" xfId="2">
      <alignment horizontal="center" vertical="center" wrapText="1"/>
    </xf>
    <xf numFmtId="0" fontId="6" fillId="16" borderId="107" applyAlignment="1" pivotButton="0" quotePrefix="0" xfId="2">
      <alignment horizontal="center" wrapText="1"/>
    </xf>
    <xf numFmtId="0" fontId="11" fillId="5" borderId="127" applyAlignment="1" pivotButton="0" quotePrefix="0" xfId="2">
      <alignment horizontal="left" vertical="center" wrapText="1"/>
    </xf>
    <xf numFmtId="0" fontId="11" fillId="16" borderId="62" applyAlignment="1" pivotButton="0" quotePrefix="0" xfId="2">
      <alignment horizontal="center" vertical="center" wrapText="1"/>
    </xf>
    <xf numFmtId="0" fontId="11" fillId="5" borderId="133" applyAlignment="1" pivotButton="0" quotePrefix="0" xfId="2">
      <alignment horizontal="center" vertical="center" wrapText="1"/>
    </xf>
    <xf numFmtId="0" fontId="11" fillId="5" borderId="134" applyAlignment="1" pivotButton="0" quotePrefix="0" xfId="2">
      <alignment horizontal="center" vertical="center" wrapText="1"/>
    </xf>
    <xf numFmtId="0" fontId="6" fillId="16" borderId="127" applyAlignment="1" pivotButton="0" quotePrefix="0" xfId="2">
      <alignment horizontal="center" vertical="center" wrapText="1"/>
    </xf>
    <xf numFmtId="0" fontId="11" fillId="5" borderId="67" applyAlignment="1" pivotButton="0" quotePrefix="0" xfId="2">
      <alignment horizontal="left" vertical="center" wrapText="1"/>
    </xf>
    <xf numFmtId="0" fontId="11" fillId="5" borderId="76" applyAlignment="1" pivotButton="0" quotePrefix="0" xfId="2">
      <alignment horizontal="center" vertical="center" wrapText="1"/>
    </xf>
    <xf numFmtId="0" fontId="11" fillId="5" borderId="77" applyAlignment="1" pivotButton="0" quotePrefix="0" xfId="2">
      <alignment horizontal="left" vertical="center" wrapText="1"/>
    </xf>
    <xf numFmtId="0" fontId="11" fillId="5" borderId="117" applyAlignment="1" pivotButton="0" quotePrefix="0" xfId="2">
      <alignment horizontal="center" vertical="center" wrapText="1"/>
    </xf>
    <xf numFmtId="0" fontId="11" fillId="5" borderId="135" applyAlignment="1" pivotButton="0" quotePrefix="0" xfId="2">
      <alignment horizontal="center" vertical="center" wrapText="1"/>
    </xf>
    <xf numFmtId="0" fontId="11" fillId="5" borderId="106" applyAlignment="1" pivotButton="0" quotePrefix="0" xfId="2">
      <alignment horizontal="center" vertical="center" wrapText="1"/>
    </xf>
    <xf numFmtId="0" fontId="11" fillId="5" borderId="63" applyAlignment="1" pivotButton="0" quotePrefix="0" xfId="2">
      <alignment horizontal="center" vertical="center" wrapText="1"/>
    </xf>
    <xf numFmtId="0" fontId="11" fillId="5" borderId="64" applyAlignment="1" pivotButton="0" quotePrefix="0" xfId="2">
      <alignment horizontal="center" vertical="center" wrapText="1"/>
    </xf>
    <xf numFmtId="0" fontId="11" fillId="5" borderId="104" applyAlignment="1" pivotButton="0" quotePrefix="0" xfId="2">
      <alignment horizontal="left" vertical="center" wrapText="1"/>
    </xf>
    <xf numFmtId="0" fontId="11" fillId="5" borderId="105" applyAlignment="1" pivotButton="0" quotePrefix="0" xfId="2">
      <alignment horizontal="left" vertical="center" wrapText="1"/>
    </xf>
    <xf numFmtId="0" fontId="11" fillId="5" borderId="117" applyAlignment="1" pivotButton="0" quotePrefix="0" xfId="2">
      <alignment horizontal="left" vertical="center" wrapText="1"/>
    </xf>
    <xf numFmtId="0" fontId="11" fillId="5" borderId="135" applyAlignment="1" pivotButton="0" quotePrefix="0" xfId="2">
      <alignment horizontal="left" vertical="center" wrapText="1"/>
    </xf>
    <xf numFmtId="0" fontId="11" fillId="16" borderId="12" applyAlignment="1" pivotButton="0" quotePrefix="0" xfId="2">
      <alignment horizontal="center" vertical="center" wrapText="1"/>
    </xf>
    <xf numFmtId="0" fontId="11" fillId="16" borderId="14" applyAlignment="1" pivotButton="0" quotePrefix="0" xfId="2">
      <alignment horizontal="center" vertical="center" wrapText="1"/>
    </xf>
    <xf numFmtId="0" fontId="11" fillId="16" borderId="122" applyAlignment="1" pivotButton="0" quotePrefix="0" xfId="2">
      <alignment horizontal="center" vertical="center" wrapText="1"/>
    </xf>
    <xf numFmtId="0" fontId="1" fillId="16" borderId="126" applyAlignment="1" pivotButton="0" quotePrefix="0" xfId="2">
      <alignment horizontal="center" vertical="center"/>
    </xf>
    <xf numFmtId="0" fontId="5" fillId="16" borderId="93" applyAlignment="1" pivotButton="0" quotePrefix="0" xfId="2">
      <alignment horizontal="center" vertical="center" wrapText="1"/>
    </xf>
    <xf numFmtId="0" fontId="11" fillId="16" borderId="93" applyAlignment="1" pivotButton="0" quotePrefix="0" xfId="2">
      <alignment horizontal="center" vertical="center" wrapText="1"/>
    </xf>
    <xf numFmtId="0" fontId="1" fillId="16" borderId="30" applyAlignment="1" pivotButton="0" quotePrefix="0" xfId="2">
      <alignment horizontal="center" vertical="center"/>
    </xf>
    <xf numFmtId="0" fontId="1" fillId="16" borderId="133" applyAlignment="1" pivotButton="0" quotePrefix="0" xfId="2">
      <alignment horizontal="center" vertical="center"/>
    </xf>
    <xf numFmtId="0" fontId="11" fillId="5" borderId="97" applyAlignment="1" pivotButton="0" quotePrefix="0" xfId="2">
      <alignment horizontal="center" vertical="center" wrapText="1"/>
    </xf>
    <xf numFmtId="0" fontId="11" fillId="5" borderId="98" applyAlignment="1" pivotButton="0" quotePrefix="0" xfId="2">
      <alignment horizontal="left" vertical="center" wrapText="1"/>
    </xf>
    <xf numFmtId="0" fontId="11" fillId="5" borderId="99" applyAlignment="1" pivotButton="0" quotePrefix="0" xfId="2">
      <alignment horizontal="left" vertical="center" wrapText="1"/>
    </xf>
    <xf numFmtId="0" fontId="11" fillId="16" borderId="66" applyAlignment="1" pivotButton="0" quotePrefix="0" xfId="2">
      <alignment horizontal="center" vertical="center" wrapText="1"/>
    </xf>
    <xf numFmtId="0" fontId="11" fillId="5" borderId="136" applyAlignment="1" pivotButton="0" quotePrefix="0" xfId="2">
      <alignment vertical="center" wrapText="1"/>
    </xf>
    <xf numFmtId="0" fontId="12" fillId="5" borderId="130" applyAlignment="1" pivotButton="0" quotePrefix="0" xfId="2">
      <alignment horizontal="center" vertical="center" wrapText="1"/>
    </xf>
    <xf numFmtId="0" fontId="12" fillId="5" borderId="131" applyAlignment="1" pivotButton="0" quotePrefix="0" xfId="2">
      <alignment horizontal="left" vertical="center" wrapText="1"/>
    </xf>
    <xf numFmtId="0" fontId="12" fillId="5" borderId="132" applyAlignment="1" pivotButton="0" quotePrefix="0" xfId="2">
      <alignment horizontal="left" vertical="center" wrapText="1"/>
    </xf>
    <xf numFmtId="0" fontId="6" fillId="6" borderId="90" applyAlignment="1" pivotButton="0" quotePrefix="0" xfId="2">
      <alignment horizontal="center" vertical="center" wrapText="1"/>
    </xf>
    <xf numFmtId="0" fontId="6" fillId="6" borderId="91" applyAlignment="1" pivotButton="0" quotePrefix="0" xfId="2">
      <alignment horizontal="center" vertical="center" wrapText="1"/>
    </xf>
    <xf numFmtId="0" fontId="11" fillId="5" borderId="90" applyAlignment="1" pivotButton="0" quotePrefix="0" xfId="2">
      <alignment horizontal="center" vertical="center" wrapText="1"/>
    </xf>
    <xf numFmtId="0" fontId="11" fillId="5" borderId="128" applyAlignment="1" pivotButton="0" quotePrefix="0" xfId="2">
      <alignment horizontal="center" vertical="center" wrapText="1"/>
    </xf>
    <xf numFmtId="0" fontId="11" fillId="5" borderId="129" applyAlignment="1" pivotButton="0" quotePrefix="0" xfId="2">
      <alignment horizontal="left" vertical="center" wrapText="1"/>
    </xf>
    <xf numFmtId="0" fontId="12" fillId="5" borderId="120" applyAlignment="1" pivotButton="0" quotePrefix="0" xfId="2">
      <alignment horizontal="center" vertical="center" wrapText="1"/>
    </xf>
    <xf numFmtId="0" fontId="12" fillId="5" borderId="121" applyAlignment="1" pivotButton="0" quotePrefix="0" xfId="2">
      <alignment horizontal="center" vertical="center" wrapText="1"/>
    </xf>
    <xf numFmtId="0" fontId="11" fillId="5" borderId="100" applyAlignment="1" pivotButton="0" quotePrefix="0" xfId="2">
      <alignment horizontal="center" vertical="center" wrapText="1"/>
    </xf>
    <xf numFmtId="0" fontId="11" fillId="5" borderId="101" applyAlignment="1" pivotButton="0" quotePrefix="0" xfId="2">
      <alignment horizontal="center" vertical="center" wrapText="1"/>
    </xf>
    <xf numFmtId="0" fontId="11" fillId="5" borderId="91" applyAlignment="1" pivotButton="0" quotePrefix="0" xfId="2">
      <alignment horizontal="center" vertical="center" wrapText="1"/>
    </xf>
    <xf numFmtId="0" fontId="12" fillId="9" borderId="11" applyAlignment="1" pivotButton="0" quotePrefix="0" xfId="0">
      <alignment horizontal="center" vertical="top" wrapText="1"/>
    </xf>
    <xf numFmtId="0" fontId="17" fillId="11" borderId="11" applyAlignment="1" pivotButton="0" quotePrefix="0" xfId="0">
      <alignment horizontal="center" vertical="top" wrapText="1"/>
    </xf>
    <xf numFmtId="0" fontId="17" fillId="11" borderId="18" applyAlignment="1" pivotButton="0" quotePrefix="0" xfId="0">
      <alignment horizontal="center" vertical="top" wrapText="1"/>
    </xf>
    <xf numFmtId="0" fontId="17" fillId="12" borderId="3" applyAlignment="1" pivotButton="0" quotePrefix="0" xfId="0">
      <alignment horizontal="center" vertical="top" wrapText="1"/>
    </xf>
    <xf numFmtId="0" fontId="17" fillId="12" borderId="19" applyAlignment="1" pivotButton="0" quotePrefix="0" xfId="0">
      <alignment horizontal="center" vertical="top" wrapText="1"/>
    </xf>
    <xf numFmtId="0" fontId="17" fillId="12" borderId="4" applyAlignment="1" pivotButton="0" quotePrefix="0" xfId="0">
      <alignment horizontal="center" vertical="top" wrapText="1"/>
    </xf>
    <xf numFmtId="0" fontId="6" fillId="0" borderId="27" applyAlignment="1" pivotButton="0" quotePrefix="0" xfId="0">
      <alignment horizontal="center" vertical="top" wrapText="1"/>
    </xf>
    <xf numFmtId="0" fontId="6" fillId="0" borderId="29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center" vertical="top" wrapText="1"/>
    </xf>
    <xf numFmtId="0" fontId="19" fillId="13" borderId="31" applyAlignment="1" pivotButton="0" quotePrefix="0" xfId="0">
      <alignment horizontal="center" vertical="top" wrapText="1"/>
    </xf>
    <xf numFmtId="0" fontId="19" fillId="13" borderId="0" applyAlignment="1" pivotButton="0" quotePrefix="0" xfId="0">
      <alignment horizontal="center" vertical="top" wrapText="1"/>
    </xf>
    <xf numFmtId="0" fontId="19" fillId="13" borderId="13" applyAlignment="1" pivotButton="0" quotePrefix="0" xfId="0">
      <alignment horizontal="center" vertical="top" wrapText="1"/>
    </xf>
    <xf numFmtId="0" fontId="19" fillId="11" borderId="11" applyAlignment="1" pivotButton="0" quotePrefix="0" xfId="0">
      <alignment horizontal="center" vertical="top" wrapText="1"/>
    </xf>
    <xf numFmtId="0" fontId="19" fillId="11" borderId="3" applyAlignment="1" pivotButton="0" quotePrefix="0" xfId="0">
      <alignment horizontal="center" vertical="top" wrapText="1"/>
    </xf>
    <xf numFmtId="0" fontId="19" fillId="11" borderId="19" applyAlignment="1" pivotButton="0" quotePrefix="0" xfId="0">
      <alignment horizontal="center" vertical="top" wrapText="1"/>
    </xf>
    <xf numFmtId="0" fontId="19" fillId="11" borderId="4" applyAlignment="1" pivotButton="0" quotePrefix="0" xfId="0">
      <alignment horizontal="center" vertical="top" wrapText="1"/>
    </xf>
    <xf numFmtId="0" fontId="19" fillId="11" borderId="36" applyAlignment="1" pivotButton="0" quotePrefix="0" xfId="0">
      <alignment horizontal="center" vertical="top" wrapText="1"/>
    </xf>
    <xf numFmtId="0" fontId="19" fillId="11" borderId="16" applyAlignment="1" pivotButton="0" quotePrefix="0" xfId="0">
      <alignment horizontal="center" vertical="top" wrapText="1"/>
    </xf>
    <xf numFmtId="0" fontId="19" fillId="11" borderId="37" applyAlignment="1" pivotButton="0" quotePrefix="0" xfId="0">
      <alignment horizontal="center" vertical="top" wrapText="1"/>
    </xf>
    <xf numFmtId="0" fontId="19" fillId="11" borderId="24" applyAlignment="1" pivotButton="0" quotePrefix="0" xfId="0">
      <alignment horizontal="center" vertical="top" wrapText="1"/>
    </xf>
    <xf numFmtId="0" fontId="19" fillId="11" borderId="39" applyAlignment="1" pivotButton="0" quotePrefix="0" xfId="0">
      <alignment horizontal="center" vertical="top" wrapText="1"/>
    </xf>
    <xf numFmtId="0" fontId="19" fillId="11" borderId="40" applyAlignment="1" pivotButton="0" quotePrefix="0" xfId="0">
      <alignment horizontal="center" vertical="top" wrapText="1"/>
    </xf>
    <xf numFmtId="0" fontId="19" fillId="11" borderId="20" applyAlignment="1" pivotButton="0" quotePrefix="0" xfId="0">
      <alignment horizontal="center" vertical="top" wrapText="1"/>
    </xf>
    <xf numFmtId="0" fontId="19" fillId="11" borderId="41" applyAlignment="1" pivotButton="0" quotePrefix="0" xfId="0">
      <alignment horizontal="center" vertical="top" wrapText="1"/>
    </xf>
    <xf numFmtId="0" fontId="19" fillId="11" borderId="42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19" fillId="13" borderId="17" applyAlignment="1" pivotButton="0" quotePrefix="0" xfId="0">
      <alignment horizontal="center" vertical="top" wrapText="1"/>
    </xf>
    <xf numFmtId="0" fontId="19" fillId="13" borderId="18" applyAlignment="1" pivotButton="0" quotePrefix="0" xfId="0">
      <alignment horizontal="center" vertical="top" wrapText="1"/>
    </xf>
    <xf numFmtId="0" fontId="19" fillId="13" borderId="15" applyAlignment="1" pivotButton="0" quotePrefix="0" xfId="0">
      <alignment horizontal="center" vertical="top" wrapText="1"/>
    </xf>
    <xf numFmtId="0" fontId="6" fillId="6" borderId="12" applyAlignment="1" pivotButton="0" quotePrefix="0" xfId="0">
      <alignment horizontal="left" vertical="top" wrapText="1"/>
    </xf>
    <xf numFmtId="0" fontId="6" fillId="6" borderId="11" applyAlignment="1" pivotButton="0" quotePrefix="0" xfId="0">
      <alignment horizontal="left" vertical="top" wrapText="1"/>
    </xf>
    <xf numFmtId="0" fontId="6" fillId="0" borderId="12" applyAlignment="1" pivotButton="0" quotePrefix="0" xfId="0">
      <alignment horizontal="center" vertical="top" wrapText="1"/>
    </xf>
    <xf numFmtId="0" fontId="6" fillId="0" borderId="10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left" vertical="top" wrapText="1"/>
    </xf>
    <xf numFmtId="0" fontId="6" fillId="6" borderId="12" applyAlignment="1" pivotButton="0" quotePrefix="0" xfId="0">
      <alignment horizontal="center" vertical="top" wrapText="1"/>
    </xf>
    <xf numFmtId="0" fontId="6" fillId="0" borderId="27" applyAlignment="1" pivotButton="0" quotePrefix="0" xfId="0">
      <alignment horizontal="left" vertical="top" wrapText="1"/>
    </xf>
    <xf numFmtId="0" fontId="6" fillId="0" borderId="29" applyAlignment="1" pivotButton="0" quotePrefix="0" xfId="0">
      <alignment horizontal="left" vertical="top" wrapText="1"/>
    </xf>
    <xf numFmtId="0" fontId="19" fillId="13" borderId="37" applyAlignment="1" pivotButton="0" quotePrefix="0" xfId="0">
      <alignment horizontal="center" vertical="top"/>
    </xf>
    <xf numFmtId="0" fontId="19" fillId="13" borderId="16" applyAlignment="1" pivotButton="0" quotePrefix="0" xfId="0">
      <alignment horizontal="center" vertical="top"/>
    </xf>
    <xf numFmtId="0" fontId="6" fillId="6" borderId="6" applyAlignment="1" pivotButton="0" quotePrefix="0" xfId="0">
      <alignment horizontal="left" vertical="top" wrapText="1"/>
    </xf>
    <xf numFmtId="0" fontId="6" fillId="6" borderId="47" applyAlignment="1" pivotButton="0" quotePrefix="0" xfId="0">
      <alignment horizontal="left" vertical="top" wrapText="1"/>
    </xf>
    <xf numFmtId="0" fontId="19" fillId="13" borderId="36" applyAlignment="1" pivotButton="0" quotePrefix="0" xfId="0">
      <alignment horizontal="center" vertical="top" wrapText="1"/>
    </xf>
    <xf numFmtId="0" fontId="19" fillId="13" borderId="37" applyAlignment="1" pivotButton="0" quotePrefix="0" xfId="0">
      <alignment horizontal="center" vertical="top" wrapText="1"/>
    </xf>
    <xf numFmtId="0" fontId="19" fillId="13" borderId="16" applyAlignment="1" pivotButton="0" quotePrefix="0" xfId="0">
      <alignment horizontal="center" vertical="top" wrapText="1"/>
    </xf>
    <xf numFmtId="0" fontId="19" fillId="13" borderId="24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6" fillId="3" borderId="7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/>
    </xf>
    <xf numFmtId="0" fontId="19" fillId="13" borderId="3" applyAlignment="1" pivotButton="0" quotePrefix="0" xfId="0">
      <alignment horizontal="center" vertical="top" wrapText="1"/>
    </xf>
    <xf numFmtId="0" fontId="19" fillId="13" borderId="19" applyAlignment="1" pivotButton="0" quotePrefix="0" xfId="0">
      <alignment horizontal="center" vertical="top" wrapText="1"/>
    </xf>
    <xf numFmtId="0" fontId="19" fillId="13" borderId="4" applyAlignment="1" pivotButton="0" quotePrefix="0" xfId="0">
      <alignment horizontal="center" vertical="top" wrapText="1"/>
    </xf>
    <xf numFmtId="0" fontId="12" fillId="9" borderId="17" applyAlignment="1" pivotButton="0" quotePrefix="0" xfId="0">
      <alignment horizontal="center" vertical="top" wrapText="1"/>
    </xf>
    <xf numFmtId="0" fontId="12" fillId="9" borderId="18" applyAlignment="1" pivotButton="0" quotePrefix="0" xfId="0">
      <alignment horizontal="center" vertical="top" wrapText="1"/>
    </xf>
    <xf numFmtId="0" fontId="12" fillId="9" borderId="15" applyAlignment="1" pivotButton="0" quotePrefix="0" xfId="0">
      <alignment horizontal="center" vertical="top" wrapText="1"/>
    </xf>
    <xf numFmtId="0" fontId="17" fillId="11" borderId="19" applyAlignment="1" pivotButton="0" quotePrefix="0" xfId="0">
      <alignment horizontal="center" vertical="top" wrapText="1"/>
    </xf>
    <xf numFmtId="0" fontId="18" fillId="0" borderId="8" applyAlignment="1" pivotButton="0" quotePrefix="0" xfId="0">
      <alignment horizontal="left" vertical="top" wrapText="1"/>
    </xf>
    <xf numFmtId="0" fontId="18" fillId="0" borderId="7" applyAlignment="1" pivotButton="0" quotePrefix="0" xfId="0">
      <alignment horizontal="left" vertical="top" wrapText="1"/>
    </xf>
    <xf numFmtId="0" fontId="18" fillId="0" borderId="8" applyAlignment="1" pivotButton="0" quotePrefix="0" xfId="0">
      <alignment horizontal="center" vertical="top" wrapText="1"/>
    </xf>
    <xf numFmtId="0" fontId="19" fillId="12" borderId="68" applyAlignment="1" pivotButton="0" quotePrefix="0" xfId="0">
      <alignment horizontal="center" vertical="top" wrapText="1"/>
    </xf>
    <xf numFmtId="0" fontId="19" fillId="12" borderId="69" applyAlignment="1" pivotButton="0" quotePrefix="0" xfId="0">
      <alignment horizontal="center" vertical="top" wrapText="1"/>
    </xf>
    <xf numFmtId="0" fontId="19" fillId="12" borderId="70" applyAlignment="1" pivotButton="0" quotePrefix="0" xfId="0">
      <alignment horizontal="center" vertical="top" wrapText="1"/>
    </xf>
    <xf numFmtId="0" fontId="19" fillId="12" borderId="3" applyAlignment="1" pivotButton="0" quotePrefix="0" xfId="0">
      <alignment horizontal="center" vertical="top" wrapText="1"/>
    </xf>
    <xf numFmtId="0" fontId="19" fillId="12" borderId="19" applyAlignment="1" pivotButton="0" quotePrefix="0" xfId="0">
      <alignment horizontal="center" vertical="top" wrapText="1"/>
    </xf>
    <xf numFmtId="0" fontId="19" fillId="12" borderId="4" applyAlignment="1" pivotButton="0" quotePrefix="0" xfId="0">
      <alignment horizontal="center" vertical="top" wrapText="1"/>
    </xf>
    <xf numFmtId="0" fontId="20" fillId="13" borderId="18" applyAlignment="1" pivotButton="0" quotePrefix="0" xfId="0">
      <alignment horizontal="center" vertical="top" wrapText="1"/>
    </xf>
    <xf numFmtId="0" fontId="18" fillId="6" borderId="13" applyAlignment="1" pivotButton="0" quotePrefix="0" xfId="0">
      <alignment horizontal="left" vertical="top" wrapText="1"/>
    </xf>
    <xf numFmtId="0" fontId="18" fillId="6" borderId="15" applyAlignment="1" pivotButton="0" quotePrefix="0" xfId="0">
      <alignment horizontal="left" vertical="top" wrapText="1"/>
    </xf>
    <xf numFmtId="0" fontId="20" fillId="13" borderId="5" applyAlignment="1" pivotButton="0" quotePrefix="0" xfId="0">
      <alignment horizontal="center" vertical="top" wrapText="1"/>
    </xf>
    <xf numFmtId="0" fontId="20" fillId="13" borderId="51" applyAlignment="1" pivotButton="0" quotePrefix="0" xfId="0">
      <alignment horizontal="center" vertical="top" wrapText="1"/>
    </xf>
    <xf numFmtId="0" fontId="20" fillId="13" borderId="6" applyAlignment="1" pivotButton="0" quotePrefix="0" xfId="0">
      <alignment horizontal="center" vertical="top" wrapText="1"/>
    </xf>
    <xf numFmtId="0" fontId="18" fillId="6" borderId="8" applyAlignment="1" pivotButton="0" quotePrefix="0" xfId="0">
      <alignment horizontal="left" vertical="top" wrapText="1"/>
    </xf>
    <xf numFmtId="0" fontId="18" fillId="6" borderId="7" applyAlignment="1" pivotButton="0" quotePrefix="0" xfId="0">
      <alignment horizontal="left" vertical="top" wrapText="1"/>
    </xf>
    <xf numFmtId="0" fontId="18" fillId="6" borderId="8" applyAlignment="1" pivotButton="0" quotePrefix="0" xfId="0">
      <alignment horizontal="center" vertical="top" wrapText="1"/>
    </xf>
    <xf numFmtId="0" fontId="19" fillId="13" borderId="80" applyAlignment="1" pivotButton="0" quotePrefix="0" xfId="0">
      <alignment horizontal="center" vertical="top" wrapText="1"/>
    </xf>
    <xf numFmtId="0" fontId="31" fillId="0" borderId="80" applyAlignment="1" pivotButton="0" quotePrefix="0" xfId="0">
      <alignment horizontal="left" vertical="center"/>
    </xf>
    <xf numFmtId="0" fontId="0" fillId="0" borderId="80" applyAlignment="1" pivotButton="0" quotePrefix="0" xfId="0">
      <alignment vertical="center"/>
    </xf>
    <xf numFmtId="0" fontId="31" fillId="0" borderId="80" applyAlignment="1" pivotButton="0" quotePrefix="0" xfId="0">
      <alignment horizontal="center" vertical="center"/>
    </xf>
    <xf numFmtId="0" fontId="12" fillId="9" borderId="80" applyAlignment="1" pivotButton="0" quotePrefix="0" xfId="0">
      <alignment horizontal="center" vertical="top" wrapText="1"/>
    </xf>
    <xf numFmtId="0" fontId="17" fillId="11" borderId="80" applyAlignment="1" pivotButton="0" quotePrefix="0" xfId="0">
      <alignment horizontal="center" vertical="top" wrapText="1"/>
    </xf>
    <xf numFmtId="0" fontId="17" fillId="12" borderId="80" applyAlignment="1" pivotButton="0" quotePrefix="0" xfId="0">
      <alignment horizontal="center" vertical="top" wrapText="1"/>
    </xf>
    <xf numFmtId="0" fontId="19" fillId="12" borderId="109" applyAlignment="1" pivotButton="0" quotePrefix="0" xfId="0">
      <alignment horizontal="center" vertical="top" wrapText="1"/>
    </xf>
    <xf numFmtId="0" fontId="19" fillId="12" borderId="110" applyAlignment="1" pivotButton="0" quotePrefix="0" xfId="0">
      <alignment horizontal="center" vertical="top" wrapText="1"/>
    </xf>
    <xf numFmtId="0" fontId="19" fillId="12" borderId="111" applyAlignment="1" pivotButton="0" quotePrefix="0" xfId="0">
      <alignment horizontal="center" vertical="top" wrapText="1"/>
    </xf>
    <xf numFmtId="0" fontId="19" fillId="13" borderId="113" applyAlignment="1" pivotButton="0" quotePrefix="0" xfId="0">
      <alignment horizontal="center" vertical="top" wrapText="1"/>
    </xf>
    <xf numFmtId="0" fontId="38" fillId="13" borderId="114" applyAlignment="1" pivotButton="0" quotePrefix="0" xfId="0">
      <alignment horizontal="center" vertical="top" wrapText="1"/>
    </xf>
    <xf numFmtId="0" fontId="38" fillId="13" borderId="108" applyAlignment="1" pivotButton="0" quotePrefix="0" xfId="0">
      <alignment horizontal="center" vertical="top" wrapText="1"/>
    </xf>
    <xf numFmtId="0" fontId="19" fillId="12" borderId="71" applyAlignment="1" pivotButton="0" quotePrefix="0" xfId="0">
      <alignment horizontal="center" vertical="top" wrapText="1"/>
    </xf>
    <xf numFmtId="0" fontId="19" fillId="12" borderId="72" applyAlignment="1" pivotButton="0" quotePrefix="0" xfId="0">
      <alignment horizontal="center" vertical="top" wrapText="1"/>
    </xf>
    <xf numFmtId="0" fontId="19" fillId="12" borderId="73" applyAlignment="1" pivotButton="0" quotePrefix="0" xfId="0">
      <alignment horizontal="center" vertical="top" wrapText="1"/>
    </xf>
    <xf numFmtId="0" fontId="19" fillId="13" borderId="5" applyAlignment="1" pivotButton="0" quotePrefix="0" xfId="0">
      <alignment horizontal="center" vertical="top" wrapText="1"/>
    </xf>
    <xf numFmtId="0" fontId="19" fillId="13" borderId="51" applyAlignment="1" pivotButton="0" quotePrefix="0" xfId="0">
      <alignment horizontal="center" vertical="top" wrapText="1"/>
    </xf>
    <xf numFmtId="0" fontId="19" fillId="13" borderId="6" applyAlignment="1" pivotButton="0" quotePrefix="0" xfId="0">
      <alignment horizontal="center" vertical="top" wrapText="1"/>
    </xf>
    <xf numFmtId="0" fontId="18" fillId="6" borderId="107" applyAlignment="1" pivotButton="0" quotePrefix="0" xfId="0">
      <alignment horizontal="left" vertical="top" wrapText="1"/>
    </xf>
    <xf numFmtId="0" fontId="20" fillId="13" borderId="107" applyAlignment="1" pivotButton="0" quotePrefix="0" xfId="0">
      <alignment horizontal="center" vertical="top" wrapText="1"/>
    </xf>
    <xf numFmtId="0" fontId="18" fillId="0" borderId="5" applyAlignment="1" pivotButton="0" quotePrefix="0" xfId="0">
      <alignment horizontal="left" vertical="top" wrapText="1"/>
    </xf>
    <xf numFmtId="0" fontId="18" fillId="0" borderId="67" applyAlignment="1" pivotButton="0" quotePrefix="0" xfId="0">
      <alignment horizontal="left" vertical="top" wrapText="1"/>
    </xf>
    <xf numFmtId="0" fontId="18" fillId="0" borderId="89" applyAlignment="1" pivotButton="0" quotePrefix="0" xfId="0">
      <alignment horizontal="left" vertical="top" wrapText="1"/>
    </xf>
    <xf numFmtId="0" fontId="18" fillId="0" borderId="90" applyAlignment="1" pivotButton="0" quotePrefix="0" xfId="0">
      <alignment horizontal="left" vertical="top" wrapText="1"/>
    </xf>
    <xf numFmtId="0" fontId="18" fillId="0" borderId="91" applyAlignment="1" pivotButton="0" quotePrefix="0" xfId="0">
      <alignment horizontal="left" vertical="top" wrapText="1"/>
    </xf>
    <xf numFmtId="0" fontId="18" fillId="0" borderId="90" applyAlignment="1" pivotButton="0" quotePrefix="0" xfId="0">
      <alignment horizontal="left" vertical="center" wrapText="1"/>
    </xf>
    <xf numFmtId="0" fontId="18" fillId="0" borderId="91" applyAlignment="1" pivotButton="0" quotePrefix="0" xfId="0">
      <alignment horizontal="left" vertical="center" wrapText="1"/>
    </xf>
    <xf numFmtId="0" fontId="19" fillId="13" borderId="107" applyAlignment="1" pivotButton="0" quotePrefix="0" xfId="0">
      <alignment horizontal="center" vertical="top" wrapText="1"/>
    </xf>
    <xf numFmtId="0" fontId="0" fillId="9" borderId="0" applyAlignment="1" pivotButton="0" quotePrefix="0" xfId="0">
      <alignment horizontal="center" vertical="top" wrapText="1" shrinkToFit="1"/>
    </xf>
    <xf numFmtId="0" fontId="18" fillId="0" borderId="132" applyAlignment="1" pivotButton="0" quotePrefix="0" xfId="0">
      <alignment horizontal="left" vertical="top" wrapText="1"/>
    </xf>
    <xf numFmtId="0" fontId="18" fillId="0" borderId="126" applyAlignment="1" pivotButton="0" quotePrefix="0" xfId="0">
      <alignment horizontal="left" vertical="top" wrapText="1"/>
    </xf>
    <xf numFmtId="0" fontId="18" fillId="6" borderId="126" applyAlignment="1" pivotButton="0" quotePrefix="0" xfId="0">
      <alignment horizontal="left" vertical="top" wrapText="1"/>
    </xf>
    <xf numFmtId="0" fontId="18" fillId="0" borderId="126" applyAlignment="1" pivotButton="0" quotePrefix="0" xfId="0">
      <alignment horizontal="center" vertical="top" wrapText="1"/>
    </xf>
    <xf numFmtId="0" fontId="18" fillId="27" borderId="134" applyAlignment="1" pivotButton="0" quotePrefix="0" xfId="0">
      <alignment horizontal="left" vertical="top" wrapText="1"/>
    </xf>
    <xf numFmtId="0" fontId="18" fillId="27" borderId="15" applyAlignment="1" pivotButton="0" quotePrefix="0" xfId="0">
      <alignment horizontal="left" vertical="top" wrapText="1"/>
    </xf>
    <xf numFmtId="0" fontId="18" fillId="27" borderId="134" applyAlignment="1" pivotButton="0" quotePrefix="0" xfId="0">
      <alignment horizontal="center" vertical="top" wrapText="1"/>
    </xf>
    <xf numFmtId="0" fontId="18" fillId="27" borderId="134" applyAlignment="1" pivotButton="0" quotePrefix="0" xfId="0">
      <alignment vertical="top" wrapText="1"/>
    </xf>
    <xf numFmtId="0" fontId="2" fillId="2" borderId="134" applyAlignment="1" pivotButton="0" quotePrefix="0" xfId="0">
      <alignment horizontal="center" vertical="center"/>
    </xf>
    <xf numFmtId="0" fontId="0" fillId="0" borderId="111" pivotButton="0" quotePrefix="0" xfId="0"/>
    <xf numFmtId="0" fontId="2" fillId="2" borderId="130" applyAlignment="1" pivotButton="0" quotePrefix="0" xfId="0">
      <alignment horizontal="center" vertical="center"/>
    </xf>
    <xf numFmtId="0" fontId="0" fillId="0" borderId="6" pivotButton="0" quotePrefix="0" xfId="0"/>
    <xf numFmtId="0" fontId="2" fillId="3" borderId="134" applyAlignment="1" pivotButton="0" quotePrefix="0" xfId="0">
      <alignment horizontal="center" wrapText="1"/>
    </xf>
    <xf numFmtId="0" fontId="2" fillId="3" borderId="134" applyAlignment="1" pivotButton="0" quotePrefix="0" xfId="0">
      <alignment horizontal="center"/>
    </xf>
    <xf numFmtId="0" fontId="2" fillId="3" borderId="130" applyAlignment="1" pivotButton="0" quotePrefix="0" xfId="0">
      <alignment horizontal="center"/>
    </xf>
    <xf numFmtId="0" fontId="0" fillId="0" borderId="132" pivotButton="0" quotePrefix="0" xfId="0"/>
    <xf numFmtId="0" fontId="0" fillId="0" borderId="131" pivotButton="0" quotePrefix="0" xfId="0"/>
    <xf numFmtId="9" fontId="0" fillId="0" borderId="134" applyAlignment="1" pivotButton="0" quotePrefix="0" xfId="0">
      <alignment horizontal="center" vertical="center"/>
    </xf>
    <xf numFmtId="9" fontId="0" fillId="4" borderId="134" applyAlignment="1" pivotButton="0" quotePrefix="0" xfId="0">
      <alignment horizontal="center" vertical="center"/>
    </xf>
    <xf numFmtId="0" fontId="2" fillId="3" borderId="134" applyAlignment="1" pivotButton="0" quotePrefix="0" xfId="0">
      <alignment horizontal="left" wrapText="1"/>
    </xf>
    <xf numFmtId="0" fontId="4" fillId="3" borderId="130" applyAlignment="1" pivotButton="0" quotePrefix="0" xfId="0">
      <alignment horizontal="center" vertical="top"/>
    </xf>
    <xf numFmtId="0" fontId="7" fillId="12" borderId="132" applyAlignment="1" pivotButton="0" quotePrefix="0" xfId="0">
      <alignment horizontal="center" wrapText="1"/>
    </xf>
    <xf numFmtId="0" fontId="0" fillId="0" borderId="114" pivotButton="0" quotePrefix="0" xfId="0"/>
    <xf numFmtId="0" fontId="0" fillId="0" borderId="126" pivotButton="0" quotePrefix="0" xfId="0"/>
    <xf numFmtId="0" fontId="7" fillId="3" borderId="134" applyAlignment="1" pivotButton="0" quotePrefix="0" xfId="0">
      <alignment horizontal="center" wrapText="1"/>
    </xf>
    <xf numFmtId="0" fontId="9" fillId="7" borderId="134" applyAlignment="1" pivotButton="0" quotePrefix="0" xfId="2">
      <alignment horizontal="center" vertical="center" wrapText="1"/>
    </xf>
    <xf numFmtId="0" fontId="9" fillId="7" borderId="130" applyAlignment="1" pivotButton="0" quotePrefix="0" xfId="2">
      <alignment horizontal="center" vertical="center" wrapText="1"/>
    </xf>
    <xf numFmtId="0" fontId="10" fillId="7" borderId="134" applyAlignment="1" pivotButton="0" quotePrefix="0" xfId="2">
      <alignment horizontal="center"/>
    </xf>
    <xf numFmtId="0" fontId="11" fillId="5" borderId="21" applyAlignment="1" pivotButton="0" quotePrefix="0" xfId="2">
      <alignment horizontal="center" vertical="center" wrapText="1"/>
    </xf>
    <xf numFmtId="0" fontId="0" fillId="0" borderId="29" pivotButton="0" quotePrefix="0" xfId="0"/>
    <xf numFmtId="0" fontId="11" fillId="5" borderId="92" applyAlignment="1" pivotButton="0" quotePrefix="0" xfId="2">
      <alignment horizontal="center" vertical="center" wrapText="1"/>
    </xf>
    <xf numFmtId="0" fontId="6" fillId="3" borderId="126" applyAlignment="1" pivotButton="0" quotePrefix="0" xfId="2">
      <alignment horizontal="center" vertical="center" wrapText="1"/>
    </xf>
    <xf numFmtId="0" fontId="0" fillId="0" borderId="101" pivotButton="0" quotePrefix="0" xfId="0"/>
    <xf numFmtId="0" fontId="0" fillId="0" borderId="119" pivotButton="0" quotePrefix="0" xfId="0"/>
    <xf numFmtId="0" fontId="0" fillId="0" borderId="122" pivotButton="0" quotePrefix="0" xfId="0"/>
    <xf numFmtId="0" fontId="11" fillId="5" borderId="131" applyAlignment="1" pivotButton="0" quotePrefix="0" xfId="2">
      <alignment horizontal="left" vertical="center" wrapText="1"/>
    </xf>
    <xf numFmtId="0" fontId="0" fillId="0" borderId="77" pivotButton="0" quotePrefix="0" xfId="0"/>
    <xf numFmtId="0" fontId="44" fillId="16" borderId="100" applyAlignment="1" pivotButton="0" quotePrefix="0" xfId="2">
      <alignment horizontal="center" vertical="center" wrapText="1"/>
    </xf>
    <xf numFmtId="0" fontId="0" fillId="0" borderId="63" pivotButton="0" quotePrefix="0" xfId="0"/>
    <xf numFmtId="0" fontId="11" fillId="5" borderId="132" applyAlignment="1" pivotButton="0" quotePrefix="0" xfId="2">
      <alignment horizontal="left" vertical="center" wrapText="1"/>
    </xf>
    <xf numFmtId="0" fontId="6" fillId="6" borderId="132" applyAlignment="1" pivotButton="0" quotePrefix="0" xfId="2">
      <alignment horizontal="center" vertical="center" wrapText="1"/>
    </xf>
    <xf numFmtId="0" fontId="11" fillId="5" borderId="131" applyAlignment="1" pivotButton="0" quotePrefix="0" xfId="2">
      <alignment horizontal="center" vertical="center" wrapText="1"/>
    </xf>
    <xf numFmtId="0" fontId="6" fillId="6" borderId="131" applyAlignment="1" pivotButton="0" quotePrefix="0" xfId="2">
      <alignment horizontal="center" vertical="center" wrapText="1"/>
    </xf>
    <xf numFmtId="0" fontId="12" fillId="16" borderId="100" applyAlignment="1" pivotButton="0" quotePrefix="0" xfId="2">
      <alignment horizontal="center" vertical="center" wrapText="1"/>
    </xf>
    <xf numFmtId="0" fontId="11" fillId="16" borderId="92" applyAlignment="1" pivotButton="0" quotePrefix="0" xfId="2">
      <alignment horizontal="center" vertical="center" wrapText="1"/>
    </xf>
    <xf numFmtId="0" fontId="6" fillId="16" borderId="92" applyAlignment="1" pivotButton="0" quotePrefix="0" xfId="2">
      <alignment horizontal="center" wrapText="1"/>
    </xf>
    <xf numFmtId="0" fontId="11" fillId="16" borderId="134" applyAlignment="1" pivotButton="0" quotePrefix="0" xfId="2">
      <alignment horizontal="center" vertical="center" wrapText="1"/>
    </xf>
    <xf numFmtId="0" fontId="11" fillId="16" borderId="132" applyAlignment="1" pivotButton="0" quotePrefix="0" xfId="2">
      <alignment horizontal="center" vertical="center" wrapText="1"/>
    </xf>
    <xf numFmtId="0" fontId="6" fillId="16" borderId="134" applyAlignment="1" pivotButton="0" quotePrefix="0" xfId="2">
      <alignment horizontal="center" wrapText="1"/>
    </xf>
    <xf numFmtId="0" fontId="6" fillId="16" borderId="134" applyAlignment="1" pivotButton="0" quotePrefix="0" xfId="2">
      <alignment horizontal="left" wrapText="1"/>
    </xf>
    <xf numFmtId="0" fontId="11" fillId="16" borderId="126" applyAlignment="1" pivotButton="0" quotePrefix="0" xfId="2">
      <alignment horizontal="center" vertical="center" wrapText="1"/>
    </xf>
    <xf numFmtId="0" fontId="11" fillId="5" borderId="44" applyAlignment="1" pivotButton="0" quotePrefix="0" xfId="2">
      <alignment horizontal="center" vertical="center" wrapText="1"/>
    </xf>
    <xf numFmtId="0" fontId="6" fillId="6" borderId="134" applyAlignment="1" pivotButton="0" quotePrefix="0" xfId="2">
      <alignment horizontal="center" vertical="center" wrapText="1"/>
    </xf>
    <xf numFmtId="0" fontId="0" fillId="0" borderId="129" pivotButton="0" quotePrefix="0" xfId="0"/>
    <xf numFmtId="0" fontId="0" fillId="0" borderId="139" pivotButton="0" quotePrefix="0" xfId="0"/>
    <xf numFmtId="0" fontId="5" fillId="16" borderId="134" applyAlignment="1" pivotButton="0" quotePrefix="0" xfId="2">
      <alignment horizontal="center" vertical="center" wrapText="1"/>
    </xf>
    <xf numFmtId="0" fontId="5" fillId="3" borderId="134" applyAlignment="1" pivotButton="0" quotePrefix="0" xfId="2">
      <alignment horizontal="center" vertical="center" wrapText="1"/>
    </xf>
    <xf numFmtId="0" fontId="12" fillId="5" borderId="134" applyAlignment="1" pivotButton="0" quotePrefix="0" xfId="2">
      <alignment horizontal="center" vertical="center" wrapText="1"/>
    </xf>
    <xf numFmtId="0" fontId="11" fillId="16" borderId="121" applyAlignment="1" pivotButton="0" quotePrefix="0" xfId="2">
      <alignment horizontal="center" vertical="center" wrapText="1"/>
    </xf>
    <xf numFmtId="0" fontId="0" fillId="0" borderId="136" pivotButton="0" quotePrefix="0" xfId="0"/>
    <xf numFmtId="0" fontId="11" fillId="5" borderId="127" applyAlignment="1" pivotButton="0" quotePrefix="0" xfId="2">
      <alignment horizontal="center" vertical="center" wrapText="1"/>
    </xf>
    <xf numFmtId="0" fontId="11" fillId="16" borderId="127" applyAlignment="1" pivotButton="0" quotePrefix="0" xfId="2">
      <alignment horizontal="center" vertical="center" wrapText="1"/>
    </xf>
    <xf numFmtId="0" fontId="1" fillId="16" borderId="127" applyAlignment="1" pivotButton="0" quotePrefix="0" xfId="2">
      <alignment horizontal="center" vertical="center"/>
    </xf>
    <xf numFmtId="0" fontId="0" fillId="0" borderId="142" pivotButton="0" quotePrefix="0" xfId="0"/>
    <xf numFmtId="0" fontId="0" fillId="0" borderId="9" pivotButton="0" quotePrefix="0" xfId="0"/>
    <xf numFmtId="0" fontId="17" fillId="11" borderId="114" applyAlignment="1" pivotButton="0" quotePrefix="0" xfId="0">
      <alignment horizontal="center" vertical="top" wrapText="1"/>
    </xf>
    <xf numFmtId="0" fontId="17" fillId="12" borderId="134" applyAlignment="1" pivotButton="0" quotePrefix="0" xfId="0">
      <alignment horizontal="center" vertical="top" wrapText="1"/>
    </xf>
    <xf numFmtId="0" fontId="0" fillId="0" borderId="110" pivotButton="0" quotePrefix="0" xfId="0"/>
    <xf numFmtId="0" fontId="6" fillId="0" borderId="140" applyAlignment="1" pivotButton="0" quotePrefix="0" xfId="0">
      <alignment horizontal="center" vertical="top" wrapText="1"/>
    </xf>
    <xf numFmtId="0" fontId="19" fillId="13" borderId="131" applyAlignment="1" pivotButton="0" quotePrefix="0" xfId="0">
      <alignment horizontal="center" vertical="top" wrapText="1"/>
    </xf>
    <xf numFmtId="0" fontId="19" fillId="11" borderId="134" applyAlignment="1" pivotButton="0" quotePrefix="0" xfId="0">
      <alignment horizontal="center" vertical="top" wrapText="1"/>
    </xf>
    <xf numFmtId="0" fontId="19" fillId="11" borderId="28" applyAlignment="1" pivotButton="0" quotePrefix="0" xfId="0">
      <alignment horizontal="center" vertical="top" wrapText="1"/>
    </xf>
    <xf numFmtId="0" fontId="0" fillId="0" borderId="37" pivotButton="0" quotePrefix="0" xfId="0"/>
    <xf numFmtId="0" fontId="0" fillId="0" borderId="24" pivotButton="0" quotePrefix="0" xfId="0"/>
    <xf numFmtId="0" fontId="19" fillId="11" borderId="21" applyAlignment="1" pivotButton="0" quotePrefix="0" xfId="0">
      <alignment horizontal="center" vertical="top" wrapText="1"/>
    </xf>
    <xf numFmtId="0" fontId="0" fillId="0" borderId="40" pivotButton="0" quotePrefix="0" xfId="0"/>
    <xf numFmtId="0" fontId="0" fillId="0" borderId="20" pivotButton="0" quotePrefix="0" xfId="0"/>
    <xf numFmtId="0" fontId="19" fillId="11" borderId="27" applyAlignment="1" pivotButton="0" quotePrefix="0" xfId="0">
      <alignment horizontal="center" vertical="top" wrapText="1"/>
    </xf>
    <xf numFmtId="0" fontId="0" fillId="0" borderId="120" pivotButton="0" quotePrefix="0" xfId="0"/>
    <xf numFmtId="0" fontId="0" fillId="0" borderId="42" pivotButton="0" quotePrefix="0" xfId="0"/>
    <xf numFmtId="0" fontId="6" fillId="0" borderId="134" applyAlignment="1" pivotButton="0" quotePrefix="0" xfId="0">
      <alignment horizontal="left" vertical="top" wrapText="1"/>
    </xf>
    <xf numFmtId="0" fontId="19" fillId="13" borderId="132" applyAlignment="1" pivotButton="0" quotePrefix="0" xfId="0">
      <alignment horizontal="center" vertical="top" wrapText="1"/>
    </xf>
    <xf numFmtId="0" fontId="6" fillId="0" borderId="140" applyAlignment="1" pivotButton="0" quotePrefix="0" xfId="0">
      <alignment horizontal="left" vertical="top" wrapText="1"/>
    </xf>
    <xf numFmtId="0" fontId="6" fillId="6" borderId="111" applyAlignment="1" pivotButton="0" quotePrefix="0" xfId="0">
      <alignment horizontal="left" vertical="top" wrapText="1"/>
    </xf>
    <xf numFmtId="0" fontId="19" fillId="13" borderId="28" applyAlignment="1" pivotButton="0" quotePrefix="0" xfId="0">
      <alignment horizontal="center" vertical="top" wrapText="1"/>
    </xf>
    <xf numFmtId="0" fontId="6" fillId="3" borderId="134" applyAlignment="1" pivotButton="0" quotePrefix="0" xfId="0">
      <alignment horizontal="left" vertical="top" wrapText="1"/>
    </xf>
    <xf numFmtId="0" fontId="6" fillId="3" borderId="134" applyAlignment="1" pivotButton="0" quotePrefix="0" xfId="0">
      <alignment horizontal="center" vertical="top"/>
    </xf>
    <xf numFmtId="0" fontId="19" fillId="13" borderId="134" applyAlignment="1" pivotButton="0" quotePrefix="0" xfId="0">
      <alignment horizontal="center" vertical="top" wrapText="1"/>
    </xf>
    <xf numFmtId="0" fontId="12" fillId="9" borderId="132" applyAlignment="1" pivotButton="0" quotePrefix="0" xfId="0">
      <alignment horizontal="center" vertical="top" wrapText="1"/>
    </xf>
    <xf numFmtId="0" fontId="17" fillId="11" borderId="110" applyAlignment="1" pivotButton="0" quotePrefix="0" xfId="0">
      <alignment horizontal="center" vertical="top" wrapText="1"/>
    </xf>
    <xf numFmtId="0" fontId="18" fillId="0" borderId="132" applyAlignment="1" pivotButton="0" quotePrefix="0" xfId="0">
      <alignment horizontal="center" vertical="top" wrapText="1"/>
    </xf>
    <xf numFmtId="0" fontId="19" fillId="12" borderId="134" applyAlignment="1" pivotButton="0" quotePrefix="0" xfId="0">
      <alignment horizontal="center" vertical="top" wrapText="1"/>
    </xf>
    <xf numFmtId="0" fontId="20" fillId="13" borderId="114" applyAlignment="1" pivotButton="0" quotePrefix="0" xfId="0">
      <alignment horizontal="center" vertical="top" wrapText="1"/>
    </xf>
    <xf numFmtId="0" fontId="20" fillId="13" borderId="130" applyAlignment="1" pivotButton="0" quotePrefix="0" xfId="0">
      <alignment horizontal="center" vertical="top" wrapText="1"/>
    </xf>
    <xf numFmtId="0" fontId="0" fillId="0" borderId="51" pivotButton="0" quotePrefix="0" xfId="0"/>
    <xf numFmtId="0" fontId="18" fillId="6" borderId="132" applyAlignment="1" pivotButton="0" quotePrefix="0" xfId="0">
      <alignment horizontal="left" vertical="top" wrapText="1"/>
    </xf>
    <xf numFmtId="0" fontId="18" fillId="6" borderId="132" applyAlignment="1" pivotButton="0" quotePrefix="0" xfId="0">
      <alignment horizontal="center" vertical="top" wrapText="1"/>
    </xf>
    <xf numFmtId="0" fontId="31" fillId="0" borderId="134" applyAlignment="1" pivotButton="0" quotePrefix="0" xfId="0">
      <alignment horizontal="left" vertical="center"/>
    </xf>
    <xf numFmtId="0" fontId="31" fillId="0" borderId="134" applyAlignment="1" pivotButton="0" quotePrefix="0" xfId="0">
      <alignment horizontal="center" vertical="center"/>
    </xf>
    <xf numFmtId="0" fontId="12" fillId="9" borderId="134" applyAlignment="1" pivotButton="0" quotePrefix="0" xfId="0">
      <alignment horizontal="center" vertical="top" wrapText="1"/>
    </xf>
    <xf numFmtId="0" fontId="17" fillId="11" borderId="134" applyAlignment="1" pivotButton="0" quotePrefix="0" xfId="0">
      <alignment horizontal="center" vertical="top" wrapText="1"/>
    </xf>
    <xf numFmtId="0" fontId="18" fillId="0" borderId="132" applyAlignment="1" pivotButton="0" quotePrefix="0" xfId="0">
      <alignment horizontal="left" vertical="center" wrapText="1"/>
    </xf>
    <xf numFmtId="0" fontId="18" fillId="0" borderId="109" applyAlignment="1" pivotButton="0" quotePrefix="0" xfId="0">
      <alignment horizontal="left" vertical="top" wrapText="1"/>
    </xf>
    <xf numFmtId="0" fontId="0" fillId="0" borderId="113" pivotButton="0" quotePrefix="0" xfId="0"/>
    <xf numFmtId="0" fontId="18" fillId="6" borderId="134" applyAlignment="1" pivotButton="0" quotePrefix="0" xfId="0">
      <alignment horizontal="left" vertical="top" wrapText="1"/>
    </xf>
    <xf numFmtId="0" fontId="20" fillId="13" borderId="134" applyAlignment="1" pivotButton="0" quotePrefix="0" xfId="0">
      <alignment horizontal="center" vertical="top" wrapText="1"/>
    </xf>
    <xf numFmtId="0" fontId="19" fillId="13" borderId="130" applyAlignment="1" pivotButton="0" quotePrefix="0" xfId="0">
      <alignment horizontal="center" vertical="top" wrapText="1"/>
    </xf>
    <xf numFmtId="0" fontId="18" fillId="0" borderId="134" applyAlignment="1" pivotButton="0" quotePrefix="0" xfId="0">
      <alignment horizontal="left" vertical="top" wrapText="1"/>
    </xf>
    <xf numFmtId="0" fontId="0" fillId="9" borderId="121" applyAlignment="1" pivotButton="0" quotePrefix="0" xfId="0">
      <alignment horizontal="center" vertical="top" wrapText="1" shrinkToFit="1"/>
    </xf>
    <xf numFmtId="0" fontId="2" fillId="0" borderId="134" applyAlignment="1" pivotButton="0" quotePrefix="0" xfId="0">
      <alignment horizontal="center" wrapText="1"/>
    </xf>
    <xf numFmtId="0" fontId="22" fillId="9" borderId="111" applyAlignment="1" pivotButton="0" quotePrefix="0" xfId="0">
      <alignment horizontal="center"/>
    </xf>
    <xf numFmtId="0" fontId="22" fillId="9" borderId="134" applyAlignment="1" pivotButton="0" quotePrefix="0" xfId="0">
      <alignment horizontal="center"/>
    </xf>
    <xf numFmtId="0" fontId="21" fillId="0" borderId="134" applyAlignment="1" pivotButton="0" quotePrefix="0" xfId="0">
      <alignment horizontal="center"/>
    </xf>
    <xf numFmtId="0" fontId="25" fillId="4" borderId="134" applyAlignment="1" pivotButton="0" quotePrefix="0" xfId="0">
      <alignment horizontal="center" wrapText="1"/>
    </xf>
    <xf numFmtId="0" fontId="25" fillId="14" borderId="134" applyAlignment="1" pivotButton="0" quotePrefix="0" xfId="0">
      <alignment horizontal="center" wrapText="1"/>
    </xf>
    <xf numFmtId="0" fontId="21" fillId="9" borderId="14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21" fillId="0" borderId="53" applyAlignment="1" pivotButton="0" quotePrefix="0" xfId="0">
      <alignment horizontal="center"/>
    </xf>
    <xf numFmtId="0" fontId="0" fillId="0" borderId="58" pivotButton="0" quotePrefix="0" xfId="0"/>
    <xf numFmtId="0" fontId="0" fillId="0" borderId="59" pivotButton="0" quotePrefix="0" xfId="0"/>
    <xf numFmtId="0" fontId="0" fillId="9" borderId="121" applyAlignment="1" pivotButton="0" quotePrefix="0" xfId="0">
      <alignment horizontal="center"/>
    </xf>
  </cellXfs>
  <cellStyles count="4">
    <cellStyle name="Обычный" xfId="0" builtinId="0"/>
    <cellStyle name="Обычный 2" xfId="1"/>
    <cellStyle name="Обычный 3" xfId="2"/>
    <cellStyle name="Обычный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tc={003200E4-0051-49AF-BB7C-00EA00420085}</author>
  </authors>
  <commentList>
    <comment ref="E9" authorId="0" shapeId="0">
      <text>
        <t xml:space="preserve">Аншакова Ирина Сергеевна:
идеальный 1
</t>
      </text>
    </comment>
  </commentList>
</comments>
</file>

<file path=xl/comments/comment2.xml><?xml version="1.0" encoding="utf-8"?>
<comments xmlns="http://schemas.openxmlformats.org/spreadsheetml/2006/main">
  <authors>
    <author>tc={1505405D-F34C-4DEB-B641-E6BD3825D12E}</author>
  </authors>
  <commentList>
    <comment ref="H230" authorId="0" shapeId="0">
      <text>
        <t>[Threaded comment]
Your application allows you to read this threaded comment; however, any edits to it will get removed if the file is opened in a latest version of Excel.
Comment:
		Вера Осипова:
Приостановлены с 17.04.2026 решением Мукина К.</t>
      </text>
    </comment>
  </commentList>
</comments>
</file>

<file path=xl/comments/comment3.xml><?xml version="1.0" encoding="utf-8"?>
<comments xmlns="http://schemas.openxmlformats.org/spreadsheetml/2006/main">
  <authors>
    <author>tc={A054E990-4DCB-4AB8-AD16-79063C5A9571}</author>
  </authors>
  <commentList>
    <comment ref="A299" authorId="0" shapeId="0">
      <text>
        <t>[Threaded comment]
Your application allows you to read this threaded comment; however, any edits to it will get removed if the file is opened in a latest version of Excel.
Comment:
		Аншакова Ирина Сергеевна:
Пенский А. разработать план на 3й квартал</t>
      </text>
    </comment>
  </commentList>
</comments>
</file>

<file path=xl/comments/comment4.xml><?xml version="1.0" encoding="utf-8"?>
<comments xmlns="http://schemas.openxmlformats.org/spreadsheetml/2006/main">
  <authors>
    <author>tc={C08C973D-C625-2CFE-8301-7E5944644020}</author>
    <author>tc={453781E3-F7D5-497D-C47C-CFD04EB903D0}</author>
    <author>tc={54875F8E-F9FB-6DEA-95AD-EAA29BEDE883}</author>
    <author>tc={C4D78B3C-E061-B144-9000-606AD4AFDBD6}</author>
    <author>tc={5DDC9F9D-8B2C-A9B5-C719-53290D3FBF46}</author>
  </authors>
  <commentList>
    <comment ref="B3" authorId="0" shapeId="0">
      <text>
        <t xml:space="preserve">Ирина Аншакова:
отчет Штатные сотрудники
</t>
      </text>
    </comment>
    <comment ref="D3" authorId="1" shapeId="0">
      <text>
        <t xml:space="preserve">Ирина Аншакова:
отчет Штатные сотрудники
</t>
      </text>
    </comment>
    <comment ref="B13" authorId="2" shapeId="0">
      <text>
        <t xml:space="preserve">Ирина Аншакова:
отчет Штатные сотрудники
</t>
      </text>
    </comment>
    <comment ref="D13" authorId="3" shapeId="0">
      <text>
        <t xml:space="preserve">Ирина Аншакова:
отчет Штатные сотрудники
</t>
      </text>
    </comment>
    <comment ref="B17" authorId="4" shapeId="0">
      <text>
        <t xml:space="preserve">Оксана Еремина:
без учета работников, уволенных с основного места и принятых по сов-ву
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file:///\\fs\MSK\&#208;&#158;&#209;&#133;&#209;&#128;&#208;&#176;&#208;&#189;&#208;&#176;%20&#209;&#130;&#209;&#128;&#209;&#131;&#208;&#180;&#208;&#176;%20&#208;&#184;%20&#209;&#141;&#208;&#186;&#208;&#190;&#208;&#187;&#208;&#190;&#208;&#179;&#208;&#184;&#209;&#143;\&#208;&#159;&#208;&#187;&#208;&#176;&#208;&#189;%20&#209;&#128;&#208;&#176;&#208;&#177;&#208;&#190;&#209;&#130;&#209;&#139;%20&#208;&#190;&#209;&#130;&#208;&#180;&#208;&#181;&#208;&#187;&#208;&#176;" TargetMode="Externa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I3" sqref="I3"/>
    </sheetView>
  </sheetViews>
  <sheetFormatPr baseColWidth="8" defaultColWidth="10" defaultRowHeight="14.4"/>
  <cols>
    <col width="28.6640625" customWidth="1" min="1" max="1"/>
    <col width="9.6640625" customWidth="1" min="2" max="3"/>
    <col width="8.6640625" customWidth="1" min="4" max="4"/>
    <col width="7.88671875" customWidth="1" min="5" max="5"/>
    <col width="7.33203125" customWidth="1" min="6" max="6"/>
    <col width="5.6640625" customWidth="1" min="7" max="8"/>
    <col width="5.88671875" customWidth="1" min="9" max="9"/>
    <col width="6.33203125" customWidth="1" min="10" max="12"/>
    <col width="5.44140625" customWidth="1" min="13" max="13"/>
    <col width="5.33203125" customWidth="1" min="14" max="14"/>
    <col width="39.109375" customWidth="1" min="15" max="15"/>
    <col width="14.44140625" customWidth="1" min="16" max="16"/>
    <col width="10.88671875" customWidth="1" min="17" max="17"/>
    <col width="5.33203125" customWidth="1" min="18" max="18"/>
    <col width="4.88671875" customWidth="1" min="19" max="19"/>
    <col width="5.6640625" customWidth="1" min="20" max="20"/>
    <col width="6.33203125" customWidth="1" min="21" max="22"/>
    <col width="5.6640625" customWidth="1" min="23" max="23"/>
    <col width="6.88671875" customWidth="1" min="24" max="24"/>
    <col width="5.109375" customWidth="1" min="25" max="25"/>
    <col width="7.109375" customWidth="1" min="26" max="26"/>
  </cols>
  <sheetData>
    <row r="1" ht="18.6" customHeight="1">
      <c r="A1" s="746" t="inlineStr">
        <is>
          <t>Выполнение плана подбора</t>
        </is>
      </c>
      <c r="B1" s="1" t="inlineStr">
        <is>
          <t>нач.2026</t>
        </is>
      </c>
      <c r="C1" s="746" t="inlineStr">
        <is>
          <t>1кв</t>
        </is>
      </c>
      <c r="D1" s="747" t="n"/>
      <c r="E1" s="746" t="inlineStr">
        <is>
          <t xml:space="preserve">2кв </t>
        </is>
      </c>
      <c r="F1" s="747" t="n"/>
      <c r="G1" s="746" t="inlineStr">
        <is>
          <t>3кв</t>
        </is>
      </c>
      <c r="H1" s="747" t="n"/>
      <c r="I1" s="746" t="inlineStr">
        <is>
          <t>4кв</t>
        </is>
      </c>
      <c r="J1" s="747" t="n"/>
      <c r="K1" s="748" t="inlineStr">
        <is>
          <t>итог 2026</t>
        </is>
      </c>
      <c r="L1" s="749" t="n"/>
      <c r="O1" s="750" t="inlineStr">
        <is>
          <t>Эффективность каналов поиска персонала (все кандидаты) 2026</t>
        </is>
      </c>
      <c r="P1" s="751" t="inlineStr">
        <is>
          <t>шт.</t>
        </is>
      </c>
      <c r="Q1" s="752" t="inlineStr">
        <is>
          <t>%</t>
        </is>
      </c>
    </row>
    <row r="2" ht="16.2" customHeight="1">
      <c r="A2" s="753" t="n"/>
      <c r="B2" s="2" t="inlineStr">
        <is>
          <t>план</t>
        </is>
      </c>
      <c r="C2" s="3" t="inlineStr">
        <is>
          <t>план</t>
        </is>
      </c>
      <c r="D2" s="3" t="inlineStr">
        <is>
          <t>факт</t>
        </is>
      </c>
      <c r="E2" s="3" t="inlineStr">
        <is>
          <t>план</t>
        </is>
      </c>
      <c r="F2" s="3" t="inlineStr">
        <is>
          <t>факт</t>
        </is>
      </c>
      <c r="G2" s="3" t="inlineStr">
        <is>
          <t>план</t>
        </is>
      </c>
      <c r="H2" s="3" t="inlineStr">
        <is>
          <t>факт</t>
        </is>
      </c>
      <c r="I2" s="3" t="inlineStr">
        <is>
          <t>план</t>
        </is>
      </c>
      <c r="J2" s="3" t="inlineStr">
        <is>
          <t>факт</t>
        </is>
      </c>
      <c r="K2" s="3" t="inlineStr">
        <is>
          <t>план</t>
        </is>
      </c>
      <c r="L2" s="3" t="inlineStr">
        <is>
          <t>факт</t>
        </is>
      </c>
      <c r="O2" s="753" t="n"/>
      <c r="P2" s="753" t="n"/>
      <c r="Q2" s="754" t="n"/>
    </row>
    <row r="3">
      <c r="A3" s="4" t="inlineStr">
        <is>
          <t>Вакансии, шт</t>
        </is>
      </c>
      <c r="B3" s="3">
        <f>'Рекрутинг '!E261</f>
        <v/>
      </c>
      <c r="C3" s="3">
        <f>'Рекрутинг '!F261</f>
        <v/>
      </c>
      <c r="D3" s="3" t="n">
        <v>94</v>
      </c>
      <c r="E3" s="3">
        <f>'Рекрутинг '!H261</f>
        <v/>
      </c>
      <c r="F3" s="5" t="n">
        <v>71</v>
      </c>
      <c r="G3" s="6" t="n">
        <v>76</v>
      </c>
      <c r="H3" s="6" t="n">
        <v>55</v>
      </c>
      <c r="I3" s="3" t="n">
        <v>74</v>
      </c>
      <c r="J3" s="3">
        <f>#REF!</f>
        <v/>
      </c>
      <c r="K3" s="7">
        <f>C3+E3+G3+I3</f>
        <v/>
      </c>
      <c r="L3" s="7">
        <f>D3+F3+H3+J3</f>
        <v/>
      </c>
      <c r="O3" s="8" t="inlineStr">
        <is>
          <t>Отклик на HH.ru</t>
        </is>
      </c>
      <c r="P3" s="9">
        <f>'Рекрутинг '!B264</f>
        <v/>
      </c>
      <c r="Q3" s="10">
        <f>'Рекрутинг '!C264</f>
        <v/>
      </c>
    </row>
    <row r="4">
      <c r="A4" s="4" t="inlineStr">
        <is>
          <t>% выполнения плана</t>
        </is>
      </c>
      <c r="B4" s="11" t="n"/>
      <c r="C4" s="755">
        <f>D3/C3</f>
        <v/>
      </c>
      <c r="D4" s="747" t="n"/>
      <c r="E4" s="755">
        <f>F3/E3</f>
        <v/>
      </c>
      <c r="F4" s="747" t="n"/>
      <c r="G4" s="755">
        <f>H3/G3</f>
        <v/>
      </c>
      <c r="H4" s="747" t="n"/>
      <c r="I4" s="755">
        <f>J3/I3</f>
        <v/>
      </c>
      <c r="J4" s="747" t="n"/>
      <c r="K4" s="756">
        <f>L3/K3</f>
        <v/>
      </c>
      <c r="L4" s="747" t="n"/>
      <c r="O4" s="8" t="inlineStr">
        <is>
          <t>Прямой поиск на HH.ru</t>
        </is>
      </c>
      <c r="P4" s="9">
        <f>'Рекрутинг '!B265</f>
        <v/>
      </c>
      <c r="Q4" s="10">
        <f>'Рекрутинг '!C265</f>
        <v/>
      </c>
    </row>
    <row r="5" ht="28.8" customHeight="1">
      <c r="O5" s="8" t="inlineStr">
        <is>
          <t>Рекомендации (внешн., реферальная программа)</t>
        </is>
      </c>
      <c r="P5" s="9">
        <f>'Рекрутинг '!B266</f>
        <v/>
      </c>
      <c r="Q5" s="10">
        <f>'Рекрутинг '!C266</f>
        <v/>
      </c>
    </row>
    <row r="6">
      <c r="A6" s="4" t="n"/>
      <c r="B6" s="1" t="inlineStr">
        <is>
          <t>1кв.</t>
        </is>
      </c>
      <c r="C6" s="1" t="inlineStr">
        <is>
          <t>2кв.</t>
        </is>
      </c>
      <c r="D6" s="1" t="inlineStr">
        <is>
          <t>3кв.</t>
        </is>
      </c>
      <c r="E6" s="1" t="inlineStr">
        <is>
          <t>4кв.</t>
        </is>
      </c>
      <c r="F6" s="1" t="inlineStr">
        <is>
          <t>всего</t>
        </is>
      </c>
      <c r="O6" s="8" t="inlineStr">
        <is>
          <t>ВУЗы</t>
        </is>
      </c>
      <c r="P6" s="9">
        <f>'Рекрутинг '!B267</f>
        <v/>
      </c>
      <c r="Q6" s="10">
        <f>'Рекрутинг '!C267</f>
        <v/>
      </c>
    </row>
    <row r="7" ht="28.8" customHeight="1">
      <c r="A7" s="12" t="inlineStr">
        <is>
          <t>Текучесть персонала поквартально</t>
        </is>
      </c>
      <c r="B7" s="13">
        <f>'Текучесть расчетный файл 2026'!B11</f>
        <v/>
      </c>
      <c r="C7" s="13">
        <f>'Текучесть расчетный файл 2026'!D11</f>
        <v/>
      </c>
      <c r="D7" s="13">
        <f>'Текучесть расчетный файл 2026'!B21</f>
        <v/>
      </c>
      <c r="E7" s="13">
        <f>'Текучесть расчетный файл 2026'!D21</f>
        <v/>
      </c>
      <c r="F7" s="14">
        <f>SUM(B7:C7)</f>
        <v/>
      </c>
      <c r="O7" s="8" t="inlineStr">
        <is>
          <t>Сайт компании (раздел о вакансиях)</t>
        </is>
      </c>
      <c r="P7" s="9">
        <f>'Рекрутинг '!B268</f>
        <v/>
      </c>
      <c r="Q7" s="10">
        <f>'Рекрутинг '!C268</f>
        <v/>
      </c>
    </row>
    <row r="8">
      <c r="A8" s="15" t="n"/>
      <c r="B8" s="16" t="n"/>
      <c r="C8" s="16" t="n"/>
      <c r="D8" s="16" t="n"/>
      <c r="E8" s="16" t="n"/>
      <c r="F8" s="17" t="n"/>
      <c r="O8" s="8" t="inlineStr">
        <is>
          <t>Перевод внутри ГК</t>
        </is>
      </c>
      <c r="P8" s="9">
        <f>'Рекрутинг '!B269</f>
        <v/>
      </c>
      <c r="Q8" s="10">
        <f>'Рекрутинг '!C269</f>
        <v/>
      </c>
    </row>
    <row r="9">
      <c r="A9" s="757" t="inlineStr">
        <is>
          <t>Коэффициент принятия офферов 3-й кв.</t>
        </is>
      </c>
      <c r="B9" s="18" t="inlineStr">
        <is>
          <t>оффер,шт</t>
        </is>
      </c>
      <c r="C9" s="18" t="inlineStr">
        <is>
          <t>выходы,шт.</t>
        </is>
      </c>
      <c r="D9" s="18" t="inlineStr">
        <is>
          <t>отказ, шт.</t>
        </is>
      </c>
      <c r="E9" s="4" t="inlineStr">
        <is>
          <t>коэф.</t>
        </is>
      </c>
      <c r="F9" s="17" t="n"/>
      <c r="O9" s="8" t="inlineStr">
        <is>
          <t>Отклик на другой площадке (ВК и т.д.)</t>
        </is>
      </c>
      <c r="P9" s="9">
        <f>'Рекрутинг '!B270</f>
        <v/>
      </c>
      <c r="Q9" s="10">
        <f>'Рекрутинг '!C270</f>
        <v/>
      </c>
    </row>
    <row r="10">
      <c r="A10" s="753" t="n"/>
      <c r="B10" s="19" t="n">
        <v>66</v>
      </c>
      <c r="C10" s="19" t="n">
        <v>55</v>
      </c>
      <c r="D10" s="19" t="n">
        <v>11</v>
      </c>
      <c r="E10" s="20">
        <f>C10/B10</f>
        <v/>
      </c>
      <c r="F10" s="17" t="n"/>
      <c r="O10" s="8" t="inlineStr">
        <is>
          <t>Отклик на JobLab</t>
        </is>
      </c>
      <c r="P10" s="9">
        <f>'Рекрутинг '!B271</f>
        <v/>
      </c>
      <c r="Q10" s="10">
        <f>'Рекрутинг '!C271</f>
        <v/>
      </c>
    </row>
    <row r="11">
      <c r="A11" s="15" t="n"/>
      <c r="B11" s="16" t="n"/>
      <c r="C11" s="16" t="n"/>
      <c r="D11" s="16" t="n"/>
      <c r="E11" s="16" t="n"/>
      <c r="F11" s="17" t="n"/>
      <c r="O11" s="8" t="inlineStr">
        <is>
          <t>Другой</t>
        </is>
      </c>
      <c r="P11" s="9">
        <f>'Рекрутинг '!B272</f>
        <v/>
      </c>
      <c r="Q11" s="10">
        <f>'Рекрутинг '!C272</f>
        <v/>
      </c>
    </row>
    <row r="12" ht="28.8" customHeight="1">
      <c r="A12" s="21" t="inlineStr">
        <is>
          <t>Конверсия писем по кандидатам за 3-й кв.</t>
        </is>
      </c>
      <c r="B12" s="22" t="inlineStr">
        <is>
          <t>Вакансии</t>
        </is>
      </c>
      <c r="C12" s="22" t="inlineStr">
        <is>
          <t>Отправлено писем</t>
        </is>
      </c>
      <c r="D12" s="22" t="inlineStr">
        <is>
          <t>% открытия</t>
        </is>
      </c>
      <c r="E12" s="22" t="inlineStr">
        <is>
          <t>Получено ответов</t>
        </is>
      </c>
      <c r="F12" s="17" t="n"/>
      <c r="O12" s="23" t="inlineStr">
        <is>
          <t>Всего</t>
        </is>
      </c>
      <c r="P12" s="24">
        <f>SUM(P3:P11)</f>
        <v/>
      </c>
      <c r="Q12" s="10">
        <f>'Рекрутинг '!C273</f>
        <v/>
      </c>
    </row>
    <row r="13">
      <c r="A13" s="25" t="inlineStr">
        <is>
          <t>Всего по отчету</t>
        </is>
      </c>
      <c r="B13" s="26" t="n">
        <v>82</v>
      </c>
      <c r="C13" s="27" t="n">
        <v>913</v>
      </c>
      <c r="D13" s="28" t="n">
        <v>0.77</v>
      </c>
      <c r="E13" s="29" t="n">
        <v>260</v>
      </c>
    </row>
    <row r="14">
      <c r="A14" s="15" t="n"/>
      <c r="B14" s="16" t="n"/>
      <c r="C14" s="16" t="n"/>
      <c r="D14" s="16" t="n"/>
      <c r="E14" s="16" t="n"/>
      <c r="O14" s="758" t="inlineStr">
        <is>
          <t>Статистика причин отказов</t>
        </is>
      </c>
      <c r="P14" s="749" t="n"/>
      <c r="Q14" s="30" t="n"/>
    </row>
    <row r="15" ht="28.8" customHeight="1">
      <c r="A15" s="21" t="inlineStr">
        <is>
          <t>Назначенные интервью за 3-й кв.</t>
        </is>
      </c>
      <c r="B15" s="22" t="inlineStr">
        <is>
          <t>Назначено</t>
        </is>
      </c>
      <c r="C15" s="22" t="inlineStr">
        <is>
          <t>Отменено</t>
        </is>
      </c>
      <c r="O15" s="424" t="inlineStr">
        <is>
          <t>Причины отказов</t>
        </is>
      </c>
      <c r="P15" s="424" t="inlineStr">
        <is>
          <t>шт.</t>
        </is>
      </c>
    </row>
    <row r="16" ht="16.2" customHeight="1">
      <c r="A16" s="4" t="n"/>
      <c r="B16" s="26" t="n">
        <v>387</v>
      </c>
      <c r="C16" s="28" t="n">
        <v>0.09</v>
      </c>
      <c r="O16" s="425" t="inlineStr">
        <is>
          <t>Overqualified</t>
        </is>
      </c>
      <c r="P16" s="426" t="n">
        <v>9</v>
      </c>
      <c r="Q16" s="31" t="n"/>
      <c r="R16" s="32" t="n"/>
    </row>
    <row r="17">
      <c r="O17" s="425" t="inlineStr">
        <is>
          <t>Вакансия закрыта/приостановлена</t>
        </is>
      </c>
      <c r="P17" s="426" t="n">
        <v>557</v>
      </c>
      <c r="Q17" s="31" t="n"/>
      <c r="R17" s="32" t="n"/>
    </row>
    <row r="18">
      <c r="A18" s="751" t="inlineStr">
        <is>
          <t>Проектная работа</t>
        </is>
      </c>
      <c r="B18" s="747" t="n"/>
      <c r="C18" s="33" t="inlineStr">
        <is>
          <t>Статус</t>
        </is>
      </c>
      <c r="O18" s="425" t="inlineStr">
        <is>
          <t>Долго на этапе</t>
        </is>
      </c>
      <c r="P18" s="426" t="n">
        <v>578</v>
      </c>
      <c r="Q18" s="31" t="n"/>
      <c r="R18" s="32" t="n"/>
    </row>
    <row r="19">
      <c r="A19" s="759" t="inlineStr">
        <is>
          <t>Кадровой делопроизводство</t>
        </is>
      </c>
      <c r="B19" s="760" t="n"/>
      <c r="C19" s="761" t="n"/>
      <c r="O19" s="425" t="inlineStr">
        <is>
          <t>Не прошел СБ</t>
        </is>
      </c>
      <c r="P19" s="426" t="n">
        <v>9</v>
      </c>
      <c r="Q19" s="31" t="n"/>
      <c r="R19" s="32" t="n"/>
    </row>
    <row r="20" ht="47.25" customHeight="1">
      <c r="A20" s="762" t="inlineStr">
        <is>
          <t>Переход на КЭДО</t>
        </is>
      </c>
      <c r="B20" s="747" t="n"/>
      <c r="C20" s="34" t="inlineStr">
        <is>
          <t>в процессе</t>
        </is>
      </c>
      <c r="O20" s="425" t="inlineStr">
        <is>
          <t>Отказ (нет вакансии)</t>
        </is>
      </c>
      <c r="P20" s="426" t="n">
        <v>21</v>
      </c>
      <c r="Q20" s="31" t="n"/>
      <c r="R20" s="32" t="n"/>
    </row>
    <row r="21" ht="44.25" customHeight="1">
      <c r="A21" s="762" t="inlineStr">
        <is>
          <t>Восстановление КДП 2025 + 2024 частично</t>
        </is>
      </c>
      <c r="B21" s="747" t="n"/>
      <c r="C21" s="34" t="inlineStr">
        <is>
          <t>в процессе</t>
        </is>
      </c>
      <c r="O21" s="425" t="inlineStr">
        <is>
          <t>Отклонен заказчиком (личностные качества)</t>
        </is>
      </c>
      <c r="P21" s="426" t="n">
        <v>58</v>
      </c>
      <c r="Q21" s="31" t="n"/>
      <c r="R21" s="32" t="n"/>
    </row>
    <row r="22" ht="28.5" customHeight="1">
      <c r="A22" s="762" t="inlineStr">
        <is>
          <t>Организационная структура и штатное расписание</t>
        </is>
      </c>
      <c r="B22" s="747" t="n"/>
      <c r="C22" s="34" t="inlineStr">
        <is>
          <t>в процессе</t>
        </is>
      </c>
      <c r="O22" s="425" t="inlineStr">
        <is>
          <t>Отклонен заказчиком (уровень квалификации)</t>
        </is>
      </c>
      <c r="P22" s="426" t="n">
        <v>374</v>
      </c>
      <c r="Q22" s="31" t="n"/>
      <c r="R22" s="32" t="n"/>
    </row>
    <row r="23" ht="46.5" customHeight="1">
      <c r="A23" s="762" t="inlineStr">
        <is>
          <t>Актуализация ДИ</t>
        </is>
      </c>
      <c r="B23" s="747" t="n"/>
      <c r="C23" s="34" t="inlineStr">
        <is>
          <t>в процессе</t>
        </is>
      </c>
      <c r="O23" s="425" t="inlineStr">
        <is>
          <t>Отклонен заказчиком (фин. ожидания)</t>
        </is>
      </c>
      <c r="P23" s="426" t="n">
        <v>28</v>
      </c>
      <c r="Q23" s="31" t="n"/>
      <c r="R23" s="32" t="n"/>
    </row>
    <row r="24" ht="40.5" customHeight="1">
      <c r="A24" s="762" t="inlineStr">
        <is>
          <t>Актуализация ЛНА</t>
        </is>
      </c>
      <c r="B24" s="747" t="n"/>
      <c r="C24" s="34" t="inlineStr">
        <is>
          <t>в процессе</t>
        </is>
      </c>
      <c r="O24" s="425" t="inlineStr">
        <is>
          <t>Отклонен заказчиком по резюме</t>
        </is>
      </c>
      <c r="P24" s="426" t="n">
        <v>395</v>
      </c>
      <c r="Q24" s="31" t="n"/>
      <c r="R24" s="32" t="n"/>
    </row>
    <row r="25" ht="19.5" customHeight="1">
      <c r="A25" s="759" t="inlineStr">
        <is>
          <t>Рекрутинг</t>
        </is>
      </c>
      <c r="B25" s="760" t="n"/>
      <c r="C25" s="761" t="n"/>
      <c r="O25" s="425" t="inlineStr">
        <is>
          <t>Отклонен после тестирования</t>
        </is>
      </c>
      <c r="P25" s="426" t="n">
        <v>1</v>
      </c>
      <c r="Q25" s="31" t="n"/>
      <c r="R25" s="32" t="n"/>
    </row>
    <row r="26" ht="25.95" customHeight="1">
      <c r="A26" s="762" t="inlineStr">
        <is>
          <t>Выстраивание системы адаптации и наставничества (Положения)</t>
        </is>
      </c>
      <c r="B26" s="747" t="n"/>
      <c r="C26" s="34" t="inlineStr">
        <is>
          <t>в процессе</t>
        </is>
      </c>
      <c r="O26" s="425" t="inlineStr">
        <is>
          <t>Отклонен рекрутером (график)</t>
        </is>
      </c>
      <c r="P26" s="426" t="n">
        <v>4</v>
      </c>
      <c r="Q26" s="31" t="n"/>
      <c r="R26" s="32" t="n"/>
    </row>
    <row r="27">
      <c r="A27" s="762" t="inlineStr">
        <is>
          <t>Разработка и проведение внутреннего обучения по подбору персонала для руководителей</t>
        </is>
      </c>
      <c r="B27" s="747" t="n"/>
      <c r="C27" s="34" t="inlineStr">
        <is>
          <t>в процессе</t>
        </is>
      </c>
      <c r="O27" s="425" t="inlineStr">
        <is>
          <t>Отклонен рекрутером (личностные качества)</t>
        </is>
      </c>
      <c r="P27" s="426" t="n">
        <v>54</v>
      </c>
      <c r="Q27" s="31" t="n"/>
      <c r="R27" s="32" t="n"/>
    </row>
    <row r="28" ht="28.2" customHeight="1">
      <c r="A28" s="762" t="inlineStr">
        <is>
          <t>Проект "Кадровый резерв АИ СН"</t>
        </is>
      </c>
      <c r="B28" s="747" t="n"/>
      <c r="C28" s="34" t="inlineStr">
        <is>
          <t>в процессе</t>
        </is>
      </c>
      <c r="O28" s="425" t="inlineStr">
        <is>
          <t>Отклонен рекрутером (по истории)</t>
        </is>
      </c>
      <c r="P28" s="426" t="n">
        <v>15</v>
      </c>
      <c r="Q28" s="31" t="n"/>
      <c r="R28" s="32" t="n"/>
    </row>
    <row r="29" ht="22.95" customHeight="1">
      <c r="A29" s="762" t="inlineStr">
        <is>
          <t>Летний корпоратив АИ СН + ЦТП</t>
        </is>
      </c>
      <c r="B29" s="747" t="n"/>
      <c r="C29" s="34" t="inlineStr">
        <is>
          <t>выполнено</t>
        </is>
      </c>
      <c r="O29" s="425" t="inlineStr">
        <is>
          <t>Отклонен рекрутером (уровень квалификации)</t>
        </is>
      </c>
      <c r="P29" s="426" t="n">
        <v>141</v>
      </c>
      <c r="Q29" s="31" t="n"/>
      <c r="R29" s="32" t="n"/>
    </row>
    <row r="30">
      <c r="A30" s="762" t="inlineStr">
        <is>
          <t>Актуализация реферальной программы</t>
        </is>
      </c>
      <c r="B30" s="747" t="n"/>
      <c r="C30" s="34" t="inlineStr">
        <is>
          <t>выполнено</t>
        </is>
      </c>
      <c r="O30" s="425" t="inlineStr">
        <is>
          <t>Отклонен рекрутером (фин. ожидания)</t>
        </is>
      </c>
      <c r="P30" s="426" t="n">
        <v>21</v>
      </c>
      <c r="Q30" s="31" t="n"/>
      <c r="R30" s="32" t="n"/>
    </row>
    <row r="31" ht="39.75" customHeight="1">
      <c r="A31" s="762" t="inlineStr">
        <is>
          <t>Ввыстраивание системы коммуникаций с сотрудником на ИС (разработка и внедрение чек-листа)</t>
        </is>
      </c>
      <c r="B31" s="747" t="n"/>
      <c r="C31" s="34" t="inlineStr">
        <is>
          <t>в процессе</t>
        </is>
      </c>
      <c r="O31" s="425" t="inlineStr">
        <is>
          <t>Отклонен рекрутером по резюме</t>
        </is>
      </c>
      <c r="P31" s="426" t="n">
        <v>112</v>
      </c>
      <c r="Q31" s="31" t="n"/>
      <c r="R31" s="32" t="n"/>
    </row>
    <row r="32" ht="20.25" customHeight="1">
      <c r="A32" s="762" t="inlineStr">
        <is>
          <t>Развитие взаимодействия с ВУЗами и ССУЗами</t>
        </is>
      </c>
      <c r="B32" s="747" t="n"/>
      <c r="C32" s="34" t="inlineStr">
        <is>
          <t>в процессе</t>
        </is>
      </c>
      <c r="O32" s="425" t="inlineStr">
        <is>
          <t>Перевод на другую вакансию</t>
        </is>
      </c>
      <c r="P32" s="426" t="n">
        <v>164</v>
      </c>
      <c r="Q32" s="31" t="n"/>
      <c r="R32" s="32" t="n"/>
    </row>
    <row r="33">
      <c r="O33" s="425" t="inlineStr">
        <is>
          <t>Плохие рекомендации</t>
        </is>
      </c>
      <c r="P33" s="426" t="n">
        <v>13</v>
      </c>
      <c r="Q33" s="31" t="n"/>
      <c r="R33" s="32" t="n"/>
    </row>
    <row r="34">
      <c r="O34" s="425" t="inlineStr">
        <is>
          <t>Самоотказ (выбрал др. оффер)</t>
        </is>
      </c>
      <c r="P34" s="426" t="n">
        <v>49</v>
      </c>
      <c r="Q34" s="31" t="n"/>
      <c r="R34" s="32" t="n"/>
    </row>
    <row r="35">
      <c r="O35" s="425" t="inlineStr">
        <is>
          <t>Самоотказ (график)</t>
        </is>
      </c>
      <c r="P35" s="426" t="n">
        <v>43</v>
      </c>
      <c r="Q35" s="31" t="n"/>
      <c r="R35" s="32" t="n"/>
    </row>
    <row r="36">
      <c r="O36" s="425" t="inlineStr">
        <is>
          <t>Самоотказ (контроффер от текущего работодателя)</t>
        </is>
      </c>
      <c r="P36" s="426" t="n">
        <v>7</v>
      </c>
      <c r="Q36" s="31" t="n"/>
      <c r="R36" s="32" t="n"/>
    </row>
    <row r="37">
      <c r="O37" s="425" t="inlineStr">
        <is>
          <t>Самоотказ (не в поиске/приостановил)</t>
        </is>
      </c>
      <c r="P37" s="426" t="n">
        <v>323</v>
      </c>
      <c r="Q37" s="31" t="n"/>
      <c r="R37" s="32" t="n"/>
    </row>
    <row r="38">
      <c r="O38" s="425" t="inlineStr">
        <is>
          <t>Самоотказ (не вышел на связь)</t>
        </is>
      </c>
      <c r="P38" s="426" t="n">
        <v>1353</v>
      </c>
      <c r="Q38" s="31" t="n"/>
      <c r="R38" s="32" t="n"/>
    </row>
    <row r="39">
      <c r="O39" s="425" t="inlineStr">
        <is>
          <t>Самоотказ (не оч. интересный функционал)</t>
        </is>
      </c>
      <c r="P39" s="426" t="n">
        <v>65</v>
      </c>
      <c r="Q39" s="31" t="n"/>
      <c r="R39" s="32" t="n"/>
    </row>
    <row r="40">
      <c r="O40" s="425" t="inlineStr">
        <is>
          <t>Самоотказ (не пришел на собеседование)</t>
        </is>
      </c>
      <c r="P40" s="426" t="n">
        <v>66</v>
      </c>
      <c r="Q40" s="31" t="n"/>
      <c r="R40" s="32" t="n"/>
    </row>
    <row r="41">
      <c r="O41" s="425" t="inlineStr">
        <is>
          <t>Самоотказ (неудобно добираться)</t>
        </is>
      </c>
      <c r="P41" s="426" t="n">
        <v>243</v>
      </c>
      <c r="Q41" s="31" t="n"/>
      <c r="R41" s="32" t="n"/>
    </row>
    <row r="42">
      <c r="O42" s="425" t="inlineStr">
        <is>
          <t>Самоотказ (отзывы о компании)</t>
        </is>
      </c>
      <c r="P42" s="426" t="n">
        <v>1</v>
      </c>
    </row>
    <row r="43">
      <c r="O43" s="425" t="inlineStr">
        <is>
          <t>Самоотказ (уровень дохода)</t>
        </is>
      </c>
      <c r="P43" s="426" t="n">
        <v>177</v>
      </c>
    </row>
    <row r="44">
      <c r="O44" s="425" t="inlineStr">
        <is>
          <t>Самоотказ (уровень квалификации)</t>
        </is>
      </c>
      <c r="P44" s="426" t="n">
        <v>13</v>
      </c>
    </row>
    <row r="45">
      <c r="O45" s="425" t="inlineStr">
        <is>
          <t>Самоотказ (хочет удаленку)</t>
        </is>
      </c>
      <c r="P45" s="426" t="n">
        <v>18</v>
      </c>
    </row>
    <row r="46">
      <c r="O46" s="425" t="inlineStr">
        <is>
          <t>По другой причине</t>
        </is>
      </c>
      <c r="P46" s="426" t="n">
        <v>192</v>
      </c>
    </row>
  </sheetData>
  <mergeCells count="31">
    <mergeCell ref="A25:C25"/>
    <mergeCell ref="A30:B30"/>
    <mergeCell ref="A24:B24"/>
    <mergeCell ref="O1:O2"/>
    <mergeCell ref="C4:D4"/>
    <mergeCell ref="Q1:Q2"/>
    <mergeCell ref="E4:F4"/>
    <mergeCell ref="C1:D1"/>
    <mergeCell ref="E1:F1"/>
    <mergeCell ref="K1:L1"/>
    <mergeCell ref="A18:B18"/>
    <mergeCell ref="A27:B27"/>
    <mergeCell ref="A26:B26"/>
    <mergeCell ref="A21:B21"/>
    <mergeCell ref="A19:C19"/>
    <mergeCell ref="A32:B32"/>
    <mergeCell ref="A23:B23"/>
    <mergeCell ref="I1:J1"/>
    <mergeCell ref="A22:B22"/>
    <mergeCell ref="G4:H4"/>
    <mergeCell ref="A20:B20"/>
    <mergeCell ref="I4:J4"/>
    <mergeCell ref="A29:B29"/>
    <mergeCell ref="A9:A10"/>
    <mergeCell ref="G1:H1"/>
    <mergeCell ref="A28:B28"/>
    <mergeCell ref="O14:P14"/>
    <mergeCell ref="K4:L4"/>
    <mergeCell ref="A31:B31"/>
    <mergeCell ref="P1:P2"/>
    <mergeCell ref="A1:A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N273"/>
  <sheetViews>
    <sheetView zoomScale="80" workbookViewId="0">
      <pane xSplit="14" ySplit="2" topLeftCell="O217" activePane="bottomRight" state="frozen"/>
      <selection activeCell="J5" sqref="J5"/>
      <selection pane="topRight" activeCell="A1" sqref="A1"/>
      <selection pane="bottomLeft" activeCell="A1" sqref="A1"/>
      <selection pane="bottomRight" activeCell="H237" sqref="H237"/>
    </sheetView>
  </sheetViews>
  <sheetFormatPr baseColWidth="8" defaultColWidth="8.88671875" defaultRowHeight="14.4"/>
  <cols>
    <col width="24.33203125" customWidth="1" style="323" min="1" max="1"/>
    <col width="24.33203125" customWidth="1" style="322" min="2" max="2"/>
    <col width="17.88671875" bestFit="1" customWidth="1" style="321" min="3" max="3"/>
    <col width="34.88671875" bestFit="1" customWidth="1" style="321" min="4" max="4"/>
    <col width="18.88671875" customWidth="1" style="320" min="5" max="5"/>
    <col width="18.5546875" customWidth="1" style="319" min="6" max="6"/>
    <col width="21.5546875" customWidth="1" style="319" min="7" max="7"/>
    <col width="18.44140625" customWidth="1" style="319" min="8" max="8"/>
    <col width="21.33203125" customWidth="1" style="319" min="9" max="9"/>
    <col width="18.88671875" customWidth="1" style="319" min="10" max="10"/>
    <col width="22.33203125" customWidth="1" style="319" min="11" max="11"/>
    <col width="18.33203125" customWidth="1" style="319" min="12" max="12"/>
    <col width="20.44140625" customWidth="1" style="319" min="13" max="13"/>
    <col width="8.88671875" customWidth="1" style="319" min="14" max="16384"/>
  </cols>
  <sheetData>
    <row r="1">
      <c r="A1" s="763" t="inlineStr">
        <is>
          <t>Отдел</t>
        </is>
      </c>
      <c r="B1" s="764" t="inlineStr">
        <is>
          <t>Участок/группа</t>
        </is>
      </c>
      <c r="C1" s="763" t="inlineStr">
        <is>
          <t>Город</t>
        </is>
      </c>
      <c r="D1" s="763" t="inlineStr">
        <is>
          <t>Должность</t>
        </is>
      </c>
      <c r="E1" s="369" t="inlineStr">
        <is>
          <t>нач. 2026</t>
        </is>
      </c>
      <c r="F1" s="765" t="inlineStr">
        <is>
          <t>1 кв 2026</t>
        </is>
      </c>
      <c r="G1" s="747" t="n"/>
      <c r="H1" s="765" t="inlineStr">
        <is>
          <t>2 кв 2026</t>
        </is>
      </c>
      <c r="I1" s="747" t="n"/>
      <c r="J1" s="765" t="inlineStr">
        <is>
          <t>3 кв 2026</t>
        </is>
      </c>
      <c r="K1" s="747" t="n"/>
      <c r="L1" s="765" t="inlineStr">
        <is>
          <t>4 кв 2026</t>
        </is>
      </c>
      <c r="M1" s="747" t="n"/>
    </row>
    <row r="2">
      <c r="A2" s="753" t="n"/>
      <c r="B2" s="754" t="n"/>
      <c r="C2" s="753" t="n"/>
      <c r="D2" s="753" t="n"/>
      <c r="E2" s="369" t="inlineStr">
        <is>
          <t>Кол-во по плану, шт.</t>
        </is>
      </c>
      <c r="F2" s="368" t="inlineStr">
        <is>
          <t>Кол-во по плану, шт.</t>
        </is>
      </c>
      <c r="G2" s="368" t="inlineStr">
        <is>
          <t>Кол-во трудоустроенных</t>
        </is>
      </c>
      <c r="H2" s="368" t="inlineStr">
        <is>
          <t>Кол-во по плану, шт.</t>
        </is>
      </c>
      <c r="I2" s="368" t="inlineStr">
        <is>
          <t>Кол-во трудоустроенных</t>
        </is>
      </c>
      <c r="J2" s="368" t="inlineStr">
        <is>
          <t>Кол-во по плану, шт.</t>
        </is>
      </c>
      <c r="K2" s="368" t="inlineStr">
        <is>
          <t>Кол-во трудоустроенных</t>
        </is>
      </c>
      <c r="L2" s="368" t="inlineStr">
        <is>
          <t>Кол-во по плану, шт.</t>
        </is>
      </c>
      <c r="M2" s="368" t="inlineStr">
        <is>
          <t>Кол-во трудоустроенных</t>
        </is>
      </c>
    </row>
    <row r="3" ht="21.75" customHeight="1">
      <c r="A3" s="766" t="inlineStr">
        <is>
          <t>Отдел дизайна</t>
        </is>
      </c>
      <c r="B3" s="366" t="inlineStr">
        <is>
          <t> </t>
        </is>
      </c>
      <c r="C3" s="366" t="inlineStr">
        <is>
          <t>Москва</t>
        </is>
      </c>
      <c r="D3" s="366" t="inlineStr">
        <is>
          <t>Промышленный дизайнер</t>
        </is>
      </c>
      <c r="E3" s="345" t="n">
        <v>1</v>
      </c>
      <c r="F3" s="339" t="n">
        <v>0</v>
      </c>
      <c r="G3" s="339" t="n"/>
      <c r="H3" s="339" t="n">
        <v>0</v>
      </c>
      <c r="I3" s="339" t="n"/>
      <c r="J3" s="339" t="n"/>
      <c r="K3" s="453" t="n"/>
      <c r="L3" s="339" t="n"/>
      <c r="M3" s="339" t="n"/>
    </row>
    <row r="4" ht="21.75" customHeight="1">
      <c r="A4" s="767" t="n"/>
      <c r="B4" s="341" t="n"/>
      <c r="C4" s="366" t="n"/>
      <c r="D4" s="341" t="inlineStr">
        <is>
          <t>Специалист по документообороту</t>
        </is>
      </c>
      <c r="E4" s="340" t="n"/>
      <c r="F4" s="339" t="n"/>
      <c r="G4" s="339" t="n"/>
      <c r="H4" s="339" t="n"/>
      <c r="I4" s="339" t="n">
        <v>1</v>
      </c>
      <c r="J4" s="339" t="n"/>
      <c r="K4" s="453" t="n"/>
      <c r="L4" s="339" t="n"/>
      <c r="M4" s="339" t="n"/>
    </row>
    <row r="5" ht="21.75" customHeight="1">
      <c r="A5" s="367" t="inlineStr">
        <is>
          <t>КБ и ОГК</t>
        </is>
      </c>
      <c r="B5" s="341" t="n"/>
      <c r="C5" s="366" t="inlineStr">
        <is>
          <t>Москва</t>
        </is>
      </c>
      <c r="D5" s="341" t="inlineStr">
        <is>
          <t>Начальник КБ</t>
        </is>
      </c>
      <c r="E5" s="340" t="n">
        <v>1</v>
      </c>
      <c r="F5" s="339" t="n">
        <v>1</v>
      </c>
      <c r="G5" s="339" t="n">
        <v>1</v>
      </c>
      <c r="H5" s="339" t="n">
        <v>0</v>
      </c>
      <c r="I5" s="339" t="n"/>
      <c r="J5" s="339" t="n"/>
      <c r="K5" s="453" t="n"/>
      <c r="L5" s="339" t="n"/>
      <c r="M5" s="339" t="n"/>
    </row>
    <row r="6" ht="43.2" customHeight="1">
      <c r="A6" s="768" t="inlineStr">
        <is>
          <t>КБ и ОГК
Отдел интерьера</t>
        </is>
      </c>
      <c r="B6" s="769" t="inlineStr">
        <is>
          <t>Бригада БКО
Бригада обводов
Бригада мебели</t>
        </is>
      </c>
      <c r="C6" s="341" t="inlineStr">
        <is>
          <t>Москва</t>
        </is>
      </c>
      <c r="D6" s="341" t="inlineStr">
        <is>
          <t>ИК1, ИК2
ИК1, ИК2
ВИК, ИК1, ИК2</t>
        </is>
      </c>
      <c r="E6" s="340" t="n">
        <v>4</v>
      </c>
      <c r="F6" s="339" t="n">
        <v>1</v>
      </c>
      <c r="G6" s="339" t="n">
        <v>1</v>
      </c>
      <c r="H6" s="339" t="n">
        <v>0</v>
      </c>
      <c r="I6" s="339" t="n"/>
      <c r="J6" s="339" t="n"/>
      <c r="K6" s="453" t="n"/>
      <c r="L6" s="339" t="n"/>
      <c r="M6" s="339" t="n"/>
    </row>
    <row r="7" ht="43.2" customHeight="1">
      <c r="A7" s="770" t="n"/>
      <c r="B7" s="771" t="n"/>
      <c r="C7" s="341" t="inlineStr">
        <is>
          <t>Москва</t>
        </is>
      </c>
      <c r="D7" s="341" t="inlineStr">
        <is>
          <t>ИК1, ИК2
ИК1, ИК2
ВИК, ИК1, ИК2</t>
        </is>
      </c>
      <c r="E7" s="340" t="n">
        <v>5</v>
      </c>
      <c r="F7" s="339" t="n">
        <v>1</v>
      </c>
      <c r="G7" s="339" t="n">
        <v>1</v>
      </c>
      <c r="H7" s="339" t="n">
        <v>0</v>
      </c>
      <c r="I7" s="339" t="n"/>
      <c r="J7" s="339" t="n"/>
      <c r="K7" s="453" t="n"/>
      <c r="L7" s="339" t="n"/>
      <c r="M7" s="339" t="n"/>
    </row>
    <row r="8" ht="43.2" customHeight="1">
      <c r="A8" s="770" t="n"/>
      <c r="B8" s="771" t="n"/>
      <c r="C8" s="341" t="inlineStr">
        <is>
          <t>Москва</t>
        </is>
      </c>
      <c r="D8" s="341" t="inlineStr">
        <is>
          <t>ИК1, ИК2
ИК1, ИК2
ВИК, ИК1, ИК2</t>
        </is>
      </c>
      <c r="E8" s="340" t="n">
        <v>5</v>
      </c>
      <c r="F8" s="339" t="n">
        <v>0</v>
      </c>
      <c r="G8" s="339" t="n">
        <v>0</v>
      </c>
      <c r="H8" s="339" t="n">
        <v>0</v>
      </c>
      <c r="I8" s="339" t="n"/>
      <c r="J8" s="339" t="n"/>
      <c r="K8" s="453" t="n"/>
      <c r="L8" s="339" t="n"/>
      <c r="M8" s="339" t="n"/>
    </row>
    <row r="9" ht="43.2" customHeight="1">
      <c r="A9" s="770" t="n"/>
      <c r="B9" s="771" t="n"/>
      <c r="C9" s="341" t="inlineStr">
        <is>
          <t>Москва</t>
        </is>
      </c>
      <c r="D9" s="341" t="inlineStr">
        <is>
          <t>ИК1, ИК2
ИК1, ИК2
ВИК, ИК1, ИК2</t>
        </is>
      </c>
      <c r="E9" s="340" t="n">
        <v>5</v>
      </c>
      <c r="F9" s="339" t="n">
        <v>0</v>
      </c>
      <c r="G9" s="339" t="n">
        <v>4</v>
      </c>
      <c r="H9" s="339" t="n">
        <v>0</v>
      </c>
      <c r="I9" s="339" t="n"/>
      <c r="J9" s="339" t="n"/>
      <c r="K9" s="453" t="n"/>
      <c r="L9" s="339" t="n"/>
      <c r="M9" s="339" t="n"/>
    </row>
    <row r="10" ht="43.2" customFormat="1" customHeight="1" s="353">
      <c r="A10" s="770" t="n"/>
      <c r="B10" s="761" t="n"/>
      <c r="C10" s="356" t="inlineStr">
        <is>
          <t>Ульяновск</t>
        </is>
      </c>
      <c r="D10" s="356" t="inlineStr">
        <is>
          <t>ИК1, ИК2
ИК1, ИК2
ВИК, ИК1, ИК3</t>
        </is>
      </c>
      <c r="E10" s="355" t="n"/>
      <c r="F10" s="354" t="n"/>
      <c r="G10" s="354" t="n"/>
      <c r="H10" s="354" t="n"/>
      <c r="I10" s="354" t="n">
        <v>3</v>
      </c>
      <c r="J10" s="354" t="n"/>
      <c r="K10" s="354" t="n"/>
      <c r="L10" s="354" t="n"/>
      <c r="M10" s="354" t="n"/>
    </row>
    <row r="11" ht="61.5" customHeight="1">
      <c r="A11" s="770" t="n"/>
      <c r="B11" s="364" t="n"/>
      <c r="C11" s="341" t="inlineStr">
        <is>
          <t>Казань</t>
        </is>
      </c>
      <c r="D11" s="341" t="inlineStr">
        <is>
          <t>ИК1, ИК2
ИК1, ИК2
ВИК, ИК1, ИК2</t>
        </is>
      </c>
      <c r="E11" s="340" t="n"/>
      <c r="F11" s="339" t="n"/>
      <c r="G11" s="339" t="n"/>
      <c r="H11" s="339" t="n"/>
      <c r="I11" s="339" t="n"/>
      <c r="J11" s="339" t="n"/>
      <c r="K11" s="453" t="n"/>
      <c r="L11" s="339" t="n">
        <v>1</v>
      </c>
      <c r="M11" s="339" t="n"/>
    </row>
    <row r="12" ht="61.5" customHeight="1">
      <c r="A12" s="772" t="n"/>
      <c r="B12" s="364" t="n"/>
      <c r="C12" s="341" t="inlineStr">
        <is>
          <t>Жуковский</t>
        </is>
      </c>
      <c r="D12" s="341" t="inlineStr">
        <is>
          <t>ИК1, ИК2
ИК1, ИК2
ВИК, ИК1, ИК2</t>
        </is>
      </c>
      <c r="E12" s="340" t="n"/>
      <c r="F12" s="339" t="n"/>
      <c r="G12" s="339" t="n"/>
      <c r="H12" s="339" t="n"/>
      <c r="I12" s="339" t="n"/>
      <c r="J12" s="339" t="n"/>
      <c r="K12" s="453" t="n"/>
      <c r="L12" s="339" t="n">
        <v>1</v>
      </c>
      <c r="M12" s="339" t="n"/>
    </row>
    <row r="13" ht="61.5" customHeight="1">
      <c r="A13" s="571" t="inlineStr">
        <is>
          <t>КБ и ОГК
БЭО</t>
        </is>
      </c>
      <c r="B13" s="364" t="inlineStr">
        <is>
          <t>Бригада электросхем</t>
        </is>
      </c>
      <c r="C13" s="341" t="inlineStr">
        <is>
          <t>Москва</t>
        </is>
      </c>
      <c r="D13" s="365" t="inlineStr">
        <is>
          <t>Ведущий инженер-электрик       Инженер-электрик 1 категории</t>
        </is>
      </c>
      <c r="E13" s="340" t="n">
        <v>2</v>
      </c>
      <c r="F13" s="339" t="n">
        <v>0</v>
      </c>
      <c r="G13" s="339" t="n">
        <v>0</v>
      </c>
      <c r="H13" s="339" t="n">
        <v>0</v>
      </c>
      <c r="I13" s="339" t="n"/>
      <c r="J13" s="339" t="n"/>
      <c r="K13" s="453" t="n">
        <v>1</v>
      </c>
      <c r="L13" s="339" t="n"/>
      <c r="M13" s="339" t="n"/>
    </row>
    <row r="14" ht="66" customHeight="1">
      <c r="A14" s="571" t="inlineStr">
        <is>
          <t>КБ и ОГК
ЭТД</t>
        </is>
      </c>
      <c r="B14" s="341" t="inlineStr">
        <is>
          <t>отдел ЭТД</t>
        </is>
      </c>
      <c r="C14" s="341" t="inlineStr">
        <is>
          <t>Москва</t>
        </is>
      </c>
      <c r="D14" s="341" t="inlineStr">
        <is>
          <t>Инженер-конструктор 2 категории отдела ЭТД (РЭ, КДСЕ)</t>
        </is>
      </c>
      <c r="E14" s="340" t="n">
        <v>2</v>
      </c>
      <c r="F14" s="339" t="n">
        <v>3</v>
      </c>
      <c r="G14" s="339" t="n">
        <v>1</v>
      </c>
      <c r="H14" s="339" t="n">
        <v>0</v>
      </c>
      <c r="I14" s="339" t="n"/>
      <c r="J14" s="339" t="n"/>
      <c r="K14" s="453" t="n"/>
      <c r="L14" s="339" t="n"/>
      <c r="M14" s="339" t="n"/>
    </row>
    <row r="15" ht="100.5" customHeight="1">
      <c r="A15" s="571" t="inlineStr">
        <is>
          <t>КБ и ОГК
Отдел технической документации</t>
        </is>
      </c>
      <c r="B15" s="341" t="inlineStr">
        <is>
          <t> </t>
        </is>
      </c>
      <c r="C15" s="341" t="inlineStr">
        <is>
          <t>Москва</t>
        </is>
      </c>
      <c r="D15" s="341" t="inlineStr">
        <is>
          <t>Начальник отдела</t>
        </is>
      </c>
      <c r="E15" s="340" t="n">
        <v>1</v>
      </c>
      <c r="F15" s="339" t="n">
        <v>1</v>
      </c>
      <c r="G15" s="339" t="n">
        <v>1</v>
      </c>
      <c r="H15" s="339" t="n">
        <v>0</v>
      </c>
      <c r="I15" s="339" t="n"/>
      <c r="J15" s="339" t="n"/>
      <c r="K15" s="453" t="n"/>
      <c r="L15" s="339" t="n"/>
      <c r="M15" s="339" t="n"/>
    </row>
    <row r="16" ht="100.5" customHeight="1">
      <c r="A16" s="571" t="inlineStr">
        <is>
          <t>КБ и ОГК
Отдел общего проектирования (ООП)</t>
        </is>
      </c>
      <c r="B16" s="341" t="inlineStr">
        <is>
          <t> </t>
        </is>
      </c>
      <c r="C16" s="341" t="inlineStr">
        <is>
          <t>Москва</t>
        </is>
      </c>
      <c r="D16" s="341" t="inlineStr">
        <is>
          <t>Инеженр-конструктор</t>
        </is>
      </c>
      <c r="E16" s="340" t="n">
        <v>1</v>
      </c>
      <c r="F16" s="339" t="n">
        <v>1</v>
      </c>
      <c r="G16" s="339" t="n">
        <v>1</v>
      </c>
      <c r="H16" s="339" t="n">
        <v>0</v>
      </c>
      <c r="I16" s="339" t="n"/>
      <c r="J16" s="339" t="n"/>
      <c r="K16" s="453" t="n"/>
      <c r="L16" s="339" t="n">
        <v>1</v>
      </c>
      <c r="M16" s="339" t="n"/>
    </row>
    <row r="17" ht="79.5" customHeight="1">
      <c r="A17" s="571" t="inlineStr">
        <is>
          <t>КБ и ОГК
Отдел прочности</t>
        </is>
      </c>
      <c r="B17" s="341" t="inlineStr">
        <is>
          <t> </t>
        </is>
      </c>
      <c r="C17" s="341" t="inlineStr">
        <is>
          <t>Москва</t>
        </is>
      </c>
      <c r="D17" s="341" t="inlineStr">
        <is>
          <t>Инженер по прочности</t>
        </is>
      </c>
      <c r="E17" s="340" t="n">
        <v>1</v>
      </c>
      <c r="F17" s="339" t="n">
        <v>1</v>
      </c>
      <c r="G17" s="339" t="n">
        <v>0</v>
      </c>
      <c r="H17" s="339" t="n">
        <v>0</v>
      </c>
      <c r="I17" s="339" t="n"/>
      <c r="J17" s="339" t="n"/>
      <c r="K17" s="453" t="n"/>
      <c r="L17" s="339" t="n"/>
      <c r="M17" s="339" t="n"/>
    </row>
    <row r="18" ht="21.75" customHeight="1">
      <c r="A18" s="773" t="inlineStr">
        <is>
          <t>КБ и ОГК
Отдел нормоконтроля</t>
        </is>
      </c>
      <c r="B18" s="341" t="inlineStr">
        <is>
          <t> </t>
        </is>
      </c>
      <c r="C18" s="341" t="inlineStr">
        <is>
          <t>Москва</t>
        </is>
      </c>
      <c r="D18" s="364" t="inlineStr">
        <is>
          <t>Ведущий инженер по стандартизации</t>
        </is>
      </c>
      <c r="E18" s="340" t="n">
        <v>1</v>
      </c>
      <c r="F18" s="339" t="n">
        <v>1</v>
      </c>
      <c r="G18" s="339" t="n">
        <v>0</v>
      </c>
      <c r="H18" s="339" t="n">
        <v>0</v>
      </c>
      <c r="I18" s="339" t="n"/>
      <c r="J18" s="339" t="n"/>
      <c r="K18" s="453" t="n"/>
      <c r="L18" s="339" t="n"/>
      <c r="M18" s="339" t="n"/>
    </row>
    <row r="19" ht="70.5" customHeight="1">
      <c r="A19" s="754" t="n"/>
      <c r="B19" s="341" t="inlineStr">
        <is>
          <t> </t>
        </is>
      </c>
      <c r="C19" s="341" t="inlineStr">
        <is>
          <t>Москва</t>
        </is>
      </c>
      <c r="D19" s="364" t="inlineStr">
        <is>
          <t>Инженер по стандартизации 1 категории</t>
        </is>
      </c>
      <c r="E19" s="340" t="n">
        <v>1</v>
      </c>
      <c r="F19" s="339" t="n">
        <v>0</v>
      </c>
      <c r="G19" s="339" t="n">
        <v>0</v>
      </c>
      <c r="H19" s="339" t="n">
        <v>0</v>
      </c>
      <c r="I19" s="339" t="n"/>
      <c r="J19" s="339" t="n"/>
      <c r="K19" s="453" t="n"/>
      <c r="L19" s="339" t="n"/>
      <c r="M19" s="339" t="n"/>
    </row>
    <row r="20" ht="21.75" customHeight="1">
      <c r="A20" s="567" t="inlineStr">
        <is>
          <t>КБ и ОГК
Отдел главного конструктора (ОГК)</t>
        </is>
      </c>
      <c r="B20" s="349" t="inlineStr">
        <is>
          <t> </t>
        </is>
      </c>
      <c r="C20" s="341" t="inlineStr">
        <is>
          <t>Москва</t>
        </is>
      </c>
      <c r="D20" s="364" t="inlineStr">
        <is>
          <t>Менеджер проекта</t>
        </is>
      </c>
      <c r="E20" s="340" t="n">
        <v>1</v>
      </c>
      <c r="F20" s="339" t="n">
        <v>0</v>
      </c>
      <c r="G20" s="339" t="n">
        <v>0</v>
      </c>
      <c r="H20" s="339" t="n">
        <v>0</v>
      </c>
      <c r="I20" s="339" t="n"/>
      <c r="J20" s="339" t="n"/>
      <c r="K20" s="453" t="n"/>
      <c r="L20" s="339" t="n"/>
      <c r="M20" s="339" t="n"/>
    </row>
    <row r="21" ht="88.5" customHeight="1">
      <c r="A21" s="774" t="n"/>
      <c r="B21" s="503" t="n"/>
      <c r="C21" s="504" t="inlineStr">
        <is>
          <t>Москва</t>
        </is>
      </c>
      <c r="D21" s="505" t="inlineStr">
        <is>
          <t>Ведущий ИК или ведущий специалист в ОГК</t>
        </is>
      </c>
      <c r="E21" s="340" t="n">
        <v>1</v>
      </c>
      <c r="F21" s="339" t="n">
        <v>1</v>
      </c>
      <c r="G21" s="339" t="n">
        <v>1</v>
      </c>
      <c r="H21" s="339" t="n">
        <v>2</v>
      </c>
      <c r="I21" s="339" t="n">
        <v>1</v>
      </c>
      <c r="J21" s="339" t="n"/>
      <c r="K21" s="453" t="n"/>
      <c r="L21" s="339" t="n"/>
      <c r="M21" s="339" t="n"/>
    </row>
    <row r="22" ht="122.1" customFormat="1" customHeight="1" s="353">
      <c r="A22" s="465" t="inlineStr">
        <is>
          <t>КБ и ОГК
Отдел разработки кресел авиационных</t>
        </is>
      </c>
      <c r="B22" s="589" t="n"/>
      <c r="C22" s="583" t="n"/>
      <c r="D22" s="583" t="inlineStr">
        <is>
          <t>Ведущий инженер-конструктор</t>
        </is>
      </c>
      <c r="E22" s="506" t="n"/>
      <c r="F22" s="354" t="n"/>
      <c r="G22" s="354" t="n">
        <v>1</v>
      </c>
      <c r="H22" s="354" t="n">
        <v>0</v>
      </c>
      <c r="I22" s="354" t="n"/>
      <c r="J22" s="354" t="n"/>
      <c r="K22" s="354" t="n"/>
      <c r="L22" s="354" t="n">
        <v>1</v>
      </c>
      <c r="M22" s="354" t="n"/>
    </row>
    <row r="23" ht="28.8" customHeight="1">
      <c r="A23" s="628" t="inlineStr">
        <is>
          <t>Отдел главного технолога</t>
        </is>
      </c>
      <c r="B23" s="559" t="inlineStr">
        <is>
          <t>Бюро подготовки производства</t>
        </is>
      </c>
      <c r="C23" s="341" t="inlineStr">
        <is>
          <t>Москва</t>
        </is>
      </c>
      <c r="D23" s="340" t="inlineStr">
        <is>
          <t>Ведущий инженер-технолог (расцеховки)</t>
        </is>
      </c>
      <c r="E23" s="339" t="n">
        <v>1</v>
      </c>
      <c r="F23" s="339" t="n">
        <v>1</v>
      </c>
      <c r="G23" s="339" t="n">
        <v>1</v>
      </c>
      <c r="H23" s="339" t="n">
        <v>1</v>
      </c>
      <c r="I23" s="339" t="n"/>
      <c r="J23" s="339" t="n">
        <v>2</v>
      </c>
      <c r="K23" s="453" t="n"/>
      <c r="L23" s="339" t="n">
        <v>2</v>
      </c>
      <c r="M23" s="339" t="n"/>
    </row>
    <row r="24" ht="28.8" customHeight="1">
      <c r="B24" s="559" t="inlineStr">
        <is>
          <t>Бюро подготовки производства</t>
        </is>
      </c>
      <c r="C24" s="341" t="inlineStr">
        <is>
          <t>Москва</t>
        </is>
      </c>
      <c r="D24" s="340" t="inlineStr">
        <is>
          <t>Инженер-технолог (расцеховки)</t>
        </is>
      </c>
      <c r="E24" s="340" t="n">
        <v>1</v>
      </c>
      <c r="F24" s="339" t="n">
        <v>1</v>
      </c>
      <c r="G24" s="339" t="n">
        <v>1</v>
      </c>
      <c r="H24" s="339" t="n"/>
      <c r="I24" s="339" t="n"/>
      <c r="J24" s="339" t="n"/>
      <c r="K24" s="453" t="n"/>
      <c r="L24" s="339" t="n"/>
      <c r="M24" s="339" t="n"/>
    </row>
    <row r="25" ht="28.8" customHeight="1">
      <c r="B25" s="559" t="inlineStr">
        <is>
          <t>Технологический отдел</t>
        </is>
      </c>
      <c r="C25" s="341" t="inlineStr">
        <is>
          <t>Москва</t>
        </is>
      </c>
      <c r="D25" s="340" t="inlineStr">
        <is>
          <t>Ведущий инженер-конструктор по технологической оснастке</t>
        </is>
      </c>
      <c r="E25" s="339" t="n">
        <v>1</v>
      </c>
      <c r="F25" s="339" t="n">
        <v>1</v>
      </c>
      <c r="G25" s="339" t="n">
        <v>1</v>
      </c>
      <c r="H25" s="339" t="n"/>
      <c r="I25" s="339" t="n">
        <v>2</v>
      </c>
      <c r="J25" s="339" t="n"/>
      <c r="K25" s="453" t="n"/>
      <c r="L25" s="339" t="n"/>
      <c r="M25" s="339" t="n"/>
    </row>
    <row r="26" ht="28.8" customHeight="1">
      <c r="B26" s="559" t="inlineStr">
        <is>
          <t>Технологический отдел</t>
        </is>
      </c>
      <c r="C26" s="341" t="inlineStr">
        <is>
          <t>Москва</t>
        </is>
      </c>
      <c r="D26" s="340" t="inlineStr">
        <is>
          <t>Инженер-конструктор по технологической оснастке</t>
        </is>
      </c>
      <c r="E26" s="340" t="n">
        <v>1</v>
      </c>
      <c r="F26" s="339" t="n">
        <v>1</v>
      </c>
      <c r="G26" s="339" t="n"/>
      <c r="H26" s="339" t="n">
        <v>2</v>
      </c>
      <c r="I26" s="339" t="n"/>
      <c r="J26" s="339" t="n">
        <v>1</v>
      </c>
      <c r="K26" s="453" t="n"/>
      <c r="L26" s="339" t="n">
        <v>2</v>
      </c>
      <c r="M26" s="339" t="n"/>
    </row>
    <row r="27" ht="43.2" customHeight="1">
      <c r="B27" s="559" t="inlineStr">
        <is>
          <t>Технологический отдел/ Бюро разработки управляющих программ</t>
        </is>
      </c>
      <c r="C27" s="341" t="inlineStr">
        <is>
          <t>Москва</t>
        </is>
      </c>
      <c r="D27" s="340" t="inlineStr">
        <is>
          <t>Ведущий инженер-технолог ЧПУ</t>
        </is>
      </c>
      <c r="E27" s="339" t="n">
        <v>1</v>
      </c>
      <c r="F27" s="339" t="n">
        <v>1</v>
      </c>
      <c r="G27" s="339" t="n">
        <v>1</v>
      </c>
      <c r="H27" s="339" t="n">
        <v>3</v>
      </c>
      <c r="I27" s="339" t="n"/>
      <c r="J27" s="339" t="n">
        <v>1</v>
      </c>
      <c r="K27" s="453" t="n">
        <v>1</v>
      </c>
      <c r="L27" s="339" t="n"/>
      <c r="M27" s="339" t="n"/>
    </row>
    <row r="28" ht="43.2" customFormat="1" customHeight="1" s="454">
      <c r="B28" s="450" t="inlineStr">
        <is>
          <t>Технологический отдел/ Бюро разработки управляющих программ</t>
        </is>
      </c>
      <c r="C28" s="451" t="inlineStr">
        <is>
          <t>Москва</t>
        </is>
      </c>
      <c r="D28" s="452" t="inlineStr">
        <is>
          <t>Инженер-технолог (инструмент)</t>
        </is>
      </c>
      <c r="E28" s="452" t="n"/>
      <c r="F28" s="453" t="n"/>
      <c r="G28" s="453" t="n"/>
      <c r="H28" s="453" t="n"/>
      <c r="I28" s="453" t="n"/>
      <c r="J28" s="453" t="n"/>
      <c r="K28" s="453" t="n">
        <v>1</v>
      </c>
      <c r="L28" s="453" t="n"/>
      <c r="M28" s="453" t="n"/>
    </row>
    <row r="29" ht="28.8" customHeight="1">
      <c r="B29" s="559" t="inlineStr">
        <is>
          <t>Технологический отдел</t>
        </is>
      </c>
      <c r="C29" s="341" t="inlineStr">
        <is>
          <t>Москва</t>
        </is>
      </c>
      <c r="D29" s="340" t="inlineStr">
        <is>
          <t>Ведущий Инженер-технолог (сборка, композитные материалы)</t>
        </is>
      </c>
      <c r="E29" s="340" t="n">
        <v>1</v>
      </c>
      <c r="F29" s="339" t="n">
        <v>1</v>
      </c>
      <c r="G29" s="339" t="n">
        <v>1</v>
      </c>
      <c r="H29" s="339" t="n">
        <v>2</v>
      </c>
      <c r="I29" s="339" t="n"/>
      <c r="J29" s="339" t="n">
        <v>1</v>
      </c>
      <c r="K29" s="453" t="n"/>
      <c r="L29" s="339" t="n">
        <v>1</v>
      </c>
      <c r="M29" s="339" t="n"/>
    </row>
    <row r="30">
      <c r="B30" s="559" t="inlineStr">
        <is>
          <t>Технологический отдел</t>
        </is>
      </c>
      <c r="C30" s="341" t="inlineStr">
        <is>
          <t>Москва</t>
        </is>
      </c>
      <c r="D30" s="340" t="inlineStr">
        <is>
          <t>Инженер-технолог (металлобработка)</t>
        </is>
      </c>
      <c r="E30" s="339" t="n">
        <v>1</v>
      </c>
      <c r="F30" s="339" t="n">
        <v>1</v>
      </c>
      <c r="G30" s="339" t="n">
        <v>1</v>
      </c>
      <c r="H30" s="339" t="n"/>
      <c r="I30" s="339" t="n"/>
      <c r="J30" s="339" t="n">
        <v>3</v>
      </c>
      <c r="K30" s="453" t="n"/>
      <c r="L30" s="339" t="n">
        <v>3</v>
      </c>
      <c r="M30" s="339" t="n"/>
    </row>
    <row r="31">
      <c r="B31" s="559" t="inlineStr">
        <is>
          <t>Технологический отдел</t>
        </is>
      </c>
      <c r="C31" s="341" t="inlineStr">
        <is>
          <t>Москва</t>
        </is>
      </c>
      <c r="D31" s="340" t="inlineStr">
        <is>
          <t>Инженер-технолог (металлобработка)</t>
        </is>
      </c>
      <c r="E31" s="340" t="n">
        <v>1</v>
      </c>
      <c r="F31" s="339" t="n">
        <v>1</v>
      </c>
      <c r="G31" s="339" t="n">
        <v>1</v>
      </c>
      <c r="H31" s="339" t="n"/>
      <c r="I31" s="339" t="n"/>
      <c r="J31" s="339" t="n"/>
      <c r="K31" s="453" t="n"/>
      <c r="L31" s="339" t="n"/>
      <c r="M31" s="339" t="n"/>
    </row>
    <row r="32">
      <c r="B32" s="559" t="inlineStr">
        <is>
          <t>Технологический отдел</t>
        </is>
      </c>
      <c r="C32" s="341" t="inlineStr">
        <is>
          <t>Москва</t>
        </is>
      </c>
      <c r="D32" s="340" t="inlineStr">
        <is>
          <t>Начальник технологического бюро</t>
        </is>
      </c>
      <c r="E32" s="339" t="n">
        <v>1</v>
      </c>
      <c r="F32" s="339" t="n">
        <v>1</v>
      </c>
      <c r="G32" s="339" t="n"/>
      <c r="H32" s="339" t="n"/>
      <c r="I32" s="339" t="n"/>
      <c r="J32" s="339" t="n"/>
      <c r="K32" s="453" t="n"/>
      <c r="L32" s="339" t="n"/>
      <c r="M32" s="339" t="n"/>
    </row>
    <row r="33" ht="28.8" customHeight="1">
      <c r="B33" s="559" t="inlineStr">
        <is>
          <t>Технологический отдел</t>
        </is>
      </c>
      <c r="C33" s="341" t="inlineStr">
        <is>
          <t>Москва</t>
        </is>
      </c>
      <c r="D33" s="340" t="inlineStr">
        <is>
          <t>Ведущий Инженер-технолог (металлообработка)</t>
        </is>
      </c>
      <c r="E33" s="340" t="n">
        <v>1</v>
      </c>
      <c r="F33" s="339" t="n">
        <v>1</v>
      </c>
      <c r="G33" s="339" t="n"/>
      <c r="H33" s="339" t="n"/>
      <c r="I33" s="339" t="n"/>
      <c r="J33" s="339" t="n"/>
      <c r="K33" s="453" t="n"/>
      <c r="L33" s="339" t="n"/>
      <c r="M33" s="339" t="n"/>
    </row>
    <row r="34">
      <c r="B34" s="559" t="inlineStr">
        <is>
          <t>Технологический отдел</t>
        </is>
      </c>
      <c r="C34" s="341" t="inlineStr">
        <is>
          <t>Москва</t>
        </is>
      </c>
      <c r="D34" s="340" t="inlineStr">
        <is>
          <t xml:space="preserve">Инженер-технолог по сборке </t>
        </is>
      </c>
      <c r="E34" s="339" t="n">
        <v>1</v>
      </c>
      <c r="F34" s="339" t="n">
        <v>0</v>
      </c>
      <c r="G34" s="339" t="n"/>
      <c r="H34" s="339" t="n"/>
      <c r="I34" s="339" t="n">
        <v>2</v>
      </c>
      <c r="J34" s="339" t="n"/>
      <c r="K34" s="453" t="n"/>
      <c r="L34" s="339" t="n"/>
      <c r="M34" s="339" t="n"/>
    </row>
    <row r="35">
      <c r="B35" s="559" t="inlineStr">
        <is>
          <t>Технологический отдел</t>
        </is>
      </c>
      <c r="C35" s="341" t="inlineStr">
        <is>
          <t>Москва</t>
        </is>
      </c>
      <c r="D35" s="340" t="inlineStr">
        <is>
          <t xml:space="preserve">Инженер-технолог по сборке </t>
        </is>
      </c>
      <c r="E35" s="340" t="n">
        <v>1</v>
      </c>
      <c r="F35" s="339" t="n">
        <v>0</v>
      </c>
      <c r="G35" s="339" t="n"/>
      <c r="H35" s="339" t="n"/>
      <c r="I35" s="339" t="n"/>
      <c r="J35" s="339" t="n"/>
      <c r="K35" s="453" t="n"/>
      <c r="L35" s="339" t="n"/>
      <c r="M35" s="339" t="n"/>
    </row>
    <row r="36">
      <c r="B36" s="559" t="inlineStr">
        <is>
          <t>Технологический отдел</t>
        </is>
      </c>
      <c r="C36" s="341" t="inlineStr">
        <is>
          <t>Москва</t>
        </is>
      </c>
      <c r="D36" s="340" t="inlineStr">
        <is>
          <t xml:space="preserve">Инженер-технолог по сборке </t>
        </is>
      </c>
      <c r="E36" s="340" t="n">
        <v>1</v>
      </c>
      <c r="F36" s="339" t="n">
        <v>0</v>
      </c>
      <c r="G36" s="339" t="n"/>
      <c r="H36" s="339" t="n"/>
      <c r="I36" s="339" t="n"/>
      <c r="J36" s="339" t="n"/>
      <c r="K36" s="453" t="n"/>
      <c r="L36" s="339" t="n"/>
      <c r="M36" s="339" t="n"/>
    </row>
    <row r="37">
      <c r="B37" s="559" t="inlineStr">
        <is>
          <t>Технологический отдел</t>
        </is>
      </c>
      <c r="C37" s="341" t="inlineStr">
        <is>
          <t>Москва</t>
        </is>
      </c>
      <c r="D37" s="340" t="inlineStr">
        <is>
          <t xml:space="preserve">Инженер-технолог по сборке </t>
        </is>
      </c>
      <c r="E37" s="340" t="n">
        <v>1</v>
      </c>
      <c r="F37" s="339" t="n">
        <v>0</v>
      </c>
      <c r="G37" s="339" t="n"/>
      <c r="H37" s="339" t="n"/>
      <c r="I37" s="339" t="n"/>
      <c r="J37" s="339" t="n"/>
      <c r="K37" s="453" t="n"/>
      <c r="L37" s="339" t="n"/>
      <c r="M37" s="339" t="n"/>
    </row>
    <row r="38">
      <c r="B38" s="559" t="inlineStr">
        <is>
          <t>Технологический отдел</t>
        </is>
      </c>
      <c r="C38" s="341" t="inlineStr">
        <is>
          <t>Москва</t>
        </is>
      </c>
      <c r="D38" s="340" t="inlineStr">
        <is>
          <t>Инженер-технолог (металлобработка)</t>
        </is>
      </c>
      <c r="E38" s="340" t="n">
        <v>1</v>
      </c>
      <c r="F38" s="339" t="n">
        <v>0</v>
      </c>
      <c r="G38" s="339" t="n"/>
      <c r="H38" s="339" t="n">
        <v>3</v>
      </c>
      <c r="I38" s="339" t="n">
        <v>1</v>
      </c>
      <c r="J38" s="339" t="n"/>
      <c r="K38" s="453" t="n"/>
      <c r="L38" s="339" t="n"/>
      <c r="M38" s="339" t="n"/>
    </row>
    <row r="39">
      <c r="B39" s="559" t="inlineStr">
        <is>
          <t>Технологический отдел</t>
        </is>
      </c>
      <c r="C39" s="341" t="inlineStr">
        <is>
          <t>Москва</t>
        </is>
      </c>
      <c r="D39" s="345" t="inlineStr">
        <is>
          <t>Инженер-технолог (металлобработка)</t>
        </is>
      </c>
      <c r="E39" s="340" t="n">
        <v>1</v>
      </c>
      <c r="F39" s="339" t="n">
        <v>0</v>
      </c>
      <c r="G39" s="339" t="n"/>
      <c r="H39" s="339" t="n"/>
      <c r="I39" s="339" t="n"/>
      <c r="J39" s="339" t="n">
        <v>2</v>
      </c>
      <c r="K39" s="453" t="n">
        <v>1</v>
      </c>
      <c r="L39" s="339" t="n">
        <v>1</v>
      </c>
      <c r="M39" s="339" t="n"/>
    </row>
    <row r="40">
      <c r="B40" s="559" t="inlineStr">
        <is>
          <t>Технологический отдел</t>
        </is>
      </c>
      <c r="C40" s="341" t="inlineStr">
        <is>
          <t>Москва</t>
        </is>
      </c>
      <c r="D40" s="340" t="inlineStr">
        <is>
          <t>Инженер-технолог (металлобработка)</t>
        </is>
      </c>
      <c r="E40" s="340" t="n">
        <v>1</v>
      </c>
      <c r="F40" s="339" t="n">
        <v>0</v>
      </c>
      <c r="G40" s="339" t="n"/>
      <c r="H40" s="339" t="n"/>
      <c r="I40" s="339" t="n"/>
      <c r="J40" s="339" t="n"/>
      <c r="K40" s="453" t="n"/>
      <c r="L40" s="339" t="n"/>
      <c r="M40" s="339" t="n"/>
    </row>
    <row r="41">
      <c r="B41" s="559" t="inlineStr">
        <is>
          <t>Технологический отдел</t>
        </is>
      </c>
      <c r="C41" s="341" t="inlineStr">
        <is>
          <t>Москва</t>
        </is>
      </c>
      <c r="D41" s="345" t="inlineStr">
        <is>
          <t>Инженер-технолог (металлобработка)</t>
        </is>
      </c>
      <c r="E41" s="340" t="n">
        <v>1</v>
      </c>
      <c r="F41" s="339" t="n">
        <v>0</v>
      </c>
      <c r="G41" s="339" t="n"/>
      <c r="H41" s="339" t="n"/>
      <c r="I41" s="339" t="n"/>
      <c r="J41" s="339" t="n"/>
      <c r="K41" s="453" t="n"/>
      <c r="L41" s="339" t="n"/>
      <c r="M41" s="339" t="n"/>
    </row>
    <row r="42">
      <c r="B42" s="559" t="inlineStr">
        <is>
          <t>Технологический отдел</t>
        </is>
      </c>
      <c r="C42" s="341" t="inlineStr">
        <is>
          <t>Москва</t>
        </is>
      </c>
      <c r="D42" s="340" t="inlineStr">
        <is>
          <t>Инженер-технолог (металлобработка)</t>
        </is>
      </c>
      <c r="E42" s="340" t="n">
        <v>1</v>
      </c>
      <c r="F42" s="339" t="n">
        <v>0</v>
      </c>
      <c r="G42" s="339" t="n"/>
      <c r="H42" s="339" t="n"/>
      <c r="I42" s="339" t="n"/>
      <c r="J42" s="339" t="n"/>
      <c r="K42" s="453" t="n"/>
      <c r="L42" s="339" t="n"/>
      <c r="M42" s="339" t="n"/>
    </row>
    <row r="43">
      <c r="B43" s="559" t="inlineStr">
        <is>
          <t>Технологический отдел</t>
        </is>
      </c>
      <c r="C43" s="341" t="inlineStr">
        <is>
          <t>Москва</t>
        </is>
      </c>
      <c r="D43" s="345" t="inlineStr">
        <is>
          <t>Инженер-технолог (металлобработка)</t>
        </is>
      </c>
      <c r="E43" s="340" t="n">
        <v>1</v>
      </c>
      <c r="F43" s="339" t="n">
        <v>0</v>
      </c>
      <c r="G43" s="339" t="n"/>
      <c r="H43" s="339" t="n"/>
      <c r="I43" s="339" t="n"/>
      <c r="J43" s="339" t="n"/>
      <c r="K43" s="453" t="n"/>
      <c r="L43" s="339" t="n"/>
      <c r="M43" s="339" t="n"/>
    </row>
    <row r="44">
      <c r="B44" s="559" t="inlineStr">
        <is>
          <t>Технологический отдел</t>
        </is>
      </c>
      <c r="C44" s="341" t="inlineStr">
        <is>
          <t>Москва</t>
        </is>
      </c>
      <c r="D44" s="340" t="inlineStr">
        <is>
          <t xml:space="preserve">Инженер-технолог по сборке </t>
        </is>
      </c>
      <c r="E44" s="340" t="n">
        <v>1</v>
      </c>
      <c r="F44" s="339" t="n">
        <v>0</v>
      </c>
      <c r="G44" s="339" t="n"/>
      <c r="H44" s="339" t="n"/>
      <c r="I44" s="339" t="n"/>
      <c r="J44" s="339" t="n">
        <v>1</v>
      </c>
      <c r="K44" s="453" t="n"/>
      <c r="L44" s="339" t="n">
        <v>1</v>
      </c>
      <c r="M44" s="339" t="n"/>
    </row>
    <row r="45">
      <c r="B45" s="559" t="inlineStr">
        <is>
          <t>Технологический отдел</t>
        </is>
      </c>
      <c r="C45" s="341" t="inlineStr">
        <is>
          <t>Москва</t>
        </is>
      </c>
      <c r="D45" s="340" t="inlineStr">
        <is>
          <t xml:space="preserve">Инженер-технолог по сборке </t>
        </is>
      </c>
      <c r="E45" s="340" t="n">
        <v>1</v>
      </c>
      <c r="F45" s="339" t="n">
        <v>0</v>
      </c>
      <c r="G45" s="339" t="n"/>
      <c r="H45" s="339" t="n"/>
      <c r="I45" s="339" t="n"/>
      <c r="J45" s="339" t="n"/>
      <c r="K45" s="453" t="n"/>
      <c r="L45" s="339" t="n"/>
      <c r="M45" s="339" t="n"/>
    </row>
    <row r="46" ht="28.8" customHeight="1">
      <c r="B46" s="559" t="inlineStr">
        <is>
          <t>Технологический отдел</t>
        </is>
      </c>
      <c r="C46" s="341" t="inlineStr">
        <is>
          <t>Москва</t>
        </is>
      </c>
      <c r="D46" s="340" t="inlineStr">
        <is>
          <t>Инженер-технолог по композитным изделиям</t>
        </is>
      </c>
      <c r="E46" s="340" t="n">
        <v>1</v>
      </c>
      <c r="F46" s="339" t="n">
        <v>0</v>
      </c>
      <c r="G46" s="339" t="n"/>
      <c r="H46" s="339" t="n"/>
      <c r="I46" s="363" t="n"/>
      <c r="J46" s="339" t="n"/>
      <c r="K46" s="453" t="n"/>
      <c r="L46" s="339" t="n"/>
      <c r="M46" s="339" t="n"/>
    </row>
    <row r="47" ht="28.8" customHeight="1">
      <c r="B47" s="559" t="inlineStr">
        <is>
          <t>Технологический отдел</t>
        </is>
      </c>
      <c r="C47" s="341" t="inlineStr">
        <is>
          <t>Москва</t>
        </is>
      </c>
      <c r="D47" s="340" t="inlineStr">
        <is>
          <t>Инженер-технолог по мех. обработке композитных изделий</t>
        </is>
      </c>
      <c r="E47" s="340" t="n">
        <v>1</v>
      </c>
      <c r="F47" s="339" t="n">
        <v>0</v>
      </c>
      <c r="G47" s="339" t="n"/>
      <c r="H47" s="339" t="n"/>
      <c r="I47" s="339" t="n"/>
      <c r="J47" s="339" t="n"/>
      <c r="K47" s="453" t="n"/>
      <c r="L47" s="339" t="n"/>
      <c r="M47" s="339" t="n"/>
    </row>
    <row r="48">
      <c r="B48" s="559" t="inlineStr">
        <is>
          <t>Технологический отдел</t>
        </is>
      </c>
      <c r="C48" s="341" t="inlineStr">
        <is>
          <t>Москва</t>
        </is>
      </c>
      <c r="D48" s="340" t="inlineStr">
        <is>
          <t xml:space="preserve">Инженер-технолог по сборке </t>
        </is>
      </c>
      <c r="E48" s="340" t="n">
        <v>1</v>
      </c>
      <c r="F48" s="339" t="n">
        <v>0</v>
      </c>
      <c r="G48" s="339" t="n">
        <v>1</v>
      </c>
      <c r="H48" s="339" t="n"/>
      <c r="I48" s="339" t="n"/>
      <c r="J48" s="339" t="n"/>
      <c r="K48" s="453" t="n"/>
      <c r="L48" s="339" t="n"/>
      <c r="M48" s="339" t="n"/>
    </row>
    <row r="49">
      <c r="B49" s="559" t="inlineStr">
        <is>
          <t>Технологический отдел</t>
        </is>
      </c>
      <c r="C49" s="341" t="inlineStr">
        <is>
          <t>Москва</t>
        </is>
      </c>
      <c r="D49" s="340" t="inlineStr">
        <is>
          <t xml:space="preserve">Инженер-технолог по сборке </t>
        </is>
      </c>
      <c r="E49" s="340" t="n">
        <v>1</v>
      </c>
      <c r="F49" s="339" t="n">
        <v>0</v>
      </c>
      <c r="G49" s="339" t="n"/>
      <c r="H49" s="339" t="n"/>
      <c r="I49" s="339" t="n"/>
      <c r="J49" s="339" t="n"/>
      <c r="K49" s="453" t="n"/>
      <c r="L49" s="339" t="n"/>
      <c r="M49" s="339" t="n"/>
    </row>
    <row r="50" ht="28.8" customHeight="1">
      <c r="B50" s="559" t="inlineStr">
        <is>
          <t>Технологический отдел</t>
        </is>
      </c>
      <c r="C50" s="341" t="inlineStr">
        <is>
          <t>Москва</t>
        </is>
      </c>
      <c r="D50" s="340" t="inlineStr">
        <is>
          <t>Инженер-технолог по декоративной отделке</t>
        </is>
      </c>
      <c r="E50" s="340" t="n">
        <v>1</v>
      </c>
      <c r="F50" s="339" t="n">
        <v>0</v>
      </c>
      <c r="G50" s="339" t="n"/>
      <c r="H50" s="339" t="n"/>
      <c r="I50" s="339" t="n"/>
      <c r="J50" s="339" t="n">
        <v>1</v>
      </c>
      <c r="K50" s="453" t="n"/>
      <c r="L50" s="339" t="n">
        <v>1</v>
      </c>
      <c r="M50" s="339" t="n"/>
    </row>
    <row r="51" ht="28.8" customHeight="1">
      <c r="B51" s="559" t="inlineStr">
        <is>
          <t>Технологический отдел</t>
        </is>
      </c>
      <c r="C51" s="341" t="inlineStr">
        <is>
          <t>Москва</t>
        </is>
      </c>
      <c r="D51" s="340" t="inlineStr">
        <is>
          <t>Инженер-технолог по швейному производству</t>
        </is>
      </c>
      <c r="E51" s="340" t="n">
        <v>1</v>
      </c>
      <c r="F51" s="339" t="n">
        <v>0</v>
      </c>
      <c r="G51" s="339" t="n"/>
      <c r="H51" s="339" t="n"/>
      <c r="I51" s="339" t="n"/>
      <c r="J51" s="339" t="n"/>
      <c r="K51" s="453" t="n"/>
      <c r="L51" s="339" t="n"/>
      <c r="M51" s="339" t="n"/>
    </row>
    <row r="52" customFormat="1" s="353">
      <c r="B52" s="362" t="inlineStr">
        <is>
          <t>Технологический отдел</t>
        </is>
      </c>
      <c r="C52" s="356" t="inlineStr">
        <is>
          <t>Москва</t>
        </is>
      </c>
      <c r="D52" s="355" t="inlineStr">
        <is>
          <t>Заместитель главного технолога</t>
        </is>
      </c>
      <c r="E52" s="355" t="n"/>
      <c r="F52" s="354" t="n"/>
      <c r="G52" s="354" t="n">
        <v>1</v>
      </c>
      <c r="H52" s="354" t="n"/>
      <c r="I52" s="354" t="n"/>
      <c r="J52" s="354" t="n"/>
      <c r="K52" s="354" t="n"/>
      <c r="L52" s="354" t="n"/>
      <c r="M52" s="354" t="n"/>
    </row>
    <row r="53" customFormat="1" s="353">
      <c r="B53" s="362" t="inlineStr">
        <is>
          <t>Технологический отдел</t>
        </is>
      </c>
      <c r="C53" s="356" t="inlineStr">
        <is>
          <t>Москва</t>
        </is>
      </c>
      <c r="D53" s="355" t="inlineStr">
        <is>
          <t>Начальник отдела (руднево)</t>
        </is>
      </c>
      <c r="E53" s="355" t="n"/>
      <c r="F53" s="354" t="n"/>
      <c r="G53" s="354" t="n"/>
      <c r="H53" s="354" t="n">
        <v>1</v>
      </c>
      <c r="I53" s="354" t="n">
        <v>1</v>
      </c>
      <c r="J53" s="354" t="n"/>
      <c r="K53" s="354" t="n"/>
      <c r="L53" s="354" t="n"/>
      <c r="M53" s="354" t="n"/>
    </row>
    <row r="54" ht="28.8" customFormat="1" customHeight="1" s="353">
      <c r="B54" s="362" t="inlineStr">
        <is>
          <t>Технологический отдел</t>
        </is>
      </c>
      <c r="C54" s="356" t="inlineStr">
        <is>
          <t>Москва</t>
        </is>
      </c>
      <c r="D54" s="355" t="inlineStr">
        <is>
          <t>Ведущий инженер-технолог (нормировщик)</t>
        </is>
      </c>
      <c r="E54" s="355" t="n"/>
      <c r="F54" s="354" t="n"/>
      <c r="G54" s="354" t="n"/>
      <c r="H54" s="354" t="n"/>
      <c r="I54" s="354" t="n">
        <v>1</v>
      </c>
      <c r="J54" s="354" t="n"/>
      <c r="K54" s="354" t="n"/>
      <c r="L54" s="354" t="n"/>
      <c r="M54" s="354" t="n"/>
    </row>
    <row r="55" customFormat="1" s="353">
      <c r="B55" s="362" t="inlineStr">
        <is>
          <t>Технологический отдел</t>
        </is>
      </c>
      <c r="C55" s="356" t="inlineStr">
        <is>
          <t>Москва</t>
        </is>
      </c>
      <c r="D55" s="355" t="inlineStr">
        <is>
          <t>Инженер технолог нормировщик</t>
        </is>
      </c>
      <c r="E55" s="355" t="n"/>
      <c r="F55" s="354" t="n"/>
      <c r="G55" s="354" t="n"/>
      <c r="H55" s="354" t="n">
        <v>1</v>
      </c>
      <c r="I55" s="354" t="n"/>
      <c r="J55" s="354" t="n">
        <v>2</v>
      </c>
      <c r="K55" s="354" t="n">
        <v>1</v>
      </c>
      <c r="L55" s="354" t="n">
        <v>1</v>
      </c>
      <c r="M55" s="354" t="n"/>
    </row>
    <row r="56" hidden="1" ht="21.75" customHeight="1">
      <c r="B56" s="340" t="inlineStr">
        <is>
          <t>ПП-5</t>
        </is>
      </c>
      <c r="C56" s="341" t="inlineStr">
        <is>
          <t>Москва</t>
        </is>
      </c>
      <c r="D56" s="340" t="inlineStr">
        <is>
          <t>слесарь-сборщик 4 разряда</t>
        </is>
      </c>
      <c r="E56" s="340" t="n">
        <v>2</v>
      </c>
      <c r="F56" s="339" t="n">
        <v>2</v>
      </c>
      <c r="G56" s="339" t="n">
        <v>0</v>
      </c>
      <c r="H56" s="339" t="n">
        <v>2</v>
      </c>
      <c r="I56" s="339" t="n"/>
      <c r="J56" s="339" t="n"/>
      <c r="K56" s="453" t="n"/>
      <c r="L56" s="339" t="n"/>
      <c r="M56" s="339" t="n"/>
    </row>
    <row r="57" customFormat="1" s="353">
      <c r="B57" s="563" t="n"/>
      <c r="C57" s="356" t="n"/>
      <c r="D57" s="355" t="inlineStr">
        <is>
          <t>Инженер по тех.документации</t>
        </is>
      </c>
      <c r="E57" s="355" t="n"/>
      <c r="F57" s="354" t="n"/>
      <c r="G57" s="354" t="n"/>
      <c r="H57" s="354" t="n"/>
      <c r="I57" s="354" t="n"/>
      <c r="J57" s="354" t="n">
        <v>2</v>
      </c>
      <c r="K57" s="354" t="n"/>
      <c r="L57" s="354" t="n">
        <v>2</v>
      </c>
      <c r="M57" s="354" t="n"/>
    </row>
    <row r="58" customFormat="1" s="353">
      <c r="B58" s="563" t="n"/>
      <c r="C58" s="356" t="n"/>
      <c r="D58" s="355" t="inlineStr">
        <is>
          <t>Заместитель гл.технолога</t>
        </is>
      </c>
      <c r="E58" s="355" t="n"/>
      <c r="F58" s="354" t="n"/>
      <c r="G58" s="354" t="n"/>
      <c r="H58" s="354" t="n"/>
      <c r="I58" s="354" t="n"/>
      <c r="J58" s="354" t="n"/>
      <c r="K58" s="354" t="n">
        <v>1</v>
      </c>
      <c r="L58" s="354" t="n"/>
      <c r="M58" s="354" t="n"/>
    </row>
    <row r="59" ht="21.75" customHeight="1">
      <c r="A59" s="593" t="inlineStr">
        <is>
          <t>Департамент ППО</t>
        </is>
      </c>
      <c r="B59" s="400" t="inlineStr">
        <is>
          <t>Центральный офис</t>
        </is>
      </c>
      <c r="C59" s="341" t="inlineStr">
        <is>
          <t>Москва</t>
        </is>
      </c>
      <c r="D59" s="342" t="inlineStr">
        <is>
          <t>Инженер-технолог</t>
        </is>
      </c>
      <c r="E59" s="340" t="n">
        <v>1</v>
      </c>
      <c r="F59" s="339" t="n">
        <v>1</v>
      </c>
      <c r="G59" s="339" t="n"/>
      <c r="H59" s="339" t="n">
        <v>2</v>
      </c>
      <c r="I59" s="339" t="n"/>
      <c r="J59" s="339" t="n"/>
      <c r="K59" s="453" t="n"/>
      <c r="L59" s="339" t="n"/>
      <c r="M59" s="339" t="n"/>
    </row>
    <row r="60" ht="21.75" customFormat="1" customHeight="1" s="353">
      <c r="A60" s="754" t="n"/>
      <c r="B60" s="775" t="inlineStr">
        <is>
          <t>Отдел планирования и координации проектов</t>
        </is>
      </c>
      <c r="C60" s="463" t="inlineStr">
        <is>
          <t>Москва</t>
        </is>
      </c>
      <c r="D60" s="464" t="inlineStr">
        <is>
          <t>Начальник отдела</t>
        </is>
      </c>
      <c r="E60" s="464" t="n"/>
      <c r="F60" s="354" t="n"/>
      <c r="G60" s="354" t="n">
        <v>1</v>
      </c>
      <c r="H60" s="354" t="n"/>
      <c r="I60" s="354" t="n"/>
      <c r="J60" s="354" t="n"/>
      <c r="K60" s="354" t="n"/>
      <c r="L60" s="354" t="n"/>
      <c r="M60" s="354" t="n"/>
    </row>
    <row r="61" ht="21.75" customFormat="1" customHeight="1" s="353">
      <c r="A61" s="754" t="n"/>
      <c r="B61" s="770" t="n"/>
      <c r="C61" s="583" t="inlineStr">
        <is>
          <t>Москва</t>
        </is>
      </c>
      <c r="D61" s="589" t="inlineStr">
        <is>
          <t>Ведущий специалист</t>
        </is>
      </c>
      <c r="E61" s="468" t="n"/>
      <c r="F61" s="469" t="n"/>
      <c r="G61" s="354" t="n">
        <v>1</v>
      </c>
      <c r="H61" s="354" t="n">
        <v>1</v>
      </c>
      <c r="I61" s="354" t="n"/>
      <c r="J61" s="354" t="n"/>
      <c r="K61" s="354" t="n"/>
      <c r="L61" s="354" t="n"/>
      <c r="M61" s="354" t="n"/>
    </row>
    <row r="62" ht="21.75" customFormat="1" customHeight="1" s="353">
      <c r="A62" s="754" t="n"/>
      <c r="B62" s="770" t="n"/>
      <c r="C62" s="471" t="inlineStr">
        <is>
          <t>Москва</t>
        </is>
      </c>
      <c r="D62" s="589" t="inlineStr">
        <is>
          <t>Специалист</t>
        </is>
      </c>
      <c r="E62" s="468" t="n"/>
      <c r="F62" s="469" t="n"/>
      <c r="G62" s="354" t="n">
        <v>1</v>
      </c>
      <c r="H62" s="354" t="n"/>
      <c r="I62" s="354" t="n"/>
      <c r="J62" s="354" t="n"/>
      <c r="K62" s="354" t="n">
        <v>1</v>
      </c>
      <c r="L62" s="354" t="n"/>
      <c r="M62" s="354" t="n"/>
    </row>
    <row r="63" ht="21.75" customHeight="1">
      <c r="A63" s="754" t="n"/>
      <c r="B63" s="400" t="inlineStr">
        <is>
          <t>Центральный офис</t>
        </is>
      </c>
      <c r="C63" s="341" t="inlineStr">
        <is>
          <t>Москва</t>
        </is>
      </c>
      <c r="D63" s="342" t="inlineStr">
        <is>
          <t>Менеджер проектов ППО ГОЗ</t>
        </is>
      </c>
      <c r="E63" s="340" t="n">
        <v>1</v>
      </c>
      <c r="F63" s="339" t="n">
        <v>1</v>
      </c>
      <c r="G63" s="339" t="n"/>
      <c r="H63" s="339" t="n">
        <v>1</v>
      </c>
      <c r="I63" s="339" t="n">
        <v>1</v>
      </c>
      <c r="J63" s="339" t="n"/>
      <c r="K63" s="453" t="n"/>
      <c r="L63" s="339" t="n"/>
      <c r="M63" s="339" t="n"/>
    </row>
    <row r="64" ht="21.75" customHeight="1">
      <c r="A64" s="754" t="n"/>
      <c r="B64" s="401" t="inlineStr">
        <is>
          <t>ОП Машково</t>
        </is>
      </c>
      <c r="C64" s="341" t="inlineStr">
        <is>
          <t>Москва</t>
        </is>
      </c>
      <c r="D64" s="342" t="inlineStr">
        <is>
          <t>Инженер-конструктор</t>
        </is>
      </c>
      <c r="E64" s="342" t="n">
        <v>1</v>
      </c>
      <c r="F64" s="339" t="n">
        <v>1</v>
      </c>
      <c r="G64" s="339" t="n"/>
      <c r="H64" s="339" t="n">
        <v>4</v>
      </c>
      <c r="I64" s="339" t="n">
        <v>2</v>
      </c>
      <c r="J64" s="339" t="n">
        <v>2</v>
      </c>
      <c r="K64" s="453" t="n">
        <v>2</v>
      </c>
      <c r="L64" s="339" t="n"/>
      <c r="M64" s="339" t="n"/>
    </row>
    <row r="65" ht="21.75" customHeight="1">
      <c r="A65" s="754" t="n"/>
      <c r="B65" s="401" t="n"/>
      <c r="C65" s="341" t="n"/>
      <c r="D65" s="342" t="inlineStr">
        <is>
          <t>Начальник бюро тех.</t>
        </is>
      </c>
      <c r="E65" s="342" t="n"/>
      <c r="F65" s="339" t="n"/>
      <c r="G65" s="339" t="n"/>
      <c r="H65" s="339" t="n"/>
      <c r="I65" s="339" t="n"/>
      <c r="J65" s="339" t="n">
        <v>1</v>
      </c>
      <c r="K65" s="453" t="n"/>
      <c r="L65" s="339" t="n">
        <v>1</v>
      </c>
      <c r="M65" s="339" t="n"/>
    </row>
    <row r="66" ht="21.75" customHeight="1">
      <c r="A66" s="754" t="n"/>
      <c r="B66" s="401" t="inlineStr">
        <is>
          <t>ОП Машково</t>
        </is>
      </c>
      <c r="C66" s="341" t="inlineStr">
        <is>
          <t>Москва</t>
        </is>
      </c>
      <c r="D66" s="342" t="inlineStr">
        <is>
          <t>Инженер-технолог</t>
        </is>
      </c>
      <c r="E66" s="342" t="n">
        <v>3</v>
      </c>
      <c r="F66" s="339" t="n">
        <v>1</v>
      </c>
      <c r="G66" s="339" t="n"/>
      <c r="H66" s="339" t="n"/>
      <c r="I66" s="339" t="n"/>
      <c r="J66" s="339" t="n">
        <v>3</v>
      </c>
      <c r="K66" s="339" t="n">
        <v>2</v>
      </c>
      <c r="L66" s="339" t="n">
        <v>1</v>
      </c>
      <c r="M66" s="339" t="n"/>
    </row>
    <row r="67" ht="28.8" customFormat="1" customHeight="1" s="353">
      <c r="A67" s="753" t="n"/>
      <c r="B67" s="362" t="n"/>
      <c r="C67" s="356" t="n"/>
      <c r="D67" s="355" t="inlineStr">
        <is>
          <t>Менеджер проекта ППО гражданской авиации</t>
        </is>
      </c>
      <c r="E67" s="355" t="n"/>
      <c r="F67" s="354" t="n"/>
      <c r="G67" s="354" t="n"/>
      <c r="H67" s="354" t="n"/>
      <c r="I67" s="354" t="n">
        <v>1</v>
      </c>
      <c r="J67" s="354" t="n"/>
      <c r="K67" s="354" t="n"/>
      <c r="L67" s="354" t="n"/>
      <c r="M67" s="354" t="n"/>
    </row>
    <row r="68">
      <c r="A68" s="600" t="inlineStr">
        <is>
          <t>ОП Машково 
(для ППО)</t>
        </is>
      </c>
      <c r="B68" s="348" t="inlineStr">
        <is>
          <t>ОП Машково</t>
        </is>
      </c>
      <c r="C68" s="341" t="inlineStr">
        <is>
          <t>Москва</t>
        </is>
      </c>
      <c r="D68" s="340" t="inlineStr">
        <is>
          <t>ОПР</t>
        </is>
      </c>
      <c r="E68" s="340" t="n">
        <v>10</v>
      </c>
      <c r="F68" s="339" t="n">
        <v>0</v>
      </c>
      <c r="G68" s="339" t="n"/>
      <c r="H68" s="339" t="n"/>
      <c r="I68" s="339" t="n"/>
      <c r="J68" s="339" t="n"/>
      <c r="K68" s="339" t="n"/>
      <c r="L68" s="339" t="n"/>
      <c r="M68" s="339" t="n"/>
    </row>
    <row r="69" ht="15.6" customHeight="1">
      <c r="A69" s="776" t="n"/>
      <c r="B69" s="348" t="inlineStr">
        <is>
          <t>ОП Машково</t>
        </is>
      </c>
      <c r="C69" s="341" t="n"/>
      <c r="D69" s="361" t="inlineStr">
        <is>
          <t>Столяр 4-6 р.</t>
        </is>
      </c>
      <c r="E69" s="340" t="n"/>
      <c r="F69" s="339" t="n"/>
      <c r="G69" s="339" t="n"/>
      <c r="H69" s="339" t="n">
        <v>4</v>
      </c>
      <c r="I69" s="339" t="n"/>
      <c r="J69" s="339" t="n"/>
      <c r="K69" s="339" t="n"/>
      <c r="L69" s="339" t="n"/>
      <c r="M69" s="339" t="n"/>
    </row>
    <row r="70" ht="15.6" customHeight="1">
      <c r="A70" s="776" t="n"/>
      <c r="B70" s="348" t="inlineStr">
        <is>
          <t>ОП Машково</t>
        </is>
      </c>
      <c r="C70" s="341" t="n"/>
      <c r="D70" s="360" t="inlineStr">
        <is>
          <t xml:space="preserve">Маляр 6 р. </t>
        </is>
      </c>
      <c r="E70" s="340" t="n"/>
      <c r="F70" s="339" t="n"/>
      <c r="G70" s="339" t="n"/>
      <c r="H70" s="339" t="n">
        <v>2</v>
      </c>
      <c r="I70" s="339" t="n"/>
      <c r="J70" s="339" t="n"/>
      <c r="K70" s="339" t="n"/>
      <c r="L70" s="339" t="n"/>
      <c r="M70" s="339" t="n"/>
    </row>
    <row r="71" ht="31.2" customHeight="1">
      <c r="A71" s="776" t="n"/>
      <c r="B71" s="348" t="inlineStr">
        <is>
          <t>ОП Машково</t>
        </is>
      </c>
      <c r="C71" s="341" t="n"/>
      <c r="D71" s="360" t="inlineStr">
        <is>
          <t xml:space="preserve">Маляр (Шлифовщик-полировщик) - 4-5р. </t>
        </is>
      </c>
      <c r="E71" s="340" t="n"/>
      <c r="F71" s="339" t="n"/>
      <c r="G71" s="339" t="n"/>
      <c r="H71" s="339" t="n">
        <v>8</v>
      </c>
      <c r="I71" s="339" t="n"/>
      <c r="J71" s="339" t="n"/>
      <c r="K71" s="339" t="n"/>
      <c r="L71" s="339" t="n"/>
      <c r="M71" s="339" t="n"/>
    </row>
    <row r="72" ht="15.6" customHeight="1">
      <c r="A72" s="776" t="n"/>
      <c r="B72" s="359" t="inlineStr">
        <is>
          <t>ОП Машково</t>
        </is>
      </c>
      <c r="C72" s="347" t="n"/>
      <c r="D72" s="358" t="inlineStr">
        <is>
          <t>Маляр-оклейщик 4-6р</t>
        </is>
      </c>
      <c r="E72" s="340" t="n"/>
      <c r="F72" s="339" t="n"/>
      <c r="G72" s="339" t="n"/>
      <c r="H72" s="339" t="n">
        <v>2</v>
      </c>
      <c r="I72" s="339" t="n"/>
      <c r="J72" s="339" t="n"/>
      <c r="K72" s="339" t="n"/>
      <c r="L72" s="339" t="n"/>
      <c r="M72" s="339" t="n"/>
    </row>
    <row r="73" ht="21.75" customFormat="1" customHeight="1" s="353">
      <c r="A73" s="776" t="n"/>
      <c r="B73" s="357" t="inlineStr">
        <is>
          <t>ОП Машково</t>
        </is>
      </c>
      <c r="C73" s="356" t="n"/>
      <c r="D73" s="355" t="inlineStr">
        <is>
          <t>Зам.начальника производства по направлению ППО</t>
        </is>
      </c>
      <c r="E73" s="355" t="n"/>
      <c r="F73" s="354" t="n"/>
      <c r="G73" s="354" t="n"/>
      <c r="H73" s="354" t="n"/>
      <c r="I73" s="354" t="n">
        <v>1</v>
      </c>
      <c r="J73" s="354" t="n"/>
      <c r="K73" s="354" t="n"/>
      <c r="L73" s="354" t="n"/>
      <c r="M73" s="354" t="n"/>
    </row>
    <row r="74" ht="21.75" customHeight="1">
      <c r="A74" s="777" t="inlineStr">
        <is>
          <t>Дирекция программ</t>
        </is>
      </c>
      <c r="B74" s="778" t="inlineStr">
        <is>
          <t> </t>
        </is>
      </c>
      <c r="C74" s="341" t="inlineStr">
        <is>
          <t>Москва</t>
        </is>
      </c>
      <c r="D74" s="340" t="inlineStr">
        <is>
          <t>Руководитель проекта</t>
        </is>
      </c>
      <c r="E74" s="340" t="n">
        <v>2</v>
      </c>
      <c r="F74" s="339" t="n">
        <v>0</v>
      </c>
      <c r="G74" s="339" t="n">
        <v>0</v>
      </c>
      <c r="H74" s="339" t="n">
        <v>1</v>
      </c>
      <c r="I74" s="339" t="n"/>
      <c r="J74" s="339" t="n"/>
      <c r="K74" s="339" t="n"/>
      <c r="L74" s="339" t="n"/>
      <c r="M74" s="339" t="n"/>
    </row>
    <row r="75" ht="21.75" customHeight="1">
      <c r="A75" s="754" t="n"/>
      <c r="B75" s="753" t="n"/>
      <c r="C75" s="341" t="inlineStr">
        <is>
          <t>Москва</t>
        </is>
      </c>
      <c r="D75" s="340" t="inlineStr">
        <is>
          <t>Менеджер проекта</t>
        </is>
      </c>
      <c r="E75" s="340" t="n">
        <v>1</v>
      </c>
      <c r="F75" s="339" t="n">
        <v>0</v>
      </c>
      <c r="G75" s="339" t="n">
        <v>0</v>
      </c>
      <c r="H75" s="339" t="n"/>
      <c r="I75" s="339" t="n"/>
      <c r="J75" s="339" t="n">
        <v>1</v>
      </c>
      <c r="K75" s="339" t="n"/>
      <c r="L75" s="339" t="n">
        <v>1</v>
      </c>
      <c r="M75" s="339" t="n"/>
    </row>
    <row r="76" ht="21.75" customHeight="1">
      <c r="A76" s="754" t="n"/>
      <c r="B76" s="778" t="inlineStr">
        <is>
          <t>Отдел планирования и контроля</t>
        </is>
      </c>
      <c r="C76" s="341" t="inlineStr">
        <is>
          <t>Москва</t>
        </is>
      </c>
      <c r="D76" s="340" t="inlineStr">
        <is>
          <t>Начальник отдела</t>
        </is>
      </c>
      <c r="E76" s="340" t="n">
        <v>1</v>
      </c>
      <c r="F76" s="339" t="n">
        <v>1</v>
      </c>
      <c r="G76" s="339" t="n">
        <v>0</v>
      </c>
      <c r="H76" s="339" t="n"/>
      <c r="I76" s="339" t="n"/>
      <c r="J76" s="339" t="n"/>
      <c r="K76" s="339" t="n"/>
      <c r="L76" s="339" t="n"/>
      <c r="M76" s="339" t="n"/>
    </row>
    <row r="77" ht="21.75" customHeight="1">
      <c r="A77" s="753" t="n"/>
      <c r="B77" s="753" t="n"/>
      <c r="C77" s="341" t="inlineStr">
        <is>
          <t>Москва</t>
        </is>
      </c>
      <c r="D77" s="340" t="inlineStr">
        <is>
          <t>Ведущий специалист</t>
        </is>
      </c>
      <c r="E77" s="340" t="n">
        <v>1</v>
      </c>
      <c r="F77" s="339" t="n">
        <v>1</v>
      </c>
      <c r="G77" s="339" t="n">
        <v>0</v>
      </c>
      <c r="H77" s="339" t="n"/>
      <c r="I77" s="339" t="n"/>
      <c r="J77" s="339" t="n"/>
      <c r="K77" s="339" t="n"/>
      <c r="L77" s="339" t="n"/>
      <c r="M77" s="339" t="n"/>
    </row>
    <row r="78" ht="21.75" customHeight="1">
      <c r="A78" s="779" t="inlineStr">
        <is>
          <t>Департамент 
по ИТ и ПО</t>
        </is>
      </c>
      <c r="B78" s="780" t="inlineStr">
        <is>
          <t>Отдел ИТ</t>
        </is>
      </c>
      <c r="C78" s="341" t="inlineStr">
        <is>
          <t>Москва</t>
        </is>
      </c>
      <c r="D78" s="340" t="inlineStr">
        <is>
          <t xml:space="preserve">Системный администратор </t>
        </is>
      </c>
      <c r="E78" s="340" t="n">
        <v>1</v>
      </c>
      <c r="F78" s="339" t="n">
        <v>1</v>
      </c>
      <c r="G78" s="339" t="n">
        <v>0</v>
      </c>
      <c r="H78" s="320" t="n">
        <v>1</v>
      </c>
      <c r="I78" s="339" t="n"/>
      <c r="J78" s="339" t="n"/>
      <c r="K78" s="339" t="n"/>
      <c r="L78" s="339" t="n"/>
      <c r="M78" s="339" t="n"/>
    </row>
    <row r="79" ht="21.75" customFormat="1" customHeight="1" s="353">
      <c r="A79" s="754" t="n"/>
      <c r="B79" s="754" t="n"/>
      <c r="C79" s="356" t="n"/>
      <c r="D79" s="355" t="inlineStr">
        <is>
          <t>Младший системный администратор</t>
        </is>
      </c>
      <c r="E79" s="355" t="n"/>
      <c r="F79" s="354" t="n"/>
      <c r="G79" s="354" t="n"/>
      <c r="H79" s="354" t="n"/>
      <c r="I79" s="354" t="n">
        <v>2</v>
      </c>
      <c r="J79" s="354" t="n">
        <v>1</v>
      </c>
      <c r="K79" s="354" t="n">
        <v>1</v>
      </c>
      <c r="L79" s="354" t="n"/>
      <c r="M79" s="354" t="n"/>
    </row>
    <row r="80" ht="21.75" customFormat="1" customHeight="1" s="353">
      <c r="A80" s="754" t="n"/>
      <c r="B80" s="754" t="n"/>
      <c r="C80" s="356" t="n"/>
      <c r="D80" s="355" t="inlineStr">
        <is>
          <t>Архитектор серверной инфраструктуры</t>
        </is>
      </c>
      <c r="E80" s="355" t="n"/>
      <c r="F80" s="354" t="n"/>
      <c r="G80" s="354" t="n"/>
      <c r="H80" s="354" t="n"/>
      <c r="I80" s="354" t="n"/>
      <c r="J80" s="354" t="n"/>
      <c r="K80" s="354" t="n">
        <v>1</v>
      </c>
      <c r="L80" s="354" t="n"/>
      <c r="M80" s="354" t="n"/>
    </row>
    <row r="81" ht="21.75" customFormat="1" customHeight="1" s="353">
      <c r="A81" s="754" t="n"/>
      <c r="B81" s="754" t="n"/>
      <c r="C81" s="356" t="n"/>
      <c r="D81" s="355" t="inlineStr">
        <is>
          <t>Архитектор сетевой инфраструктуры</t>
        </is>
      </c>
      <c r="E81" s="355" t="n"/>
      <c r="F81" s="354" t="n"/>
      <c r="G81" s="354" t="n"/>
      <c r="H81" s="354" t="n"/>
      <c r="I81" s="354" t="n"/>
      <c r="J81" s="354" t="n"/>
      <c r="K81" s="354" t="n">
        <v>1</v>
      </c>
      <c r="L81" s="354" t="n"/>
      <c r="M81" s="354" t="n"/>
    </row>
    <row r="82" ht="21.75" customHeight="1">
      <c r="A82" s="754" t="n"/>
      <c r="B82" s="754" t="n"/>
      <c r="C82" s="341" t="n"/>
      <c r="D82" s="340" t="inlineStr">
        <is>
          <t>Ведущий системный администратор/нач.отдела</t>
        </is>
      </c>
      <c r="E82" s="340" t="n"/>
      <c r="F82" s="339" t="n"/>
      <c r="G82" s="339" t="n"/>
      <c r="H82" s="339" t="n"/>
      <c r="I82" s="339" t="n"/>
      <c r="J82" s="339" t="n"/>
      <c r="K82" s="339" t="n"/>
      <c r="L82" s="339" t="n">
        <v>1</v>
      </c>
      <c r="M82" s="339" t="n"/>
    </row>
    <row r="83" ht="21.75" customHeight="1">
      <c r="A83" s="754" t="n"/>
      <c r="B83" s="754" t="n"/>
      <c r="C83" s="341" t="inlineStr">
        <is>
          <t>Москва</t>
        </is>
      </c>
      <c r="D83" s="340" t="inlineStr">
        <is>
          <t>Начальник отдела</t>
        </is>
      </c>
      <c r="E83" s="340" t="n">
        <v>1</v>
      </c>
      <c r="F83" s="339" t="n">
        <v>1</v>
      </c>
      <c r="G83" s="339" t="n">
        <v>1</v>
      </c>
      <c r="H83" s="339" t="n"/>
      <c r="I83" s="339" t="n"/>
      <c r="J83" s="339" t="n"/>
      <c r="K83" s="339" t="n"/>
      <c r="L83" s="339" t="n"/>
      <c r="M83" s="339" t="n"/>
    </row>
    <row r="84" ht="21.75" customHeight="1">
      <c r="A84" s="754" t="n"/>
      <c r="B84" s="778" t="inlineStr">
        <is>
          <t>Отдел АСУП</t>
        </is>
      </c>
      <c r="C84" s="341" t="inlineStr">
        <is>
          <t>Москва</t>
        </is>
      </c>
      <c r="D84" s="340" t="inlineStr">
        <is>
          <t>Специалист по внедрению</t>
        </is>
      </c>
      <c r="E84" s="340" t="n">
        <v>2</v>
      </c>
      <c r="F84" s="339" t="n">
        <v>0</v>
      </c>
      <c r="G84" s="339" t="n">
        <v>1</v>
      </c>
      <c r="H84" s="339" t="n"/>
      <c r="I84" s="339" t="n"/>
      <c r="J84" s="339" t="n"/>
      <c r="K84" s="339" t="n"/>
      <c r="L84" s="339" t="n"/>
      <c r="M84" s="339" t="n"/>
    </row>
    <row r="85" ht="21.75" customHeight="1">
      <c r="A85" s="754" t="n"/>
      <c r="B85" s="754" t="n"/>
      <c r="C85" s="341" t="inlineStr">
        <is>
          <t>Москва</t>
        </is>
      </c>
      <c r="D85" s="340" t="inlineStr">
        <is>
          <t>Начальник отдела</t>
        </is>
      </c>
      <c r="E85" s="340" t="n"/>
      <c r="F85" s="339" t="n"/>
      <c r="G85" s="339" t="n">
        <v>1</v>
      </c>
      <c r="H85" s="339" t="n"/>
      <c r="I85" s="339" t="n"/>
      <c r="J85" s="339" t="n"/>
      <c r="K85" s="339" t="n"/>
      <c r="L85" s="339" t="n"/>
      <c r="M85" s="339" t="n"/>
    </row>
    <row r="86" ht="21.75" customHeight="1">
      <c r="A86" s="754" t="n"/>
      <c r="B86" s="754" t="n"/>
      <c r="C86" s="341" t="inlineStr">
        <is>
          <t>Москва</t>
        </is>
      </c>
      <c r="D86" s="340" t="inlineStr">
        <is>
          <t>Системный аналитик</t>
        </is>
      </c>
      <c r="E86" s="340" t="n">
        <v>2</v>
      </c>
      <c r="F86" s="339" t="n">
        <v>0</v>
      </c>
      <c r="G86" s="339" t="n"/>
      <c r="H86" s="339" t="n">
        <v>1</v>
      </c>
      <c r="I86" s="339" t="n"/>
      <c r="J86" s="339" t="n"/>
      <c r="K86" s="339" t="n"/>
      <c r="L86" s="339" t="n"/>
      <c r="M86" s="339" t="n"/>
    </row>
    <row r="87" ht="21.75" customHeight="1">
      <c r="A87" s="754" t="n"/>
      <c r="B87" s="754" t="n"/>
      <c r="C87" s="341" t="inlineStr">
        <is>
          <t>Москва</t>
        </is>
      </c>
      <c r="D87" s="340" t="inlineStr">
        <is>
          <t>Инженер-программист 1С</t>
        </is>
      </c>
      <c r="E87" s="340" t="n">
        <v>2</v>
      </c>
      <c r="F87" s="339" t="n">
        <v>0</v>
      </c>
      <c r="G87" s="339" t="n"/>
      <c r="H87" s="339" t="n">
        <v>1</v>
      </c>
      <c r="I87" s="339" t="n">
        <v>1</v>
      </c>
      <c r="J87" s="339" t="n">
        <v>1</v>
      </c>
      <c r="K87" s="339" t="n">
        <v>1</v>
      </c>
      <c r="L87" s="339" t="n"/>
      <c r="M87" s="339" t="n"/>
    </row>
    <row r="88">
      <c r="A88" s="754" t="n"/>
      <c r="B88" s="754" t="n"/>
      <c r="C88" s="341" t="inlineStr">
        <is>
          <t>Москва</t>
        </is>
      </c>
      <c r="D88" s="340" t="inlineStr">
        <is>
          <t>Администратор 1С</t>
        </is>
      </c>
      <c r="E88" s="340" t="n">
        <v>1</v>
      </c>
      <c r="F88" s="339" t="n">
        <v>0</v>
      </c>
      <c r="G88" s="339" t="n"/>
      <c r="H88" s="339" t="n"/>
      <c r="I88" s="339" t="n"/>
      <c r="J88" s="339" t="n"/>
      <c r="K88" s="339" t="n"/>
      <c r="L88" s="339" t="n"/>
      <c r="M88" s="339" t="n"/>
    </row>
    <row r="89" customFormat="1" s="353">
      <c r="A89" s="754" t="n"/>
      <c r="B89" s="754" t="n"/>
      <c r="C89" s="356" t="n"/>
      <c r="D89" s="355" t="inlineStr">
        <is>
          <t>руководитель проекта</t>
        </is>
      </c>
      <c r="E89" s="355" t="n"/>
      <c r="F89" s="354" t="n"/>
      <c r="G89" s="354" t="n"/>
      <c r="H89" s="354" t="n"/>
      <c r="I89" s="354" t="n">
        <v>1</v>
      </c>
      <c r="J89" s="354" t="n"/>
      <c r="K89" s="354" t="n"/>
      <c r="L89" s="354" t="n"/>
      <c r="M89" s="354" t="n"/>
    </row>
    <row r="90" customFormat="1" s="353">
      <c r="A90" s="754" t="n"/>
      <c r="B90" s="754" t="n"/>
      <c r="C90" s="356" t="n"/>
      <c r="D90" s="355" t="inlineStr">
        <is>
          <t>Руководитель направления НСИ</t>
        </is>
      </c>
      <c r="E90" s="355" t="n"/>
      <c r="F90" s="354" t="n"/>
      <c r="G90" s="354" t="n"/>
      <c r="H90" s="354" t="n"/>
      <c r="I90" s="354" t="n">
        <v>1</v>
      </c>
      <c r="J90" s="354" t="n"/>
      <c r="K90" s="354" t="n"/>
      <c r="L90" s="354" t="n"/>
      <c r="M90" s="354" t="n"/>
    </row>
    <row r="91" customFormat="1" s="353">
      <c r="A91" s="754" t="n"/>
      <c r="B91" s="754" t="n"/>
      <c r="C91" s="356" t="n"/>
      <c r="D91" s="355" t="inlineStr">
        <is>
          <t>Ведущий бизнес-аналитик</t>
        </is>
      </c>
      <c r="E91" s="355" t="n"/>
      <c r="F91" s="354" t="n"/>
      <c r="G91" s="354" t="n"/>
      <c r="H91" s="354" t="n"/>
      <c r="I91" s="354" t="n">
        <v>1</v>
      </c>
      <c r="J91" s="354" t="n"/>
      <c r="K91" s="354" t="n"/>
      <c r="L91" s="354" t="n"/>
      <c r="M91" s="354" t="n"/>
    </row>
    <row r="92" ht="43.2" customFormat="1" customHeight="1" s="353">
      <c r="A92" s="754" t="n"/>
      <c r="B92" s="753" t="n"/>
      <c r="C92" s="356" t="n"/>
      <c r="D92" s="355" t="inlineStr">
        <is>
          <t>Ведущий специалист по сопровождению информационных систем жизненного цикла изделия</t>
        </is>
      </c>
      <c r="E92" s="355" t="n"/>
      <c r="F92" s="354" t="n"/>
      <c r="G92" s="354" t="n"/>
      <c r="H92" s="354" t="n"/>
      <c r="I92" s="354" t="n">
        <v>1</v>
      </c>
      <c r="J92" s="354" t="n"/>
      <c r="K92" s="354" t="n"/>
      <c r="L92" s="354" t="n"/>
      <c r="M92" s="354" t="n"/>
    </row>
    <row r="93" ht="21" customHeight="1">
      <c r="A93" s="574" t="n"/>
      <c r="B93" s="402" t="n"/>
      <c r="C93" s="341" t="n"/>
      <c r="D93" s="340" t="inlineStr">
        <is>
          <t>Аналитик 1С</t>
        </is>
      </c>
      <c r="E93" s="340" t="n"/>
      <c r="F93" s="339" t="n"/>
      <c r="G93" s="339" t="n"/>
      <c r="H93" s="339" t="n"/>
      <c r="I93" s="339" t="n"/>
      <c r="J93" s="339" t="n"/>
      <c r="K93" s="339" t="n">
        <v>1</v>
      </c>
      <c r="L93" s="339" t="n"/>
      <c r="M93" s="339" t="n"/>
    </row>
    <row r="94" ht="28.8" customHeight="1">
      <c r="A94" s="574" t="n"/>
      <c r="B94" s="402" t="n"/>
      <c r="C94" s="341" t="n"/>
      <c r="D94" s="340" t="inlineStr">
        <is>
          <t>Руководитель группы управления ЖЦИ</t>
        </is>
      </c>
      <c r="E94" s="340" t="n"/>
      <c r="F94" s="339" t="n"/>
      <c r="G94" s="339" t="n"/>
      <c r="H94" s="339" t="n"/>
      <c r="I94" s="339" t="n"/>
      <c r="J94" s="339" t="n"/>
      <c r="K94" s="339" t="n">
        <v>1</v>
      </c>
      <c r="L94" s="339" t="n"/>
      <c r="M94" s="339" t="n"/>
    </row>
    <row r="95" ht="28.8" customHeight="1">
      <c r="A95" s="593" t="inlineStr">
        <is>
          <t>Отдел подбора и развития персонала</t>
        </is>
      </c>
      <c r="B95" s="402" t="inlineStr">
        <is>
          <t> </t>
        </is>
      </c>
      <c r="C95" s="341" t="inlineStr">
        <is>
          <t>Москва</t>
        </is>
      </c>
      <c r="D95" s="340" t="inlineStr">
        <is>
          <t>Ведущий менеджер по подбору и развитию персонала</t>
        </is>
      </c>
      <c r="E95" s="340" t="n">
        <v>1</v>
      </c>
      <c r="F95" s="339" t="n">
        <v>1</v>
      </c>
      <c r="G95" s="339" t="n"/>
      <c r="H95" s="339" t="n"/>
      <c r="I95" s="339" t="n"/>
      <c r="J95" s="339" t="n"/>
      <c r="K95" s="339" t="n"/>
      <c r="L95" s="339" t="n"/>
      <c r="M95" s="339" t="n"/>
    </row>
    <row r="96" ht="36" customHeight="1">
      <c r="A96" s="754" t="n"/>
      <c r="B96" s="402" t="inlineStr">
        <is>
          <t> </t>
        </is>
      </c>
      <c r="C96" s="341" t="inlineStr">
        <is>
          <t>Москва</t>
        </is>
      </c>
      <c r="D96" s="340" t="inlineStr">
        <is>
          <t>Менеджер по корп.коммуникациям</t>
        </is>
      </c>
      <c r="E96" s="340" t="n">
        <v>1</v>
      </c>
      <c r="F96" s="339" t="n">
        <v>1</v>
      </c>
      <c r="G96" s="339" t="n">
        <v>1</v>
      </c>
      <c r="H96" s="339" t="n"/>
      <c r="I96" s="339" t="n"/>
      <c r="J96" s="339" t="n">
        <v>1</v>
      </c>
      <c r="K96" s="339" t="n"/>
      <c r="L96" s="339" t="n">
        <v>1</v>
      </c>
      <c r="M96" s="339" t="n"/>
    </row>
    <row r="97" ht="36" customFormat="1" customHeight="1" s="353">
      <c r="A97" s="753" t="n"/>
      <c r="B97" s="607" t="n"/>
      <c r="C97" s="356" t="n"/>
      <c r="D97" s="355" t="inlineStr">
        <is>
          <t>Менеджер по подбору персонала</t>
        </is>
      </c>
      <c r="E97" s="355" t="n"/>
      <c r="F97" s="354" t="n"/>
      <c r="G97" s="354" t="n">
        <v>1</v>
      </c>
      <c r="H97" s="354" t="n"/>
      <c r="I97" s="354" t="n"/>
      <c r="J97" s="354" t="n"/>
      <c r="K97" s="354" t="n">
        <v>1</v>
      </c>
      <c r="L97" s="354" t="n"/>
      <c r="M97" s="354" t="n"/>
    </row>
    <row r="98" ht="21" customFormat="1" customHeight="1" s="353">
      <c r="A98" s="781" t="inlineStr">
        <is>
          <t>Отдел управления персоналом</t>
        </is>
      </c>
      <c r="B98" s="607" t="n"/>
      <c r="C98" s="356" t="inlineStr">
        <is>
          <t>Москва</t>
        </is>
      </c>
      <c r="D98" s="355" t="inlineStr">
        <is>
          <t xml:space="preserve">Младший специалист </t>
        </is>
      </c>
      <c r="E98" s="355" t="n"/>
      <c r="F98" s="354" t="n"/>
      <c r="G98" s="354" t="n">
        <v>1</v>
      </c>
      <c r="H98" s="354" t="n"/>
      <c r="I98" s="354" t="n"/>
      <c r="J98" s="354" t="n"/>
      <c r="K98" s="354" t="n"/>
      <c r="L98" s="354" t="n"/>
      <c r="M98" s="354" t="n"/>
    </row>
    <row r="99" ht="28.8" customFormat="1" customHeight="1" s="353">
      <c r="A99" s="770" t="n"/>
      <c r="B99" s="607" t="n"/>
      <c r="C99" s="356" t="inlineStr">
        <is>
          <t>Москва</t>
        </is>
      </c>
      <c r="D99" s="355" t="inlineStr">
        <is>
          <t>Ведущий специалист по воинскому учету</t>
        </is>
      </c>
      <c r="E99" s="355" t="n"/>
      <c r="F99" s="354" t="n"/>
      <c r="G99" s="354" t="n">
        <v>1</v>
      </c>
      <c r="H99" s="354" t="n"/>
      <c r="I99" s="354" t="n"/>
      <c r="J99" s="354" t="n"/>
      <c r="K99" s="354" t="n"/>
      <c r="L99" s="354" t="n"/>
      <c r="M99" s="354" t="n"/>
    </row>
    <row r="100" ht="21" customFormat="1" customHeight="1" s="353">
      <c r="A100" s="770" t="n"/>
      <c r="B100" s="607" t="n"/>
      <c r="C100" s="356" t="inlineStr">
        <is>
          <t>Москва</t>
        </is>
      </c>
      <c r="D100" s="355" t="inlineStr">
        <is>
          <t>Ведущий менеджер по персоналу</t>
        </is>
      </c>
      <c r="E100" s="355" t="n"/>
      <c r="F100" s="354" t="n"/>
      <c r="G100" s="354" t="n"/>
      <c r="H100" s="354" t="n"/>
      <c r="I100" s="354" t="n">
        <v>1</v>
      </c>
      <c r="J100" s="354" t="n"/>
      <c r="K100" s="354" t="n"/>
      <c r="L100" s="354" t="n"/>
      <c r="M100" s="354" t="n"/>
    </row>
    <row r="101">
      <c r="A101" s="770" t="n"/>
      <c r="B101" s="402" t="n"/>
      <c r="C101" s="341" t="n"/>
      <c r="D101" s="340" t="inlineStr">
        <is>
          <t>Заместитель директора по персонау</t>
        </is>
      </c>
      <c r="E101" s="340" t="n"/>
      <c r="F101" s="339" t="n"/>
      <c r="G101" s="339" t="n"/>
      <c r="H101" s="339" t="n"/>
      <c r="I101" s="339" t="n"/>
      <c r="J101" s="339" t="n"/>
      <c r="K101" s="339" t="n">
        <v>1</v>
      </c>
      <c r="L101" s="339" t="n"/>
      <c r="M101" s="339" t="n"/>
    </row>
    <row r="102">
      <c r="A102" s="770" t="n"/>
      <c r="B102" s="402" t="inlineStr">
        <is>
          <t> </t>
        </is>
      </c>
      <c r="C102" s="341" t="inlineStr">
        <is>
          <t>Москва</t>
        </is>
      </c>
      <c r="D102" s="340" t="inlineStr">
        <is>
          <t>Менеджер по персоналу</t>
        </is>
      </c>
      <c r="E102" s="340" t="n">
        <v>1</v>
      </c>
      <c r="F102" s="339" t="n">
        <v>1</v>
      </c>
      <c r="G102" s="339" t="n">
        <v>0</v>
      </c>
      <c r="H102" s="339" t="n"/>
      <c r="I102" s="339" t="n"/>
      <c r="J102" s="339" t="n">
        <v>1</v>
      </c>
      <c r="K102" s="339" t="n">
        <v>1</v>
      </c>
      <c r="L102" s="339" t="n"/>
      <c r="M102" s="339" t="n"/>
    </row>
    <row r="103" ht="21.75" customHeight="1">
      <c r="A103" s="773" t="inlineStr">
        <is>
          <t>Отдел ОТ и ПБ</t>
        </is>
      </c>
      <c r="B103" s="344" t="inlineStr">
        <is>
          <t> </t>
        </is>
      </c>
      <c r="C103" s="341" t="inlineStr">
        <is>
          <t>Москва</t>
        </is>
      </c>
      <c r="D103" s="340" t="inlineStr">
        <is>
          <t>Специалист по ОТ и ПБ</t>
        </is>
      </c>
      <c r="E103" s="340" t="n">
        <v>1</v>
      </c>
      <c r="F103" s="339" t="n">
        <v>0</v>
      </c>
      <c r="G103" s="339" t="n">
        <v>0</v>
      </c>
      <c r="H103" s="343" t="n">
        <v>1</v>
      </c>
      <c r="I103" s="339" t="n">
        <v>1</v>
      </c>
      <c r="J103" s="339" t="n"/>
      <c r="K103" s="339" t="n"/>
      <c r="L103" s="339" t="n">
        <v>1</v>
      </c>
      <c r="M103" s="339" t="n"/>
    </row>
    <row r="104" ht="21.75" customHeight="1">
      <c r="A104" s="754" t="n"/>
      <c r="B104" s="346" t="n"/>
      <c r="C104" s="341" t="inlineStr">
        <is>
          <t>Москва</t>
        </is>
      </c>
      <c r="D104" s="340" t="inlineStr">
        <is>
          <t>Начальник отдела</t>
        </is>
      </c>
      <c r="E104" s="340" t="n">
        <v>1</v>
      </c>
      <c r="F104" s="339" t="n">
        <v>1</v>
      </c>
      <c r="G104" s="339" t="n">
        <v>1</v>
      </c>
      <c r="H104" s="339" t="n"/>
      <c r="I104" s="339" t="n"/>
      <c r="J104" s="339" t="n">
        <v>1</v>
      </c>
      <c r="K104" s="339" t="n">
        <v>1</v>
      </c>
      <c r="L104" s="339" t="n"/>
      <c r="M104" s="339" t="n"/>
    </row>
    <row r="105" ht="21.75" customFormat="1" customHeight="1" s="353">
      <c r="A105" s="782" t="inlineStr">
        <is>
          <t>Финансово-экономический отдел</t>
        </is>
      </c>
      <c r="B105" s="783" t="n"/>
      <c r="C105" s="459" t="inlineStr">
        <is>
          <t>Москва</t>
        </is>
      </c>
      <c r="D105" s="355" t="inlineStr">
        <is>
          <t>Ведущий экономист</t>
        </is>
      </c>
      <c r="E105" s="355" t="n"/>
      <c r="F105" s="354" t="n"/>
      <c r="G105" s="354" t="n">
        <v>1</v>
      </c>
      <c r="H105" s="354" t="n"/>
      <c r="I105" s="354" t="n"/>
      <c r="J105" s="354" t="n"/>
      <c r="K105" s="354" t="n">
        <v>1</v>
      </c>
      <c r="L105" s="354" t="n"/>
      <c r="M105" s="354" t="n"/>
    </row>
    <row r="106" ht="21.75" customFormat="1" customHeight="1" s="353">
      <c r="A106" s="770" t="n"/>
      <c r="B106" s="770" t="n"/>
      <c r="C106" s="460" t="inlineStr">
        <is>
          <t>Машково</t>
        </is>
      </c>
      <c r="D106" s="362" t="inlineStr">
        <is>
          <t>Оператор 1С</t>
        </is>
      </c>
      <c r="E106" s="355" t="n"/>
      <c r="F106" s="354" t="n"/>
      <c r="G106" s="354" t="n">
        <v>1</v>
      </c>
      <c r="H106" s="354" t="n"/>
      <c r="I106" s="354" t="n"/>
      <c r="J106" s="354" t="n"/>
      <c r="K106" s="354" t="n"/>
      <c r="L106" s="354" t="n"/>
      <c r="M106" s="354" t="n"/>
    </row>
    <row r="107" ht="21.75" customFormat="1" customHeight="1" s="353">
      <c r="A107" s="772" t="n"/>
      <c r="B107" s="772" t="n"/>
      <c r="C107" s="472" t="inlineStr">
        <is>
          <t>Руднево</t>
        </is>
      </c>
      <c r="D107" s="473" t="inlineStr">
        <is>
          <t>Младший оператор 1С</t>
        </is>
      </c>
      <c r="E107" s="355" t="n"/>
      <c r="F107" s="354" t="n"/>
      <c r="G107" s="354" t="n">
        <v>2</v>
      </c>
      <c r="H107" s="354" t="n"/>
      <c r="I107" s="354" t="n"/>
      <c r="J107" s="354" t="n"/>
      <c r="K107" s="354" t="n"/>
      <c r="L107" s="354" t="n"/>
      <c r="M107" s="354" t="n"/>
    </row>
    <row r="108" ht="21.75" customFormat="1" customHeight="1" s="353">
      <c r="A108" s="784" t="inlineStr">
        <is>
          <t>Бухгалтерия</t>
        </is>
      </c>
      <c r="B108" s="474" t="n"/>
      <c r="C108" s="475" t="inlineStr">
        <is>
          <t>Москва</t>
        </is>
      </c>
      <c r="D108" s="468" t="inlineStr">
        <is>
          <t>Специалист</t>
        </is>
      </c>
      <c r="E108" s="461" t="n"/>
      <c r="F108" s="354" t="n"/>
      <c r="G108" s="354" t="n">
        <v>1</v>
      </c>
      <c r="H108" s="354" t="n"/>
      <c r="I108" s="354" t="n"/>
      <c r="J108" s="354" t="n"/>
      <c r="K108" s="354" t="n"/>
      <c r="L108" s="354" t="n"/>
      <c r="M108" s="354" t="n"/>
    </row>
    <row r="109" ht="21.75" customFormat="1" customHeight="1" s="353">
      <c r="A109" s="754" t="n"/>
      <c r="B109" s="474" t="n"/>
      <c r="C109" s="475" t="inlineStr">
        <is>
          <t>Москва</t>
        </is>
      </c>
      <c r="D109" s="468" t="inlineStr">
        <is>
          <t>Бухгалтер 3 категории</t>
        </is>
      </c>
      <c r="E109" s="461" t="n"/>
      <c r="F109" s="354" t="n"/>
      <c r="G109" s="354" t="n">
        <v>1</v>
      </c>
      <c r="H109" s="354" t="n"/>
      <c r="I109" s="354" t="n"/>
      <c r="J109" s="354" t="n"/>
      <c r="K109" s="354" t="n"/>
      <c r="L109" s="354" t="n"/>
      <c r="M109" s="354" t="n"/>
    </row>
    <row r="110" ht="21.75" customFormat="1" customHeight="1" s="353">
      <c r="A110" s="753" t="n"/>
      <c r="B110" s="589" t="n"/>
      <c r="C110" s="583" t="n"/>
      <c r="D110" s="468" t="inlineStr">
        <is>
          <t>Бухгалтер 1 категории</t>
        </is>
      </c>
      <c r="E110" s="461" t="n"/>
      <c r="F110" s="354" t="n"/>
      <c r="G110" s="354" t="n"/>
      <c r="H110" s="354" t="n"/>
      <c r="I110" s="354" t="n"/>
      <c r="J110" s="354" t="n">
        <v>1</v>
      </c>
      <c r="K110" s="354" t="n">
        <v>1</v>
      </c>
      <c r="L110" s="354" t="n"/>
      <c r="M110" s="354" t="n"/>
    </row>
    <row r="111" ht="21.75" customFormat="1" customHeight="1" s="353">
      <c r="A111" s="785" t="inlineStr">
        <is>
          <t>Отдел управления качеством</t>
        </is>
      </c>
      <c r="B111" s="786" t="inlineStr">
        <is>
          <t> </t>
        </is>
      </c>
      <c r="C111" s="787" t="inlineStr">
        <is>
          <t>Москва</t>
        </is>
      </c>
      <c r="D111" s="468" t="inlineStr">
        <is>
          <t>Специалист</t>
        </is>
      </c>
      <c r="E111" s="461" t="n"/>
      <c r="F111" s="354" t="n"/>
      <c r="G111" s="354" t="n">
        <v>1</v>
      </c>
      <c r="H111" s="354" t="n"/>
      <c r="I111" s="354" t="n"/>
      <c r="J111" s="354" t="n"/>
      <c r="K111" s="354" t="n"/>
      <c r="L111" s="354" t="n"/>
      <c r="M111" s="354" t="n"/>
    </row>
    <row r="112" ht="61.5" customFormat="1" customHeight="1" s="353">
      <c r="A112" s="753" t="n"/>
      <c r="B112" s="753" t="n"/>
      <c r="C112" s="753" t="n"/>
      <c r="D112" s="468" t="inlineStr">
        <is>
          <t>Ведущий специалист</t>
        </is>
      </c>
      <c r="E112" s="476" t="n">
        <v>1</v>
      </c>
      <c r="F112" s="477" t="n">
        <v>1</v>
      </c>
      <c r="G112" s="477" t="n">
        <v>0</v>
      </c>
      <c r="H112" s="478" t="n">
        <v>1</v>
      </c>
      <c r="I112" s="477" t="n">
        <v>2</v>
      </c>
      <c r="J112" s="477" t="n"/>
      <c r="K112" s="477" t="n"/>
      <c r="L112" s="477" t="n"/>
      <c r="M112" s="477" t="n"/>
    </row>
    <row r="113" ht="66.75" customHeight="1">
      <c r="A113" s="586" t="inlineStr">
        <is>
          <t>Отдел технического контроля</t>
        </is>
      </c>
      <c r="B113" s="480" t="inlineStr">
        <is>
          <t> </t>
        </is>
      </c>
      <c r="C113" s="481" t="inlineStr">
        <is>
          <t>Москва</t>
        </is>
      </c>
      <c r="D113" s="482" t="inlineStr">
        <is>
          <t>Инженер ОТК/Контролер ОТК</t>
        </is>
      </c>
      <c r="E113" s="482" t="n">
        <v>3</v>
      </c>
      <c r="F113" s="483" t="n">
        <v>1</v>
      </c>
      <c r="G113" s="483" t="n">
        <v>2</v>
      </c>
      <c r="H113" s="483" t="n"/>
      <c r="I113" s="483" t="n">
        <v>2</v>
      </c>
      <c r="J113" s="483" t="n"/>
      <c r="K113" s="483" t="n"/>
      <c r="L113" s="483" t="n"/>
      <c r="M113" s="483" t="n"/>
    </row>
    <row r="114" ht="66.75" customFormat="1" customHeight="1" s="353">
      <c r="A114" s="788" t="inlineStr">
        <is>
          <t>ОСАТ</t>
        </is>
      </c>
      <c r="B114" s="474" t="n"/>
      <c r="C114" s="583" t="inlineStr">
        <is>
          <t>Москва</t>
        </is>
      </c>
      <c r="D114" s="484" t="inlineStr">
        <is>
          <t>Начальник отдела</t>
        </is>
      </c>
      <c r="E114" s="468" t="n"/>
      <c r="F114" s="485" t="n"/>
      <c r="G114" s="485" t="n"/>
      <c r="H114" s="485" t="n"/>
      <c r="I114" s="485" t="n">
        <v>1</v>
      </c>
      <c r="J114" s="485" t="n"/>
      <c r="K114" s="485" t="n"/>
      <c r="L114" s="485" t="n"/>
      <c r="M114" s="485" t="n"/>
    </row>
    <row r="115" ht="39.75" customHeight="1">
      <c r="A115" s="761" t="n"/>
      <c r="B115" s="480" t="n"/>
      <c r="C115" s="481" t="n"/>
      <c r="D115" s="482" t="inlineStr">
        <is>
          <t>Специалист</t>
        </is>
      </c>
      <c r="E115" s="482" t="n"/>
      <c r="F115" s="483" t="n"/>
      <c r="G115" s="483" t="n"/>
      <c r="H115" s="483" t="n"/>
      <c r="I115" s="483" t="n"/>
      <c r="J115" s="483" t="n">
        <v>1</v>
      </c>
      <c r="K115" s="483" t="n">
        <v>1</v>
      </c>
      <c r="L115" s="483" t="n"/>
      <c r="M115" s="483" t="n"/>
    </row>
    <row r="116" ht="39.75" customFormat="1" customHeight="1" s="352">
      <c r="A116" s="590" t="inlineStr">
        <is>
          <t>Отдел метрологии</t>
        </is>
      </c>
      <c r="B116" s="480" t="n"/>
      <c r="C116" s="481" t="inlineStr">
        <is>
          <t>Москва</t>
        </is>
      </c>
      <c r="D116" s="482" t="inlineStr">
        <is>
          <t>Метролог</t>
        </is>
      </c>
      <c r="E116" s="482" t="n">
        <v>1</v>
      </c>
      <c r="F116" s="483" t="n">
        <v>1</v>
      </c>
      <c r="G116" s="483" t="n">
        <v>1</v>
      </c>
      <c r="H116" s="483" t="n"/>
      <c r="I116" s="483" t="n"/>
      <c r="J116" s="483" t="n">
        <v>1</v>
      </c>
      <c r="K116" s="483" t="n">
        <v>1</v>
      </c>
      <c r="L116" s="483" t="n"/>
      <c r="M116" s="483" t="n"/>
      <c r="N116" s="487" t="n"/>
    </row>
    <row r="117" ht="39.75" customFormat="1" customHeight="1" s="352">
      <c r="A117" s="789" t="inlineStr">
        <is>
          <t>Отдел ИБ</t>
        </is>
      </c>
      <c r="B117" s="790" t="inlineStr">
        <is>
          <t>Отдел ИБ</t>
        </is>
      </c>
      <c r="C117" s="481" t="inlineStr">
        <is>
          <t>Москва</t>
        </is>
      </c>
      <c r="D117" s="482" t="inlineStr">
        <is>
          <t>Эксперт- аналитик DLP -системы</t>
        </is>
      </c>
      <c r="E117" s="482" t="n">
        <v>1</v>
      </c>
      <c r="F117" s="483" t="n">
        <v>0</v>
      </c>
      <c r="G117" s="483" t="n"/>
      <c r="H117" s="483" t="n"/>
      <c r="I117" s="483" t="n"/>
      <c r="J117" s="483" t="n"/>
      <c r="K117" s="483" t="n"/>
      <c r="L117" s="483" t="n"/>
      <c r="M117" s="483" t="n"/>
      <c r="N117" s="487" t="n"/>
    </row>
    <row r="118" ht="47.7" customFormat="1" customHeight="1" s="352">
      <c r="A118" s="791" t="n"/>
      <c r="B118" s="753" t="n"/>
      <c r="C118" s="481" t="inlineStr">
        <is>
          <t>Москва</t>
        </is>
      </c>
      <c r="D118" s="482" t="inlineStr">
        <is>
          <t>Эксперт по обнаружению, предупреждению и ликвидации последствий компьютерных атак</t>
        </is>
      </c>
      <c r="E118" s="482" t="n">
        <v>1</v>
      </c>
      <c r="F118" s="483" t="n">
        <v>0</v>
      </c>
      <c r="G118" s="483" t="n"/>
      <c r="H118" s="483" t="n"/>
      <c r="I118" s="483" t="n"/>
      <c r="J118" s="483" t="n"/>
      <c r="K118" s="483" t="n"/>
      <c r="L118" s="483" t="n"/>
      <c r="M118" s="483" t="n"/>
      <c r="N118" s="487" t="n"/>
    </row>
    <row r="119" ht="21.75" customFormat="1" customHeight="1" s="353">
      <c r="A119" s="792" t="n"/>
      <c r="B119" s="611" t="n"/>
      <c r="C119" s="583" t="n"/>
      <c r="D119" s="468" t="inlineStr">
        <is>
          <t>Начальник отдела</t>
        </is>
      </c>
      <c r="E119" s="468" t="n"/>
      <c r="F119" s="485" t="n"/>
      <c r="G119" s="485" t="n"/>
      <c r="H119" s="485" t="n"/>
      <c r="I119" s="485" t="n"/>
      <c r="J119" s="485" t="n"/>
      <c r="K119" s="485" t="n">
        <v>1</v>
      </c>
      <c r="L119" s="485" t="n"/>
      <c r="M119" s="485" t="n"/>
    </row>
    <row r="120" ht="21.75" customFormat="1" customHeight="1" s="353">
      <c r="A120" s="793" t="inlineStr">
        <is>
          <t>АХО (Машково/Руднево/Ульяновск)</t>
        </is>
      </c>
      <c r="B120" s="784" t="n"/>
      <c r="C120" s="583" t="inlineStr">
        <is>
          <t>Руднево</t>
        </is>
      </c>
      <c r="D120" s="468" t="inlineStr">
        <is>
          <t>Разнорабочий</t>
        </is>
      </c>
      <c r="E120" s="468" t="n"/>
      <c r="F120" s="485" t="n"/>
      <c r="G120" s="485" t="n"/>
      <c r="H120" s="485" t="n"/>
      <c r="I120" s="485" t="n"/>
      <c r="J120" s="485" t="n"/>
      <c r="K120" s="485" t="n">
        <v>1</v>
      </c>
      <c r="L120" s="485" t="n"/>
      <c r="M120" s="485" t="n"/>
    </row>
    <row r="121" ht="21.75" customFormat="1" customHeight="1" s="353">
      <c r="A121" s="754" t="n"/>
      <c r="B121" s="754" t="n"/>
      <c r="C121" s="583" t="inlineStr">
        <is>
          <t>Руднево</t>
        </is>
      </c>
      <c r="D121" s="468" t="inlineStr">
        <is>
          <t>Уборщик производственных и служебных помещений</t>
        </is>
      </c>
      <c r="E121" s="468" t="n"/>
      <c r="F121" s="485" t="n"/>
      <c r="G121" s="485" t="n"/>
      <c r="H121" s="485" t="n"/>
      <c r="I121" s="485" t="n"/>
      <c r="J121" s="485" t="n"/>
      <c r="K121" s="485" t="n">
        <v>1</v>
      </c>
      <c r="L121" s="485" t="n"/>
      <c r="M121" s="485" t="n"/>
    </row>
    <row r="122" ht="21.75" customFormat="1" customHeight="1" s="353">
      <c r="A122" s="753" t="n"/>
      <c r="B122" s="753" t="n"/>
      <c r="C122" s="583" t="inlineStr">
        <is>
          <t>Ульяновск</t>
        </is>
      </c>
      <c r="D122" s="468" t="inlineStr">
        <is>
          <t>Технический работник</t>
        </is>
      </c>
      <c r="E122" s="468" t="n"/>
      <c r="F122" s="485" t="n"/>
      <c r="G122" s="485" t="n"/>
      <c r="H122" s="485" t="n"/>
      <c r="I122" s="485" t="n"/>
      <c r="J122" s="485" t="n"/>
      <c r="K122" s="485" t="n">
        <v>1</v>
      </c>
      <c r="L122" s="485" t="n"/>
      <c r="M122" s="485" t="n"/>
    </row>
    <row r="123" ht="21.75" customHeight="1">
      <c r="A123" s="582" t="n"/>
      <c r="B123" s="580" t="n"/>
      <c r="C123" s="481" t="n"/>
      <c r="D123" s="482" t="inlineStr">
        <is>
          <t>Начальник производства</t>
        </is>
      </c>
      <c r="E123" s="482" t="n"/>
      <c r="F123" s="483" t="n"/>
      <c r="G123" s="483" t="n"/>
      <c r="H123" s="483" t="n"/>
      <c r="I123" s="483" t="n"/>
      <c r="J123" s="483" t="n">
        <v>1</v>
      </c>
      <c r="K123" s="483" t="n"/>
      <c r="L123" s="483" t="n">
        <v>1</v>
      </c>
      <c r="M123" s="483" t="n"/>
    </row>
    <row r="124" ht="21.75" customHeight="1">
      <c r="A124" s="582" t="n"/>
      <c r="B124" s="580" t="n"/>
      <c r="C124" s="481" t="n"/>
      <c r="D124" s="482" t="inlineStr">
        <is>
          <t>Зам.начальника производства</t>
        </is>
      </c>
      <c r="E124" s="482" t="n"/>
      <c r="F124" s="483" t="n"/>
      <c r="G124" s="483" t="n"/>
      <c r="H124" s="483" t="n"/>
      <c r="I124" s="483" t="n"/>
      <c r="J124" s="483" t="n">
        <v>1</v>
      </c>
      <c r="K124" s="483" t="n"/>
      <c r="L124" s="483" t="n">
        <v>1</v>
      </c>
      <c r="M124" s="483" t="n"/>
    </row>
    <row r="125" ht="21.75" customHeight="1">
      <c r="A125" s="777" t="inlineStr">
        <is>
          <t>ОП Машково/Руднево 7
Механосборочный цех
(начальник цеха)</t>
        </is>
      </c>
      <c r="B125" s="794" t="inlineStr">
        <is>
          <t>заготовительно-обрабатывающий участок</t>
        </is>
      </c>
      <c r="C125" s="481" t="inlineStr">
        <is>
          <t>Москва</t>
        </is>
      </c>
      <c r="D125" s="482" t="inlineStr">
        <is>
          <t>Начальник участка</t>
        </is>
      </c>
      <c r="E125" s="482" t="n">
        <v>1</v>
      </c>
      <c r="F125" s="483" t="n">
        <v>1</v>
      </c>
      <c r="G125" s="483" t="n"/>
      <c r="H125" s="483" t="n"/>
      <c r="I125" s="483" t="n"/>
      <c r="J125" s="483" t="n"/>
      <c r="K125" s="483" t="n"/>
      <c r="L125" s="483" t="n"/>
      <c r="M125" s="483" t="n"/>
    </row>
    <row r="126" ht="21.75" customHeight="1">
      <c r="A126" s="754" t="n"/>
      <c r="B126" s="754" t="n"/>
      <c r="C126" s="481" t="inlineStr">
        <is>
          <t>Москва</t>
        </is>
      </c>
      <c r="D126" s="482" t="inlineStr">
        <is>
          <t>мастер</t>
        </is>
      </c>
      <c r="E126" s="482" t="n">
        <v>1</v>
      </c>
      <c r="F126" s="483" t="n">
        <v>1</v>
      </c>
      <c r="G126" s="483" t="n"/>
      <c r="H126" s="483" t="n"/>
      <c r="I126" s="483" t="n"/>
      <c r="J126" s="483" t="n"/>
      <c r="K126" s="483" t="n"/>
      <c r="L126" s="483" t="n"/>
      <c r="M126" s="483" t="n"/>
    </row>
    <row r="127" ht="21.75" customHeight="1">
      <c r="A127" s="754" t="n"/>
      <c r="B127" s="754" t="n"/>
      <c r="C127" s="481" t="inlineStr">
        <is>
          <t>Москва</t>
        </is>
      </c>
      <c r="D127" s="482" t="inlineStr">
        <is>
          <t>мастер</t>
        </is>
      </c>
      <c r="E127" s="482" t="n">
        <v>2</v>
      </c>
      <c r="F127" s="483" t="n">
        <v>0</v>
      </c>
      <c r="G127" s="483" t="n"/>
      <c r="H127" s="483" t="n"/>
      <c r="I127" s="483" t="n"/>
      <c r="J127" s="483" t="n"/>
      <c r="K127" s="483" t="n"/>
      <c r="L127" s="483" t="n"/>
      <c r="M127" s="483" t="n"/>
    </row>
    <row r="128" hidden="1" ht="21.75" customHeight="1">
      <c r="A128" s="754" t="n"/>
      <c r="B128" s="754" t="n"/>
      <c r="C128" s="481" t="inlineStr">
        <is>
          <t>Москва</t>
        </is>
      </c>
      <c r="D128" s="482" t="inlineStr">
        <is>
          <t xml:space="preserve">Резчик на пилах, ножовках и станках </t>
        </is>
      </c>
      <c r="E128" s="482" t="n">
        <v>3</v>
      </c>
      <c r="F128" s="483" t="n">
        <v>0</v>
      </c>
      <c r="G128" s="483" t="n"/>
      <c r="H128" s="483" t="n"/>
      <c r="I128" s="483" t="n"/>
      <c r="J128" s="483" t="n"/>
      <c r="K128" s="483" t="n"/>
      <c r="L128" s="483" t="n"/>
      <c r="M128" s="483" t="n"/>
    </row>
    <row r="129" hidden="1" ht="21.75" customHeight="1">
      <c r="A129" s="754" t="n"/>
      <c r="B129" s="754" t="n"/>
      <c r="C129" s="481" t="inlineStr">
        <is>
          <t>Москва</t>
        </is>
      </c>
      <c r="D129" s="482" t="inlineStr">
        <is>
          <t>Оператор лазерных установок 5-го разряда</t>
        </is>
      </c>
      <c r="E129" s="482" t="n">
        <v>1</v>
      </c>
      <c r="F129" s="483" t="n">
        <v>0</v>
      </c>
      <c r="G129" s="483" t="n"/>
      <c r="H129" s="483" t="n"/>
      <c r="I129" s="483" t="n"/>
      <c r="J129" s="483" t="n"/>
      <c r="K129" s="483" t="n"/>
      <c r="L129" s="483" t="n"/>
      <c r="M129" s="483" t="n"/>
    </row>
    <row r="130" hidden="1" ht="21.75" customHeight="1">
      <c r="A130" s="754" t="n"/>
      <c r="B130" s="754" t="n"/>
      <c r="C130" s="481" t="inlineStr">
        <is>
          <t>Москва</t>
        </is>
      </c>
      <c r="D130" s="482" t="inlineStr">
        <is>
          <t>Оператор листогибочного оборудования 5 разряда</t>
        </is>
      </c>
      <c r="E130" s="482" t="n">
        <v>2</v>
      </c>
      <c r="F130" s="483" t="n">
        <v>0</v>
      </c>
      <c r="G130" s="483" t="n"/>
      <c r="H130" s="483" t="n"/>
      <c r="I130" s="483" t="n"/>
      <c r="J130" s="483" t="n"/>
      <c r="K130" s="483" t="n"/>
      <c r="L130" s="483" t="n"/>
      <c r="M130" s="483" t="n"/>
    </row>
    <row r="131" hidden="1" ht="21.75" customHeight="1">
      <c r="A131" s="754" t="n"/>
      <c r="B131" s="754" t="n"/>
      <c r="C131" s="481" t="inlineStr">
        <is>
          <t>Москва</t>
        </is>
      </c>
      <c r="D131" s="482" t="inlineStr">
        <is>
          <t>электроэрозионист</t>
        </is>
      </c>
      <c r="E131" s="482" t="n">
        <v>2</v>
      </c>
      <c r="F131" s="483" t="n">
        <v>0</v>
      </c>
      <c r="G131" s="483" t="n"/>
      <c r="H131" s="483" t="n"/>
      <c r="I131" s="483" t="n"/>
      <c r="J131" s="483" t="n"/>
      <c r="K131" s="483" t="n"/>
      <c r="L131" s="483" t="n"/>
      <c r="M131" s="483" t="n"/>
    </row>
    <row r="132" ht="21.75" customHeight="1">
      <c r="A132" s="754" t="n"/>
      <c r="B132" s="754" t="n"/>
      <c r="C132" s="481" t="inlineStr">
        <is>
          <t>Москва</t>
        </is>
      </c>
      <c r="D132" s="482" t="inlineStr">
        <is>
          <t xml:space="preserve">Оператор-наладчик станков с ЧПУ </t>
        </is>
      </c>
      <c r="E132" s="482" t="n">
        <v>6</v>
      </c>
      <c r="F132" s="483" t="n">
        <v>0</v>
      </c>
      <c r="G132" s="483" t="n"/>
      <c r="H132" s="483" t="n"/>
      <c r="I132" s="483" t="n"/>
      <c r="J132" s="483" t="n"/>
      <c r="K132" s="483" t="n"/>
      <c r="L132" s="483" t="n"/>
      <c r="M132" s="483" t="n"/>
    </row>
    <row r="133" ht="21.75" customHeight="1">
      <c r="A133" s="754" t="n"/>
      <c r="B133" s="754" t="n"/>
      <c r="C133" s="481" t="inlineStr">
        <is>
          <t>Москва</t>
        </is>
      </c>
      <c r="D133" s="482" t="inlineStr">
        <is>
          <t xml:space="preserve">Оператор-наладчик станков с ЧПУ </t>
        </is>
      </c>
      <c r="E133" s="482" t="n">
        <v>6</v>
      </c>
      <c r="F133" s="483" t="n">
        <v>0</v>
      </c>
      <c r="G133" s="483" t="n"/>
      <c r="H133" s="483" t="n"/>
      <c r="I133" s="483" t="n"/>
      <c r="J133" s="483" t="n"/>
      <c r="K133" s="483" t="n"/>
      <c r="L133" s="483" t="n"/>
      <c r="M133" s="483" t="n"/>
    </row>
    <row r="134" hidden="1" ht="21.75" customHeight="1">
      <c r="A134" s="754" t="n"/>
      <c r="B134" s="754" t="n"/>
      <c r="C134" s="481" t="inlineStr">
        <is>
          <t>Москва</t>
        </is>
      </c>
      <c r="D134" s="482" t="inlineStr">
        <is>
          <t xml:space="preserve">Токарь 5 разряда </t>
        </is>
      </c>
      <c r="E134" s="482" t="n">
        <v>1</v>
      </c>
      <c r="F134" s="483" t="n">
        <v>0</v>
      </c>
      <c r="G134" s="483" t="n"/>
      <c r="H134" s="483" t="n"/>
      <c r="I134" s="483" t="n"/>
      <c r="J134" s="483" t="n"/>
      <c r="K134" s="483" t="n"/>
      <c r="L134" s="483" t="n"/>
      <c r="M134" s="483" t="n"/>
    </row>
    <row r="135" hidden="1" ht="21.75" customHeight="1">
      <c r="A135" s="754" t="n"/>
      <c r="B135" s="754" t="n"/>
      <c r="C135" s="481" t="inlineStr">
        <is>
          <t>Москва</t>
        </is>
      </c>
      <c r="D135" s="482" t="inlineStr">
        <is>
          <t xml:space="preserve">Фрезеровщик 6 разряда </t>
        </is>
      </c>
      <c r="E135" s="482" t="n">
        <v>1</v>
      </c>
      <c r="F135" s="483" t="n">
        <v>0</v>
      </c>
      <c r="G135" s="483" t="n"/>
      <c r="H135" s="483" t="n"/>
      <c r="I135" s="483" t="n"/>
      <c r="J135" s="483" t="n"/>
      <c r="K135" s="483" t="n"/>
      <c r="L135" s="483" t="n"/>
      <c r="M135" s="483" t="n"/>
    </row>
    <row r="136" hidden="1" ht="21.75" customHeight="1">
      <c r="A136" s="754" t="n"/>
      <c r="B136" s="754" t="n"/>
      <c r="C136" s="481" t="inlineStr">
        <is>
          <t>Москва</t>
        </is>
      </c>
      <c r="D136" s="482" t="inlineStr">
        <is>
          <t xml:space="preserve">Фрезеровщик 5 разряда </t>
        </is>
      </c>
      <c r="E136" s="482" t="n">
        <v>1</v>
      </c>
      <c r="F136" s="483" t="n">
        <v>0</v>
      </c>
      <c r="G136" s="483" t="n"/>
      <c r="H136" s="483" t="n"/>
      <c r="I136" s="483" t="n"/>
      <c r="J136" s="483" t="n"/>
      <c r="K136" s="483" t="n"/>
      <c r="L136" s="483" t="n"/>
      <c r="M136" s="483" t="n"/>
    </row>
    <row r="137" hidden="1" ht="21.75" customHeight="1">
      <c r="A137" s="754" t="n"/>
      <c r="B137" s="754" t="n"/>
      <c r="C137" s="481" t="inlineStr">
        <is>
          <t>Москва</t>
        </is>
      </c>
      <c r="D137" s="482" t="inlineStr">
        <is>
          <t>Слесарь механосборочных работ 5 разряда</t>
        </is>
      </c>
      <c r="E137" s="482" t="n">
        <v>1</v>
      </c>
      <c r="F137" s="483" t="n">
        <v>0</v>
      </c>
      <c r="G137" s="483" t="n"/>
      <c r="H137" s="483" t="n"/>
      <c r="I137" s="483" t="n"/>
      <c r="J137" s="483" t="n"/>
      <c r="K137" s="483" t="n"/>
      <c r="L137" s="483" t="n"/>
      <c r="M137" s="483" t="n"/>
    </row>
    <row r="138" hidden="1" ht="21.75" customHeight="1">
      <c r="A138" s="754" t="n"/>
      <c r="B138" s="753" t="n"/>
      <c r="C138" s="481" t="inlineStr">
        <is>
          <t>Москва</t>
        </is>
      </c>
      <c r="D138" s="482" t="inlineStr">
        <is>
          <t>Слесарь механосборочных работ 4 разряда</t>
        </is>
      </c>
      <c r="E138" s="482" t="n">
        <v>4</v>
      </c>
      <c r="F138" s="483" t="n">
        <v>0</v>
      </c>
      <c r="G138" s="483" t="n"/>
      <c r="H138" s="483" t="n"/>
      <c r="I138" s="483" t="n"/>
      <c r="J138" s="483" t="n"/>
      <c r="K138" s="483" t="n"/>
      <c r="L138" s="483" t="n"/>
      <c r="M138" s="483" t="n"/>
    </row>
    <row r="139" ht="21.75" customHeight="1">
      <c r="A139" s="754" t="n"/>
      <c r="B139" s="794" t="inlineStr">
        <is>
          <t>слесарно-сборочный участок</t>
        </is>
      </c>
      <c r="C139" s="481" t="inlineStr">
        <is>
          <t>Москва</t>
        </is>
      </c>
      <c r="D139" s="482" t="inlineStr">
        <is>
          <t>Начальник участка</t>
        </is>
      </c>
      <c r="E139" s="482" t="n">
        <v>1</v>
      </c>
      <c r="F139" s="483" t="n">
        <v>0</v>
      </c>
      <c r="G139" s="483" t="n"/>
      <c r="H139" s="483" t="n"/>
      <c r="I139" s="483" t="n"/>
      <c r="J139" s="483" t="n"/>
      <c r="K139" s="483" t="n">
        <v>1</v>
      </c>
      <c r="L139" s="483" t="n"/>
      <c r="M139" s="483" t="n"/>
    </row>
    <row r="140" ht="21.75" customHeight="1">
      <c r="A140" s="754" t="n"/>
      <c r="B140" s="754" t="n"/>
      <c r="C140" s="481" t="inlineStr">
        <is>
          <t>Москва</t>
        </is>
      </c>
      <c r="D140" s="482" t="inlineStr">
        <is>
          <t>мастер</t>
        </is>
      </c>
      <c r="E140" s="482" t="n">
        <v>4</v>
      </c>
      <c r="F140" s="483" t="n">
        <v>0</v>
      </c>
      <c r="G140" s="483" t="n"/>
      <c r="H140" s="483" t="n"/>
      <c r="I140" s="483" t="n"/>
      <c r="J140" s="483" t="n">
        <v>1</v>
      </c>
      <c r="K140" s="483" t="n">
        <v>1</v>
      </c>
      <c r="L140" s="483" t="n"/>
      <c r="M140" s="483" t="n"/>
    </row>
    <row r="141" hidden="1" ht="21.75" customHeight="1">
      <c r="A141" s="754" t="n"/>
      <c r="B141" s="754" t="n"/>
      <c r="C141" s="481" t="inlineStr">
        <is>
          <t>Москва</t>
        </is>
      </c>
      <c r="D141" s="482" t="inlineStr">
        <is>
          <t>Слесарь механосборочных работ 6 разряда</t>
        </is>
      </c>
      <c r="E141" s="482" t="n">
        <v>1</v>
      </c>
      <c r="F141" s="483" t="n">
        <v>0</v>
      </c>
      <c r="G141" s="483" t="n"/>
      <c r="H141" s="483" t="n"/>
      <c r="I141" s="483" t="n"/>
      <c r="J141" s="483" t="n"/>
      <c r="K141" s="483" t="n"/>
      <c r="L141" s="483" t="n"/>
      <c r="M141" s="483" t="n"/>
    </row>
    <row r="142" hidden="1" ht="21.75" customHeight="1">
      <c r="A142" s="754" t="n"/>
      <c r="B142" s="754" t="n"/>
      <c r="C142" s="481" t="inlineStr">
        <is>
          <t>Москва</t>
        </is>
      </c>
      <c r="D142" s="482" t="inlineStr">
        <is>
          <t>Слесарь механосборочных работ 5 разряда</t>
        </is>
      </c>
      <c r="E142" s="482" t="n">
        <v>4</v>
      </c>
      <c r="F142" s="483" t="n">
        <v>0</v>
      </c>
      <c r="G142" s="483" t="n"/>
      <c r="H142" s="483" t="n"/>
      <c r="I142" s="483" t="n"/>
      <c r="J142" s="483" t="n"/>
      <c r="K142" s="483" t="n"/>
      <c r="L142" s="483" t="n"/>
      <c r="M142" s="483" t="n"/>
    </row>
    <row r="143" ht="21.75" customFormat="1" customHeight="1" s="353">
      <c r="A143" s="754" t="n"/>
      <c r="B143" s="754" t="n"/>
      <c r="C143" s="583" t="inlineStr">
        <is>
          <t>Москва</t>
        </is>
      </c>
      <c r="D143" s="468" t="inlineStr">
        <is>
          <t>Слесарь механосборочных работ 2 разряда</t>
        </is>
      </c>
      <c r="E143" s="468" t="n"/>
      <c r="F143" s="485" t="n"/>
      <c r="G143" s="485" t="n"/>
      <c r="H143" s="485" t="n"/>
      <c r="I143" s="468" t="n"/>
      <c r="J143" s="485" t="n"/>
      <c r="K143" s="485" t="n"/>
      <c r="L143" s="485" t="n"/>
      <c r="M143" s="485" t="n"/>
    </row>
    <row r="144" ht="21.75" customHeight="1">
      <c r="A144" s="754" t="n"/>
      <c r="B144" s="754" t="n"/>
      <c r="C144" s="481" t="inlineStr">
        <is>
          <t>Москва</t>
        </is>
      </c>
      <c r="D144" s="482" t="inlineStr">
        <is>
          <t>Слесарь механосборочных работ 4 разряда</t>
        </is>
      </c>
      <c r="E144" s="482" t="n">
        <v>3</v>
      </c>
      <c r="F144" s="483" t="n">
        <v>0</v>
      </c>
      <c r="G144" s="483" t="n"/>
      <c r="H144" s="483" t="n"/>
      <c r="I144" s="483" t="n"/>
      <c r="J144" s="483" t="n">
        <v>1</v>
      </c>
      <c r="K144" s="483" t="n"/>
      <c r="L144" s="483" t="n"/>
      <c r="M144" s="483" t="n"/>
    </row>
    <row r="145" ht="21.75" customHeight="1">
      <c r="A145" s="754" t="n"/>
      <c r="B145" s="754" t="n"/>
      <c r="C145" s="481" t="inlineStr">
        <is>
          <t>Москва</t>
        </is>
      </c>
      <c r="D145" s="482" t="inlineStr">
        <is>
          <t>галтовщик 3 разряда</t>
        </is>
      </c>
      <c r="E145" s="482" t="n">
        <v>2</v>
      </c>
      <c r="F145" s="483" t="n">
        <v>0</v>
      </c>
      <c r="G145" s="483" t="n"/>
      <c r="H145" s="483" t="n"/>
      <c r="I145" s="483" t="n"/>
      <c r="J145" s="483" t="n"/>
      <c r="K145" s="483" t="n"/>
      <c r="L145" s="483" t="n"/>
      <c r="M145" s="483" t="n"/>
    </row>
    <row r="146" hidden="1" ht="21.75" customHeight="1">
      <c r="A146" s="754" t="n"/>
      <c r="B146" s="753" t="n"/>
      <c r="C146" s="481" t="inlineStr">
        <is>
          <t>Москва</t>
        </is>
      </c>
      <c r="D146" s="482" t="inlineStr">
        <is>
          <t>трубогибщик</t>
        </is>
      </c>
      <c r="E146" s="482" t="n">
        <v>2</v>
      </c>
      <c r="F146" s="483" t="n">
        <v>0</v>
      </c>
      <c r="G146" s="483" t="n"/>
      <c r="H146" s="483" t="n"/>
      <c r="I146" s="483" t="n"/>
      <c r="J146" s="483" t="n"/>
      <c r="K146" s="483" t="n"/>
      <c r="L146" s="483" t="n"/>
      <c r="M146" s="483" t="n"/>
    </row>
    <row r="147" hidden="1" ht="21.75" customHeight="1">
      <c r="A147" s="753" t="n"/>
      <c r="B147" s="491" t="inlineStr">
        <is>
          <t>сварочный участок</t>
        </is>
      </c>
      <c r="C147" s="481" t="inlineStr">
        <is>
          <t>Москва</t>
        </is>
      </c>
      <c r="D147" s="482" t="inlineStr">
        <is>
          <t>сварщик</t>
        </is>
      </c>
      <c r="E147" s="482" t="n">
        <v>2</v>
      </c>
      <c r="F147" s="483" t="n">
        <v>0</v>
      </c>
      <c r="G147" s="483" t="n"/>
      <c r="H147" s="483" t="n"/>
      <c r="I147" s="483" t="n"/>
      <c r="J147" s="483" t="n"/>
      <c r="K147" s="483" t="n"/>
      <c r="L147" s="483" t="n"/>
      <c r="M147" s="483" t="n"/>
    </row>
    <row r="148" ht="42" customHeight="1">
      <c r="A148" s="777" t="inlineStr">
        <is>
          <t>ОП Машково/Руднево 7
Мебельный цех
(начальник цеха)</t>
        </is>
      </c>
      <c r="B148" s="794" t="inlineStr">
        <is>
          <t>Участок декоративной отделки</t>
        </is>
      </c>
      <c r="C148" s="481" t="inlineStr">
        <is>
          <t>Москва</t>
        </is>
      </c>
      <c r="D148" s="482" t="inlineStr">
        <is>
          <t>Мастер</t>
        </is>
      </c>
      <c r="E148" s="482" t="n">
        <v>4</v>
      </c>
      <c r="F148" s="483" t="n">
        <v>0</v>
      </c>
      <c r="G148" s="483" t="n"/>
      <c r="H148" s="483" t="n"/>
      <c r="I148" s="483" t="n"/>
      <c r="J148" s="483" t="n"/>
      <c r="K148" s="483" t="n"/>
      <c r="L148" s="483" t="n"/>
      <c r="M148" s="483" t="n"/>
    </row>
    <row r="149">
      <c r="A149" s="754" t="n"/>
      <c r="B149" s="754" t="n"/>
      <c r="C149" s="481" t="inlineStr">
        <is>
          <t>Москва</t>
        </is>
      </c>
      <c r="D149" s="482" t="inlineStr">
        <is>
          <t>маляр 6 разряда (реставратор)</t>
        </is>
      </c>
      <c r="E149" s="482" t="n">
        <v>4</v>
      </c>
      <c r="F149" s="483" t="n">
        <v>0</v>
      </c>
      <c r="G149" s="483" t="n"/>
      <c r="H149" s="483" t="n"/>
      <c r="I149" s="483" t="n"/>
      <c r="J149" s="483" t="n"/>
      <c r="K149" s="483" t="n"/>
      <c r="L149" s="483" t="n"/>
      <c r="M149" s="483" t="n"/>
    </row>
    <row r="150">
      <c r="A150" s="754" t="n"/>
      <c r="B150" s="754" t="n"/>
      <c r="C150" s="481" t="inlineStr">
        <is>
          <t>Москва</t>
        </is>
      </c>
      <c r="D150" s="482" t="inlineStr">
        <is>
          <t xml:space="preserve">маляр 6 разряда </t>
        </is>
      </c>
      <c r="E150" s="482" t="n">
        <v>4</v>
      </c>
      <c r="F150" s="483" t="n">
        <v>0</v>
      </c>
      <c r="G150" s="483" t="n"/>
      <c r="H150" s="483" t="n"/>
      <c r="I150" s="483" t="n"/>
      <c r="J150" s="483" t="n"/>
      <c r="K150" s="483" t="n"/>
      <c r="L150" s="483" t="n"/>
      <c r="M150" s="483" t="n"/>
    </row>
    <row r="151">
      <c r="A151" s="754" t="n"/>
      <c r="B151" s="754" t="n"/>
      <c r="C151" s="481" t="inlineStr">
        <is>
          <t>Москва</t>
        </is>
      </c>
      <c r="D151" s="482" t="inlineStr">
        <is>
          <t xml:space="preserve">маляр 5 разряда </t>
        </is>
      </c>
      <c r="E151" s="482" t="n">
        <v>6</v>
      </c>
      <c r="F151" s="483" t="n">
        <v>0</v>
      </c>
      <c r="G151" s="483" t="n"/>
      <c r="H151" s="483" t="n"/>
      <c r="I151" s="483" t="n"/>
      <c r="J151" s="483" t="n"/>
      <c r="K151" s="483" t="n"/>
      <c r="L151" s="483" t="n"/>
      <c r="M151" s="483" t="n"/>
    </row>
    <row r="152">
      <c r="A152" s="754" t="n"/>
      <c r="B152" s="754" t="n"/>
      <c r="C152" s="481" t="inlineStr">
        <is>
          <t>Москва</t>
        </is>
      </c>
      <c r="D152" s="482" t="inlineStr">
        <is>
          <t xml:space="preserve">маляр 4 разряда </t>
        </is>
      </c>
      <c r="E152" s="482" t="n"/>
      <c r="F152" s="483" t="n"/>
      <c r="G152" s="483" t="n">
        <v>1</v>
      </c>
      <c r="H152" s="492" t="n"/>
      <c r="I152" s="483" t="n"/>
      <c r="J152" s="483" t="n"/>
      <c r="K152" s="483" t="n"/>
      <c r="L152" s="483" t="n"/>
      <c r="M152" s="483" t="n"/>
    </row>
    <row r="153">
      <c r="A153" s="754" t="n"/>
      <c r="B153" s="754" t="n"/>
      <c r="C153" s="481" t="inlineStr">
        <is>
          <t>Москва</t>
        </is>
      </c>
      <c r="D153" s="482" t="inlineStr">
        <is>
          <t>Маляр</t>
        </is>
      </c>
      <c r="E153" s="482" t="n"/>
      <c r="F153" s="483" t="n"/>
      <c r="G153" s="483" t="n"/>
      <c r="H153" s="483" t="n">
        <v>1</v>
      </c>
      <c r="I153" s="483" t="n"/>
      <c r="J153" s="483" t="n"/>
      <c r="K153" s="483" t="n"/>
      <c r="L153" s="483" t="n"/>
      <c r="M153" s="483" t="n"/>
    </row>
    <row r="154" ht="35.25" customHeight="1">
      <c r="A154" s="754" t="n"/>
      <c r="B154" s="754" t="n"/>
      <c r="C154" s="481" t="inlineStr">
        <is>
          <t>Москва</t>
        </is>
      </c>
      <c r="D154" s="482" t="inlineStr">
        <is>
          <t>Начальник отдела</t>
        </is>
      </c>
      <c r="E154" s="482" t="n">
        <v>8</v>
      </c>
      <c r="F154" s="483" t="n">
        <v>3</v>
      </c>
      <c r="G154" s="483" t="n">
        <v>1</v>
      </c>
      <c r="H154" s="483" t="n"/>
      <c r="I154" s="483" t="n"/>
      <c r="J154" s="483" t="n"/>
      <c r="K154" s="483" t="n"/>
      <c r="L154" s="483" t="n"/>
      <c r="M154" s="483" t="n"/>
    </row>
    <row r="155" ht="35.25" customHeight="1">
      <c r="A155" s="754" t="n"/>
      <c r="B155" s="754" t="n"/>
      <c r="C155" s="481" t="inlineStr">
        <is>
          <t>Москва</t>
        </is>
      </c>
      <c r="D155" s="482" t="inlineStr">
        <is>
          <t>маляр 6 разряда, либо облицовщик деталей мебели 5 разряда</t>
        </is>
      </c>
      <c r="E155" s="482" t="n">
        <v>3</v>
      </c>
      <c r="F155" s="483" t="n">
        <v>0</v>
      </c>
      <c r="G155" s="483" t="n"/>
      <c r="H155" s="483" t="n"/>
      <c r="I155" s="483" t="n"/>
      <c r="J155" s="483" t="n"/>
      <c r="K155" s="483" t="n"/>
      <c r="L155" s="483" t="n"/>
      <c r="M155" s="483" t="n"/>
    </row>
    <row r="156" ht="35.25" customFormat="1" customHeight="1" s="352">
      <c r="A156" s="754" t="n"/>
      <c r="B156" s="754" t="n"/>
      <c r="C156" s="481" t="inlineStr">
        <is>
          <t>Москва</t>
        </is>
      </c>
      <c r="D156" s="482" t="inlineStr">
        <is>
          <t>Шлифовщик</t>
        </is>
      </c>
      <c r="E156" s="482" t="n"/>
      <c r="F156" s="483" t="n"/>
      <c r="G156" s="483" t="n"/>
      <c r="H156" s="483" t="n">
        <v>6</v>
      </c>
      <c r="I156" s="483" t="n">
        <v>3</v>
      </c>
      <c r="J156" s="483" t="n">
        <v>8</v>
      </c>
      <c r="K156" s="483" t="n">
        <v>2</v>
      </c>
      <c r="L156" s="483" t="n">
        <v>6</v>
      </c>
      <c r="M156" s="483" t="n"/>
      <c r="N156" s="487" t="n"/>
    </row>
    <row r="157" ht="32.25" customFormat="1" customHeight="1" s="352">
      <c r="A157" s="754" t="n"/>
      <c r="B157" s="753" t="n"/>
      <c r="C157" s="493" t="n"/>
      <c r="D157" s="494" t="inlineStr">
        <is>
          <t>Шлифовщик-полировщик</t>
        </is>
      </c>
      <c r="E157" s="493" t="n"/>
      <c r="F157" s="493" t="n"/>
      <c r="G157" s="493" t="n"/>
      <c r="H157" s="495" t="n">
        <v>6</v>
      </c>
      <c r="I157" s="483" t="n"/>
      <c r="J157" s="483" t="n"/>
      <c r="K157" s="483" t="n"/>
      <c r="L157" s="483" t="n"/>
      <c r="M157" s="483" t="n"/>
      <c r="N157" s="487" t="n"/>
    </row>
    <row r="158" customFormat="1" s="353">
      <c r="A158" s="754" t="n"/>
      <c r="B158" s="468" t="inlineStr">
        <is>
          <t>Механический участок</t>
        </is>
      </c>
      <c r="C158" s="583" t="inlineStr">
        <is>
          <t>Москва</t>
        </is>
      </c>
      <c r="D158" s="468" t="inlineStr">
        <is>
          <t>Оператор станков с ЧПУ</t>
        </is>
      </c>
      <c r="E158" s="468" t="n"/>
      <c r="F158" s="485" t="n"/>
      <c r="G158" s="485" t="n"/>
      <c r="H158" s="485" t="n"/>
      <c r="I158" s="485" t="n"/>
      <c r="J158" s="485" t="n">
        <v>4</v>
      </c>
      <c r="K158" s="485" t="n">
        <v>1</v>
      </c>
      <c r="L158" s="485" t="n">
        <v>3</v>
      </c>
      <c r="M158" s="485" t="n"/>
    </row>
    <row r="159">
      <c r="A159" s="754" t="n"/>
      <c r="B159" s="794" t="inlineStr">
        <is>
          <t>заготовительно-сборочный участок</t>
        </is>
      </c>
      <c r="C159" s="481" t="inlineStr">
        <is>
          <t>Москва</t>
        </is>
      </c>
      <c r="D159" s="482" t="inlineStr">
        <is>
          <t>Мастер</t>
        </is>
      </c>
      <c r="E159" s="482" t="n">
        <v>2</v>
      </c>
      <c r="F159" s="483" t="n">
        <v>0</v>
      </c>
      <c r="G159" s="483" t="n"/>
      <c r="H159" s="483" t="n">
        <v>1</v>
      </c>
      <c r="I159" s="483" t="n"/>
      <c r="J159" s="483" t="n">
        <v>1</v>
      </c>
      <c r="K159" s="483" t="n"/>
      <c r="L159" s="483" t="n">
        <v>2</v>
      </c>
      <c r="M159" s="483" t="n"/>
    </row>
    <row r="160" ht="28.8" customHeight="1">
      <c r="A160" s="754" t="n"/>
      <c r="B160" s="754" t="n"/>
      <c r="C160" s="481" t="inlineStr">
        <is>
          <t>Москва</t>
        </is>
      </c>
      <c r="D160" s="482" t="inlineStr">
        <is>
          <t>Сборщик стеклопластиковых изделий 4 р.</t>
        </is>
      </c>
      <c r="E160" s="482" t="n">
        <v>4</v>
      </c>
      <c r="F160" s="483" t="n">
        <v>0</v>
      </c>
      <c r="G160" s="483" t="n">
        <v>2</v>
      </c>
      <c r="H160" s="483" t="n"/>
      <c r="I160" s="483" t="n"/>
      <c r="J160" s="483" t="n"/>
      <c r="K160" s="483" t="n"/>
      <c r="L160" s="483" t="n"/>
      <c r="M160" s="483" t="n"/>
    </row>
    <row r="161" ht="28.8" customHeight="1">
      <c r="A161" s="754" t="n"/>
      <c r="B161" s="754" t="n"/>
      <c r="C161" s="481" t="inlineStr">
        <is>
          <t>Москва</t>
        </is>
      </c>
      <c r="D161" s="482" t="inlineStr">
        <is>
          <t>Сборщик стеклопластиковых изделий 5 р.</t>
        </is>
      </c>
      <c r="E161" s="482" t="n">
        <v>5</v>
      </c>
      <c r="F161" s="496" t="n">
        <v>8</v>
      </c>
      <c r="G161" s="496" t="n"/>
      <c r="H161" s="483" t="n"/>
      <c r="I161" s="483" t="n"/>
      <c r="J161" s="483" t="n"/>
      <c r="K161" s="483" t="n"/>
      <c r="L161" s="483" t="n"/>
      <c r="M161" s="483" t="n"/>
    </row>
    <row r="162" ht="28.8" customHeight="1">
      <c r="A162" s="754" t="n"/>
      <c r="B162" s="754" t="n"/>
      <c r="C162" s="481" t="inlineStr">
        <is>
          <t>Москва</t>
        </is>
      </c>
      <c r="D162" s="482" t="inlineStr">
        <is>
          <t xml:space="preserve">Сборщик стеклопластиковых изделий 6 р. </t>
        </is>
      </c>
      <c r="E162" s="482" t="n">
        <v>5</v>
      </c>
      <c r="F162" s="496" t="n">
        <v>0</v>
      </c>
      <c r="G162" s="496" t="n"/>
      <c r="H162" s="483" t="n"/>
      <c r="I162" s="483" t="n"/>
      <c r="J162" s="483" t="n"/>
      <c r="K162" s="483" t="n"/>
      <c r="L162" s="483" t="n"/>
      <c r="M162" s="483" t="n"/>
    </row>
    <row r="163">
      <c r="A163" s="754" t="n"/>
      <c r="B163" s="754" t="n"/>
      <c r="C163" s="481" t="inlineStr">
        <is>
          <t>Москва</t>
        </is>
      </c>
      <c r="D163" s="482" t="inlineStr">
        <is>
          <t>Сборщик стеклопластиковых изделий</t>
        </is>
      </c>
      <c r="E163" s="482" t="n"/>
      <c r="F163" s="496" t="n"/>
      <c r="G163" s="496" t="n"/>
      <c r="H163" s="483" t="n">
        <v>8</v>
      </c>
      <c r="I163" s="483" t="n"/>
      <c r="J163" s="483" t="n">
        <v>1</v>
      </c>
      <c r="K163" s="483" t="n">
        <v>2</v>
      </c>
      <c r="L163" s="483" t="n"/>
      <c r="M163" s="483" t="n"/>
    </row>
    <row r="164">
      <c r="A164" s="754" t="n"/>
      <c r="B164" s="754" t="n"/>
      <c r="C164" s="481" t="inlineStr">
        <is>
          <t>Москва</t>
        </is>
      </c>
      <c r="D164" s="482" t="inlineStr">
        <is>
          <t>Оператор-наладчик станков с ЧПУ</t>
        </is>
      </c>
      <c r="E164" s="482" t="n">
        <v>6</v>
      </c>
      <c r="F164" s="496" t="n">
        <v>0</v>
      </c>
      <c r="G164" s="496" t="n"/>
      <c r="H164" s="483" t="n"/>
      <c r="I164" s="483" t="n"/>
      <c r="J164" s="483" t="n"/>
      <c r="K164" s="483" t="n"/>
      <c r="L164" s="483" t="n"/>
      <c r="M164" s="483" t="n"/>
    </row>
    <row r="165">
      <c r="A165" s="754" t="n"/>
      <c r="B165" s="754" t="n"/>
      <c r="C165" s="481" t="inlineStr">
        <is>
          <t>Москва</t>
        </is>
      </c>
      <c r="D165" s="482" t="inlineStr">
        <is>
          <t>Столяр-краснодеревщик</t>
        </is>
      </c>
      <c r="E165" s="482" t="n">
        <v>5</v>
      </c>
      <c r="F165" s="496" t="n">
        <v>0</v>
      </c>
      <c r="G165" s="496" t="n"/>
      <c r="H165" s="483" t="n"/>
      <c r="I165" s="483" t="n"/>
      <c r="J165" s="483" t="n"/>
      <c r="K165" s="483" t="n"/>
      <c r="L165" s="483" t="n"/>
      <c r="M165" s="483" t="n"/>
    </row>
    <row r="166">
      <c r="A166" s="754" t="n"/>
      <c r="B166" s="754" t="n"/>
      <c r="C166" s="481" t="inlineStr">
        <is>
          <t>Москва</t>
        </is>
      </c>
      <c r="D166" s="482" t="inlineStr">
        <is>
          <t>Столяр 6 разряда</t>
        </is>
      </c>
      <c r="E166" s="482" t="n">
        <v>8</v>
      </c>
      <c r="F166" s="496" t="n">
        <v>0</v>
      </c>
      <c r="G166" s="496" t="n"/>
      <c r="H166" s="483" t="n"/>
      <c r="I166" s="483" t="n"/>
      <c r="J166" s="483" t="n">
        <v>6</v>
      </c>
      <c r="K166" s="483" t="n"/>
      <c r="L166" s="483" t="n">
        <v>6</v>
      </c>
      <c r="M166" s="483" t="n"/>
    </row>
    <row r="167">
      <c r="A167" s="754" t="n"/>
      <c r="B167" s="754" t="n"/>
      <c r="C167" s="481" t="inlineStr">
        <is>
          <t>Москва</t>
        </is>
      </c>
      <c r="D167" s="482" t="inlineStr">
        <is>
          <t>Столяр 5 разряда</t>
        </is>
      </c>
      <c r="E167" s="482" t="n">
        <v>10</v>
      </c>
      <c r="F167" s="496" t="n">
        <v>6</v>
      </c>
      <c r="G167" s="496" t="n">
        <v>1</v>
      </c>
      <c r="H167" s="483" t="n"/>
      <c r="I167" s="483" t="n"/>
      <c r="J167" s="483" t="n"/>
      <c r="K167" s="483" t="n"/>
      <c r="L167" s="483" t="n"/>
      <c r="M167" s="483" t="n"/>
    </row>
    <row r="168">
      <c r="A168" s="754" t="n"/>
      <c r="B168" s="754" t="n"/>
      <c r="C168" s="481" t="inlineStr">
        <is>
          <t>Москва</t>
        </is>
      </c>
      <c r="D168" s="482" t="inlineStr">
        <is>
          <t>Столяр 4 разряда</t>
        </is>
      </c>
      <c r="E168" s="482" t="n">
        <v>15</v>
      </c>
      <c r="F168" s="496" t="n">
        <v>0</v>
      </c>
      <c r="G168" s="496" t="n"/>
      <c r="H168" s="483" t="n"/>
      <c r="I168" s="483" t="n"/>
      <c r="J168" s="483" t="n"/>
      <c r="K168" s="483" t="n"/>
      <c r="L168" s="483" t="n"/>
      <c r="M168" s="483" t="n"/>
    </row>
    <row r="169" customFormat="1" s="353">
      <c r="A169" s="754" t="n"/>
      <c r="B169" s="754" t="n"/>
      <c r="C169" s="583" t="n"/>
      <c r="D169" s="468" t="inlineStr">
        <is>
          <t>Столяр 3 разряда</t>
        </is>
      </c>
      <c r="E169" s="468" t="n"/>
      <c r="F169" s="611" t="n"/>
      <c r="G169" s="611" t="n"/>
      <c r="H169" s="485" t="n"/>
      <c r="I169" s="485" t="n">
        <v>3</v>
      </c>
      <c r="J169" s="485" t="n">
        <v>1</v>
      </c>
      <c r="K169" s="485" t="n"/>
      <c r="L169" s="485" t="n"/>
      <c r="M169" s="485" t="n"/>
    </row>
    <row r="170">
      <c r="A170" s="754" t="n"/>
      <c r="B170" s="754" t="n"/>
      <c r="C170" s="481" t="inlineStr">
        <is>
          <t>Москва</t>
        </is>
      </c>
      <c r="D170" s="482" t="inlineStr">
        <is>
          <t>Столяр</t>
        </is>
      </c>
      <c r="E170" s="482" t="n"/>
      <c r="F170" s="496" t="n"/>
      <c r="G170" s="496" t="n"/>
      <c r="H170" s="483" t="n">
        <v>4</v>
      </c>
      <c r="I170" s="483" t="n"/>
      <c r="J170" s="483" t="n"/>
      <c r="K170" s="483" t="n"/>
      <c r="L170" s="483" t="n"/>
      <c r="M170" s="483" t="n"/>
    </row>
    <row r="171">
      <c r="A171" s="754" t="n"/>
      <c r="B171" s="754" t="n"/>
      <c r="C171" s="481" t="inlineStr">
        <is>
          <t>Москва</t>
        </is>
      </c>
      <c r="D171" s="482" t="inlineStr">
        <is>
          <t>слесарь-сборщик 5 разряда</t>
        </is>
      </c>
      <c r="E171" s="584" t="n">
        <v>12</v>
      </c>
      <c r="F171" s="483" t="n">
        <v>1</v>
      </c>
      <c r="G171" s="483" t="n"/>
      <c r="H171" s="483" t="n"/>
      <c r="I171" s="483" t="n"/>
      <c r="J171" s="483" t="n"/>
      <c r="K171" s="483" t="n"/>
      <c r="L171" s="483" t="n"/>
      <c r="M171" s="483" t="n"/>
    </row>
    <row r="172" ht="28.8" customHeight="1">
      <c r="A172" s="754" t="n"/>
      <c r="B172" s="754" t="n"/>
      <c r="C172" s="481" t="inlineStr">
        <is>
          <t>Москва</t>
        </is>
      </c>
      <c r="D172" s="482" t="inlineStr">
        <is>
          <t>Облицовщик деталей мебели 5-ого разряда</t>
        </is>
      </c>
      <c r="E172" s="482" t="n">
        <v>4</v>
      </c>
      <c r="F172" s="483" t="n">
        <v>0</v>
      </c>
      <c r="G172" s="483" t="n"/>
      <c r="H172" s="483" t="n"/>
      <c r="I172" s="483" t="n"/>
      <c r="J172" s="483" t="n"/>
      <c r="K172" s="483" t="n"/>
      <c r="L172" s="483" t="n"/>
      <c r="M172" s="483" t="n"/>
    </row>
    <row r="173" ht="28.8" customHeight="1">
      <c r="A173" s="754" t="n"/>
      <c r="B173" s="753" t="n"/>
      <c r="C173" s="481" t="inlineStr">
        <is>
          <t>Москва</t>
        </is>
      </c>
      <c r="D173" s="482" t="inlineStr">
        <is>
          <t>Облицовщик деталей мебели 4-ого разряда</t>
        </is>
      </c>
      <c r="E173" s="482" t="n">
        <v>1</v>
      </c>
      <c r="F173" s="483" t="n">
        <v>1</v>
      </c>
      <c r="G173" s="483" t="n"/>
      <c r="H173" s="483" t="n"/>
      <c r="I173" s="483" t="n"/>
      <c r="J173" s="483" t="n"/>
      <c r="K173" s="483" t="n"/>
      <c r="L173" s="483" t="n"/>
      <c r="M173" s="483" t="n"/>
    </row>
    <row r="174" ht="28.8" customFormat="1" customHeight="1" s="353">
      <c r="A174" s="754" t="n"/>
      <c r="B174" s="611" t="n"/>
      <c r="C174" s="583" t="n"/>
      <c r="D174" s="468" t="inlineStr">
        <is>
          <t>Облицовщик деталей мебели 3-ого разряда</t>
        </is>
      </c>
      <c r="E174" s="468" t="n"/>
      <c r="F174" s="485" t="n"/>
      <c r="G174" s="485" t="n"/>
      <c r="H174" s="485" t="n"/>
      <c r="I174" s="485" t="n">
        <v>1</v>
      </c>
      <c r="J174" s="485" t="n">
        <v>2</v>
      </c>
      <c r="K174" s="485" t="n"/>
      <c r="L174" s="485" t="n">
        <v>2</v>
      </c>
      <c r="M174" s="485" t="n"/>
    </row>
    <row r="175" ht="28.8" customHeight="1">
      <c r="A175" s="754" t="n"/>
      <c r="B175" s="580" t="n"/>
      <c r="C175" s="481" t="n"/>
      <c r="D175" s="482" t="inlineStr">
        <is>
          <t>Оператор станков ЧПУ Деревообработка</t>
        </is>
      </c>
      <c r="E175" s="482" t="n"/>
      <c r="F175" s="483" t="n"/>
      <c r="G175" s="483" t="n"/>
      <c r="H175" s="483" t="n"/>
      <c r="I175" s="483" t="n"/>
      <c r="J175" s="483" t="n">
        <v>2</v>
      </c>
      <c r="K175" s="483" t="n"/>
      <c r="L175" s="483" t="n">
        <v>1</v>
      </c>
      <c r="M175" s="483" t="n"/>
    </row>
    <row r="176">
      <c r="A176" s="754" t="n"/>
      <c r="B176" s="794" t="inlineStr">
        <is>
          <t>участок РЭО</t>
        </is>
      </c>
      <c r="C176" s="481" t="inlineStr">
        <is>
          <t>Москва</t>
        </is>
      </c>
      <c r="D176" s="482" t="inlineStr">
        <is>
          <t>мастер</t>
        </is>
      </c>
      <c r="E176" s="482" t="n">
        <v>1</v>
      </c>
      <c r="F176" s="483" t="n">
        <v>0</v>
      </c>
      <c r="G176" s="483" t="n"/>
      <c r="H176" s="483" t="n">
        <v>1</v>
      </c>
      <c r="I176" s="483" t="n">
        <v>1</v>
      </c>
      <c r="J176" s="483" t="n"/>
      <c r="K176" s="483" t="n"/>
      <c r="L176" s="483" t="n"/>
      <c r="M176" s="483" t="n"/>
    </row>
    <row r="177" ht="28.2" customHeight="1">
      <c r="A177" s="753" t="n"/>
      <c r="B177" s="753" t="n"/>
      <c r="C177" s="481" t="inlineStr">
        <is>
          <t>Москва</t>
        </is>
      </c>
      <c r="D177" s="482" t="inlineStr">
        <is>
          <t>монтажник электрооборудования л.а. 5 разряда</t>
        </is>
      </c>
      <c r="E177" s="482" t="n">
        <v>4</v>
      </c>
      <c r="F177" s="483" t="n">
        <v>0</v>
      </c>
      <c r="G177" s="483" t="n"/>
      <c r="H177" s="483" t="n"/>
      <c r="I177" s="483" t="n"/>
      <c r="J177" s="483" t="n"/>
      <c r="K177" s="483" t="n"/>
      <c r="L177" s="483" t="n"/>
      <c r="M177" s="483" t="n"/>
    </row>
    <row r="178" ht="72" customHeight="1">
      <c r="A178" s="773" t="inlineStr">
        <is>
          <t>ОП Машково/Руднево 7
Отдел по оптимизации производственных процессов</t>
        </is>
      </c>
      <c r="B178" s="480" t="inlineStr">
        <is>
          <t> </t>
        </is>
      </c>
      <c r="C178" s="481" t="inlineStr">
        <is>
          <t>Москва</t>
        </is>
      </c>
      <c r="D178" s="482" t="inlineStr">
        <is>
          <t>Специалист по бережливому производству</t>
        </is>
      </c>
      <c r="E178" s="482" t="n">
        <v>1</v>
      </c>
      <c r="F178" s="483" t="n">
        <v>0</v>
      </c>
      <c r="G178" s="483" t="n"/>
      <c r="H178" s="483" t="n"/>
      <c r="I178" s="483" t="n"/>
      <c r="J178" s="483" t="n"/>
      <c r="K178" s="483" t="n"/>
      <c r="L178" s="483" t="n"/>
      <c r="M178" s="483" t="n"/>
    </row>
    <row r="179" ht="57.75" customHeight="1">
      <c r="A179" s="754" t="n"/>
      <c r="B179" s="480" t="inlineStr">
        <is>
          <t> </t>
        </is>
      </c>
      <c r="C179" s="481" t="inlineStr">
        <is>
          <t>Москва</t>
        </is>
      </c>
      <c r="D179" s="482" t="inlineStr">
        <is>
          <t>Специалист по бережливому производству</t>
        </is>
      </c>
      <c r="E179" s="482" t="n">
        <v>1</v>
      </c>
      <c r="F179" s="483" t="n">
        <v>0</v>
      </c>
      <c r="G179" s="483" t="n"/>
      <c r="H179" s="483" t="n"/>
      <c r="I179" s="483" t="n"/>
      <c r="J179" s="483" t="n"/>
      <c r="K179" s="483" t="n"/>
      <c r="L179" s="483" t="n"/>
      <c r="M179" s="483" t="n"/>
    </row>
    <row r="180">
      <c r="A180" s="795" t="inlineStr">
        <is>
          <t>ОП Руднево</t>
        </is>
      </c>
      <c r="B180" s="482" t="inlineStr">
        <is>
          <t>Участок сборки</t>
        </is>
      </c>
      <c r="C180" s="481" t="inlineStr">
        <is>
          <t>Москва</t>
        </is>
      </c>
      <c r="D180" s="482" t="inlineStr">
        <is>
          <t>слесарь-сборщик 4-5 разряда</t>
        </is>
      </c>
      <c r="E180" s="482" t="n">
        <v>2</v>
      </c>
      <c r="F180" s="483" t="n">
        <v>0</v>
      </c>
      <c r="G180" s="483" t="n"/>
      <c r="H180" s="483" t="n"/>
      <c r="I180" s="483" t="n">
        <v>1</v>
      </c>
      <c r="J180" s="483" t="n"/>
      <c r="K180" s="483" t="n"/>
      <c r="L180" s="483" t="n">
        <v>3</v>
      </c>
      <c r="M180" s="483" t="n"/>
    </row>
    <row r="181">
      <c r="A181" s="754" t="n"/>
      <c r="B181" s="482" t="n"/>
      <c r="C181" s="481" t="n"/>
      <c r="D181" s="482" t="inlineStr">
        <is>
          <t>Мастер сборочного участка</t>
        </is>
      </c>
      <c r="E181" s="482" t="n"/>
      <c r="F181" s="483" t="n"/>
      <c r="G181" s="483" t="n"/>
      <c r="H181" s="483" t="n"/>
      <c r="I181" s="483" t="n"/>
      <c r="J181" s="483" t="n">
        <v>1</v>
      </c>
      <c r="K181" s="483" t="n"/>
      <c r="L181" s="483" t="n">
        <v>1</v>
      </c>
      <c r="M181" s="483" t="n"/>
    </row>
    <row r="182">
      <c r="A182" s="754" t="n"/>
      <c r="B182" s="482" t="inlineStr">
        <is>
          <t>Участок сборки</t>
        </is>
      </c>
      <c r="C182" s="481" t="inlineStr">
        <is>
          <t>Москва</t>
        </is>
      </c>
      <c r="D182" s="482" t="inlineStr">
        <is>
          <t>слесарь-сборщик 4-5 разряда</t>
        </is>
      </c>
      <c r="E182" s="482" t="n">
        <v>2</v>
      </c>
      <c r="F182" s="483" t="n">
        <v>0</v>
      </c>
      <c r="G182" s="483" t="n"/>
      <c r="H182" s="483" t="n"/>
      <c r="I182" s="483" t="n"/>
      <c r="J182" s="483" t="n"/>
      <c r="K182" s="483" t="n"/>
      <c r="L182" s="483" t="n"/>
      <c r="M182" s="483" t="n"/>
    </row>
    <row r="183" customFormat="1" s="353">
      <c r="A183" s="754" t="n"/>
      <c r="B183" s="468" t="inlineStr">
        <is>
          <t>Участок сборки</t>
        </is>
      </c>
      <c r="C183" s="583" t="inlineStr">
        <is>
          <t>Москва</t>
        </is>
      </c>
      <c r="D183" s="468" t="inlineStr">
        <is>
          <t>Оператор станка с ЧПУ 4 разряда</t>
        </is>
      </c>
      <c r="E183" s="468" t="n"/>
      <c r="F183" s="485" t="n"/>
      <c r="G183" s="485" t="n">
        <v>1</v>
      </c>
      <c r="H183" s="485" t="n"/>
      <c r="I183" s="485" t="n">
        <v>3</v>
      </c>
      <c r="J183" s="485" t="n"/>
      <c r="K183" s="485" t="n"/>
      <c r="L183" s="485" t="n"/>
      <c r="M183" s="485" t="n"/>
    </row>
    <row r="184">
      <c r="A184" s="754" t="n"/>
      <c r="B184" s="482" t="inlineStr">
        <is>
          <t>Участок сборки</t>
        </is>
      </c>
      <c r="C184" s="481" t="inlineStr">
        <is>
          <t>Москва</t>
        </is>
      </c>
      <c r="D184" s="482" t="inlineStr">
        <is>
          <t>слесарь-сборщик 4-5 разряда</t>
        </is>
      </c>
      <c r="E184" s="482" t="n">
        <v>2</v>
      </c>
      <c r="F184" s="483" t="n">
        <v>0</v>
      </c>
      <c r="G184" s="483" t="n"/>
      <c r="H184" s="483" t="n"/>
      <c r="I184" s="483" t="n"/>
      <c r="J184" s="483" t="n">
        <v>3</v>
      </c>
      <c r="K184" s="483" t="n"/>
      <c r="L184" s="483" t="n"/>
      <c r="M184" s="483" t="n"/>
    </row>
    <row r="185">
      <c r="A185" s="754" t="n"/>
      <c r="B185" s="482" t="inlineStr">
        <is>
          <t>Швейный участок</t>
        </is>
      </c>
      <c r="C185" s="481" t="inlineStr">
        <is>
          <t>Москва</t>
        </is>
      </c>
      <c r="D185" s="482" t="inlineStr">
        <is>
          <t>Мастер швейного участка</t>
        </is>
      </c>
      <c r="E185" s="482" t="n">
        <v>1</v>
      </c>
      <c r="F185" s="483" t="n">
        <v>1</v>
      </c>
      <c r="G185" s="483" t="n">
        <v>1</v>
      </c>
      <c r="H185" s="483" t="n"/>
      <c r="I185" s="483" t="n"/>
      <c r="J185" s="483" t="n">
        <v>1</v>
      </c>
      <c r="K185" s="483" t="n"/>
      <c r="L185" s="483" t="n"/>
      <c r="M185" s="483" t="n"/>
    </row>
    <row r="186">
      <c r="A186" s="754" t="n"/>
      <c r="B186" s="482" t="inlineStr">
        <is>
          <t>Швейный участок</t>
        </is>
      </c>
      <c r="C186" s="481" t="inlineStr">
        <is>
          <t>Москва</t>
        </is>
      </c>
      <c r="D186" s="482" t="inlineStr">
        <is>
          <t>специалист по пошиву 4-5 разряда</t>
        </is>
      </c>
      <c r="E186" s="482" t="n">
        <v>1</v>
      </c>
      <c r="F186" s="483" t="n">
        <v>1</v>
      </c>
      <c r="G186" s="483" t="n"/>
      <c r="H186" s="483" t="n"/>
      <c r="I186" s="483" t="n"/>
      <c r="J186" s="483" t="n"/>
      <c r="K186" s="483" t="n"/>
      <c r="L186" s="483" t="n">
        <v>4</v>
      </c>
      <c r="M186" s="483" t="n"/>
    </row>
    <row r="187">
      <c r="A187" s="754" t="n"/>
      <c r="B187" s="482" t="inlineStr">
        <is>
          <t>Швейный участок</t>
        </is>
      </c>
      <c r="C187" s="481" t="inlineStr">
        <is>
          <t>Москва</t>
        </is>
      </c>
      <c r="D187" s="482" t="inlineStr">
        <is>
          <t>специалист по пошиву 4-5 разряда</t>
        </is>
      </c>
      <c r="E187" s="482" t="n">
        <v>2</v>
      </c>
      <c r="F187" s="483" t="n">
        <v>1</v>
      </c>
      <c r="G187" s="483" t="n">
        <v>2</v>
      </c>
      <c r="H187" s="483" t="n"/>
      <c r="I187" s="483" t="n"/>
      <c r="J187" s="483" t="n"/>
      <c r="K187" s="483" t="n"/>
      <c r="L187" s="483" t="n"/>
      <c r="M187" s="483" t="n"/>
    </row>
    <row r="188" ht="47.25" customFormat="1" customHeight="1" s="353">
      <c r="A188" s="754" t="n"/>
      <c r="B188" s="468" t="inlineStr">
        <is>
          <t>Производственный цех</t>
        </is>
      </c>
      <c r="C188" s="583" t="inlineStr">
        <is>
          <t>Москва</t>
        </is>
      </c>
      <c r="D188" s="468" t="inlineStr">
        <is>
          <t>Заместитель руководителя производственного цеха</t>
        </is>
      </c>
      <c r="E188" s="468" t="n"/>
      <c r="F188" s="485" t="n"/>
      <c r="G188" s="485" t="n"/>
      <c r="H188" s="485" t="n"/>
      <c r="I188" s="485" t="n"/>
      <c r="J188" s="485" t="n"/>
      <c r="K188" s="485" t="n">
        <v>1</v>
      </c>
      <c r="L188" s="485" t="n"/>
      <c r="M188" s="485" t="n"/>
    </row>
    <row r="189" ht="47.25" customHeight="1">
      <c r="A189" s="754" t="n"/>
      <c r="B189" s="482" t="inlineStr">
        <is>
          <t>Швейный участок</t>
        </is>
      </c>
      <c r="C189" s="481" t="inlineStr">
        <is>
          <t>Москва</t>
        </is>
      </c>
      <c r="D189" s="482" t="inlineStr">
        <is>
          <t>специалист по пошиву 4-5 разряда</t>
        </is>
      </c>
      <c r="E189" s="482" t="n">
        <v>1</v>
      </c>
      <c r="F189" s="483" t="n">
        <v>0</v>
      </c>
      <c r="G189" s="483" t="n"/>
      <c r="H189" s="483" t="n"/>
      <c r="I189" s="483" t="n"/>
      <c r="J189" s="483" t="n">
        <v>4</v>
      </c>
      <c r="K189" s="483" t="n"/>
      <c r="L189" s="483" t="n"/>
      <c r="M189" s="483" t="n"/>
    </row>
    <row r="190">
      <c r="A190" s="754" t="n"/>
      <c r="B190" s="482" t="inlineStr">
        <is>
          <t>Механический</t>
        </is>
      </c>
      <c r="C190" s="481" t="inlineStr">
        <is>
          <t>Москва</t>
        </is>
      </c>
      <c r="D190" s="482" t="inlineStr">
        <is>
          <t>Мастер механического участка</t>
        </is>
      </c>
      <c r="E190" s="482" t="n">
        <v>1</v>
      </c>
      <c r="F190" s="483" t="n">
        <v>0</v>
      </c>
      <c r="G190" s="483" t="n">
        <v>1</v>
      </c>
      <c r="H190" s="483" t="n"/>
      <c r="I190" s="483" t="n"/>
      <c r="J190" s="483" t="n"/>
      <c r="K190" s="483" t="n"/>
      <c r="L190" s="483" t="n"/>
      <c r="M190" s="483" t="n"/>
    </row>
    <row r="191" ht="21.75" customHeight="1">
      <c r="A191" s="754" t="n"/>
      <c r="B191" s="482" t="inlineStr">
        <is>
          <t>Механический</t>
        </is>
      </c>
      <c r="C191" s="481" t="inlineStr">
        <is>
          <t>Москва</t>
        </is>
      </c>
      <c r="D191" s="482" t="inlineStr">
        <is>
          <t>Слесарь механосборочных работ</t>
        </is>
      </c>
      <c r="E191" s="482" t="n">
        <v>2</v>
      </c>
      <c r="F191" s="483" t="n">
        <v>2</v>
      </c>
      <c r="G191" s="483" t="n">
        <v>1</v>
      </c>
      <c r="H191" s="483" t="n">
        <v>2</v>
      </c>
      <c r="I191" s="483" t="n">
        <v>2</v>
      </c>
      <c r="J191" s="483" t="n">
        <v>4</v>
      </c>
      <c r="K191" s="483" t="n"/>
      <c r="L191" s="483" t="n">
        <v>4</v>
      </c>
      <c r="M191" s="483" t="n"/>
    </row>
    <row r="192" ht="28.95" customHeight="1">
      <c r="A192" s="754" t="n"/>
      <c r="B192" s="482" t="inlineStr">
        <is>
          <t>Механический</t>
        </is>
      </c>
      <c r="C192" s="481" t="inlineStr">
        <is>
          <t>Москва</t>
        </is>
      </c>
      <c r="D192" s="482" t="inlineStr">
        <is>
          <t>Слесарь механосборочных работ</t>
        </is>
      </c>
      <c r="E192" s="482" t="n">
        <v>2</v>
      </c>
      <c r="F192" s="483" t="n">
        <v>0</v>
      </c>
      <c r="G192" s="483" t="n"/>
      <c r="H192" s="483" t="n"/>
      <c r="I192" s="483" t="n"/>
      <c r="J192" s="483" t="n"/>
      <c r="K192" s="483" t="n"/>
      <c r="L192" s="483" t="n"/>
      <c r="M192" s="483" t="n"/>
    </row>
    <row r="193" ht="28.95" customHeight="1">
      <c r="A193" s="754" t="n"/>
      <c r="B193" s="482" t="inlineStr">
        <is>
          <t>Механический</t>
        </is>
      </c>
      <c r="C193" s="481" t="inlineStr">
        <is>
          <t>Москва</t>
        </is>
      </c>
      <c r="D193" s="482" t="inlineStr">
        <is>
          <t>Токарь</t>
        </is>
      </c>
      <c r="E193" s="482" t="n">
        <v>2</v>
      </c>
      <c r="F193" s="483" t="n">
        <v>0</v>
      </c>
      <c r="G193" s="483" t="n"/>
      <c r="H193" s="483" t="n"/>
      <c r="I193" s="483" t="n"/>
      <c r="J193" s="483" t="n"/>
      <c r="K193" s="483" t="n"/>
      <c r="L193" s="483" t="n"/>
      <c r="M193" s="483" t="n"/>
    </row>
    <row r="194" ht="28.95" customHeight="1">
      <c r="A194" s="754" t="n"/>
      <c r="B194" s="482" t="inlineStr">
        <is>
          <t>Механический</t>
        </is>
      </c>
      <c r="C194" s="481" t="inlineStr">
        <is>
          <t>Москва</t>
        </is>
      </c>
      <c r="D194" s="482" t="inlineStr">
        <is>
          <t>Оператора станков ЧПУ</t>
        </is>
      </c>
      <c r="E194" s="482" t="n">
        <v>3</v>
      </c>
      <c r="F194" s="483" t="n">
        <v>2</v>
      </c>
      <c r="G194" s="483" t="n"/>
      <c r="H194" s="483" t="n">
        <v>3</v>
      </c>
      <c r="I194" s="483" t="n"/>
      <c r="J194" s="483" t="n">
        <v>2</v>
      </c>
      <c r="K194" s="483" t="n"/>
      <c r="L194" s="483" t="n">
        <v>2</v>
      </c>
      <c r="M194" s="483" t="n"/>
    </row>
    <row r="195" ht="28.95" customHeight="1">
      <c r="A195" s="754" t="n"/>
      <c r="B195" s="482" t="inlineStr">
        <is>
          <t>Механический</t>
        </is>
      </c>
      <c r="C195" s="481" t="inlineStr">
        <is>
          <t>Москва</t>
        </is>
      </c>
      <c r="D195" s="482" t="inlineStr">
        <is>
          <t>Оператора станков ЧПУ</t>
        </is>
      </c>
      <c r="E195" s="482" t="n">
        <v>4</v>
      </c>
      <c r="F195" s="483" t="n">
        <v>0</v>
      </c>
      <c r="G195" s="483" t="n"/>
      <c r="H195" s="483" t="n"/>
      <c r="I195" s="483" t="n"/>
      <c r="J195" s="483" t="n"/>
      <c r="K195" s="483" t="n"/>
      <c r="L195" s="483" t="n"/>
      <c r="M195" s="483" t="n"/>
    </row>
    <row r="196">
      <c r="A196" s="754" t="n"/>
      <c r="B196" s="482" t="inlineStr">
        <is>
          <t>Механический</t>
        </is>
      </c>
      <c r="C196" s="481" t="inlineStr">
        <is>
          <t>Москва</t>
        </is>
      </c>
      <c r="D196" s="482" t="inlineStr">
        <is>
          <t>Оператор станков с ЧПУ</t>
        </is>
      </c>
      <c r="E196" s="482" t="n">
        <v>2</v>
      </c>
      <c r="F196" s="483" t="n">
        <v>0</v>
      </c>
      <c r="G196" s="483" t="n">
        <v>2</v>
      </c>
      <c r="H196" s="483" t="n"/>
      <c r="I196" s="483" t="n"/>
      <c r="J196" s="483" t="n"/>
      <c r="K196" s="483" t="n"/>
      <c r="L196" s="483" t="n"/>
      <c r="M196" s="483" t="n"/>
    </row>
    <row r="197">
      <c r="A197" s="753" t="n"/>
      <c r="B197" s="482" t="n"/>
      <c r="C197" s="481" t="n"/>
      <c r="D197" s="482" t="inlineStr">
        <is>
          <t>Руководитель проиводственного цеха</t>
        </is>
      </c>
      <c r="E197" s="482" t="n"/>
      <c r="F197" s="483" t="n"/>
      <c r="G197" s="483" t="n"/>
      <c r="H197" s="483" t="n"/>
      <c r="I197" s="483" t="n"/>
      <c r="J197" s="483" t="n"/>
      <c r="K197" s="483" t="n">
        <v>1</v>
      </c>
      <c r="L197" s="483" t="n"/>
      <c r="M197" s="483" t="n"/>
    </row>
    <row r="198">
      <c r="A198" s="593" t="inlineStr">
        <is>
          <t>Служба главного инженера</t>
        </is>
      </c>
      <c r="B198" s="482" t="inlineStr">
        <is>
          <t>ОП МАшково/Руднево</t>
        </is>
      </c>
      <c r="C198" s="481" t="inlineStr">
        <is>
          <t>Москва</t>
        </is>
      </c>
      <c r="D198" s="482" t="inlineStr">
        <is>
          <t>Главный инженер</t>
        </is>
      </c>
      <c r="E198" s="482" t="n"/>
      <c r="F198" s="483" t="n"/>
      <c r="G198" s="483" t="n"/>
      <c r="H198" s="483" t="n">
        <v>1</v>
      </c>
      <c r="I198" s="483" t="n">
        <v>1</v>
      </c>
      <c r="J198" s="483" t="n"/>
      <c r="K198" s="483" t="n">
        <v>1</v>
      </c>
      <c r="L198" s="483" t="n"/>
      <c r="M198" s="483" t="n"/>
    </row>
    <row r="199" ht="15.6" customHeight="1">
      <c r="A199" s="754" t="n"/>
      <c r="B199" s="497" t="inlineStr">
        <is>
          <t>ОП Машково</t>
        </is>
      </c>
      <c r="C199" s="481" t="inlineStr">
        <is>
          <t>Москва</t>
        </is>
      </c>
      <c r="D199" s="482" t="inlineStr">
        <is>
          <t>Главный механик</t>
        </is>
      </c>
      <c r="E199" s="482" t="n">
        <v>1</v>
      </c>
      <c r="F199" s="483" t="n">
        <v>1</v>
      </c>
      <c r="G199" s="483" t="n"/>
      <c r="H199" s="483" t="n"/>
      <c r="I199" s="483" t="n"/>
      <c r="J199" s="483" t="n"/>
      <c r="K199" s="483" t="n"/>
      <c r="L199" s="483" t="n"/>
      <c r="M199" s="483" t="n"/>
    </row>
    <row r="200" ht="15.6" customHeight="1">
      <c r="A200" s="754" t="n"/>
      <c r="B200" s="497" t="inlineStr">
        <is>
          <t>ОП Машково</t>
        </is>
      </c>
      <c r="C200" s="481" t="inlineStr">
        <is>
          <t>Москва</t>
        </is>
      </c>
      <c r="D200" s="482" t="inlineStr">
        <is>
          <t>Инженер-механик</t>
        </is>
      </c>
      <c r="E200" s="482" t="n">
        <v>1</v>
      </c>
      <c r="F200" s="483" t="n">
        <v>1</v>
      </c>
      <c r="G200" s="483" t="n"/>
      <c r="H200" s="483" t="n">
        <v>1</v>
      </c>
      <c r="I200" s="483" t="n"/>
      <c r="J200" s="483" t="n"/>
      <c r="K200" s="483" t="n"/>
      <c r="L200" s="483" t="n">
        <v>1</v>
      </c>
      <c r="M200" s="483" t="n"/>
    </row>
    <row r="201">
      <c r="A201" s="754" t="n"/>
      <c r="B201" s="481" t="inlineStr">
        <is>
          <t>ОП Машково</t>
        </is>
      </c>
      <c r="C201" s="481" t="inlineStr">
        <is>
          <t>Москва</t>
        </is>
      </c>
      <c r="D201" s="482" t="inlineStr">
        <is>
          <t>Слесарь-ремонтник 5р</t>
        </is>
      </c>
      <c r="E201" s="482" t="n">
        <v>2</v>
      </c>
      <c r="F201" s="483" t="n">
        <v>1</v>
      </c>
      <c r="G201" s="483" t="n">
        <v>1</v>
      </c>
      <c r="H201" s="483" t="n"/>
      <c r="I201" s="483" t="n"/>
      <c r="J201" s="483" t="n"/>
      <c r="K201" s="483" t="n"/>
      <c r="L201" s="483" t="n">
        <v>2</v>
      </c>
      <c r="M201" s="483" t="n"/>
    </row>
    <row r="202">
      <c r="A202" s="754" t="n"/>
      <c r="B202" s="481" t="inlineStr">
        <is>
          <t>ОП Машково</t>
        </is>
      </c>
      <c r="C202" s="481" t="inlineStr">
        <is>
          <t>Москва</t>
        </is>
      </c>
      <c r="D202" s="482" t="inlineStr">
        <is>
          <t>Слесарь-ремонтник 6р</t>
        </is>
      </c>
      <c r="E202" s="482" t="n">
        <v>1</v>
      </c>
      <c r="F202" s="483" t="n">
        <v>1</v>
      </c>
      <c r="G202" s="483" t="n"/>
      <c r="H202" s="483" t="n"/>
      <c r="I202" s="483" t="n"/>
      <c r="J202" s="483" t="n"/>
      <c r="K202" s="483" t="n"/>
      <c r="L202" s="483" t="n"/>
      <c r="M202" s="483" t="n"/>
    </row>
    <row r="203">
      <c r="A203" s="754" t="n"/>
      <c r="B203" s="481" t="inlineStr">
        <is>
          <t>Руднево 16</t>
        </is>
      </c>
      <c r="C203" s="481" t="inlineStr">
        <is>
          <t>Москва</t>
        </is>
      </c>
      <c r="D203" s="482" t="inlineStr">
        <is>
          <t>Слесарь-ремонтник 5р</t>
        </is>
      </c>
      <c r="E203" s="482" t="n">
        <v>1</v>
      </c>
      <c r="F203" s="483" t="n">
        <v>1</v>
      </c>
      <c r="G203" s="483" t="n">
        <v>1</v>
      </c>
      <c r="H203" s="483" t="n"/>
      <c r="I203" s="483" t="n"/>
      <c r="J203" s="483" t="n"/>
      <c r="K203" s="483" t="n"/>
      <c r="L203" s="483" t="n"/>
      <c r="M203" s="483" t="n"/>
    </row>
    <row r="204" ht="43.2" customHeight="1">
      <c r="A204" s="754" t="n"/>
      <c r="B204" s="481" t="inlineStr">
        <is>
          <t>ОП Машково</t>
        </is>
      </c>
      <c r="C204" s="481" t="inlineStr">
        <is>
          <t>Москва</t>
        </is>
      </c>
      <c r="D204" s="482" t="inlineStr">
        <is>
          <t>Электромонтер по ремонту и обслуживанию электрооборудования 4 разряда</t>
        </is>
      </c>
      <c r="E204" s="482" t="n">
        <v>2</v>
      </c>
      <c r="F204" s="483" t="n">
        <v>1</v>
      </c>
      <c r="G204" s="483" t="n">
        <v>1</v>
      </c>
      <c r="H204" s="483" t="n">
        <v>1</v>
      </c>
      <c r="I204" s="483" t="n"/>
      <c r="J204" s="483" t="n">
        <v>1</v>
      </c>
      <c r="K204" s="483" t="n">
        <v>1</v>
      </c>
      <c r="M204" s="483" t="n"/>
    </row>
    <row r="205" ht="43.2" customHeight="1">
      <c r="A205" s="754" t="n"/>
      <c r="B205" s="481" t="inlineStr">
        <is>
          <t>ОП Машково</t>
        </is>
      </c>
      <c r="C205" s="481" t="inlineStr">
        <is>
          <t>Москва</t>
        </is>
      </c>
      <c r="D205" s="482" t="inlineStr">
        <is>
          <t>Электромонтер по ремонту и обслуживанию электрооборудования 5 разряда</t>
        </is>
      </c>
      <c r="E205" s="482" t="n">
        <v>1</v>
      </c>
      <c r="F205" s="483" t="n">
        <v>0</v>
      </c>
      <c r="G205" s="483" t="n">
        <v>1</v>
      </c>
      <c r="H205" s="483" t="n"/>
      <c r="I205" s="483" t="n"/>
      <c r="J205" s="483" t="n"/>
      <c r="K205" s="483" t="n"/>
      <c r="L205" s="483" t="n"/>
      <c r="M205" s="483" t="n"/>
    </row>
    <row r="206" ht="43.2" customHeight="1">
      <c r="A206" s="754" t="n"/>
      <c r="B206" s="481" t="inlineStr">
        <is>
          <t>Руднево 16</t>
        </is>
      </c>
      <c r="C206" s="481" t="inlineStr">
        <is>
          <t>Москва</t>
        </is>
      </c>
      <c r="D206" s="482" t="inlineStr">
        <is>
          <t>Электромонтер по ремонту и обслуживанию электрооборудования 4 разряда</t>
        </is>
      </c>
      <c r="E206" s="482" t="n">
        <v>1</v>
      </c>
      <c r="F206" s="483" t="n">
        <v>1</v>
      </c>
      <c r="G206" s="483" t="n"/>
      <c r="H206" s="483" t="n"/>
      <c r="I206" s="483" t="n"/>
      <c r="J206" s="483" t="n"/>
      <c r="K206" s="483" t="n"/>
      <c r="L206" s="483" t="n"/>
      <c r="M206" s="483" t="n"/>
    </row>
    <row r="207" ht="43.2" customHeight="1">
      <c r="A207" s="754" t="n"/>
      <c r="B207" s="481" t="inlineStr">
        <is>
          <t>ОП Машково</t>
        </is>
      </c>
      <c r="C207" s="481" t="inlineStr">
        <is>
          <t>Москва</t>
        </is>
      </c>
      <c r="D207" s="482" t="inlineStr">
        <is>
          <t>Рабочий по комплексному обслуживанию и ремонту зданий 3 разряда</t>
        </is>
      </c>
      <c r="E207" s="482" t="n">
        <v>2</v>
      </c>
      <c r="F207" s="483" t="n">
        <v>1</v>
      </c>
      <c r="G207" s="483" t="n">
        <v>2</v>
      </c>
      <c r="H207" s="483" t="n"/>
      <c r="I207" s="483" t="n"/>
      <c r="J207" s="483" t="n"/>
      <c r="K207" s="483" t="n"/>
      <c r="L207" s="483" t="n"/>
      <c r="M207" s="483" t="n"/>
    </row>
    <row r="208" customFormat="1" s="353">
      <c r="A208" s="754" t="n"/>
      <c r="B208" s="583" t="inlineStr">
        <is>
          <t>ОП Машково</t>
        </is>
      </c>
      <c r="C208" s="583" t="inlineStr">
        <is>
          <t>Москва</t>
        </is>
      </c>
      <c r="D208" s="468" t="inlineStr">
        <is>
          <t>Специалист</t>
        </is>
      </c>
      <c r="E208" s="468" t="n"/>
      <c r="F208" s="485" t="n"/>
      <c r="G208" s="485" t="n"/>
      <c r="H208" s="485" t="n"/>
      <c r="I208" s="485" t="n">
        <v>1</v>
      </c>
      <c r="J208" s="485" t="n"/>
      <c r="K208" s="485" t="n"/>
      <c r="L208" s="485" t="n"/>
      <c r="M208" s="485" t="n"/>
    </row>
    <row r="209">
      <c r="A209" s="754" t="n"/>
      <c r="B209" s="481" t="inlineStr">
        <is>
          <t>ОП Машково</t>
        </is>
      </c>
      <c r="C209" s="481" t="inlineStr">
        <is>
          <t>Москва</t>
        </is>
      </c>
      <c r="D209" s="482" t="inlineStr">
        <is>
          <t>Сварщик</t>
        </is>
      </c>
      <c r="E209" s="482" t="n">
        <v>1</v>
      </c>
      <c r="F209" s="483" t="n">
        <v>0</v>
      </c>
      <c r="G209" s="483" t="n"/>
      <c r="H209" s="483" t="n"/>
      <c r="I209" s="483" t="n"/>
      <c r="J209" s="483" t="n"/>
      <c r="K209" s="483" t="n"/>
      <c r="L209" s="483" t="n"/>
      <c r="M209" s="483" t="n"/>
    </row>
    <row r="210">
      <c r="A210" s="754" t="n"/>
      <c r="B210" s="481" t="inlineStr">
        <is>
          <t>ОП Машково</t>
        </is>
      </c>
      <c r="C210" s="481" t="inlineStr">
        <is>
          <t>Москва</t>
        </is>
      </c>
      <c r="D210" s="482" t="inlineStr">
        <is>
          <t>Разнорабочий</t>
        </is>
      </c>
      <c r="E210" s="482" t="n">
        <v>2</v>
      </c>
      <c r="F210" s="483" t="n">
        <v>2</v>
      </c>
      <c r="G210" s="483" t="n">
        <v>2</v>
      </c>
      <c r="H210" s="483" t="n"/>
      <c r="I210" s="483" t="n"/>
      <c r="J210" s="483" t="n"/>
      <c r="K210" s="483" t="n"/>
      <c r="L210" s="483" t="n"/>
      <c r="M210" s="483" t="n"/>
    </row>
    <row r="211">
      <c r="A211" s="754" t="n"/>
      <c r="B211" s="481" t="inlineStr">
        <is>
          <t>Руднево 16</t>
        </is>
      </c>
      <c r="C211" s="481" t="inlineStr">
        <is>
          <t>Москва</t>
        </is>
      </c>
      <c r="D211" s="482" t="inlineStr">
        <is>
          <t>Разнорабочий</t>
        </is>
      </c>
      <c r="E211" s="482" t="n">
        <v>1</v>
      </c>
      <c r="F211" s="483" t="n">
        <v>0</v>
      </c>
      <c r="G211" s="483" t="n"/>
      <c r="H211" s="483" t="n"/>
      <c r="I211" s="483" t="n"/>
      <c r="J211" s="483" t="n"/>
      <c r="K211" s="483" t="n"/>
      <c r="L211" s="483" t="n"/>
      <c r="M211" s="483" t="n"/>
    </row>
    <row r="212" ht="28.8" customHeight="1">
      <c r="A212" s="754" t="n"/>
      <c r="B212" s="481" t="inlineStr">
        <is>
          <t>ОП Машково</t>
        </is>
      </c>
      <c r="C212" s="481" t="inlineStr">
        <is>
          <t>Москва</t>
        </is>
      </c>
      <c r="D212" s="480" t="inlineStr">
        <is>
          <t>Уборщик производственных и служебных помещений</t>
        </is>
      </c>
      <c r="E212" s="482" t="n">
        <v>2</v>
      </c>
      <c r="F212" s="483" t="n">
        <v>0</v>
      </c>
      <c r="G212" s="483" t="n">
        <v>1</v>
      </c>
      <c r="H212" s="483" t="n"/>
      <c r="I212" s="483" t="n">
        <v>1</v>
      </c>
      <c r="J212" s="483" t="n"/>
      <c r="K212" s="483" t="n"/>
      <c r="L212" s="483" t="n"/>
      <c r="M212" s="483" t="n"/>
    </row>
    <row r="213" ht="28.8" customHeight="1">
      <c r="A213" s="754" t="n"/>
      <c r="B213" s="481" t="inlineStr">
        <is>
          <t>Руднево 7</t>
        </is>
      </c>
      <c r="C213" s="481" t="inlineStr">
        <is>
          <t>Москва</t>
        </is>
      </c>
      <c r="D213" s="480" t="inlineStr">
        <is>
          <t>Уборщик производственных и служебных помещений</t>
        </is>
      </c>
      <c r="E213" s="482" t="n">
        <v>7</v>
      </c>
      <c r="F213" s="483" t="n">
        <v>0</v>
      </c>
      <c r="G213" s="483" t="n">
        <v>1</v>
      </c>
      <c r="H213" s="483" t="n"/>
      <c r="I213" s="483" t="n"/>
      <c r="J213" s="483" t="n"/>
      <c r="K213" s="483" t="n"/>
      <c r="L213" s="483" t="n"/>
      <c r="M213" s="483" t="n"/>
    </row>
    <row r="214" customFormat="1" s="353">
      <c r="A214" s="754" t="n"/>
      <c r="B214" s="583" t="n"/>
      <c r="C214" s="583" t="n"/>
      <c r="D214" s="589" t="inlineStr">
        <is>
          <t>Главный механик</t>
        </is>
      </c>
      <c r="E214" s="468" t="n"/>
      <c r="F214" s="485" t="n"/>
      <c r="G214" s="485" t="n">
        <v>1</v>
      </c>
      <c r="H214" s="485" t="n"/>
      <c r="I214" s="485" t="n"/>
      <c r="J214" s="485" t="n"/>
      <c r="K214" s="485" t="n"/>
      <c r="L214" s="485" t="n"/>
      <c r="M214" s="485" t="n"/>
    </row>
    <row r="215">
      <c r="A215" s="753" t="n"/>
      <c r="B215" s="481" t="n"/>
      <c r="C215" s="481" t="n"/>
      <c r="D215" s="480" t="inlineStr">
        <is>
          <t>Инженер-механик</t>
        </is>
      </c>
      <c r="E215" s="482" t="n"/>
      <c r="F215" s="483" t="n"/>
      <c r="G215" s="483" t="n"/>
      <c r="H215" s="483" t="n"/>
      <c r="I215" s="483" t="n"/>
      <c r="J215" s="483" t="n">
        <v>1</v>
      </c>
      <c r="K215" s="483" t="n"/>
      <c r="L215" s="483" t="n"/>
      <c r="M215" s="483" t="n"/>
    </row>
    <row r="216">
      <c r="A216" s="593" t="inlineStr">
        <is>
          <t>ОП Воронеж (ПП6)</t>
        </is>
      </c>
      <c r="B216" s="481" t="n"/>
      <c r="C216" s="481" t="inlineStr">
        <is>
          <t>Воронеж</t>
        </is>
      </c>
      <c r="D216" s="480" t="inlineStr">
        <is>
          <t>Мастер участка</t>
        </is>
      </c>
      <c r="E216" s="482" t="n">
        <v>1</v>
      </c>
      <c r="F216" s="483" t="n">
        <v>1</v>
      </c>
      <c r="G216" s="483" t="n">
        <v>1</v>
      </c>
      <c r="H216" s="483" t="n"/>
      <c r="I216" s="483" t="n"/>
      <c r="J216" s="483" t="n"/>
      <c r="K216" s="483" t="n"/>
      <c r="L216" s="483" t="n"/>
      <c r="M216" s="483" t="n"/>
    </row>
    <row r="217">
      <c r="A217" s="754" t="n"/>
      <c r="B217" s="481" t="n"/>
      <c r="C217" s="481" t="inlineStr">
        <is>
          <t>Воронеж</t>
        </is>
      </c>
      <c r="D217" s="480" t="inlineStr">
        <is>
          <t>Диспетчер</t>
        </is>
      </c>
      <c r="E217" s="482" t="n">
        <v>1</v>
      </c>
      <c r="F217" s="483" t="n">
        <v>1</v>
      </c>
      <c r="G217" s="483" t="n">
        <v>1</v>
      </c>
      <c r="H217" s="498" t="n">
        <v>1</v>
      </c>
      <c r="I217" s="483" t="n"/>
      <c r="J217" s="483" t="n"/>
      <c r="K217" s="483" t="n">
        <v>1</v>
      </c>
      <c r="L217" s="483" t="n"/>
      <c r="M217" s="483" t="n"/>
    </row>
    <row r="218">
      <c r="A218" s="754" t="n"/>
      <c r="B218" s="584" t="inlineStr">
        <is>
          <t> </t>
        </is>
      </c>
      <c r="C218" s="481" t="inlineStr">
        <is>
          <t>Воронеж</t>
        </is>
      </c>
      <c r="D218" s="480" t="inlineStr">
        <is>
          <t>Слесарь-сборщик 3р.-4р.</t>
        </is>
      </c>
      <c r="E218" s="482" t="n">
        <v>9</v>
      </c>
      <c r="F218" s="483" t="n">
        <v>3</v>
      </c>
      <c r="G218" s="483" t="n">
        <v>5</v>
      </c>
      <c r="H218" s="498" t="n">
        <v>3</v>
      </c>
      <c r="I218" s="483" t="n">
        <v>2</v>
      </c>
      <c r="J218" s="483" t="n"/>
      <c r="K218" s="483" t="n">
        <v>1</v>
      </c>
      <c r="L218" s="483" t="n"/>
      <c r="M218" s="483" t="n"/>
    </row>
    <row r="219">
      <c r="A219" s="754" t="n"/>
      <c r="B219" s="584" t="inlineStr">
        <is>
          <t> </t>
        </is>
      </c>
      <c r="C219" s="481" t="inlineStr">
        <is>
          <t>Воронеж</t>
        </is>
      </c>
      <c r="D219" s="480" t="inlineStr">
        <is>
          <t>Электромонтажник  3р.-4р.</t>
        </is>
      </c>
      <c r="E219" s="482" t="n">
        <v>4</v>
      </c>
      <c r="F219" s="483" t="n">
        <v>1</v>
      </c>
      <c r="G219" s="483" t="n"/>
      <c r="H219" s="498" t="n">
        <v>1</v>
      </c>
      <c r="I219" s="483" t="n">
        <v>1</v>
      </c>
      <c r="J219" s="483" t="n"/>
      <c r="K219" s="483" t="n">
        <v>1</v>
      </c>
      <c r="L219" s="483" t="n"/>
      <c r="M219" s="483" t="n"/>
    </row>
    <row r="220">
      <c r="A220" s="754" t="n"/>
      <c r="B220" s="584" t="inlineStr">
        <is>
          <t> </t>
        </is>
      </c>
      <c r="C220" s="481" t="inlineStr">
        <is>
          <t>Воронеж</t>
        </is>
      </c>
      <c r="D220" s="480" t="inlineStr">
        <is>
          <t>Реставратор</t>
        </is>
      </c>
      <c r="E220" s="482" t="n">
        <v>2</v>
      </c>
      <c r="F220" s="483" t="n">
        <v>1</v>
      </c>
      <c r="G220" s="483" t="n"/>
      <c r="H220" s="498" t="n">
        <v>2</v>
      </c>
      <c r="I220" s="483" t="n"/>
      <c r="J220" s="483" t="n"/>
      <c r="K220" s="483" t="n"/>
      <c r="L220" s="483" t="n"/>
      <c r="M220" s="483" t="n"/>
    </row>
    <row r="221">
      <c r="A221" s="754" t="n"/>
      <c r="B221" s="584" t="inlineStr">
        <is>
          <t> </t>
        </is>
      </c>
      <c r="C221" s="481" t="inlineStr">
        <is>
          <t>Воронеж</t>
        </is>
      </c>
      <c r="D221" s="480" t="inlineStr">
        <is>
          <t>Инженер-технолог</t>
        </is>
      </c>
      <c r="E221" s="482" t="n">
        <v>1</v>
      </c>
      <c r="F221" s="483" t="n">
        <v>1</v>
      </c>
      <c r="G221" s="483" t="n"/>
      <c r="H221" s="498" t="n">
        <v>1</v>
      </c>
      <c r="I221" s="483" t="n"/>
      <c r="J221" s="483" t="n"/>
      <c r="K221" s="483" t="n"/>
      <c r="L221" s="483" t="n"/>
      <c r="M221" s="483" t="n"/>
    </row>
    <row r="222">
      <c r="A222" s="754" t="n"/>
      <c r="B222" s="584" t="inlineStr">
        <is>
          <t> </t>
        </is>
      </c>
      <c r="C222" s="481" t="inlineStr">
        <is>
          <t>Воронеж</t>
        </is>
      </c>
      <c r="D222" s="480" t="inlineStr">
        <is>
          <t>Оператор 1С (Табельщица)</t>
        </is>
      </c>
      <c r="E222" s="482" t="n">
        <v>1</v>
      </c>
      <c r="F222" s="483" t="n">
        <v>0</v>
      </c>
      <c r="G222" s="483" t="n"/>
      <c r="H222" s="498" t="n"/>
      <c r="I222" s="483" t="n"/>
      <c r="J222" s="483" t="n"/>
      <c r="K222" s="483" t="n"/>
      <c r="L222" s="483" t="n"/>
      <c r="M222" s="483" t="n"/>
    </row>
    <row r="223" ht="28.8" customHeight="1">
      <c r="A223" s="754" t="n"/>
      <c r="B223" s="584" t="inlineStr">
        <is>
          <t> </t>
        </is>
      </c>
      <c r="C223" s="481" t="inlineStr">
        <is>
          <t>Воронеж</t>
        </is>
      </c>
      <c r="D223" s="480" t="inlineStr">
        <is>
          <t>Уборщик производственных и служебных помещений</t>
        </is>
      </c>
      <c r="E223" s="482" t="n">
        <v>1</v>
      </c>
      <c r="F223" s="483" t="n">
        <v>1</v>
      </c>
      <c r="G223" s="483" t="n"/>
      <c r="H223" s="498" t="n">
        <v>1</v>
      </c>
      <c r="I223" s="483" t="n"/>
      <c r="J223" s="483" t="n"/>
      <c r="K223" s="483" t="n"/>
      <c r="L223" s="483" t="n"/>
      <c r="M223" s="483" t="n"/>
    </row>
    <row r="224">
      <c r="A224" s="754" t="n"/>
      <c r="B224" s="584" t="inlineStr">
        <is>
          <t> </t>
        </is>
      </c>
      <c r="C224" s="481" t="inlineStr">
        <is>
          <t>Воронеж</t>
        </is>
      </c>
      <c r="D224" s="480" t="inlineStr">
        <is>
          <t>Старший кладовщик</t>
        </is>
      </c>
      <c r="E224" s="482" t="n">
        <v>1</v>
      </c>
      <c r="F224" s="483" t="n">
        <v>1</v>
      </c>
      <c r="G224" s="483" t="n"/>
      <c r="H224" s="498" t="n">
        <v>1</v>
      </c>
      <c r="I224" s="483" t="n">
        <v>1</v>
      </c>
      <c r="J224" s="483" t="n"/>
      <c r="K224" s="483" t="n"/>
      <c r="L224" s="483" t="n"/>
      <c r="M224" s="483" t="n"/>
    </row>
    <row r="225" ht="28.8" customFormat="1" customHeight="1" s="353">
      <c r="A225" s="753" t="n"/>
      <c r="B225" s="484" t="n"/>
      <c r="C225" s="583" t="inlineStr">
        <is>
          <t>Воронеж</t>
        </is>
      </c>
      <c r="D225" s="468" t="inlineStr">
        <is>
          <t>Заместитель начальника производства</t>
        </is>
      </c>
      <c r="E225" s="485" t="n"/>
      <c r="F225" s="485" t="n"/>
      <c r="G225" s="485" t="n"/>
      <c r="H225" s="485" t="n"/>
      <c r="I225" s="485" t="n"/>
      <c r="J225" s="485" t="n"/>
      <c r="K225" s="485" t="n">
        <v>2</v>
      </c>
      <c r="L225" s="485" t="n"/>
      <c r="M225" s="485" t="n"/>
    </row>
    <row r="226" customFormat="1" s="353">
      <c r="A226" s="796" t="inlineStr">
        <is>
          <t>ОП Казань</t>
        </is>
      </c>
      <c r="B226" s="484" t="n"/>
      <c r="C226" s="583" t="inlineStr">
        <is>
          <t>Казань</t>
        </is>
      </c>
      <c r="D226" s="468" t="inlineStr">
        <is>
          <t>Кладовщик</t>
        </is>
      </c>
      <c r="E226" s="485" t="n"/>
      <c r="F226" s="485" t="n"/>
      <c r="G226" s="485" t="n">
        <v>1</v>
      </c>
      <c r="H226" s="485" t="n"/>
      <c r="I226" s="485" t="n"/>
      <c r="J226" s="485" t="n"/>
      <c r="K226" s="485" t="n"/>
      <c r="L226" s="485" t="n"/>
      <c r="M226" s="485" t="n"/>
    </row>
    <row r="227">
      <c r="B227" s="790" t="n"/>
      <c r="C227" s="481" t="inlineStr">
        <is>
          <t>Казань</t>
        </is>
      </c>
      <c r="D227" s="480" t="inlineStr">
        <is>
          <t>Слесарь-сборщик</t>
        </is>
      </c>
      <c r="E227" s="482" t="n">
        <v>8</v>
      </c>
      <c r="F227" s="482" t="n">
        <v>8</v>
      </c>
      <c r="G227" s="483" t="n">
        <v>1</v>
      </c>
      <c r="H227" s="483" t="n">
        <v>7</v>
      </c>
      <c r="I227" s="483" t="n"/>
      <c r="J227" s="483" t="n"/>
      <c r="K227" s="483" t="n"/>
      <c r="L227" s="483" t="n"/>
      <c r="M227" s="483" t="n"/>
    </row>
    <row r="228">
      <c r="B228" s="753" t="n"/>
      <c r="C228" s="481" t="inlineStr">
        <is>
          <t>Казань</t>
        </is>
      </c>
      <c r="D228" s="480" t="inlineStr">
        <is>
          <t>Электромонтажник</t>
        </is>
      </c>
      <c r="E228" s="482" t="n">
        <v>2</v>
      </c>
      <c r="F228" s="482" t="n">
        <v>2</v>
      </c>
      <c r="G228" s="483" t="n">
        <v>1</v>
      </c>
      <c r="H228" s="483" t="n">
        <v>2</v>
      </c>
      <c r="I228" s="483" t="n">
        <v>1</v>
      </c>
      <c r="J228" s="483" t="n"/>
      <c r="K228" s="483" t="n"/>
      <c r="L228" s="483" t="n"/>
      <c r="M228" s="483" t="n"/>
    </row>
    <row r="229">
      <c r="B229" s="584" t="n"/>
      <c r="C229" s="481" t="inlineStr">
        <is>
          <t>Казань</t>
        </is>
      </c>
      <c r="D229" s="480" t="inlineStr">
        <is>
          <t>Диспетчер</t>
        </is>
      </c>
      <c r="E229" s="482" t="n"/>
      <c r="F229" s="482" t="n"/>
      <c r="G229" s="483" t="n"/>
      <c r="H229" s="483" t="n">
        <v>1</v>
      </c>
      <c r="I229" s="483" t="n">
        <v>1</v>
      </c>
      <c r="J229" s="483" t="n"/>
      <c r="K229" s="483" t="n"/>
      <c r="L229" s="483" t="n"/>
      <c r="M229" s="483" t="n"/>
    </row>
    <row r="230">
      <c r="A230" s="590" t="inlineStr">
        <is>
          <t>ОП Ульяновск</t>
        </is>
      </c>
      <c r="B230" s="790" t="n"/>
      <c r="C230" s="481" t="inlineStr">
        <is>
          <t>Ульяновск</t>
        </is>
      </c>
      <c r="D230" s="480" t="inlineStr">
        <is>
          <t>Слесарь-сборщик</t>
        </is>
      </c>
      <c r="E230" s="482" t="n">
        <v>2</v>
      </c>
      <c r="F230" s="482" t="n">
        <v>2</v>
      </c>
      <c r="G230" s="483" t="n">
        <v>2</v>
      </c>
      <c r="H230" s="498" t="n"/>
      <c r="I230" s="483" t="n"/>
      <c r="J230" s="483" t="n"/>
      <c r="K230" s="483" t="n"/>
      <c r="L230" s="483" t="n"/>
      <c r="M230" s="483" t="n"/>
    </row>
    <row r="231">
      <c r="A231" s="797" t="n"/>
      <c r="B231" s="753" t="n"/>
      <c r="C231" s="481" t="inlineStr">
        <is>
          <t>Ульяновск</t>
        </is>
      </c>
      <c r="D231" s="480" t="inlineStr">
        <is>
          <t>Электромонтажник</t>
        </is>
      </c>
      <c r="E231" s="482" t="n">
        <v>4</v>
      </c>
      <c r="F231" s="482" t="n">
        <v>4</v>
      </c>
      <c r="G231" s="483" t="n"/>
      <c r="H231" s="498" t="n">
        <v>4</v>
      </c>
      <c r="I231" s="483" t="n"/>
      <c r="J231" s="483" t="n"/>
      <c r="K231" s="483" t="n"/>
      <c r="L231" s="483" t="n"/>
      <c r="M231" s="483" t="n"/>
    </row>
    <row r="232">
      <c r="A232" s="590" t="inlineStr">
        <is>
          <t>Управление закупок</t>
        </is>
      </c>
      <c r="B232" s="584" t="n"/>
      <c r="C232" s="481" t="inlineStr">
        <is>
          <t>Москва</t>
        </is>
      </c>
      <c r="D232" s="480" t="inlineStr">
        <is>
          <t>Кладовщик</t>
        </is>
      </c>
      <c r="E232" s="482" t="n">
        <v>1</v>
      </c>
      <c r="F232" s="483" t="n">
        <v>1</v>
      </c>
      <c r="G232" s="483" t="n"/>
      <c r="H232" s="483" t="n">
        <v>2</v>
      </c>
      <c r="I232" s="483" t="n">
        <v>1</v>
      </c>
      <c r="J232" s="483" t="n"/>
      <c r="K232" s="483" t="n"/>
      <c r="L232" s="483" t="n">
        <v>1</v>
      </c>
      <c r="M232" s="483" t="n"/>
    </row>
    <row r="233">
      <c r="A233" s="791" t="n"/>
      <c r="B233" s="584" t="n"/>
      <c r="C233" s="481" t="inlineStr">
        <is>
          <t>Москва</t>
        </is>
      </c>
      <c r="D233" s="480" t="inlineStr">
        <is>
          <t>Оператор склада</t>
        </is>
      </c>
      <c r="E233" s="482" t="n">
        <v>1</v>
      </c>
      <c r="F233" s="483" t="n">
        <v>1</v>
      </c>
      <c r="G233" s="483" t="n"/>
      <c r="H233" s="483" t="n">
        <v>1</v>
      </c>
      <c r="I233" s="483" t="n">
        <v>1</v>
      </c>
      <c r="J233" s="483" t="n"/>
      <c r="K233" s="483" t="n"/>
      <c r="L233" s="483" t="n"/>
      <c r="M233" s="483" t="n"/>
    </row>
    <row r="234">
      <c r="A234" s="791" t="n"/>
      <c r="B234" s="584" t="n"/>
      <c r="C234" s="481" t="inlineStr">
        <is>
          <t>Жуковский</t>
        </is>
      </c>
      <c r="D234" s="482" t="inlineStr">
        <is>
          <t>специалист по закупкам</t>
        </is>
      </c>
      <c r="E234" s="482" t="n">
        <v>2</v>
      </c>
      <c r="F234" s="483" t="n">
        <v>2</v>
      </c>
      <c r="G234" s="483" t="n">
        <v>1</v>
      </c>
      <c r="H234" s="499" t="n">
        <v>2</v>
      </c>
      <c r="I234" s="483" t="n">
        <v>1</v>
      </c>
      <c r="J234" s="483" t="n"/>
      <c r="K234" s="483" t="n"/>
      <c r="L234" s="483" t="n"/>
      <c r="M234" s="483" t="n"/>
    </row>
    <row r="235">
      <c r="A235" s="791" t="n"/>
      <c r="B235" s="790" t="inlineStr">
        <is>
          <t>ОМТС</t>
        </is>
      </c>
      <c r="C235" s="481" t="inlineStr">
        <is>
          <t>Москва</t>
        </is>
      </c>
      <c r="D235" s="482" t="inlineStr">
        <is>
          <t>специалист по планированию закупок</t>
        </is>
      </c>
      <c r="E235" s="482" t="n">
        <v>2</v>
      </c>
      <c r="F235" s="483" t="n">
        <v>0</v>
      </c>
      <c r="G235" s="483" t="n">
        <v>1</v>
      </c>
      <c r="H235" s="483" t="n"/>
      <c r="I235" s="483" t="n"/>
      <c r="J235" s="483" t="n"/>
      <c r="K235" s="483" t="n">
        <v>1</v>
      </c>
      <c r="L235" s="483" t="n">
        <v>2</v>
      </c>
      <c r="M235" s="483" t="n"/>
    </row>
    <row r="236" customFormat="1" s="353">
      <c r="A236" s="791" t="n"/>
      <c r="B236" s="754" t="n"/>
      <c r="C236" s="583" t="n"/>
      <c r="D236" s="468" t="inlineStr">
        <is>
          <t>ведущий специалист по закупкам</t>
        </is>
      </c>
      <c r="E236" s="468" t="n"/>
      <c r="F236" s="485" t="n"/>
      <c r="G236" s="485" t="n">
        <v>3</v>
      </c>
      <c r="H236" s="485" t="n"/>
      <c r="I236" s="485" t="n"/>
      <c r="J236" s="485" t="n"/>
      <c r="K236" s="485" t="n">
        <v>1</v>
      </c>
      <c r="L236" s="485" t="n">
        <v>2</v>
      </c>
      <c r="M236" s="485" t="n"/>
    </row>
    <row r="237">
      <c r="A237" s="791" t="n"/>
      <c r="B237" s="753" t="n"/>
      <c r="C237" s="481" t="inlineStr">
        <is>
          <t>Москва</t>
        </is>
      </c>
      <c r="D237" s="482" t="inlineStr">
        <is>
          <t>специалист по закупкам</t>
        </is>
      </c>
      <c r="E237" s="482" t="n">
        <v>2</v>
      </c>
      <c r="F237" s="483" t="n">
        <v>1</v>
      </c>
      <c r="G237" s="483" t="n">
        <v>1</v>
      </c>
      <c r="H237" s="483" t="n"/>
      <c r="I237" s="483" t="n"/>
      <c r="J237" s="483" t="n"/>
      <c r="K237" s="483" t="n"/>
      <c r="L237" s="483" t="n"/>
      <c r="M237" s="483" t="n"/>
    </row>
    <row r="238">
      <c r="A238" s="791" t="n"/>
      <c r="B238" s="790" t="inlineStr">
        <is>
          <t>Склад</t>
        </is>
      </c>
      <c r="C238" s="481" t="inlineStr">
        <is>
          <t>Москва</t>
        </is>
      </c>
      <c r="D238" s="482" t="inlineStr">
        <is>
          <t>кладовщик-комплектовщик</t>
        </is>
      </c>
      <c r="E238" s="482" t="n">
        <v>2</v>
      </c>
      <c r="F238" s="483" t="n">
        <v>0</v>
      </c>
      <c r="G238" s="483" t="n"/>
      <c r="H238" s="483" t="n">
        <v>1</v>
      </c>
      <c r="I238" s="483" t="n">
        <v>2</v>
      </c>
      <c r="J238" s="483" t="n">
        <v>1</v>
      </c>
      <c r="K238" s="483" t="n">
        <v>2</v>
      </c>
      <c r="L238" s="483" t="n"/>
      <c r="M238" s="483" t="n"/>
    </row>
    <row r="239" customFormat="1" s="353">
      <c r="A239" s="791" t="n"/>
      <c r="B239" s="754" t="n"/>
      <c r="C239" s="583" t="n"/>
      <c r="D239" s="468" t="inlineStr">
        <is>
          <t xml:space="preserve">кладовщик </t>
        </is>
      </c>
      <c r="E239" s="468" t="n"/>
      <c r="F239" s="485" t="n"/>
      <c r="G239" s="485" t="n">
        <v>1</v>
      </c>
      <c r="H239" s="485" t="n"/>
      <c r="I239" s="485" t="n"/>
      <c r="J239" s="485" t="n">
        <v>1</v>
      </c>
      <c r="K239" s="485" t="n">
        <v>3</v>
      </c>
      <c r="L239" s="485" t="n"/>
      <c r="M239" s="485" t="n"/>
    </row>
    <row r="240">
      <c r="A240" s="791" t="n"/>
      <c r="B240" s="753" t="n"/>
      <c r="C240" s="481" t="inlineStr">
        <is>
          <t>Москва</t>
        </is>
      </c>
      <c r="D240" s="482" t="inlineStr">
        <is>
          <t>старший кладовщик</t>
        </is>
      </c>
      <c r="E240" s="482" t="n">
        <v>1</v>
      </c>
      <c r="F240" s="483" t="n">
        <v>0</v>
      </c>
      <c r="G240" s="483" t="n"/>
      <c r="H240" s="483" t="n"/>
      <c r="I240" s="483" t="n"/>
      <c r="J240" s="483" t="n"/>
      <c r="K240" s="483" t="n"/>
      <c r="L240" s="483" t="n"/>
      <c r="M240" s="483" t="n"/>
    </row>
    <row r="241">
      <c r="A241" s="797" t="n"/>
      <c r="B241" s="584" t="inlineStr">
        <is>
          <t>Транспортный отдел</t>
        </is>
      </c>
      <c r="C241" s="481" t="inlineStr">
        <is>
          <t>Москва</t>
        </is>
      </c>
      <c r="D241" s="482" t="inlineStr">
        <is>
          <t>Водитель</t>
        </is>
      </c>
      <c r="E241" s="482" t="n">
        <v>2</v>
      </c>
      <c r="F241" s="483" t="n">
        <v>0</v>
      </c>
      <c r="G241" s="483" t="n"/>
      <c r="H241" s="483" t="n"/>
      <c r="I241" s="483" t="n"/>
      <c r="J241" s="483" t="n"/>
      <c r="K241" s="483" t="n"/>
      <c r="L241" s="483" t="n"/>
      <c r="M241" s="483" t="n"/>
    </row>
    <row r="242" ht="36" customHeight="1">
      <c r="A242" s="798" t="inlineStr">
        <is>
          <t>Служба безопасности (СБ)</t>
        </is>
      </c>
      <c r="B242" s="584" t="inlineStr">
        <is>
          <t>Отдел режима</t>
        </is>
      </c>
      <c r="C242" s="481" t="inlineStr">
        <is>
          <t>Москва</t>
        </is>
      </c>
      <c r="D242" s="482" t="inlineStr">
        <is>
          <t>Оперативный дежурный</t>
        </is>
      </c>
      <c r="E242" s="482" t="n">
        <v>1</v>
      </c>
      <c r="F242" s="483" t="n">
        <v>1</v>
      </c>
      <c r="G242" s="483" t="n">
        <v>1</v>
      </c>
      <c r="H242" s="483" t="n"/>
      <c r="I242" s="483" t="n"/>
      <c r="J242" s="483" t="n"/>
      <c r="K242" s="483" t="n"/>
      <c r="L242" s="483" t="n"/>
      <c r="M242" s="483" t="n"/>
    </row>
    <row r="243" ht="35.25" customFormat="1" customHeight="1" s="353">
      <c r="A243" s="797" t="n"/>
      <c r="B243" s="468" t="n"/>
      <c r="C243" s="583" t="inlineStr">
        <is>
          <t>Москва</t>
        </is>
      </c>
      <c r="D243" s="468" t="inlineStr">
        <is>
          <t>Секретный делопроизводитель</t>
        </is>
      </c>
      <c r="E243" s="468" t="n"/>
      <c r="F243" s="485" t="n"/>
      <c r="G243" s="485" t="n">
        <v>1</v>
      </c>
      <c r="H243" s="485" t="n"/>
      <c r="I243" s="485" t="n"/>
      <c r="J243" s="485" t="n"/>
      <c r="K243" s="485" t="n"/>
      <c r="L243" s="485" t="n"/>
      <c r="M243" s="485" t="n"/>
    </row>
    <row r="244" customFormat="1" s="353">
      <c r="A244" s="799" t="inlineStr">
        <is>
          <t>Планово-диспетчерский отдел</t>
        </is>
      </c>
      <c r="B244" s="468" t="inlineStr">
        <is>
          <t>ОП Машково</t>
        </is>
      </c>
      <c r="C244" s="583" t="inlineStr">
        <is>
          <t>Москва</t>
        </is>
      </c>
      <c r="D244" s="468" t="inlineStr">
        <is>
          <t>Специалист по учёту</t>
        </is>
      </c>
      <c r="E244" s="468" t="n"/>
      <c r="F244" s="485" t="n"/>
      <c r="G244" s="485" t="n"/>
      <c r="H244" s="485" t="n"/>
      <c r="I244" s="485" t="n"/>
      <c r="J244" s="485" t="n">
        <v>1</v>
      </c>
      <c r="K244" s="485" t="n">
        <v>1</v>
      </c>
      <c r="L244" s="485" t="n"/>
      <c r="M244" s="485" t="n"/>
    </row>
    <row r="245" customFormat="1" s="353">
      <c r="A245" s="791" t="n"/>
      <c r="B245" s="468" t="inlineStr">
        <is>
          <t>ОП Машково</t>
        </is>
      </c>
      <c r="C245" s="583" t="inlineStr">
        <is>
          <t>Москва</t>
        </is>
      </c>
      <c r="D245" s="468" t="inlineStr">
        <is>
          <t>Ведущий диспетчер</t>
        </is>
      </c>
      <c r="E245" s="468" t="n"/>
      <c r="F245" s="485" t="n"/>
      <c r="G245" s="485" t="n">
        <v>1</v>
      </c>
      <c r="H245" s="485" t="n"/>
      <c r="I245" s="485" t="n">
        <v>1</v>
      </c>
      <c r="J245" s="485" t="n"/>
      <c r="K245" s="485" t="n"/>
      <c r="L245" s="485" t="n"/>
      <c r="M245" s="485" t="n"/>
    </row>
    <row r="246" customFormat="1" s="353">
      <c r="A246" s="791" t="n"/>
      <c r="B246" s="468" t="inlineStr">
        <is>
          <t>ОП Машково</t>
        </is>
      </c>
      <c r="C246" s="583" t="inlineStr">
        <is>
          <t>Москва</t>
        </is>
      </c>
      <c r="D246" s="468" t="inlineStr">
        <is>
          <t>Заместитель начальника отдела</t>
        </is>
      </c>
      <c r="E246" s="468" t="n"/>
      <c r="F246" s="485" t="n"/>
      <c r="G246" s="485" t="n"/>
      <c r="H246" s="485" t="n"/>
      <c r="I246" s="485" t="n">
        <v>1</v>
      </c>
      <c r="J246" s="485" t="n">
        <v>1</v>
      </c>
      <c r="K246" s="485" t="n"/>
      <c r="L246" s="485" t="n">
        <v>1</v>
      </c>
      <c r="M246" s="485" t="n"/>
    </row>
    <row r="247" customFormat="1" s="353">
      <c r="A247" s="791" t="n"/>
      <c r="B247" s="468" t="inlineStr">
        <is>
          <t>ОП Руднево</t>
        </is>
      </c>
      <c r="C247" s="583" t="inlineStr">
        <is>
          <t>Москва</t>
        </is>
      </c>
      <c r="D247" s="468" t="inlineStr">
        <is>
          <t>Диспетчер/Ведущий диспетчер</t>
        </is>
      </c>
      <c r="E247" s="468" t="n"/>
      <c r="F247" s="485" t="n"/>
      <c r="G247" s="485" t="n"/>
      <c r="H247" s="485" t="n"/>
      <c r="I247" s="485" t="n">
        <v>3</v>
      </c>
      <c r="J247" s="485" t="n"/>
      <c r="K247" s="485" t="n">
        <v>1</v>
      </c>
      <c r="L247" s="485" t="n">
        <v>1</v>
      </c>
      <c r="M247" s="485" t="n"/>
    </row>
    <row r="248" customFormat="1" s="353">
      <c r="A248" s="791" t="n"/>
      <c r="B248" s="468" t="n"/>
      <c r="C248" s="583" t="n"/>
      <c r="D248" s="468" t="inlineStr">
        <is>
          <t>Диспетчер ПРОСК</t>
        </is>
      </c>
      <c r="E248" s="468" t="n"/>
      <c r="F248" s="485" t="n"/>
      <c r="G248" s="485" t="n"/>
      <c r="H248" s="485" t="n"/>
      <c r="I248" s="485" t="n"/>
      <c r="J248" s="485" t="n">
        <v>2</v>
      </c>
      <c r="K248" s="485" t="n"/>
      <c r="L248" s="485" t="n">
        <v>2</v>
      </c>
      <c r="M248" s="485" t="n"/>
    </row>
    <row r="249" customFormat="1" s="353">
      <c r="A249" s="797" t="n"/>
      <c r="B249" s="468" t="inlineStr">
        <is>
          <t>ОП Машково</t>
        </is>
      </c>
      <c r="C249" s="583" t="inlineStr">
        <is>
          <t>Москва</t>
        </is>
      </c>
      <c r="D249" s="468" t="inlineStr">
        <is>
          <t>Диспетчер</t>
        </is>
      </c>
      <c r="E249" s="468" t="n"/>
      <c r="F249" s="485" t="n"/>
      <c r="G249" s="485" t="n"/>
      <c r="H249" s="485" t="n">
        <v>4</v>
      </c>
      <c r="I249" s="485" t="n">
        <v>1</v>
      </c>
      <c r="J249" s="485" t="n">
        <v>1</v>
      </c>
      <c r="K249" s="485" t="n"/>
      <c r="L249" s="485" t="n"/>
      <c r="M249" s="485" t="n"/>
    </row>
    <row r="250" ht="21" customFormat="1" customHeight="1" s="353">
      <c r="A250" s="500" t="inlineStr">
        <is>
          <t>АХО</t>
        </is>
      </c>
      <c r="B250" s="468" t="n"/>
      <c r="C250" s="583" t="inlineStr">
        <is>
          <t>Москва</t>
        </is>
      </c>
      <c r="D250" s="468" t="inlineStr">
        <is>
          <t>Старший технический работник</t>
        </is>
      </c>
      <c r="E250" s="468" t="n"/>
      <c r="F250" s="485" t="n"/>
      <c r="G250" s="485" t="n">
        <v>1</v>
      </c>
      <c r="H250" s="485" t="n"/>
      <c r="I250" s="485" t="n"/>
      <c r="J250" s="470" t="n"/>
      <c r="K250" s="470" t="n"/>
      <c r="L250" s="470" t="n"/>
      <c r="M250" s="470" t="n"/>
    </row>
    <row r="251" ht="28.8" customFormat="1" customHeight="1" s="353">
      <c r="A251" s="594" t="inlineStr">
        <is>
          <t>Дирекция по инфраструктурному развитию</t>
        </is>
      </c>
      <c r="B251" s="468" t="n"/>
      <c r="C251" s="583" t="n"/>
      <c r="D251" s="468" t="inlineStr">
        <is>
          <t>Директор по инфраструктурному развитию</t>
        </is>
      </c>
      <c r="E251" s="468" t="n"/>
      <c r="F251" s="485" t="n"/>
      <c r="G251" s="485" t="n">
        <v>1</v>
      </c>
      <c r="H251" s="485" t="n"/>
      <c r="I251" s="485" t="n"/>
      <c r="J251" s="485" t="n"/>
      <c r="K251" s="485" t="n"/>
      <c r="L251" s="485" t="n"/>
      <c r="M251" s="485" t="n"/>
    </row>
    <row r="252" ht="28.8" customFormat="1" customHeight="1" s="353">
      <c r="A252" s="797" t="n"/>
      <c r="B252" s="468" t="n"/>
      <c r="C252" s="583" t="inlineStr">
        <is>
          <t>Москва</t>
        </is>
      </c>
      <c r="D252" s="468" t="inlineStr">
        <is>
          <t>Менеджер по инфраструктурному развитию</t>
        </is>
      </c>
      <c r="E252" s="468" t="n"/>
      <c r="F252" s="485" t="n"/>
      <c r="G252" s="485" t="n">
        <v>1</v>
      </c>
      <c r="H252" s="485" t="n"/>
      <c r="I252" s="485" t="n"/>
      <c r="J252" s="485" t="n"/>
      <c r="K252" s="485" t="n"/>
      <c r="L252" s="485" t="n"/>
      <c r="M252" s="485" t="n"/>
    </row>
    <row r="253" ht="21" customFormat="1" customHeight="1" s="353">
      <c r="A253" s="500" t="n"/>
      <c r="B253" s="468" t="n"/>
      <c r="C253" s="583" t="n"/>
      <c r="D253" s="468" t="inlineStr">
        <is>
          <t>Директор по производству</t>
        </is>
      </c>
      <c r="E253" s="468" t="n"/>
      <c r="F253" s="485" t="n"/>
      <c r="G253" s="485" t="n">
        <v>1</v>
      </c>
      <c r="H253" s="485" t="n"/>
      <c r="I253" s="485" t="n"/>
      <c r="J253" s="485" t="n"/>
      <c r="K253" s="485" t="n"/>
      <c r="L253" s="485" t="n"/>
      <c r="M253" s="485" t="n"/>
    </row>
    <row r="254" ht="21" customFormat="1" customHeight="1" s="353">
      <c r="A254" s="500" t="n"/>
      <c r="B254" s="468" t="n"/>
      <c r="C254" s="583" t="n"/>
      <c r="D254" s="468" t="inlineStr">
        <is>
          <t>Зам.ГД - Управляющий директор</t>
        </is>
      </c>
      <c r="E254" s="468" t="n"/>
      <c r="F254" s="485" t="n"/>
      <c r="G254" s="485" t="n">
        <v>1</v>
      </c>
      <c r="H254" s="485" t="n"/>
      <c r="I254" s="485" t="n"/>
      <c r="J254" s="485" t="n"/>
      <c r="K254" s="485" t="n"/>
      <c r="L254" s="485" t="n"/>
      <c r="M254" s="485" t="n"/>
    </row>
    <row r="255" ht="42" customFormat="1" customHeight="1" s="353">
      <c r="A255" s="500" t="inlineStr">
        <is>
          <t>Отдел фин.аудита</t>
        </is>
      </c>
      <c r="B255" s="468" t="n"/>
      <c r="C255" s="583" t="n"/>
      <c r="D255" s="468" t="inlineStr">
        <is>
          <t>Ведущий аудитор</t>
        </is>
      </c>
      <c r="E255" s="468" t="n"/>
      <c r="F255" s="485" t="n"/>
      <c r="G255" s="485" t="n">
        <v>1</v>
      </c>
      <c r="H255" s="485" t="n"/>
      <c r="I255" s="485" t="n"/>
      <c r="J255" s="485" t="n"/>
      <c r="K255" s="485" t="n"/>
      <c r="L255" s="485" t="n"/>
      <c r="M255" s="485" t="n"/>
    </row>
    <row r="256" ht="63" customFormat="1" customHeight="1" s="353">
      <c r="A256" s="500" t="inlineStr">
        <is>
          <t>Отдел производственной кооперации</t>
        </is>
      </c>
      <c r="B256" s="468" t="inlineStr">
        <is>
          <t>ОП Машково</t>
        </is>
      </c>
      <c r="C256" s="583" t="inlineStr">
        <is>
          <t>Москва</t>
        </is>
      </c>
      <c r="D256" s="468" t="inlineStr">
        <is>
          <t>Инженер/Ведущий инженер</t>
        </is>
      </c>
      <c r="E256" s="468" t="n"/>
      <c r="F256" s="485" t="n"/>
      <c r="G256" s="485" t="n"/>
      <c r="H256" s="485" t="n">
        <v>2</v>
      </c>
      <c r="I256" s="485" t="n">
        <v>2</v>
      </c>
      <c r="J256" s="485" t="n"/>
      <c r="K256" s="485" t="n"/>
      <c r="L256" s="485" t="n">
        <v>2</v>
      </c>
      <c r="M256" s="485" t="n"/>
    </row>
    <row r="257" customFormat="1" s="353">
      <c r="A257" s="800" t="inlineStr">
        <is>
          <t>Отдел делопроизводства</t>
        </is>
      </c>
      <c r="B257" s="468" t="n"/>
      <c r="C257" s="583" t="n"/>
      <c r="D257" s="468" t="inlineStr">
        <is>
          <t>Начальник отдела</t>
        </is>
      </c>
      <c r="E257" s="468" t="n"/>
      <c r="F257" s="485" t="n"/>
      <c r="G257" s="485" t="n"/>
      <c r="H257" s="485" t="n"/>
      <c r="I257" s="485" t="n">
        <v>2</v>
      </c>
      <c r="J257" s="485" t="n"/>
      <c r="K257" s="485" t="n"/>
      <c r="L257" s="485" t="n"/>
      <c r="M257" s="485" t="n"/>
    </row>
    <row r="258" customFormat="1" s="353">
      <c r="A258" s="797" t="n"/>
      <c r="B258" s="468" t="n"/>
      <c r="C258" s="583" t="n"/>
      <c r="D258" s="468" t="inlineStr">
        <is>
          <t>Ведущий специалист</t>
        </is>
      </c>
      <c r="E258" s="468" t="n"/>
      <c r="F258" s="485" t="n"/>
      <c r="G258" s="485" t="n"/>
      <c r="H258" s="485" t="n"/>
      <c r="I258" s="485" t="n"/>
      <c r="J258" s="485" t="n"/>
      <c r="K258" s="485" t="n">
        <v>1</v>
      </c>
      <c r="L258" s="485" t="n"/>
      <c r="M258" s="485" t="n"/>
    </row>
    <row r="259" ht="21" customFormat="1" customHeight="1" s="353">
      <c r="A259" s="594" t="inlineStr">
        <is>
          <t>Управление</t>
        </is>
      </c>
      <c r="B259" s="485" t="n"/>
      <c r="C259" s="583" t="n"/>
      <c r="D259" s="485" t="inlineStr">
        <is>
          <t>ГД по защите гос.тайны</t>
        </is>
      </c>
      <c r="E259" s="485" t="n"/>
      <c r="F259" s="485" t="n"/>
      <c r="G259" s="485" t="n"/>
      <c r="H259" s="485" t="n"/>
      <c r="I259" s="485" t="n">
        <v>1</v>
      </c>
      <c r="J259" s="470" t="n"/>
      <c r="K259" s="470" t="n"/>
      <c r="L259" s="470" t="n"/>
      <c r="M259" s="470" t="n"/>
    </row>
    <row r="260" customFormat="1" s="353">
      <c r="A260" s="797" t="n"/>
      <c r="B260" s="468" t="n"/>
      <c r="C260" s="583" t="n"/>
      <c r="D260" s="468" t="inlineStr">
        <is>
          <t>ЗГД по производству</t>
        </is>
      </c>
      <c r="E260" s="468" t="n"/>
      <c r="F260" s="485" t="n"/>
      <c r="G260" s="485" t="n"/>
      <c r="H260" s="485" t="n"/>
      <c r="I260" s="485" t="n">
        <v>1</v>
      </c>
      <c r="J260" s="485" t="n"/>
      <c r="K260" s="485" t="n"/>
      <c r="L260" s="485" t="n"/>
      <c r="M260" s="485" t="n"/>
    </row>
    <row r="261">
      <c r="A261" s="338" t="inlineStr">
        <is>
          <t>Всего вакансий</t>
        </is>
      </c>
      <c r="B261" s="337" t="n"/>
      <c r="C261" s="336" t="n"/>
      <c r="D261" s="335" t="n"/>
      <c r="E261" s="334">
        <f>SUM(E3:E241)</f>
        <v/>
      </c>
      <c r="F261" s="501">
        <f>SUM(F3:F242)</f>
        <v/>
      </c>
      <c r="G261" s="502">
        <f>SUM(G3:G255)</f>
        <v/>
      </c>
      <c r="H261" s="502">
        <f>(SUM(H3:H256))-(SUM(H217:H224,H231,A1,H227,H228,H229,H69,H70,H56,H27))</f>
        <v/>
      </c>
      <c r="I261" s="502">
        <f>SUM(I3:I260)</f>
        <v/>
      </c>
      <c r="J261" s="333">
        <f>SUM(J3:J213)</f>
        <v/>
      </c>
      <c r="K261" s="332">
        <f>SUM(K3:K260)</f>
        <v/>
      </c>
      <c r="L261" s="332">
        <f>SUM(L3:L260)</f>
        <v/>
      </c>
      <c r="M261" s="332">
        <f>SUM(M3:M213)</f>
        <v/>
      </c>
    </row>
    <row r="263" ht="57.6" customHeight="1">
      <c r="A263" s="327" t="inlineStr">
        <is>
          <t>Эффекитвность каналов поиска персонала (вышедшие сотрудники)2026г.</t>
        </is>
      </c>
      <c r="B263" s="331" t="inlineStr">
        <is>
          <t>шт.</t>
        </is>
      </c>
      <c r="C263" s="330" t="inlineStr">
        <is>
          <t>%</t>
        </is>
      </c>
      <c r="E263" s="329" t="inlineStr">
        <is>
          <t>Производство</t>
        </is>
      </c>
      <c r="F263" s="329">
        <f>SUM(F23:F59,F66,F113,F116,F125:F126,F154,F161,F167,F171,F173,F185:F196,F216:F222,F227:F228,F230:F231)</f>
        <v/>
      </c>
      <c r="G263" s="328">
        <f>SUM(G23:G52,G113:G116,G152:G154,G160,G167,G183,G185,G187,G190:G191,G196,G216:G218,G227:G228,G230,G253,G245)</f>
        <v/>
      </c>
    </row>
    <row r="264">
      <c r="A264" s="327" t="inlineStr">
        <is>
          <t>Отклик на HH.ru</t>
        </is>
      </c>
      <c r="B264" s="325" t="n">
        <v>74</v>
      </c>
      <c r="C264" s="324">
        <f>B264/$B$273</f>
        <v/>
      </c>
      <c r="E264" s="329" t="inlineStr">
        <is>
          <t>Администрация</t>
        </is>
      </c>
      <c r="F264" s="329">
        <f>SUM(A1,F63,F74:F104,F112,F198:F214,F223,F224,F232,F233,F234,F237:F242)</f>
        <v/>
      </c>
      <c r="G264" s="328">
        <f>SUM(A1,G60:G62,G83:G85,G96:G111,A1,G255,G254,G250:G252,G245,G243,G242,G239,G234:G237,G226,G212:G213,G199:G210)</f>
        <v/>
      </c>
    </row>
    <row r="265">
      <c r="A265" s="327" t="inlineStr">
        <is>
          <t>Прямой поиск на HH.ru</t>
        </is>
      </c>
      <c r="B265" s="325" t="n">
        <v>57</v>
      </c>
      <c r="C265" s="324">
        <f>B265/$B$273</f>
        <v/>
      </c>
      <c r="E265" s="329" t="inlineStr">
        <is>
          <t>КБ</t>
        </is>
      </c>
      <c r="F265" s="329">
        <f>SUM(F5:F22,A1,F64)</f>
        <v/>
      </c>
      <c r="G265" s="328">
        <f>SUM(A1,G5:G22)</f>
        <v/>
      </c>
    </row>
    <row r="266" ht="28.8" customHeight="1">
      <c r="A266" s="327" t="inlineStr">
        <is>
          <t>Рекомендации (внешн., реферальная программа)</t>
        </is>
      </c>
      <c r="B266" s="325" t="n">
        <v>58</v>
      </c>
      <c r="C266" s="324">
        <f>B266/$B$273</f>
        <v/>
      </c>
    </row>
    <row r="267">
      <c r="A267" s="327" t="inlineStr">
        <is>
          <t>ВУЗы</t>
        </is>
      </c>
      <c r="B267" s="325" t="n">
        <v>2</v>
      </c>
      <c r="C267" s="324">
        <f>B267/$B$273</f>
        <v/>
      </c>
    </row>
    <row r="268" ht="28.8" customHeight="1">
      <c r="A268" s="327" t="inlineStr">
        <is>
          <t>Сайт компании (раздел о вакансиях)</t>
        </is>
      </c>
      <c r="B268" s="325" t="n">
        <v>0</v>
      </c>
      <c r="C268" s="324">
        <f>B268/$B$273</f>
        <v/>
      </c>
    </row>
    <row r="269">
      <c r="A269" s="327" t="inlineStr">
        <is>
          <t>Перевод внутри ГК</t>
        </is>
      </c>
      <c r="B269" s="325" t="n">
        <v>10</v>
      </c>
      <c r="C269" s="324">
        <f>B269/$B$273</f>
        <v/>
      </c>
    </row>
    <row r="270" ht="28.8" customHeight="1">
      <c r="A270" s="327" t="inlineStr">
        <is>
          <t>Отклик на другой площадке (ВК и т.д.)</t>
        </is>
      </c>
      <c r="B270" s="325" t="n">
        <v>0</v>
      </c>
      <c r="C270" s="324">
        <f>B270/$B$273</f>
        <v/>
      </c>
    </row>
    <row r="271">
      <c r="A271" s="327" t="inlineStr">
        <is>
          <t>Отклик на JobLab</t>
        </is>
      </c>
      <c r="B271" s="325" t="n">
        <v>0</v>
      </c>
      <c r="C271" s="324">
        <f>B271/$B$273</f>
        <v/>
      </c>
    </row>
    <row r="272">
      <c r="A272" s="327" t="inlineStr">
        <is>
          <t>Другой</t>
        </is>
      </c>
      <c r="B272" s="325" t="n">
        <v>19</v>
      </c>
      <c r="C272" s="324">
        <f>B272/$B$273</f>
        <v/>
      </c>
    </row>
    <row r="273">
      <c r="A273" s="326" t="inlineStr">
        <is>
          <t>Итого</t>
        </is>
      </c>
      <c r="B273" s="325">
        <f>SUM(B264:B272)</f>
        <v/>
      </c>
      <c r="C273" s="324">
        <f>SUM(C264:C272)</f>
        <v/>
      </c>
    </row>
  </sheetData>
  <autoFilter ref="A2:E261">
    <filterColumn colId="3" hiddenButton="0" showButton="1">
      <filters>
        <filter val="Кладовщик"/>
        <filter val="кладовщик-комплектовщик"/>
        <filter val="Маляр"/>
        <filter val="Маляр (Шлифовщик-полировщик) - 4-5р."/>
        <filter val="маляр 4 разряда"/>
        <filter val="маляр 5 разряда"/>
        <filter val="Маляр 6 р."/>
        <filter val="маляр 6 разряда"/>
        <filter val="маляр 6 разряда (реставратор)"/>
        <filter val="маляр 6 разряда, либо облицовщик деталей мебели 5 разряда"/>
        <filter val="монтажник электрооборудования л.а. 5 разряда"/>
        <filter val="Облицовщик деталей мебели 4-ого разряда"/>
        <filter val="Облицовщик деталей мебели 5-ого разряда"/>
        <filter val="Оператор лазерных установок 5-го разряда"/>
        <filter val="Оператор листогибочного оборудования 5 разряда"/>
        <filter val="Оператор склада"/>
        <filter val="Оператор станка с ЧПУ 4 разряда"/>
        <filter val="Оператор станков с ЧПУ"/>
        <filter val="Оператора станков ЧПУ"/>
        <filter val="ОПР"/>
        <filter val="Разнорабочий"/>
        <filter val="Резчик на пилах, ножовках и станках"/>
        <filter val="Реставратор"/>
        <filter val="Сборщик стеклопластиковых изделий"/>
        <filter val="Сборщик стеклопластиковых изделий 4 р."/>
        <filter val="Сборщик стеклопластиковых изделий 5 р."/>
        <filter val="Сборщик стеклопластиковых изделий 6 р."/>
        <filter val="сварщик"/>
        <filter val="Слесарь механосборочных работ"/>
        <filter val="Слесарь механосборочных работ 4 разряда"/>
        <filter val="Слесарь механосборочных работ 5 разряда"/>
        <filter val="Слесарь механосборочных работ 6 разряда"/>
        <filter val="Слесарь-ремонтник 5р"/>
        <filter val="Слесарь-ремонтник 6р"/>
        <filter val="Слесарь-сборщик"/>
        <filter val="Слесарь-сборщик 3р.-4р."/>
        <filter val="слесарь-сборщик 4 разряда"/>
        <filter val="слесарь-сборщик 4-5 разряда"/>
        <filter val="слесарь-сборщик 5 разряда"/>
        <filter val="Старший кладовщик"/>
        <filter val="Старший технический работник"/>
        <filter val="Столяр"/>
        <filter val="Столяр 4 разряда"/>
        <filter val="Столяр 4-6 р."/>
        <filter val="Столяр 5 разряда"/>
        <filter val="Столяр 6 разряда"/>
        <filter val="Столяр-краснодеревщик"/>
        <filter val="Токарь"/>
        <filter val="Токарь 5 разряда"/>
        <filter val="трубогибщик"/>
        <filter val="Уборщик производственных и служебных помещений"/>
        <filter val="Фрезеровщик 5 разряда"/>
        <filter val="Фрезеровщик 6 разряда"/>
        <filter val="Шлифовщик"/>
        <filter val="Шлифовщик-полировщик"/>
        <filter val="Электромонтажник"/>
        <filter val="Электромонтажник  3р.-4р."/>
        <filter val="Электромонтер по ремонту и обслуживанию электрооборудования 4 разряда"/>
        <filter val="Электромонтер по ремонту и обслуживанию электрооборудования 5 разряда"/>
        <filter val="электроэрозионист"/>
      </filters>
    </filterColumn>
  </autoFilter>
  <mergeCells count="60">
    <mergeCell ref="A125:A147"/>
    <mergeCell ref="A198:A215"/>
    <mergeCell ref="H1:I1"/>
    <mergeCell ref="A178:A179"/>
    <mergeCell ref="A148:A177"/>
    <mergeCell ref="J1:K1"/>
    <mergeCell ref="A103:A104"/>
    <mergeCell ref="B6:B10"/>
    <mergeCell ref="A23:A58"/>
    <mergeCell ref="B111:B112"/>
    <mergeCell ref="C1:C2"/>
    <mergeCell ref="A251:A252"/>
    <mergeCell ref="B176:B177"/>
    <mergeCell ref="B84:B92"/>
    <mergeCell ref="A242:A243"/>
    <mergeCell ref="A78:A92"/>
    <mergeCell ref="A232:A241"/>
    <mergeCell ref="B117:B118"/>
    <mergeCell ref="A114:A115"/>
    <mergeCell ref="A3:A4"/>
    <mergeCell ref="A74:A77"/>
    <mergeCell ref="A117:A119"/>
    <mergeCell ref="B1:B2"/>
    <mergeCell ref="A216:A225"/>
    <mergeCell ref="B125:B138"/>
    <mergeCell ref="A18:A19"/>
    <mergeCell ref="A180:A197"/>
    <mergeCell ref="B105:B107"/>
    <mergeCell ref="A259:A260"/>
    <mergeCell ref="B148:B157"/>
    <mergeCell ref="B74:B75"/>
    <mergeCell ref="B78:B83"/>
    <mergeCell ref="B230:B231"/>
    <mergeCell ref="L1:M1"/>
    <mergeCell ref="A20:A21"/>
    <mergeCell ref="A98:A102"/>
    <mergeCell ref="A59:A67"/>
    <mergeCell ref="B235:B237"/>
    <mergeCell ref="B238:B240"/>
    <mergeCell ref="A1:A2"/>
    <mergeCell ref="A108:A110"/>
    <mergeCell ref="B76:B77"/>
    <mergeCell ref="A244:A249"/>
    <mergeCell ref="A120:A122"/>
    <mergeCell ref="A105:A107"/>
    <mergeCell ref="B120:B122"/>
    <mergeCell ref="B227:B228"/>
    <mergeCell ref="A230:A231"/>
    <mergeCell ref="A257:A258"/>
    <mergeCell ref="B139:B146"/>
    <mergeCell ref="A111:A112"/>
    <mergeCell ref="B60:B62"/>
    <mergeCell ref="A6:A12"/>
    <mergeCell ref="C111:C112"/>
    <mergeCell ref="A68:A73"/>
    <mergeCell ref="A226:A229"/>
    <mergeCell ref="A95:A97"/>
    <mergeCell ref="F1:G1"/>
    <mergeCell ref="D1:D2"/>
    <mergeCell ref="B159:B17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77"/>
  <sheetViews>
    <sheetView tabSelected="1" topLeftCell="A324" zoomScale="80" zoomScaleNormal="80" workbookViewId="0">
      <selection activeCell="G330" sqref="G330"/>
    </sheetView>
  </sheetViews>
  <sheetFormatPr baseColWidth="8" defaultColWidth="9.109375" defaultRowHeight="14.4"/>
  <cols>
    <col width="28.77734375" customWidth="1" style="38" min="1" max="1"/>
    <col width="55.109375" customWidth="1" style="38" min="2" max="2"/>
    <col width="37" customWidth="1" style="38" min="3" max="3"/>
    <col width="27.88671875" customWidth="1" style="38" min="4" max="4"/>
    <col width="51.109375" customWidth="1" style="38" min="5" max="5"/>
    <col width="19.5546875" customWidth="1" style="38" min="6" max="6"/>
    <col width="29.88671875" customWidth="1" style="38" min="7" max="7"/>
    <col width="30.6640625" customWidth="1" style="38" min="8" max="8"/>
    <col width="16.6640625" customWidth="1" style="38" min="9" max="9"/>
    <col width="9.109375" customWidth="1" style="38" min="10" max="10"/>
    <col width="16" customWidth="1" style="38" min="11" max="11"/>
    <col width="9.109375" customWidth="1" style="38" min="12" max="16384"/>
  </cols>
  <sheetData>
    <row r="1" ht="18" customHeight="1">
      <c r="A1" s="39" t="inlineStr">
        <is>
          <t>Задача</t>
        </is>
      </c>
      <c r="B1" s="39" t="inlineStr">
        <is>
          <t>Уточнения по задаче</t>
        </is>
      </c>
      <c r="C1" s="39" t="inlineStr">
        <is>
          <t>Цель</t>
        </is>
      </c>
      <c r="D1" s="39" t="inlineStr">
        <is>
          <t>Ответственный</t>
        </is>
      </c>
      <c r="E1" s="39" t="inlineStr">
        <is>
          <t>Результат</t>
        </is>
      </c>
    </row>
    <row r="2" hidden="1" ht="18" customHeight="1">
      <c r="A2" s="633" t="inlineStr">
        <is>
          <t>ФАКТ 1 квартал 2026</t>
        </is>
      </c>
      <c r="B2" s="801" t="n"/>
      <c r="C2" s="801" t="n"/>
      <c r="D2" s="801" t="n"/>
      <c r="E2" s="802" t="n"/>
    </row>
    <row r="3" hidden="1" ht="15.6" customHeight="1">
      <c r="A3" s="634" t="inlineStr">
        <is>
          <t>Директор по персоналу</t>
        </is>
      </c>
      <c r="B3" s="801" t="n"/>
      <c r="C3" s="801" t="n"/>
      <c r="D3" s="801" t="n"/>
      <c r="E3" s="802" t="n"/>
    </row>
    <row r="4" hidden="1" ht="27.6" customHeight="1">
      <c r="A4" s="705" t="inlineStr">
        <is>
          <t>Организационная структура</t>
        </is>
      </c>
      <c r="B4" s="41" t="inlineStr">
        <is>
          <t>Утверждение структуры у руководства, организация ее исполнения</t>
        </is>
      </c>
      <c r="C4" s="42" t="inlineStr">
        <is>
          <t xml:space="preserve">Организация деятельности  компании </t>
        </is>
      </c>
      <c r="D4" s="43" t="inlineStr">
        <is>
          <t>Пенский А.К.</t>
        </is>
      </c>
      <c r="E4" s="44" t="inlineStr">
        <is>
          <t>Утверждена "переходная" организационная структура Общества</t>
        </is>
      </c>
    </row>
    <row r="5" hidden="1" ht="41.4" customHeight="1">
      <c r="A5" s="45" t="inlineStr">
        <is>
          <t>Организация дополнительных гарантий работникам. Питание на производстве (на производственных площадках Общества)</t>
        </is>
      </c>
      <c r="B5" s="45" t="inlineStr">
        <is>
          <t>Заключение договора, организация поставок, оплаты, решение возникающих вопросов</t>
        </is>
      </c>
      <c r="C5" s="42" t="inlineStr">
        <is>
          <t>Соблюдение законодательства РФ, гарантии работникам</t>
        </is>
      </c>
      <c r="D5" s="46" t="inlineStr">
        <is>
          <t>Пенский А.К.</t>
        </is>
      </c>
      <c r="E5" s="47" t="inlineStr">
        <is>
          <t>Заключен договор на поставку питания на Машково и Руднево</t>
        </is>
      </c>
    </row>
    <row r="6" hidden="1" ht="28.8" customHeight="1">
      <c r="A6" s="45" t="inlineStr">
        <is>
          <t>Решение слоных вопросов</t>
        </is>
      </c>
      <c r="B6" s="45" t="inlineStr">
        <is>
          <t>Сложные увольнения</t>
        </is>
      </c>
      <c r="C6" s="42" t="inlineStr">
        <is>
          <t>Соблюдение законодательства РФ, гарантии работникам</t>
        </is>
      </c>
      <c r="D6" s="46" t="inlineStr">
        <is>
          <t>Пенский А.К.</t>
        </is>
      </c>
      <c r="E6" s="48" t="inlineStr">
        <is>
          <t>Решены вопросы по 3 сложным увольнениям (Кравцов, Яворский, Тимохин)</t>
        </is>
      </c>
    </row>
    <row r="7" hidden="1" ht="28.8" customHeight="1">
      <c r="A7" s="45" t="inlineStr">
        <is>
          <t>Участие в реализации стратегических целей</t>
        </is>
      </c>
      <c r="B7" s="45" t="inlineStr">
        <is>
          <t>Обеспечение персоналом роста товарной программы</t>
        </is>
      </c>
      <c r="C7" s="42" t="inlineStr">
        <is>
          <t>Планирование подбора</t>
        </is>
      </c>
      <c r="D7" s="46" t="inlineStr">
        <is>
          <t>Пенский А.К.</t>
        </is>
      </c>
      <c r="E7" s="49" t="inlineStr">
        <is>
          <t>Согласование актуализации плана подбора в производстве</t>
        </is>
      </c>
    </row>
    <row r="8" hidden="1" ht="28.8" customHeight="1">
      <c r="A8" s="45" t="inlineStr">
        <is>
          <t>Оптимизация процессов</t>
        </is>
      </c>
      <c r="B8" s="45" t="inlineStr">
        <is>
          <t>Рационализация кроссфункциональных процессов</t>
        </is>
      </c>
      <c r="C8" s="42" t="inlineStr">
        <is>
          <t>Оптимизация сроков документооборота</t>
        </is>
      </c>
      <c r="D8" s="46" t="inlineStr">
        <is>
          <t>Пенский А.К.</t>
        </is>
      </c>
      <c r="E8" s="49" t="inlineStr">
        <is>
          <t>БП премирование, отчетность по питанию, согласование табелей</t>
        </is>
      </c>
    </row>
    <row r="9" hidden="1" ht="27.6" customHeight="1">
      <c r="A9" s="45" t="inlineStr">
        <is>
          <t>Разработка и актуализация бизнес-процессов</t>
        </is>
      </c>
      <c r="B9" s="45" t="inlineStr">
        <is>
          <t>Разработка, актуализация, унификация БП</t>
        </is>
      </c>
      <c r="C9" s="45" t="inlineStr">
        <is>
          <t>Унификация основных БП по ГК</t>
        </is>
      </c>
      <c r="D9" s="46" t="inlineStr">
        <is>
          <t>Пенский А.К.</t>
        </is>
      </c>
      <c r="E9" s="50" t="inlineStr">
        <is>
          <t>Разработан БП по премированию (совместно с Ереминой О. и Кузнецовой О.)</t>
        </is>
      </c>
    </row>
    <row r="10" hidden="1" ht="15.6" customHeight="1">
      <c r="A10" s="803" t="inlineStr">
        <is>
          <t>Кадровое делопроизводство</t>
        </is>
      </c>
      <c r="B10" s="760" t="n"/>
      <c r="C10" s="760" t="n"/>
      <c r="D10" s="760" t="n"/>
      <c r="E10" s="760" t="n"/>
    </row>
    <row r="11" hidden="1" ht="15.6" customHeight="1">
      <c r="A11" s="804" t="inlineStr">
        <is>
          <t xml:space="preserve">Текущая деятельность </t>
        </is>
      </c>
      <c r="B11" s="805" t="n"/>
      <c r="C11" s="805" t="n"/>
      <c r="D11" s="805" t="n"/>
      <c r="E11" s="747" t="n"/>
    </row>
    <row r="12" hidden="1" ht="27.6" customHeight="1">
      <c r="A12" s="51" t="inlineStr">
        <is>
          <t>Приказы о премировании</t>
        </is>
      </c>
      <c r="B12" s="52" t="inlineStr">
        <is>
          <t>Сбор данных, проверка и оформление приказов. Передача в бухгалтерию копий приказов.</t>
        </is>
      </c>
      <c r="C12" s="51" t="inlineStr">
        <is>
          <t>Соблюдение законодательства РФ</t>
        </is>
      </c>
      <c r="D12" s="53" t="inlineStr">
        <is>
          <t>Кузнецова О.Н.</t>
        </is>
      </c>
      <c r="E12" s="54" t="inlineStr">
        <is>
          <t>Выполнено 100%</t>
        </is>
      </c>
    </row>
    <row r="13" hidden="1" ht="55.2" customHeight="1">
      <c r="A13" s="51" t="inlineStr">
        <is>
          <t>Отчетность по премированию</t>
        </is>
      </c>
      <c r="B13" s="52" t="inlineStr">
        <is>
          <t>Сбор данных ежемесячно, составление свода за квартал, анализ квартального премирования</t>
        </is>
      </c>
      <c r="C13" s="51" t="inlineStr">
        <is>
          <t>Обоснование расходов для отчета руководству (Жихарев П., Торопов Р., Шигаев В., Кисловская И.)</t>
        </is>
      </c>
      <c r="D13" s="53" t="inlineStr">
        <is>
          <t>Кузнецова О.НН.</t>
        </is>
      </c>
      <c r="E13" s="54" t="inlineStr">
        <is>
          <t>Сформированы и отработаны сводные таблицы январь, февраль, март (включая свод за квартал). Выполнено 100% с союлюдением сроков, установленных БП. Участие в описании БП по премированию.</t>
        </is>
      </c>
    </row>
    <row r="14" hidden="1" ht="55.2" customHeight="1">
      <c r="A14" s="51" t="inlineStr">
        <is>
          <t xml:space="preserve">Обоснование премирования </t>
        </is>
      </c>
      <c r="B14" s="55" t="inlineStr">
        <is>
          <t>Оформление служебных записок</t>
        </is>
      </c>
      <c r="C14" s="51" t="inlineStr">
        <is>
          <t>Обоснование расходов работодателя</t>
        </is>
      </c>
      <c r="D14" s="56" t="inlineStr">
        <is>
          <t>Кузнецова О.Н.</t>
        </is>
      </c>
      <c r="E14" s="54" t="inlineStr">
        <is>
          <t>Оформлены служебные записки к приказам за январь, февраль; прдготовлены проекты СЗ к приказам за март. Приказы и СЗ подготовлены и переданы на проверку аудиторам.</t>
        </is>
      </c>
    </row>
    <row r="15" hidden="1" ht="41.4" customHeight="1">
      <c r="A15" s="57" t="inlineStr">
        <is>
          <t>Приказы о материальной помощи</t>
        </is>
      </c>
      <c r="B15" s="45" t="inlineStr">
        <is>
          <t>Оформляется по заявлению работника, согласовывается с ГД.</t>
        </is>
      </c>
      <c r="C15" s="58" t="inlineStr">
        <is>
          <t>Соблюдение законодательства РФ</t>
        </is>
      </c>
      <c r="D15" s="46" t="inlineStr">
        <is>
          <t>Кузнецова О.Н.</t>
        </is>
      </c>
      <c r="E15" s="59" t="inlineStr">
        <is>
          <t>Оформлено 12 приказов (с предоставлением подтверждающих документов передано в бухгалтерию). Документы подготовлены для проверки аудиторам.</t>
        </is>
      </c>
    </row>
    <row r="16" hidden="1" ht="82.8" customHeight="1">
      <c r="A16" s="60" t="inlineStr">
        <is>
          <t xml:space="preserve">Прием на работу </t>
        </is>
      </c>
      <c r="B16" s="61" t="inlineStr">
        <is>
          <t>Оформление документов при приеме на работу: ТД, приказ, Соглашение о неразглашении конфиденциальной информации, документы по персональным данным, заявления, справки и т.д., внесение данных в базу 1С, подписание с работником</t>
        </is>
      </c>
      <c r="C16" s="62" t="inlineStr">
        <is>
          <t>Соблюдение законодательства РФ</t>
        </is>
      </c>
      <c r="D16" s="63" t="inlineStr">
        <is>
          <t>Афонина Ю.В.
Башкирова Т.А. (ув.)</t>
        </is>
      </c>
      <c r="E16" s="64" t="inlineStr">
        <is>
          <t>95 приемов на работу</t>
        </is>
      </c>
    </row>
    <row r="17" hidden="1" ht="82.8" customHeight="1">
      <c r="A17" s="806" t="inlineStr">
        <is>
          <t xml:space="preserve">Увольнение </t>
        </is>
      </c>
      <c r="B17" s="65" t="inlineStr">
        <is>
          <t>Оформление увольнения  по инициативе работника, по инициативе работодателя. Оформляются приказ, соглашение об увольнении, табель учета, вносится запись в тр. книжку или справка СТД-Р, ознакомление работника с документами</t>
        </is>
      </c>
      <c r="C17" s="70" t="inlineStr">
        <is>
          <t>Соблюдение законодательства РФ</t>
        </is>
      </c>
      <c r="D17" s="66" t="inlineStr">
        <is>
          <t>Афонина Ю.В.
Башкирова Т.А. (ув.)</t>
        </is>
      </c>
      <c r="E17" s="67" t="inlineStr">
        <is>
          <t>35 увольнений</t>
        </is>
      </c>
    </row>
    <row r="18" hidden="1" ht="28.8" customHeight="1">
      <c r="A18" s="767" t="n"/>
      <c r="B18" s="68" t="inlineStr">
        <is>
          <t>Решение сложных вопросов по увольнению работников</t>
        </is>
      </c>
      <c r="C18" s="753" t="n"/>
      <c r="D18" s="69" t="inlineStr">
        <is>
          <t>Еремина О.А.
Козлова Ю.В.</t>
        </is>
      </c>
      <c r="E18" s="48" t="inlineStr">
        <is>
          <t>Решены вопросы по 3 сложным увольнениям (Кравцов, Яворский, Тимохин)</t>
        </is>
      </c>
    </row>
    <row r="19" hidden="1" ht="82.8" customHeight="1">
      <c r="A19" s="70" t="inlineStr">
        <is>
          <t>Переводы (изменение должностей, подразделений)</t>
        </is>
      </c>
      <c r="B19" s="65" t="inlineStr">
        <is>
          <t xml:space="preserve">Переводы оформляются по соглашению сторон (возможно в связи с  изменением шатного расписания, на основании результатлов аттестации персонала), готовится: приказ, доп. соглашение к ТД, вносятся данные в программу 1С, ознакомление работника </t>
        </is>
      </c>
      <c r="C19" s="71" t="inlineStr">
        <is>
          <t>Соблюдение законодательства РФ</t>
        </is>
      </c>
      <c r="D19" s="66" t="inlineStr">
        <is>
          <t>Афонина Ю.В.
Башкирова Т.А. (ув.)</t>
        </is>
      </c>
      <c r="E19" s="48" t="inlineStr">
        <is>
          <t>67 приказов на переводы на другую работу, 650 изменений зп, 700 изменений графиков работы и видов начислений</t>
        </is>
      </c>
    </row>
    <row r="20" hidden="1" ht="55.2" customHeight="1">
      <c r="A20" s="69" t="inlineStr">
        <is>
          <t>Отпуска, все виды (ежегодные, без сохранений з/п, учебные, по БИР, по уходу за ребенком, донорские, пр.)</t>
        </is>
      </c>
      <c r="B20" s="65" t="inlineStr">
        <is>
          <t xml:space="preserve">На основании графика отпусков или по заявлению работника оформляется приказ на отпуск с приложением необходимых подтверждающих документов </t>
        </is>
      </c>
      <c r="C20" s="71" t="inlineStr">
        <is>
          <t>Соблюдение законодательства РФ</t>
        </is>
      </c>
      <c r="D20" s="72" t="inlineStr">
        <is>
          <t>Афонина Ю.В.
Башкирова Т.А. (ув.)
Руцкая В.В.</t>
        </is>
      </c>
      <c r="E20" s="48" t="inlineStr">
        <is>
          <t>318 приказов по всем видам отпусков и отсутствий</t>
        </is>
      </c>
    </row>
    <row r="21" hidden="1" ht="69" customHeight="1">
      <c r="A21" s="69" t="inlineStr">
        <is>
          <t>Оформление сверхурочной работы, РВ</t>
        </is>
      </c>
      <c r="B21" s="65" t="inlineStr">
        <is>
          <t>На основании СЗ от руководителя и согласия работников оформляется Приказ (с офомлением повышенной оплаты или предоставлением днем отдыха)</t>
        </is>
      </c>
      <c r="C21" s="71" t="inlineStr">
        <is>
          <t>Соблюдение законодательства РФ</t>
        </is>
      </c>
      <c r="D21" s="73" t="inlineStr">
        <is>
          <t>Афонина Ю.В. - командировки
Башкирова Т.А. (ув.) - командировки
Руцкая В.В. - командировки
Павленко Н.С. - все остальные</t>
        </is>
      </c>
      <c r="E21" s="48" t="inlineStr">
        <is>
          <t>188 приказов</t>
        </is>
      </c>
    </row>
    <row r="22" hidden="1" ht="55.2" customHeight="1">
      <c r="A22" s="74" t="inlineStr">
        <is>
          <t xml:space="preserve">Командировки </t>
        </is>
      </c>
      <c r="B22" s="75" t="inlineStr">
        <is>
          <t>Оформление приказов о командировании , изменении сроков командирования  и контроль оформления  Служебных заданий на командировки</t>
        </is>
      </c>
      <c r="C22" s="76" t="inlineStr">
        <is>
          <t>Соблюдение законодательства РФ</t>
        </is>
      </c>
      <c r="D22" s="77" t="inlineStr">
        <is>
          <t>Афонина Ю.В.
Башкирова Т.А. (ув.)
Руцкая В.В.</t>
        </is>
      </c>
      <c r="E22" s="48" t="inlineStr">
        <is>
          <t>164 приказа на командировки и изменения сроков командировки</t>
        </is>
      </c>
    </row>
    <row r="23" hidden="1" ht="41.4" customHeight="1">
      <c r="A23" s="63" t="inlineStr">
        <is>
          <t>Заключение ДС на питание</t>
        </is>
      </c>
      <c r="B23" s="78" t="inlineStr">
        <is>
          <t>Заключение ДС с работниками на подключение к питанию или отключение, передача данных в бухгалтерию</t>
        </is>
      </c>
      <c r="C23" s="42" t="inlineStr">
        <is>
          <t>Соблюдение законодательства РФ, гарантии работникам</t>
        </is>
      </c>
      <c r="D23" s="79" t="inlineStr">
        <is>
          <t>Еремина О.А.
Афонина Ю.В.</t>
        </is>
      </c>
      <c r="E23" s="80" t="inlineStr">
        <is>
          <t>Заключены ДС с работниками на питаниее Руднево и Машково в полном объеме</t>
        </is>
      </c>
    </row>
    <row r="24" hidden="1" ht="55.2" customHeight="1">
      <c r="A24" s="63" t="inlineStr">
        <is>
          <t>Аудит кадровых документов</t>
        </is>
      </c>
      <c r="B24" s="78" t="inlineStr">
        <is>
          <t>Проверка раличия и восстановление отсутствующих приказов за 2025 и при необходимости за 2024 кадровых приказов</t>
        </is>
      </c>
      <c r="C24" s="42" t="inlineStr">
        <is>
          <t>Соблюдение законодательства РФ</t>
        </is>
      </c>
      <c r="D24" s="79" t="inlineStr">
        <is>
          <t>Козлова Ю.В.
Афонина Ю.В.
Башкирова Т.А. (ув.)
Марцулевич В.А.</t>
        </is>
      </c>
      <c r="E24" s="81" t="inlineStr">
        <is>
          <t>Проведен аудит, составлен список отсутствующих приказов, план восстановления документов</t>
        </is>
      </c>
    </row>
    <row r="25" hidden="1">
      <c r="A25" s="807" t="inlineStr">
        <is>
          <t xml:space="preserve">Согласование, утверждение  Положений и должностных инструкций по новому ШР в полном объеме </t>
        </is>
      </c>
      <c r="E25" s="771" t="n"/>
    </row>
    <row r="26" hidden="1" ht="57.6" customHeight="1">
      <c r="A26" s="63" t="inlineStr">
        <is>
          <t xml:space="preserve">Согласование ДИ по новой форме по всем должностям согласно ШР, подписание, передача на утверждение ГД </t>
        </is>
      </c>
      <c r="B26" s="42" t="inlineStr">
        <is>
          <t>Наличие базы ДИ и ПП по организации в полном объеме</t>
        </is>
      </c>
      <c r="C26" s="82" t="inlineStr">
        <is>
          <t>Соблюдение законодательства РФ</t>
        </is>
      </c>
      <c r="D26" s="83" t="inlineStr">
        <is>
          <t>Еремина О.А.
Козлова Ю.В.</t>
        </is>
      </c>
      <c r="E26" s="42" t="inlineStr">
        <is>
          <t>50% утвержденных ДИ и ПП, 25% ДИ в разработке, 25% - на согласовании</t>
        </is>
      </c>
    </row>
    <row r="27" hidden="1">
      <c r="A27" s="645" t="inlineStr">
        <is>
          <t>Формирование  отчётности</t>
        </is>
      </c>
      <c r="B27" s="801" t="n"/>
      <c r="C27" s="801" t="n"/>
      <c r="D27" s="801" t="n"/>
      <c r="E27" s="802" t="n"/>
    </row>
    <row r="28" hidden="1">
      <c r="A28" s="63" t="inlineStr">
        <is>
          <t xml:space="preserve">Отчет по статистике </t>
        </is>
      </c>
      <c r="B28" s="84" t="inlineStr">
        <is>
          <t>П4 НЗ, ежеквартальный , за 4-й квартал 2025</t>
        </is>
      </c>
      <c r="C28" s="84" t="inlineStr">
        <is>
          <t>Соблюдение законодательства РФ</t>
        </is>
      </c>
      <c r="D28" s="85" t="inlineStr">
        <is>
          <t>Еремина О.А.</t>
        </is>
      </c>
      <c r="E28" s="84" t="inlineStr">
        <is>
          <t>Выполнено 100%</t>
        </is>
      </c>
    </row>
    <row r="29" hidden="1" ht="36" customHeight="1">
      <c r="A29" s="63" t="inlineStr">
        <is>
          <t>Отчёты в СФР  штатные работники (прием/увольнение)</t>
        </is>
      </c>
      <c r="B29" s="82" t="inlineStr">
        <is>
          <t>Отчёт в СФР  (по форме ЕФС-1 разд. 1.1.)  оформляется не позднее одного рабочего дня после даты издания приказов о  приеме, увольнении работников.</t>
        </is>
      </c>
      <c r="C29" s="82" t="inlineStr">
        <is>
          <t>Соблюдение законодательства РФ</t>
        </is>
      </c>
      <c r="D29" s="86" t="inlineStr">
        <is>
          <t>Афонина Ю.В.
Башкирова Т.А. (ув.)
Козлова Ю.В.</t>
        </is>
      </c>
      <c r="E29" s="82" t="inlineStr">
        <is>
          <t>Выполнено 100%</t>
        </is>
      </c>
    </row>
    <row r="30" hidden="1" ht="60" customHeight="1">
      <c r="A30" s="87" t="inlineStr">
        <is>
          <t>Отчёты в СФР  штатные работники (переводы)</t>
        </is>
      </c>
      <c r="B30" s="82" t="inlineStr">
        <is>
          <t>Отчёт в СФР  (по форме ЕФС-1 разд. 1.1.)  оформляется не позднее 25 числа месяца, следующего за отчетным месяцем издания приказов о  переводе работников. А так же иным мероприятиям предусмотренным законодательствам РФ.</t>
        </is>
      </c>
      <c r="C30" s="88" t="inlineStr">
        <is>
          <t>Соблюдение законодательства РФ</t>
        </is>
      </c>
      <c r="D30" s="89" t="inlineStr">
        <is>
          <t>Афонина Ю.В.
Башкирова Т.А. (ув.)
Козлова Ю.В.</t>
        </is>
      </c>
      <c r="E30" s="90" t="inlineStr">
        <is>
          <t>Выполнено 100%</t>
        </is>
      </c>
    </row>
    <row r="31" hidden="1" ht="48" customHeight="1">
      <c r="A31" s="57" t="inlineStr">
        <is>
          <t>Отчёты в СФР  штатные работники (иные мероприятия)</t>
        </is>
      </c>
      <c r="B31" s="82" t="inlineStr">
        <is>
          <t>Отчёт в СФР  (по форме ЕФС-1 разд. 1.2.)  оформляется не позднее трех рабочих дней после даты издания приказов о  предоставлении отпусков по БиР, ОПУХ работникам.</t>
        </is>
      </c>
      <c r="C31" s="82" t="inlineStr">
        <is>
          <t>Соблюдение законодательства РФ</t>
        </is>
      </c>
      <c r="D31" s="86" t="inlineStr">
        <is>
          <t>Еремина О.А.
Козлова Ю.В.</t>
        </is>
      </c>
      <c r="E31" s="82" t="inlineStr">
        <is>
          <t>Выполнено 100%</t>
        </is>
      </c>
    </row>
    <row r="32" hidden="1">
      <c r="A32" s="69" t="inlineStr">
        <is>
          <t>Отчет по инвалидам</t>
        </is>
      </c>
      <c r="B32" s="91" t="inlineStr">
        <is>
          <t xml:space="preserve">ежеквартальный </t>
        </is>
      </c>
      <c r="C32" s="92" t="inlineStr">
        <is>
          <t>Соблюдение законодательства РФ</t>
        </is>
      </c>
      <c r="D32" s="93" t="inlineStr">
        <is>
          <t>Козлова Ю.В.</t>
        </is>
      </c>
      <c r="E32" s="94" t="inlineStr">
        <is>
          <t>Выполнено 100%</t>
        </is>
      </c>
    </row>
    <row r="33" hidden="1">
      <c r="A33" s="808" t="inlineStr">
        <is>
          <t xml:space="preserve">Разработка (актуализация)  ЛНА, развитие процессов, создание  Базы знаний по кадрам </t>
        </is>
      </c>
      <c r="B33" s="805" t="n"/>
      <c r="C33" s="805" t="n"/>
      <c r="D33" s="805" t="n"/>
      <c r="E33" s="747" t="n"/>
    </row>
    <row r="34" hidden="1" ht="41.4" customHeight="1">
      <c r="A34" s="69" t="inlineStr">
        <is>
          <t>Утверждение Положения о разъездном характере работы</t>
        </is>
      </c>
      <c r="B34" s="65" t="n"/>
      <c r="C34" s="95" t="inlineStr">
        <is>
          <t xml:space="preserve">Соблюдение законодательства РФ, Унификация ЛНА группы компаний. Регулирование трудовых отношений </t>
        </is>
      </c>
      <c r="D34" s="72" t="inlineStr">
        <is>
          <t>Еремина О.А.</t>
        </is>
      </c>
      <c r="E34" s="71" t="inlineStr">
        <is>
          <t>Положение на согласовании у юристов</t>
        </is>
      </c>
    </row>
    <row r="35" hidden="1" ht="55.2" customHeight="1">
      <c r="A35" s="57" t="inlineStr">
        <is>
          <t>Оптимизация приказов по содержанию</t>
        </is>
      </c>
      <c r="B35" s="96" t="inlineStr">
        <is>
          <t>Оптимизация приказов, содержащих данные по наряд-заказам, с целью исключения их переделки, а также для своевременности издания приказов</t>
        </is>
      </c>
      <c r="C35" s="96" t="inlineStr">
        <is>
          <t>Соблюдение законодательства РФ, оптимизация БП</t>
        </is>
      </c>
      <c r="D35" s="97" t="inlineStr">
        <is>
          <t>Еремина О.А.</t>
        </is>
      </c>
      <c r="E35" s="98" t="inlineStr">
        <is>
          <t>Приказы на командировки не содержат больше информацию по наряд-заказам - нет необходимости переделывать приказы</t>
        </is>
      </c>
    </row>
    <row r="36" hidden="1" ht="41.4" customHeight="1">
      <c r="A36" s="99" t="inlineStr">
        <is>
          <t>Изменение процессов взаимодействия между подразделениями</t>
        </is>
      </c>
      <c r="B36" s="96" t="inlineStr">
        <is>
          <t>Оптимизация взаимодействия между кадрами и бухгалтерией, разработка документооборота между кадрами и другими подразделениями</t>
        </is>
      </c>
      <c r="C36" s="100" t="inlineStr">
        <is>
          <t>Оптимизация взаимодействия работников  подразделений и ОУП</t>
        </is>
      </c>
      <c r="D36" s="101" t="inlineStr">
        <is>
          <t>Еремина О.А.</t>
        </is>
      </c>
      <c r="E36" s="102" t="inlineStr">
        <is>
          <t>Оптимизирован БП по передаче документов в бухгалтерию</t>
        </is>
      </c>
    </row>
    <row r="37" hidden="1" ht="69" customHeight="1">
      <c r="A37" s="99" t="inlineStr">
        <is>
          <t xml:space="preserve">Подготовка методических материалов по кадрам </t>
        </is>
      </c>
      <c r="B37" s="96" t="inlineStr">
        <is>
          <t>Формирование Базы знаний по кадровым  направлениям (Прием, перевод, увольнение , пр.) . Подготовка Памяток для работников, шаблонов  СЗ, Заявлений, размещение в Базе - по основным мероприятиям</t>
        </is>
      </c>
      <c r="C37" s="96" t="inlineStr">
        <is>
          <t xml:space="preserve">Оптимизация взаимодействия работников  подразделений и ОУП.  Повышение уровня сервиса для персонала  </t>
        </is>
      </c>
      <c r="D37" s="103" t="inlineStr">
        <is>
          <t>Еремина О.А.</t>
        </is>
      </c>
      <c r="E37" s="104" t="inlineStr">
        <is>
          <t>Подготовлены БП с блок-схемами по командировкам, премированию</t>
        </is>
      </c>
    </row>
    <row r="38" hidden="1" ht="69" customHeight="1">
      <c r="A38" s="63" t="inlineStr">
        <is>
          <t>Оптимизация текста трудорого договора</t>
        </is>
      </c>
      <c r="B38" s="96" t="inlineStr">
        <is>
          <t>Форма ТД, утвержденная в 2025 году, содержит избыточные пункты, не соответствует по отдельным пунктам нормам ТК РФ, запрос от юристов на внесение главы, касающейся интеллектуальной собственности</t>
        </is>
      </c>
      <c r="C38" s="105" t="inlineStr">
        <is>
          <t>Соблюдение законодательства РФ</t>
        </is>
      </c>
      <c r="D38" s="103" t="inlineStr">
        <is>
          <t>Еремина О.А.
Пенский А.К.</t>
        </is>
      </c>
      <c r="E38" s="106" t="inlineStr">
        <is>
          <t>Обновленный текст ТД согласован с юристами, находится на рассмотрении у В. Шигаева</t>
        </is>
      </c>
    </row>
    <row r="39" hidden="1">
      <c r="A39" s="809" t="inlineStr">
        <is>
          <t xml:space="preserve">Работа с суммированным учетом РВ (в рамках нового Положения о СУРВ),  Графики работы подразделений с СУРВ, Табели подразделений </t>
        </is>
      </c>
      <c r="B39" s="810" t="n"/>
      <c r="C39" s="810" t="n"/>
      <c r="D39" s="810" t="n"/>
      <c r="E39" s="811" t="n"/>
    </row>
    <row r="40" hidden="1" ht="86.40000000000001" customHeight="1">
      <c r="A40" s="57" t="inlineStr">
        <is>
          <t>Организация работы подразделений по графикам смен.  Анализ и актуализация графиков работы (смен)  работников. Подготовка приказов Приведение в соответствие ТД  работников</t>
        </is>
      </c>
      <c r="B40" s="42" t="inlineStr">
        <is>
          <t xml:space="preserve">Соблюдение графиков производства. Разработка графиком для Отдела режима </t>
        </is>
      </c>
      <c r="C40" s="107" t="inlineStr">
        <is>
          <t xml:space="preserve">Организация деятельности подразделений, соблюдение требований ТК РФ </t>
        </is>
      </c>
      <c r="D40" s="46" t="inlineStr">
        <is>
          <t>Павленко Н.С.</t>
        </is>
      </c>
      <c r="E40" s="108" t="inlineStr">
        <is>
          <t>Контроль по предоставленным СЗ на привлечение к СУ и РВ, выявлены недостоверные данные - отклонено проведение приказов (контроль использования ФОТа)</t>
        </is>
      </c>
    </row>
    <row r="41" hidden="1" ht="27.6" customHeight="1">
      <c r="A41" s="69" t="inlineStr">
        <is>
          <t xml:space="preserve">Организация работы с табелями </t>
        </is>
      </c>
      <c r="B41" s="109" t="inlineStr">
        <is>
          <t xml:space="preserve">Контроль, сопровождение оформления табелей </t>
        </is>
      </c>
      <c r="C41" s="72" t="inlineStr">
        <is>
          <t xml:space="preserve">Организация деятельности подразделений, соблюдение требований ТК РФ </t>
        </is>
      </c>
      <c r="D41" s="110" t="inlineStr">
        <is>
          <t>Руцкая В.В.
Павленко Н.С.</t>
        </is>
      </c>
      <c r="E41" s="71" t="inlineStr">
        <is>
          <t>Выполнено 100%</t>
        </is>
      </c>
    </row>
    <row r="42" hidden="1">
      <c r="A42" s="812" t="inlineStr">
        <is>
          <t>Новая организационная структура, штатное расписание компании</t>
        </is>
      </c>
      <c r="B42" s="813" t="n"/>
      <c r="C42" s="813" t="n"/>
      <c r="D42" s="813" t="n"/>
      <c r="E42" s="814" t="n"/>
    </row>
    <row r="43" hidden="1" ht="41.4" customHeight="1">
      <c r="A43" s="111" t="inlineStr">
        <is>
          <t>Соблюдение нового штатного расписания и  ФОТ</t>
        </is>
      </c>
      <c r="B43" s="45" t="inlineStr">
        <is>
          <t xml:space="preserve">Контроль исполнения ФОТ/ШР.  Предоставление данных для приема на работу, переводов руководителям и в отдел подбора </t>
        </is>
      </c>
      <c r="C43" s="42" t="inlineStr">
        <is>
          <t xml:space="preserve">Организация деятельности  компании </t>
        </is>
      </c>
      <c r="D43" s="83" t="inlineStr">
        <is>
          <t>Еремина О.А.</t>
        </is>
      </c>
      <c r="E43" s="45" t="inlineStr">
        <is>
          <t>Выполнено 100%</t>
        </is>
      </c>
    </row>
    <row r="44" hidden="1" ht="69" customHeight="1">
      <c r="A44" s="57" t="inlineStr">
        <is>
          <t>Внесение изменений в 1С по новому  ШР</t>
        </is>
      </c>
      <c r="B44" s="42" t="inlineStr">
        <is>
          <t>Согласование, внесение изменений в 1С</t>
        </is>
      </c>
      <c r="C44" s="42" t="inlineStr">
        <is>
          <t xml:space="preserve">Организация деятельности  компании </t>
        </is>
      </c>
      <c r="D44" s="83" t="inlineStr">
        <is>
          <t>Еремина О.А.</t>
        </is>
      </c>
      <c r="E44" s="42" t="inlineStr">
        <is>
          <t>Проведено изменение зп с 01.02.2026, оптимизированы перечни видов начислений и графиков работ, внедрены по всем работникам, проведена работа по анализу установленных надбавок и сроков их действия, исправлены по 1С и бумажным документам</t>
        </is>
      </c>
    </row>
    <row r="45" hidden="1" ht="27.6" customHeight="1">
      <c r="A45" s="99" t="inlineStr">
        <is>
          <t>Составление и реализация ОС</t>
        </is>
      </c>
      <c r="B45" s="42" t="inlineStr">
        <is>
          <t>Согласование новой организационной структуры, ее реализация</t>
        </is>
      </c>
      <c r="C45" s="42" t="inlineStr">
        <is>
          <t xml:space="preserve">Организация деятельности  компании </t>
        </is>
      </c>
      <c r="D45" s="83" t="inlineStr">
        <is>
          <t>Еремина О.А.
Пенский А.К.</t>
        </is>
      </c>
      <c r="E45" s="42" t="inlineStr">
        <is>
          <t>Совместная работа с А. Пенским</t>
        </is>
      </c>
    </row>
    <row r="46" hidden="1" ht="55.2" customHeight="1">
      <c r="A46" s="63" t="inlineStr">
        <is>
          <t>Подготовка базы к переходу на новую 1С: ЗУП</t>
        </is>
      </c>
      <c r="B46" s="42" t="n"/>
      <c r="C46" s="42" t="inlineStr">
        <is>
          <t xml:space="preserve">Организация деятельности  компании </t>
        </is>
      </c>
      <c r="D46" s="83" t="inlineStr">
        <is>
          <t>Еремина О.А., 
Козлова Ю.В.</t>
        </is>
      </c>
      <c r="E46" s="42" t="inlineStr">
        <is>
          <t>Проведен анализ учета лимитов и остатков отпусков, внесены необходимые корректировки, проверка соответствия штатного расписания и штатных сотрудников (порядка 20 работников числились на закрытых позициях)</t>
        </is>
      </c>
    </row>
    <row r="47" hidden="1" ht="27.6" customHeight="1">
      <c r="A47" s="63" t="inlineStr">
        <is>
          <t>Инвентаризация "мертвых душ"</t>
        </is>
      </c>
      <c r="B47" s="42" t="inlineStr">
        <is>
          <t>Контроль использования ФОТ</t>
        </is>
      </c>
      <c r="C47" s="112" t="inlineStr">
        <is>
          <t xml:space="preserve">Организация деятельности  компании </t>
        </is>
      </c>
      <c r="D47" s="83" t="inlineStr">
        <is>
          <t>Еремина О.А.
Пенский А.К.</t>
        </is>
      </c>
      <c r="E47" s="42" t="inlineStr">
        <is>
          <t>Проведена инвентаризация, выявлены 100% МД (4 чел.), проведены увольнения (работа совместно с А. Пенским)</t>
        </is>
      </c>
    </row>
    <row r="48" hidden="1">
      <c r="A48" s="815" t="inlineStr">
        <is>
          <t>Ведение воинского учёта и бронирования</t>
        </is>
      </c>
      <c r="B48" s="816" t="n"/>
      <c r="C48" s="816" t="n"/>
      <c r="D48" s="816" t="n"/>
      <c r="E48" s="817" t="n"/>
    </row>
    <row r="49" hidden="1" ht="36" customHeight="1">
      <c r="A49" s="660" t="inlineStr">
        <is>
          <t>Разъяснение правил воинского учета</t>
        </is>
      </c>
      <c r="B49" s="114" t="inlineStr">
        <is>
          <t>При приеме на работу. Ведение журнала.</t>
        </is>
      </c>
      <c r="C49" s="115" t="inlineStr">
        <is>
          <t xml:space="preserve">Соблюдение законодательства РФ. </t>
        </is>
      </c>
      <c r="D49" s="116" t="inlineStr">
        <is>
          <t>Козлова Ю.В.
Афонина Ю.В.
Кавыза О.Г.</t>
        </is>
      </c>
      <c r="E49" s="115" t="inlineStr">
        <is>
          <t>Выполнено 100%</t>
        </is>
      </c>
    </row>
    <row r="50" hidden="1" ht="36" customHeight="1">
      <c r="A50" s="660" t="inlineStr">
        <is>
          <t>Ведение карточек ф.10</t>
        </is>
      </c>
      <c r="B50" s="114" t="inlineStr">
        <is>
          <t>При приеме, переводе, изменении данных, увольнении</t>
        </is>
      </c>
      <c r="C50" s="115" t="inlineStr">
        <is>
          <t>Соблюдение законожательства РФ.</t>
        </is>
      </c>
      <c r="D50" s="117" t="inlineStr">
        <is>
          <t>Козлова Ю.В.
Афонина Ю.В.
Кавыза О.Г.</t>
        </is>
      </c>
      <c r="E50" s="115" t="inlineStr">
        <is>
          <t>Выполнено 100%</t>
        </is>
      </c>
    </row>
    <row r="51" hidden="1" ht="57.6" customHeight="1">
      <c r="A51" s="660" t="inlineStr">
        <is>
          <t>Сведения при приеме/увольнении/переводе/  изменении др. (Приложение № 2 к Положению о ВУ)</t>
        </is>
      </c>
      <c r="B51" s="114" t="inlineStr">
        <is>
          <t xml:space="preserve">Документ направлется в военный комиссариат по месту жительства работника, в т.ч. </t>
        </is>
      </c>
      <c r="C51" s="115" t="inlineStr">
        <is>
          <t xml:space="preserve">Соблюдение законодательства РФ. </t>
        </is>
      </c>
      <c r="D51" s="116" t="inlineStr">
        <is>
          <t>Козлова Ю.В.
Афонина Ю.В.
Кавыза О.Г.</t>
        </is>
      </c>
      <c r="E51" s="115" t="inlineStr">
        <is>
          <t>Выполнено 100%</t>
        </is>
      </c>
    </row>
    <row r="52" hidden="1" ht="36" customHeight="1">
      <c r="A52" s="660" t="inlineStr">
        <is>
          <t>Подготовка документов по ВУ на 2026 год</t>
        </is>
      </c>
      <c r="B52" s="118" t="inlineStr">
        <is>
          <t>Документ направлется в военный комиссариат для согласования с военкомом</t>
        </is>
      </c>
      <c r="C52" s="119" t="inlineStr">
        <is>
          <t>Соблюдение законодательства РФ</t>
        </is>
      </c>
      <c r="D52" s="117" t="inlineStr">
        <is>
          <t>Козлова Ю.В.
Афонина Ю.В.
Кавыза О.Г.</t>
        </is>
      </c>
      <c r="E52" s="119" t="inlineStr">
        <is>
          <t>Передан на согласование приказ о назначении нового ответственного за ВУ, согласован</t>
        </is>
      </c>
    </row>
    <row r="53" hidden="1" ht="48" customHeight="1">
      <c r="A53" s="660" t="inlineStr">
        <is>
          <t>Отчетность</t>
        </is>
      </c>
      <c r="B53" s="114" t="inlineStr">
        <is>
          <t>Продление справки (с предоставлением карточки организации ф.18; ф.6 и ф.19) в районной комиссии по бронированию. Передача справки в военный комиссариат</t>
        </is>
      </c>
      <c r="C53" s="115" t="inlineStr">
        <is>
          <t xml:space="preserve">Соблюдение законодательства РФ. </t>
        </is>
      </c>
      <c r="D53" s="116" t="inlineStr">
        <is>
          <t>Козлова Ю.В.
Афонина Ю.В.
Кавыза О.Г.</t>
        </is>
      </c>
      <c r="E53" s="115" t="inlineStr">
        <is>
          <t>Выполнено 100%</t>
        </is>
      </c>
    </row>
    <row r="54" hidden="1">
      <c r="A54" s="818" t="inlineStr">
        <is>
          <t>Ведение документации по бронированию</t>
        </is>
      </c>
      <c r="B54" s="114" t="inlineStr">
        <is>
          <t>Подготовка  приказов о бронировании сотрудников</t>
        </is>
      </c>
      <c r="C54" s="115" t="inlineStr">
        <is>
          <t>Соблюдение законодателсьвта РФ.</t>
        </is>
      </c>
      <c r="D54" s="117" t="inlineStr">
        <is>
          <t>Кавыза О.Г.</t>
        </is>
      </c>
      <c r="E54" s="115" t="inlineStr">
        <is>
          <t>Выполнено 100%</t>
        </is>
      </c>
    </row>
    <row r="55" hidden="1" ht="24" customHeight="1">
      <c r="A55" s="754" t="n"/>
      <c r="B55" s="114" t="inlineStr">
        <is>
          <t>Подготовка Выписок из приказа о бронировании сотрудников</t>
        </is>
      </c>
      <c r="C55" s="115" t="inlineStr">
        <is>
          <t xml:space="preserve">Соблюдение законодательства РФ. </t>
        </is>
      </c>
      <c r="D55" s="116" t="inlineStr">
        <is>
          <t>Кавыза О.Г.</t>
        </is>
      </c>
      <c r="E55" s="115" t="inlineStr">
        <is>
          <t>Выполнено 100%</t>
        </is>
      </c>
    </row>
    <row r="56" hidden="1" ht="24" customHeight="1">
      <c r="A56" s="754" t="n"/>
      <c r="B56" s="118" t="inlineStr">
        <is>
          <t>Подготовлены и направлены в ВК выписки их проекта приказа обронировании</t>
        </is>
      </c>
      <c r="C56" s="115" t="inlineStr">
        <is>
          <t>Соблюдение законодательства РФ</t>
        </is>
      </c>
      <c r="D56" s="117" t="inlineStr">
        <is>
          <t>Кавыза О.Г.</t>
        </is>
      </c>
      <c r="E56" s="115" t="inlineStr">
        <is>
          <t>Выполнено 100%</t>
        </is>
      </c>
    </row>
    <row r="57" hidden="1">
      <c r="A57" s="754" t="n"/>
      <c r="B57" s="118" t="inlineStr">
        <is>
          <t>Оформление приказа о прекращении бронирования</t>
        </is>
      </c>
      <c r="C57" s="115" t="inlineStr">
        <is>
          <t>Соблюдение законодательства РФ</t>
        </is>
      </c>
      <c r="D57" s="116" t="inlineStr">
        <is>
          <t>Кавыза О.Г.</t>
        </is>
      </c>
      <c r="E57" s="115" t="inlineStr">
        <is>
          <t>Выполнено 100%</t>
        </is>
      </c>
    </row>
    <row r="58" hidden="1" ht="24" customHeight="1">
      <c r="A58" s="754" t="n"/>
      <c r="B58" s="118" t="inlineStr">
        <is>
          <t>Оформление выписок из проекта приказа о прекращении бронировании</t>
        </is>
      </c>
      <c r="C58" s="115" t="inlineStr">
        <is>
          <t>Соблюдение законодательства РФ</t>
        </is>
      </c>
      <c r="D58" s="117" t="inlineStr">
        <is>
          <t>Кавыза О.Г.</t>
        </is>
      </c>
      <c r="E58" s="115" t="inlineStr">
        <is>
          <t>Выполнено 100%</t>
        </is>
      </c>
    </row>
    <row r="59" hidden="1" ht="24" customHeight="1">
      <c r="A59" s="753" t="n"/>
      <c r="B59" s="118" t="inlineStr">
        <is>
          <t>Оформление сопроводительных писем к выпискам из приказов</t>
        </is>
      </c>
      <c r="C59" s="115" t="inlineStr">
        <is>
          <t>Соблюдение законодательства РФ</t>
        </is>
      </c>
      <c r="D59" s="116" t="inlineStr">
        <is>
          <t>Кавыза О.Г.</t>
        </is>
      </c>
      <c r="E59" s="115" t="inlineStr">
        <is>
          <t>Выполнено 100%</t>
        </is>
      </c>
    </row>
    <row r="60" hidden="1" ht="36" customHeight="1">
      <c r="A60" s="660" t="inlineStr">
        <is>
          <t>Подготовка листков сообщений</t>
        </is>
      </c>
      <c r="B60" s="118" t="inlineStr">
        <is>
          <t>Документ выдается на руки сотрудники с целью посещения военкомата в связи с ихменением места жительства, состава семьи, образования и т.д.</t>
        </is>
      </c>
      <c r="C60" s="115" t="inlineStr">
        <is>
          <t>Соблюдение законодательства РФ</t>
        </is>
      </c>
      <c r="D60" s="117" t="inlineStr">
        <is>
          <t>Козлова Ю.В.
Афонина Ю.В.
Кавыза О.Г.</t>
        </is>
      </c>
      <c r="E60" s="115" t="inlineStr">
        <is>
          <t>Выполнено 100%</t>
        </is>
      </c>
    </row>
    <row r="61" hidden="1" ht="36" customHeight="1">
      <c r="A61" s="121" t="inlineStr">
        <is>
          <t xml:space="preserve">Подготовка направления для постановки на ВУ </t>
        </is>
      </c>
      <c r="B61" s="122" t="inlineStr">
        <is>
          <t xml:space="preserve">Документ выдается на руки сотрудники с целью посещения военкомата для постановки на ВУ </t>
        </is>
      </c>
      <c r="C61" s="115" t="inlineStr">
        <is>
          <t>Соблюдение законодательства РФ</t>
        </is>
      </c>
      <c r="D61" s="116" t="inlineStr">
        <is>
          <t>Козлова Ю.В.
Афонина Ю.В.
Кавыза О.Г.</t>
        </is>
      </c>
      <c r="E61" s="115" t="inlineStr">
        <is>
          <t>Выполнено 100%</t>
        </is>
      </c>
    </row>
    <row r="62" hidden="1" ht="36" customHeight="1">
      <c r="A62" s="680" t="inlineStr">
        <is>
          <t>Ведение журналов</t>
        </is>
      </c>
      <c r="B62" s="124" t="inlineStr">
        <is>
          <t>Журналы по работе, связанной с воинским учетом и бронированием.</t>
        </is>
      </c>
      <c r="C62" s="125" t="inlineStr">
        <is>
          <t>Соблюдение законодательства РФ</t>
        </is>
      </c>
      <c r="D62" s="126" t="inlineStr">
        <is>
          <t>Козлова Ю.В.
Афонина Ю.В.
Кавыза О.Г.</t>
        </is>
      </c>
      <c r="E62" s="125" t="inlineStr">
        <is>
          <t>Выполнено 100%</t>
        </is>
      </c>
    </row>
    <row r="63" hidden="1" ht="28.8" customHeight="1">
      <c r="A63" s="127" t="inlineStr">
        <is>
          <t>Автоматизация в 1С ведения данных по ВУ и бронированию</t>
        </is>
      </c>
      <c r="B63" s="82" t="inlineStr">
        <is>
          <t>Внесение данных по бронированию в 1С: приказов, справок пр. документов</t>
        </is>
      </c>
      <c r="C63" s="128" t="inlineStr">
        <is>
          <t>Организация деятельности подразделения</t>
        </is>
      </c>
      <c r="D63" s="129" t="inlineStr">
        <is>
          <t>Козлова Ю.В.
Кавыза О.Г.</t>
        </is>
      </c>
      <c r="E63" s="128" t="inlineStr">
        <is>
          <t>Задача с переходом на 2 квартал, процент исполнения на конец 1 квартала с учетом начала работ в марте - 20%</t>
        </is>
      </c>
    </row>
    <row r="64" hidden="1">
      <c r="A64" s="819" t="inlineStr">
        <is>
          <t>Рекрутинг</t>
        </is>
      </c>
      <c r="B64" s="760" t="n"/>
      <c r="C64" s="760" t="n"/>
      <c r="D64" s="760" t="n"/>
      <c r="E64" s="761" t="n"/>
    </row>
    <row r="65" hidden="1" ht="43.2" customHeight="1">
      <c r="A65" s="130" t="inlineStr">
        <is>
          <t>Набор технологов в АИ СН</t>
        </is>
      </c>
      <c r="B65" s="131" t="inlineStr">
        <is>
          <t>набор персонала на критичное направление</t>
        </is>
      </c>
      <c r="C65" s="132" t="inlineStr">
        <is>
          <t>Укомплектование отдела</t>
        </is>
      </c>
      <c r="D65" s="132" t="inlineStr">
        <is>
          <t>Осипова В.
Блинова А.
Новикова Ю.</t>
        </is>
      </c>
      <c r="E65" s="132" t="inlineStr">
        <is>
          <t>Набор на критическое направление направления: сборка композитов, мех.обработка
7 выходов за квартал</t>
        </is>
      </c>
    </row>
    <row r="66" hidden="1" ht="86.40000000000001" customHeight="1">
      <c r="A66" s="668" t="inlineStr">
        <is>
          <t>Усиление ОП Жуковский</t>
        </is>
      </c>
      <c r="B66" s="668" t="inlineStr">
        <is>
          <t>Набор персонала по направлениям конструкторы, технологи</t>
        </is>
      </c>
      <c r="C66" s="63" t="inlineStr">
        <is>
          <t>Масштабирование компании, развитие нового филиала</t>
        </is>
      </c>
      <c r="D66" s="134" t="inlineStr">
        <is>
          <t xml:space="preserve">Осипова В.,
Блинова А. </t>
        </is>
      </c>
      <c r="E66" s="63" t="inlineStr">
        <is>
          <t>+4 сотрудника за квартал
Также был организован и проведен опрос сотрудников - собрать ОС, кто хотел бы переехать. На текущий момент перевезли 1 сотрудника, в проработке еще варианты подразделений, готовых к переезду</t>
        </is>
      </c>
    </row>
    <row r="67" hidden="1" ht="86.40000000000001" customHeight="1">
      <c r="A67" s="668" t="inlineStr">
        <is>
          <t>Актуализация плана подбора на квартал</t>
        </is>
      </c>
      <c r="B67" s="668" t="inlineStr">
        <is>
          <t>Вычитка всех вакансий, актуализация плана с руководителями, корректировки в ХФ и на HH.ru</t>
        </is>
      </c>
      <c r="C67" s="63" t="inlineStr">
        <is>
          <t>Повышение качества подбора персонала</t>
        </is>
      </c>
      <c r="D67" s="134" t="inlineStr">
        <is>
          <t>Пенский А.
Осипова В.,
Шибалкова Ю. 
Ковалева Е.
Блинова А.
Исматова В.</t>
        </is>
      </c>
      <c r="E67" s="63" t="inlineStr">
        <is>
          <t>Работа с поступающими по плану и вне плана заявками на подбор персонала, редактирование под общий шаблон для размещения на ресурсах для поиска, добавление в хантфлоу, актуализация информации в вакансиях при необходимости</t>
        </is>
      </c>
    </row>
    <row r="68" hidden="1" ht="36" customHeight="1">
      <c r="A68" s="665" t="inlineStr">
        <is>
          <t xml:space="preserve">Организация и контроль работы по проверке соискателей </t>
        </is>
      </c>
      <c r="B68" s="63" t="inlineStr">
        <is>
          <t>Проверка кандидатов на различного вида задолженности и наличие ЮР лиц и ИП в системе Кронос</t>
        </is>
      </c>
      <c r="C68" s="63" t="inlineStr">
        <is>
          <t>Проверка</t>
        </is>
      </c>
      <c r="D68" s="63" t="inlineStr">
        <is>
          <t xml:space="preserve">Ковалева Е.
Осипова В.
</t>
        </is>
      </c>
      <c r="E68" s="134" t="inlineStr">
        <is>
          <t>Своевременная проверка кандидатов в системе Кронос. При выявлении спорных моментов в отчете проведение совместной работы с внутренней службой СБ и согласование с их стороны</t>
        </is>
      </c>
    </row>
    <row r="69" hidden="1" ht="36.75" customHeight="1">
      <c r="A69" s="774" t="n"/>
      <c r="B69" s="774" t="n"/>
      <c r="C69" s="774" t="n"/>
      <c r="D69" s="774" t="n"/>
      <c r="E69" s="774" t="n"/>
    </row>
    <row r="70" hidden="1" ht="54" customHeight="1">
      <c r="A70" s="820" t="inlineStr">
        <is>
          <t>Предварительные мед.осмотры</t>
        </is>
      </c>
      <c r="B70" s="135" t="inlineStr">
        <is>
          <t xml:space="preserve">Заключение новых и акттуализация уже имеющихся договоров с мед.центрами </t>
        </is>
      </c>
      <c r="C70" s="806" t="inlineStr">
        <is>
          <t>Проверка перед трудоустройством</t>
        </is>
      </c>
      <c r="D70" s="70" t="inlineStr">
        <is>
          <t xml:space="preserve">Ковалева Е. 
Шибалкова Ю. </t>
        </is>
      </c>
      <c r="E70" s="70" t="inlineStr">
        <is>
          <t>Продление договоров с медцентрами в Воронеже, Казани и Москве. С марта ОТ подписали новый договор с "Центр Авиамед". Передача дел в отдел по ОТ и ПБ</t>
        </is>
      </c>
    </row>
    <row r="71" hidden="1" ht="72" customHeight="1">
      <c r="A71" s="767" t="n"/>
      <c r="B71" s="136" t="inlineStr">
        <is>
          <t>Направление на предварительные мед. осмотры</t>
        </is>
      </c>
      <c r="C71" s="767" t="n"/>
      <c r="D71" s="60" t="inlineStr">
        <is>
          <t>Ковалева Е.
Блинова А. 
Исматова В.
Новикова Ю.</t>
        </is>
      </c>
      <c r="E71" s="60" t="inlineStr">
        <is>
          <t>Своевременное направление кандидатов на медосмотры в соответствии с должностями. Взаимодействие с менеджерами медцентров по необходимости. При возникновении спорных моментов - взаимодействие с отделом ОТ</t>
        </is>
      </c>
    </row>
    <row r="72" hidden="1" ht="72" customHeight="1">
      <c r="A72" s="137" t="inlineStr">
        <is>
          <t>Сбор рекомендаций с прошлых мест работ кандидатов</t>
        </is>
      </c>
      <c r="B72" s="137" t="inlineStr">
        <is>
          <t>Для руководящих и точечных должностей по запросу собираем рекомендации по кандидату перед выставлением оффера</t>
        </is>
      </c>
      <c r="C72" s="138" t="inlineStr">
        <is>
          <t>Повышение качества подбора персонала</t>
        </is>
      </c>
      <c r="D72" s="139" t="inlineStr">
        <is>
          <t>Шибалкова Ю. 
Ковалева Е.
Исматова В.
Новикова Ю.</t>
        </is>
      </c>
      <c r="E72" s="140" t="inlineStr">
        <is>
          <t>Ковалева Е.С.: сбор рекомендаций по 2 кандидатам
Шибалкова Ю.:  сбор рекомендаций по 3 кандидатам
Исматова В.: сбор рекомендаций по 1 кандидату Блинова А.: сбор рекомендаций по 1 кандидату
Новикова Ю.:Сбор рекомендаций по 2 кандидатам</t>
        </is>
      </c>
    </row>
    <row r="73" hidden="1" ht="72" customHeight="1">
      <c r="A73" s="660" t="inlineStr">
        <is>
          <t>Мониторинг рынка труда</t>
        </is>
      </c>
      <c r="B73" s="141" t="inlineStr">
        <is>
          <t>Сбор и отражение в табличной форме данных</t>
        </is>
      </c>
      <c r="C73" s="69" t="inlineStr">
        <is>
          <t>Оценка ситуации на рынке труда для корректировки кадровой политики</t>
        </is>
      </c>
      <c r="D73" s="69" t="inlineStr">
        <is>
          <t>Осипова В.
Блинова А.
Шибалкова Ю.
Исматова В. 
Новикова Ю.</t>
        </is>
      </c>
      <c r="E73" s="69" t="inlineStr">
        <is>
          <t xml:space="preserve">Проведение аналитики также по запросам руководителей смежных подразделений - проведена аналитика по специалистам ОУК в г.Дербент </t>
        </is>
      </c>
    </row>
    <row r="74" hidden="1" ht="28.8" customHeight="1">
      <c r="A74" s="660" t="inlineStr">
        <is>
          <t>Альтернативные ресурсы
привлечения кандидатов</t>
        </is>
      </c>
      <c r="B74" s="141" t="inlineStr">
        <is>
          <t>Поиск альтернативных вариантов размещения вакансий</t>
        </is>
      </c>
      <c r="C74" s="69" t="inlineStr">
        <is>
          <t>Увеличение потока кандидатов</t>
        </is>
      </c>
      <c r="D74" s="69" t="inlineStr">
        <is>
          <t>Осипова В.,
Блинова А.</t>
        </is>
      </c>
      <c r="E74" s="69" t="inlineStr">
        <is>
          <t>На рассмотрении варианты с газетами, ССУЗ и тд.</t>
        </is>
      </c>
    </row>
    <row r="75" hidden="1" ht="100.8" customHeight="1">
      <c r="A75" s="142" t="inlineStr">
        <is>
          <t>Отчетность еженедельная/квартальная</t>
        </is>
      </c>
      <c r="B75" s="136" t="inlineStr">
        <is>
          <t>Заполнение форм отчетности</t>
        </is>
      </c>
      <c r="C75" s="60" t="inlineStr">
        <is>
          <t>Выполнение плана подбора</t>
        </is>
      </c>
      <c r="D75" s="143" t="inlineStr">
        <is>
          <t>Пенский А.
Осипова В.,
Шибалкова Ю. 
Ковалева Е.
Блинова А. 
Исматова В.
Новикова Ю.</t>
        </is>
      </c>
      <c r="E75" s="60" t="inlineStr">
        <is>
          <t>Заполнение еженедельного отчета по актуальным статусам вакансий, количеству вышедших сотрудников
Шибалкова Ю.А.: Еженедельные отчеты по выходам сотрудников</t>
        </is>
      </c>
    </row>
    <row r="76" hidden="1" ht="72" customHeight="1">
      <c r="A76" s="668" t="inlineStr">
        <is>
          <t>Реферальная программа</t>
        </is>
      </c>
      <c r="B76" s="668" t="inlineStr">
        <is>
          <t>Отслеживание окончания ИС сотрудников по рекомендации</t>
        </is>
      </c>
      <c r="C76" s="63" t="inlineStr">
        <is>
          <t>Увеличение воронки кандидатов, развитие HR бренда работодателя</t>
        </is>
      </c>
      <c r="D76" s="134" t="inlineStr">
        <is>
          <t>Осипова В.,
Шибалкова Ю. 
Ковалева Е.
Блинова А.
Новикова Ю.</t>
        </is>
      </c>
      <c r="E76" s="63" t="inlineStr">
        <is>
          <t>Отработка поступающих кандидатов по рекомендации по  реферальной программе. Отслечивание ИС, проведение промежуточных и по итогам ИС встреч с заказчиком и сотрудником</t>
        </is>
      </c>
    </row>
    <row r="77" hidden="1" ht="28.8" customHeight="1">
      <c r="A77" s="668" t="inlineStr">
        <is>
          <t>ЛНА</t>
        </is>
      </c>
      <c r="B77" s="127" t="inlineStr">
        <is>
          <t>Актуализация Положения о подборе персонала</t>
        </is>
      </c>
      <c r="C77" s="144" t="inlineStr">
        <is>
          <t>Систематизация процесса, инструктирование руководителей.</t>
        </is>
      </c>
      <c r="D77" s="144" t="inlineStr">
        <is>
          <t>Осипова В.</t>
        </is>
      </c>
      <c r="E77" s="144" t="inlineStr">
        <is>
          <t xml:space="preserve">Положение утверждено и введено в действие. </t>
        </is>
      </c>
    </row>
    <row r="78" hidden="1" ht="28.8" customHeight="1">
      <c r="A78" s="668" t="inlineStr">
        <is>
          <t>ЛНА</t>
        </is>
      </c>
      <c r="B78" s="127" t="inlineStr">
        <is>
          <t>Разработка и внедрение Положения об аттестации персонала</t>
        </is>
      </c>
      <c r="C78" s="144" t="inlineStr">
        <is>
          <t>Систематизация процесса, инструктирование руководителей.</t>
        </is>
      </c>
      <c r="D78" s="144" t="inlineStr">
        <is>
          <t>Осипова В.</t>
        </is>
      </c>
      <c r="E78" s="144" t="inlineStr">
        <is>
          <t>Положение разработано и введено в действие с 22 января 2026</t>
        </is>
      </c>
    </row>
    <row r="79" hidden="1" ht="43.2" customHeight="1">
      <c r="A79" s="668" t="inlineStr">
        <is>
          <t>ЛНА</t>
        </is>
      </c>
      <c r="B79" s="127" t="inlineStr">
        <is>
          <t>Внедрение Кодекса этики и служебного поведения работников</t>
        </is>
      </c>
      <c r="C79" s="144" t="inlineStr">
        <is>
          <t>Систематизация процесса, усиление корп.культуры</t>
        </is>
      </c>
      <c r="D79" s="144" t="inlineStr">
        <is>
          <t>Осипова В.</t>
        </is>
      </c>
      <c r="E79" s="144" t="inlineStr">
        <is>
          <t xml:space="preserve">Кодекс введене в действие с 01.01.2026
Согласован и утвержден Приказом состав комиссии по этике </t>
        </is>
      </c>
    </row>
    <row r="80" hidden="1" ht="28.8" customHeight="1">
      <c r="A80" s="668" t="inlineStr">
        <is>
          <t>ЛНА</t>
        </is>
      </c>
      <c r="B80" s="145" t="inlineStr">
        <is>
          <t>Разработка и внедрение Положений об адаптации и наставничестве</t>
        </is>
      </c>
      <c r="C80" s="144" t="inlineStr">
        <is>
          <t>Систематизация процесса, инструктирование руководителей.</t>
        </is>
      </c>
      <c r="D80" s="144" t="inlineStr">
        <is>
          <t>Осипова В.</t>
        </is>
      </c>
      <c r="E80" s="144" t="inlineStr">
        <is>
          <t>Проект Положений на согласовании, собраны первые замечания - на отработке</t>
        </is>
      </c>
    </row>
    <row r="81" hidden="1">
      <c r="A81" s="672" t="inlineStr">
        <is>
          <t>Адаптация</t>
        </is>
      </c>
      <c r="B81" s="810" t="n"/>
      <c r="C81" s="810" t="n"/>
      <c r="D81" s="810" t="n"/>
      <c r="E81" s="810" t="n"/>
    </row>
    <row r="82" hidden="1" ht="86.40000000000001" customHeight="1">
      <c r="A82" s="821" t="inlineStr">
        <is>
          <t>Онбординг</t>
        </is>
      </c>
      <c r="B82" s="146" t="inlineStr">
        <is>
          <t>Проведение краткой экскурсии для новых сотрудников и выдача Welcome Kit, знакомство с руководителем</t>
        </is>
      </c>
      <c r="C82" s="134" t="inlineStr">
        <is>
          <t>Адаптация новичков, снижение времени на включение в работу, снижение текучести.</t>
        </is>
      </c>
      <c r="D82" s="147" t="inlineStr">
        <is>
          <t>Осипова В.
Шибалкова Ю. 
Ковалева Е.
Блинова А. 
Котов И.
Исматова В.</t>
        </is>
      </c>
      <c r="E82" s="69" t="inlineStr">
        <is>
          <t>Проведение экскурсий  новым сотрудникам в 1 рабочий день выдача Welcome Kit, знакомство с руководителем и рабочим местом</t>
        </is>
      </c>
    </row>
    <row r="83" hidden="1" ht="43.2" customHeight="1">
      <c r="A83" s="761" t="n"/>
      <c r="B83" s="665" t="inlineStr">
        <is>
          <t>Создание приветственной страницы для новых сотрудников, аналогично ЦТП</t>
        </is>
      </c>
      <c r="C83" s="134" t="inlineStr">
        <is>
          <t>Адаптация новичков, снижение времени на включение в работу, снижение текучести.</t>
        </is>
      </c>
      <c r="D83" s="148" t="inlineStr">
        <is>
          <t>Осипова В.
Котов И.</t>
        </is>
      </c>
      <c r="E83" s="60" t="n"/>
    </row>
    <row r="84" hidden="1" ht="115.2" customHeight="1">
      <c r="A84" s="149" t="inlineStr">
        <is>
          <t>Аттестация</t>
        </is>
      </c>
      <c r="B84" s="665" t="inlineStr">
        <is>
          <t>Проведение аттестации действующих сотрудников для повышения категории/разряда и уровня заработной платы, в соответствии с ШР</t>
        </is>
      </c>
      <c r="C84" s="134" t="inlineStr">
        <is>
          <t>Повышение категорий и разрядов действующих сотрудников</t>
        </is>
      </c>
      <c r="D84" s="134" t="inlineStr">
        <is>
          <t>Осипова В.
Шибалкова Ю.
Ковалева Е.
Блинова А.</t>
        </is>
      </c>
      <c r="E84" s="134" t="inlineStr">
        <is>
          <t>Осипова В.: проведено 4 аттестации в ОП Машково, КБ и ПП6 - в качестве председателя аттестационной комиссии, утверждение схемы работы комиссии
Ковалева Е.С.: проведено 6 аттестаций в Машково, 3 аттестации в Руднево
Шибалкова Ю.: проведено 11 аттестаций в КБ Москва
Блинова А.: проведено 6 аттестаций ПП6</t>
        </is>
      </c>
    </row>
    <row r="85" hidden="1" ht="28.8" customHeight="1">
      <c r="A85" s="665" t="inlineStr">
        <is>
          <t>Разработка  адаптационного листа для вновь принятых сотрудников</t>
        </is>
      </c>
      <c r="B85" s="127" t="inlineStr">
        <is>
          <t>Утверждение формы единого чек-листа</t>
        </is>
      </c>
      <c r="C85" s="144" t="inlineStr">
        <is>
          <t>Снижение текучести персонала, дальнейшее развитие персонала</t>
        </is>
      </c>
      <c r="D85" s="144" t="inlineStr">
        <is>
          <t>Блинова А.</t>
        </is>
      </c>
      <c r="E85" s="144" t="inlineStr">
        <is>
          <t>Чек-лист точечно внедрен на ключевые позиции, будет регламентирован в будущем Положении</t>
        </is>
      </c>
    </row>
    <row r="86" hidden="1" ht="115.2" customHeight="1">
      <c r="A86" s="665" t="inlineStr">
        <is>
          <t>Общение по результатам ИС</t>
        </is>
      </c>
      <c r="B86" s="127" t="inlineStr">
        <is>
          <t>Встречи с сотрудниками на ИС и во время ИС
Подготовка чек-листа для прошедших ИС и шаблона СЗ для изменений по результатам ИС</t>
        </is>
      </c>
      <c r="C86" s="144" t="inlineStr">
        <is>
          <t>Мониторинг состояния новичков на ИС, снижение текучести персонала, обсуждение дальнейшего развития</t>
        </is>
      </c>
      <c r="D86" s="144" t="inlineStr">
        <is>
          <t>Шибалкова Ю. 
Ковалева Е.
Блинова А. 
Исматова В.</t>
        </is>
      </c>
      <c r="E86" s="144" t="inlineStr">
        <is>
          <t>Ковалева Е.С.: проведено 2 встречи по чек-листу по результатам ИС
Шибалкова Ю. : проведено 3 встречи по чек-листу по результатам ИС+ 1 встреча по увольнению в связи с непрохождением ИС
Исматова В.А.: проведено 15 встреч по чек-листу по результатам ИС + промежуточные встречи                  Блинова А: проведено 14 встреч по итогам ИС</t>
        </is>
      </c>
    </row>
    <row r="87" hidden="1" ht="57.6" customHeight="1">
      <c r="A87" s="665" t="inlineStr">
        <is>
          <t>Общение по результатам ИС/работы - переговоры по увольнению сотрудника</t>
        </is>
      </c>
      <c r="B87" s="127" t="inlineStr">
        <is>
          <t>Встреча с сотрудником на протяжении ИС, с проблемными зонами</t>
        </is>
      </c>
      <c r="C87" s="144" t="inlineStr">
        <is>
          <t>Повышение эффективности команды, "отсев" сотрудников, которые не устраивают работодателя</t>
        </is>
      </c>
      <c r="D87" s="144" t="inlineStr">
        <is>
          <t>Пенский А.
Шибалкова Ю.</t>
        </is>
      </c>
      <c r="E87" s="144" t="inlineStr">
        <is>
          <t>Пенский А.: организация сложных увольнений 2 сотрудников ОП Ульяновск 
Шибалкова Ю.: Увольнение Лаптевой Е. (начальник ОТД)</t>
        </is>
      </c>
    </row>
    <row r="88" hidden="1">
      <c r="A88" s="819" t="inlineStr">
        <is>
          <t>Материальная и не материальная мотивация</t>
        </is>
      </c>
      <c r="B88" s="760" t="n"/>
      <c r="C88" s="760" t="n"/>
      <c r="D88" s="760" t="n"/>
      <c r="E88" s="761" t="n"/>
    </row>
    <row r="89" hidden="1" ht="72" customHeight="1">
      <c r="A89" s="137" t="inlineStr">
        <is>
          <t>Питание Машково</t>
        </is>
      </c>
      <c r="B89" s="668" t="inlineStr">
        <is>
          <t>Изучить варианты организации питания</t>
        </is>
      </c>
      <c r="C89" s="150" t="inlineStr">
        <is>
          <t>Нематериальная мотивация</t>
        </is>
      </c>
      <c r="D89" s="63" t="inlineStr">
        <is>
          <t>Пенский А., 
Шибалкова Ю.</t>
        </is>
      </c>
      <c r="E89" s="150" t="inlineStr">
        <is>
          <t>Пенский А.: поиск и переговоры с поставщиком, утверждение схемы
Шибалкова Ю.: Процесс согласования и подписания договора питания в Машково/Руднево</t>
        </is>
      </c>
    </row>
    <row r="90" hidden="1" ht="100.8" customHeight="1">
      <c r="A90" s="151" t="inlineStr">
        <is>
          <t>ДМС</t>
        </is>
      </c>
      <c r="B90" s="668" t="inlineStr">
        <is>
          <t>Подключение сотрудников со сроком работы от 6 месяцев</t>
        </is>
      </c>
      <c r="C90" s="152" t="inlineStr">
        <is>
          <t>Нематериальная мотивация</t>
        </is>
      </c>
      <c r="D90" s="63" t="inlineStr">
        <is>
          <t>Осипова В. 
Тихонова П.</t>
        </is>
      </c>
      <c r="E90" s="153" t="inlineStr">
        <is>
          <t>Тихонова П.: подготовка списком на подключение
Осипова В.: проверка и отправка заявлений на вгнесение изменений в РГС
Проработка программы для ОП Ульяновск, переговоры со страховой и сотрудниками - для наиболее подходящей программы и наполнению</t>
        </is>
      </c>
    </row>
    <row r="91" hidden="1" ht="28.8" customHeight="1">
      <c r="A91" s="668" t="inlineStr">
        <is>
          <t>Best Benefits</t>
        </is>
      </c>
      <c r="B91" s="668" t="inlineStr">
        <is>
          <t>Подключение сервиса для сотрудников АИ СН</t>
        </is>
      </c>
      <c r="C91" s="63" t="inlineStr">
        <is>
          <t>Нематериальная мотивация</t>
        </is>
      </c>
      <c r="D91" s="63" t="inlineStr">
        <is>
          <t>Осипова В.
Котов И.</t>
        </is>
      </c>
      <c r="E91" s="63" t="inlineStr">
        <is>
          <t>Регулярные рассылки, инструктирование сотрудников по сервису</t>
        </is>
      </c>
    </row>
    <row r="92" hidden="1" ht="28.8" customHeight="1">
      <c r="A92" s="668" t="inlineStr">
        <is>
          <t>Реализация плана обучения персонала</t>
        </is>
      </c>
      <c r="B92" s="668" t="inlineStr">
        <is>
          <t>План обучения согласован - актуализация планов на квартал, организация курсов</t>
        </is>
      </c>
      <c r="C92" s="63" t="inlineStr">
        <is>
          <t>Повышение компетенций сотрудников по профильным направлениям</t>
        </is>
      </c>
      <c r="D92" s="63" t="inlineStr">
        <is>
          <t xml:space="preserve">Осипова В. 
Шибалкова Ю. </t>
        </is>
      </c>
      <c r="E92" s="63" t="inlineStr">
        <is>
          <t>Шибалкова: организовано 15 обучений</t>
        </is>
      </c>
    </row>
    <row r="93" hidden="1">
      <c r="A93" s="822" t="inlineStr">
        <is>
          <t>Развитие  HR-бренда</t>
        </is>
      </c>
      <c r="B93" s="810" t="n"/>
      <c r="C93" s="810" t="n"/>
      <c r="D93" s="810" t="n"/>
      <c r="E93" s="811" t="n"/>
    </row>
    <row r="94" hidden="1" ht="57.6" customHeight="1">
      <c r="A94" s="154" t="inlineStr">
        <is>
          <t>Happy Job</t>
        </is>
      </c>
      <c r="B94" s="136" t="inlineStr">
        <is>
          <t>Органиация,проведение встреч с руководителями/сотрудниками подразделений по результатам опроса вовлеченности персонала Happy Job</t>
        </is>
      </c>
      <c r="C94" s="155" t="inlineStr">
        <is>
          <t>Повышение показателей вовлеченности и лояльности</t>
        </is>
      </c>
      <c r="D94" s="63" t="inlineStr">
        <is>
          <t xml:space="preserve">Осипова В., 
</t>
        </is>
      </c>
      <c r="E94" s="156" t="n"/>
    </row>
    <row r="95" hidden="1" ht="72" customHeight="1">
      <c r="A95" s="157" t="inlineStr">
        <is>
          <t>Встречи с сотрудниками по запросу от руководителей/размещенному резюме/exit-интервью</t>
        </is>
      </c>
      <c r="B95" s="665" t="inlineStr">
        <is>
          <t xml:space="preserve">По запросу
</t>
        </is>
      </c>
      <c r="C95" s="158" t="inlineStr">
        <is>
          <t>Сбор информации о причинах увольнений и проблемах компании для проработки и устранения проблем</t>
        </is>
      </c>
      <c r="D95" s="63" t="inlineStr">
        <is>
          <t>Шибалкова Ю. 
Ковалева Е.
Блинова А.</t>
        </is>
      </c>
      <c r="E95" s="159" t="inlineStr">
        <is>
          <t>Проведение встреч с действующими сотрудниками, обновившими резюме
 Ковалева Е.С. :проведено 2 встречи
Шибалкова Ю.А..:проведено 2 встречи                                Блинова А.: проведено 2 exit-интервью</t>
        </is>
      </c>
    </row>
    <row r="96" hidden="1" ht="57.6" customHeight="1">
      <c r="A96" s="823" t="inlineStr">
        <is>
          <t>Поздравления с ДР сотрудников</t>
        </is>
      </c>
      <c r="B96" s="160" t="inlineStr">
        <is>
          <t xml:space="preserve">Актуализация списков именинников на будущий месяц, сбор фотографий для поздравлений. Сбор/отправка в филиалы подарков на ДР для сотрудников </t>
        </is>
      </c>
      <c r="C96" s="824" t="inlineStr">
        <is>
          <t>Поддержание корп. культуры</t>
        </is>
      </c>
      <c r="D96" s="161" t="inlineStr">
        <is>
          <t>Шибалкова Ю. Котов И.</t>
        </is>
      </c>
      <c r="E96" s="144" t="inlineStr">
        <is>
          <t>Шибалкова Ю.: Актуализация списков именинников на будущий месяц</t>
        </is>
      </c>
    </row>
    <row r="97" hidden="1" ht="43.2" customHeight="1">
      <c r="A97" s="753" t="n"/>
      <c r="B97" s="162" t="inlineStr">
        <is>
          <t>Составление, подписание приказов, списков, ведомостей, договоров дарения на подарки</t>
        </is>
      </c>
      <c r="C97" s="753" t="n"/>
      <c r="D97" s="163" t="inlineStr">
        <is>
          <t>Котов И.
Ковалева Е.
Исматова В.</t>
        </is>
      </c>
      <c r="E97" s="164" t="inlineStr">
        <is>
          <t>Ковалева Е., Исматова В.: подписание приказов, списков, ведомостей, договоров дарения на подарки</t>
        </is>
      </c>
    </row>
    <row r="98" hidden="1" ht="144" customHeight="1">
      <c r="A98" s="121" t="inlineStr">
        <is>
          <t>Работа с СУЗами, ВУЗами, ярмарки вакансий</t>
        </is>
      </c>
      <c r="B98" s="162" t="inlineStr">
        <is>
          <t>Актуализация информации по сотрудничеству, участие в ярмарках вакансий</t>
        </is>
      </c>
      <c r="C98" s="163" t="inlineStr">
        <is>
          <t>Привлечь молодых специалистов на открытые вакансии , повышение узнаваемости бренда АИ СН</t>
        </is>
      </c>
      <c r="D98" s="163" t="inlineStr">
        <is>
          <t>Пенский А.
Осипова В.,
Исматова В.
Котов И.
Бушуев Д.</t>
        </is>
      </c>
      <c r="E98" s="165" t="inlineStr">
        <is>
          <t>Участие в ярмарках вакансий, обработка полученных анкет/резюме
Участие в 2 ярмарках: 18 февраля и 25 марта
собрано около 100 анкет
Проведены переговоры с руководством Площадки практической подготовки колледжей на предмет привлечения молодых специалистов для замещения вакантных должностей на основном производстве</t>
        </is>
      </c>
    </row>
    <row r="99" hidden="1">
      <c r="A99" s="825" t="inlineStr">
        <is>
          <t>Автоматизация процессов и аналитика</t>
        </is>
      </c>
      <c r="B99" s="805" t="n"/>
      <c r="C99" s="805" t="n"/>
      <c r="D99" s="805" t="n"/>
      <c r="E99" s="747" t="n"/>
    </row>
    <row r="100" hidden="1" ht="86.40000000000001" customHeight="1">
      <c r="A100" s="166" t="inlineStr">
        <is>
          <t xml:space="preserve"> Хантфлоу</t>
        </is>
      </c>
      <c r="B100" s="167" t="inlineStr">
        <is>
          <t>Ведение базы кандидатов, отслеживание воронки подбора.</t>
        </is>
      </c>
      <c r="C100" s="143" t="inlineStr">
        <is>
          <t>Повышение качества подбора, снижение сроков</t>
        </is>
      </c>
      <c r="D100" s="60" t="inlineStr">
        <is>
          <t>Шибалкова Ю. 
Ковалева Е.
Блинова А. 
Тихонова П.
Исматова В.
Новикова Ю.</t>
        </is>
      </c>
      <c r="E100" s="60" t="inlineStr">
        <is>
          <t>Поддержание базы кандидатов в актуальном состоянии (актуальные вакансии, количество, этапы подбора)</t>
        </is>
      </c>
    </row>
    <row r="101" hidden="1" ht="72" customHeight="1">
      <c r="A101" s="668" t="inlineStr">
        <is>
          <t>Аналитика резюме кандидатов. Работающих сотрудников, обновляющих резюме</t>
        </is>
      </c>
      <c r="B101" s="665" t="inlineStr">
        <is>
          <t>Отслеживание баз резюме, аналитика</t>
        </is>
      </c>
      <c r="C101" s="134" t="inlineStr">
        <is>
          <t>Удержание персонала</t>
        </is>
      </c>
      <c r="D101" s="63" t="inlineStr">
        <is>
          <t>Шибалкова Ю. 
Ковалева Е.
Тихонова П.,
Блинова А.
Исматова В.</t>
        </is>
      </c>
      <c r="E101" s="63" t="inlineStr">
        <is>
          <t xml:space="preserve">
 Ковалева Е.С. :Отслеживание баз резюме
Исматова В.: отслеживание обновленных резюме сотрудников, использование посторонних источников для полной картины баз резюме </t>
        </is>
      </c>
    </row>
    <row r="102" hidden="1" ht="86.40000000000001" customHeight="1">
      <c r="A102" s="668" t="inlineStr">
        <is>
          <t>Переработка раздела "карьера" на официальном сайте АИ СН</t>
        </is>
      </c>
      <c r="B102" s="665" t="inlineStr">
        <is>
          <t>Актуализация информации об открытых вакансиях</t>
        </is>
      </c>
      <c r="C102" s="134" t="n"/>
      <c r="D102" s="63" t="inlineStr">
        <is>
          <t>Осипова В.
Тихонова П.
Шибалкова Ю. 
Ковалева Е.
Блинова А. 
Исматова В.</t>
        </is>
      </c>
      <c r="E102" s="63" t="inlineStr">
        <is>
          <t xml:space="preserve">Предоставление списка и описания  актуальных вакансий для размещения на сайте компании </t>
        </is>
      </c>
    </row>
    <row r="103" hidden="1">
      <c r="A103" s="822" t="inlineStr">
        <is>
          <t>Корпоративные коммуникации</t>
        </is>
      </c>
      <c r="B103" s="810" t="n"/>
      <c r="C103" s="810" t="n"/>
      <c r="D103" s="810" t="n"/>
      <c r="E103" s="811" t="n"/>
    </row>
    <row r="104" hidden="1" ht="57.6" customHeight="1">
      <c r="A104" s="168" t="inlineStr">
        <is>
          <t>Создание коммуникации по переезду в офис в г. Жуковский</t>
        </is>
      </c>
      <c r="B104" s="169" t="inlineStr">
        <is>
          <t>информационная кампания для сотрудников, переезжающих в офис в Жуковском</t>
        </is>
      </c>
      <c r="C104" s="169" t="inlineStr">
        <is>
          <t>Развитие корпоративных коммуникаций</t>
        </is>
      </c>
      <c r="D104" s="170" t="inlineStr">
        <is>
          <t>Котов И.</t>
        </is>
      </c>
      <c r="E104" s="171" t="inlineStr">
        <is>
          <t>1. Отредактирована коммуникация (рассылка) для коллег
2. Отобраны и отредактированы фотографии для рассылки</t>
        </is>
      </c>
    </row>
    <row r="105" hidden="1" ht="115.2" customHeight="1">
      <c r="A105" s="172" t="inlineStr">
        <is>
          <t>Унификация маршрутов для хантфлоу</t>
        </is>
      </c>
      <c r="B105" s="173" t="inlineStr">
        <is>
          <t>Создание единого формата коммуникации для кандидатов</t>
        </is>
      </c>
      <c r="C105" s="173" t="inlineStr">
        <is>
          <t>Развитие корпоративных коммуникаций</t>
        </is>
      </c>
      <c r="D105" s="174" t="inlineStr">
        <is>
          <t>Котов И.</t>
        </is>
      </c>
      <c r="E105" s="173" t="inlineStr">
        <is>
          <t>1. Собраны все существующие тексты которые рассылаются кандидатам
2. Структурированы все маршруты, приведены в четкий порядок
3. Разработан новый формат для письма - в виде ссылок-маршрутов.
4. Все новые унифицированные тексты для кандидатов внесены в хантфлоу</t>
        </is>
      </c>
    </row>
    <row r="106" hidden="1" ht="43.2" customHeight="1">
      <c r="A106" s="172" t="inlineStr">
        <is>
          <t>Телефонная книга</t>
        </is>
      </c>
      <c r="B106" s="173" t="inlineStr">
        <is>
          <t>Стандартизация и актуализация телефонной книги</t>
        </is>
      </c>
      <c r="C106" s="173" t="inlineStr">
        <is>
          <t>Развитие корпоративных коммуникаций</t>
        </is>
      </c>
      <c r="D106" s="174" t="inlineStr">
        <is>
          <t>Котов И.</t>
        </is>
      </c>
      <c r="E106" s="173" t="inlineStr">
        <is>
          <t>1. Собрана и актуализирована вся телефонная книга по компании
2. Актуальная телефонная книга загружена на портал</t>
        </is>
      </c>
    </row>
    <row r="107" hidden="1" ht="43.2" customHeight="1">
      <c r="A107" s="172" t="inlineStr">
        <is>
          <t>Разработка стратегического видения развития направления на 2026 год</t>
        </is>
      </c>
      <c r="B107" s="173" t="inlineStr">
        <is>
          <t>Создание предложений по развитию корп. Коммуникаций и культуры</t>
        </is>
      </c>
      <c r="C107" s="173" t="inlineStr">
        <is>
          <t>Развитие корпоративных коммуникаций</t>
        </is>
      </c>
      <c r="D107" s="174" t="inlineStr">
        <is>
          <t>Котов И.</t>
        </is>
      </c>
      <c r="E107" s="173" t="inlineStr">
        <is>
          <t>1. Разработан документ с предложениями по улучшению направления корпоративной культуры и внутренних коммуникаций, передан Прошкину А.С.</t>
        </is>
      </c>
    </row>
    <row r="108" hidden="1" ht="86.40000000000001" customHeight="1">
      <c r="A108" s="172" t="inlineStr">
        <is>
          <t>Ведение корпоративных коммуникаций за 1 квартал</t>
        </is>
      </c>
      <c r="B108" s="175" t="inlineStr">
        <is>
          <t>Контроль выполнения запланированных коммуникаций</t>
        </is>
      </c>
      <c r="C108" s="172" t="inlineStr">
        <is>
          <t>Поддержание корп.культуры</t>
        </is>
      </c>
      <c r="D108" s="176" t="inlineStr">
        <is>
          <t>Котов И.
Бушуев Д.</t>
        </is>
      </c>
      <c r="E108" s="173" t="inlineStr">
        <is>
          <t>1. Контроль выполнения всех корпоративных коммуникаций (Ежедневные рассылки ДР, самопрезентации, выходы новых сотрудников, реферальная программа и т.д.)
2. Помощь коллегам и контроль по результату при отправке рассылок</t>
        </is>
      </c>
    </row>
    <row r="109" hidden="1" ht="57.6" customHeight="1">
      <c r="A109" s="177" t="inlineStr">
        <is>
          <t>Питание Машково</t>
        </is>
      </c>
      <c r="B109" s="173" t="inlineStr">
        <is>
          <t>Анализ текущей ситуации с новым поставщиком</t>
        </is>
      </c>
      <c r="C109" s="168" t="inlineStr">
        <is>
          <t>Нематериальная мотивация</t>
        </is>
      </c>
      <c r="D109" s="176" t="inlineStr">
        <is>
          <t>Котов И.
Бушуев Д.</t>
        </is>
      </c>
      <c r="E109" s="175" t="inlineStr">
        <is>
          <t>1. Проведен опрос в телеграм-чате Машково
2. Собрана и обработана обратная связь. Результаты переданы Пенскому А.К.
3. Собран реестр сотрудников, отказавшихся от питания</t>
        </is>
      </c>
    </row>
    <row r="110" hidden="1" ht="28.8" customHeight="1">
      <c r="A110" s="177" t="inlineStr">
        <is>
          <t>Расшифровка интервью</t>
        </is>
      </c>
      <c r="B110" s="173" t="inlineStr">
        <is>
          <t>Перевод аудиоинтервью в текстовый формат</t>
        </is>
      </c>
      <c r="C110" s="173" t="inlineStr">
        <is>
          <t>Поддержание корпоративных коммуникаций</t>
        </is>
      </c>
      <c r="D110" s="174" t="inlineStr">
        <is>
          <t>Котов И.</t>
        </is>
      </c>
      <c r="E110" s="175" t="inlineStr">
        <is>
          <t>1. Расшифровано и проверено интервью с Романом Рушановичем, переведено в текстовый формат</t>
        </is>
      </c>
    </row>
    <row r="111" hidden="1" ht="86.40000000000001" customHeight="1">
      <c r="A111" s="177" t="inlineStr">
        <is>
          <t>Приложение "контент-планнер"</t>
        </is>
      </c>
      <c r="B111" s="173" t="inlineStr">
        <is>
          <t>Разработка собственного приложения для ведения планов</t>
        </is>
      </c>
      <c r="C111" s="173" t="inlineStr">
        <is>
          <t>Развитие корпоративных коммуникаций</t>
        </is>
      </c>
      <c r="D111" s="174" t="inlineStr">
        <is>
          <t>Котов И.</t>
        </is>
      </c>
      <c r="E111" s="173" t="inlineStr">
        <is>
          <t>1. Разработано приложение на JavaScript + React для ведения внутреннего контент плана группы корпоративных коммуникаций
2. Приложение загружено на сервера ЦТП при помощи IT службы ЦТП
3. Дан доступ к приложению команде коммуникаций</t>
        </is>
      </c>
    </row>
    <row r="112" hidden="1" ht="86.40000000000001" customHeight="1">
      <c r="A112" s="177" t="inlineStr">
        <is>
          <t>Новогодние подарки</t>
        </is>
      </c>
      <c r="B112" s="173" t="inlineStr">
        <is>
          <t>Выдача новогодних подарков сотрудникам</t>
        </is>
      </c>
      <c r="C112" s="172" t="inlineStr">
        <is>
          <t>Поддержание корп.культуры</t>
        </is>
      </c>
      <c r="D112" s="176" t="inlineStr">
        <is>
          <t>Котов И.
Исматова В.</t>
        </is>
      </c>
      <c r="E112" s="175" t="inlineStr">
        <is>
          <t xml:space="preserve">1. Составлены приказы и ведомости для выдачи новогодних подарков сотрудникам
2. Новогодние подарки выданы сотрудникам в декабре, а также январе для тех, кто не получил в 2025 г.
Исматова В.: выдача новогодних подарков сотрудникам в ОП Машково </t>
        </is>
      </c>
    </row>
    <row r="113" hidden="1" ht="129.6" customHeight="1">
      <c r="A113" s="172" t="inlineStr">
        <is>
          <t>23 февраля</t>
        </is>
      </c>
      <c r="B113" s="173" t="inlineStr">
        <is>
          <t>Информационная кампания и праздничные мероприятия</t>
        </is>
      </c>
      <c r="C113" s="172" t="inlineStr">
        <is>
          <t>Поддержание корп.культуры</t>
        </is>
      </c>
      <c r="D113" s="176" t="inlineStr">
        <is>
          <t>Котов И.
Бушуев Д.</t>
        </is>
      </c>
      <c r="E113" s="173" t="inlineStr">
        <is>
          <t>1. Разработана концепция и информационная кампания для проведения корпоративного праздника. Выполнены все запланированные рассылки
2. Закуплены праздничные угощения по всем площадкам
3. Проведен спортивный конкурс по всем площадкам компании, определены и награждены победители
4. Разработаны и запущены приказы о проведении праздника и награждении - Бушуев Д.</t>
        </is>
      </c>
    </row>
    <row r="114" hidden="1" ht="230.4" customHeight="1">
      <c r="A114" s="172" t="inlineStr">
        <is>
          <t>8 марта</t>
        </is>
      </c>
      <c r="B114" s="173" t="inlineStr">
        <is>
          <t>Информационная кампания и праздничные мероприятия</t>
        </is>
      </c>
      <c r="C114" s="172" t="inlineStr">
        <is>
          <t>Поддержание корп.культуры</t>
        </is>
      </c>
      <c r="D114" s="176" t="inlineStr">
        <is>
          <t>Котов И.
Бушуев Д.</t>
        </is>
      </c>
      <c r="E114" s="173" t="inlineStr">
        <is>
          <t>1. Разработана концепция и информационная кампания для проведения корпоративного праздника. Выполнены все запланированные рассылки
2. Закуплены праздничные угощения по всем площадкам, а также цветы для дарения девушкам.
3. Организовано праздничное поздравление девушек при входе на пр. площадку в ОП Машково
4. Проведен праздничный концерт для девушек в атриуме
5. Разработаны и запущены приказы о проведении праздника и награждении
6. Проведен конкурс фотографий на портале, обработано 110 писем участников, составлены слайды на корп. ТВ, определены победители конкурса
7. Снят и смонтирован поздравительный ролик с ТОП-менеджментом групы компаний</t>
        </is>
      </c>
    </row>
    <row r="115" hidden="1" ht="129.6" customHeight="1">
      <c r="A115" s="172" t="inlineStr">
        <is>
          <t>Разработка новых рубрик для портала</t>
        </is>
      </c>
      <c r="B115" s="173" t="inlineStr">
        <is>
          <t>Создание новых рубрик для развития контента на корп. Портале</t>
        </is>
      </c>
      <c r="C115" s="173" t="inlineStr">
        <is>
          <t>Развитие корпоративных коммуникаций</t>
        </is>
      </c>
      <c r="D115" s="174" t="inlineStr">
        <is>
          <t>Котов И.</t>
        </is>
      </c>
      <c r="E115" s="173" t="inlineStr">
        <is>
          <t>1. Разработаны три новые рубрики, которые планируется внедрять со 2 квартала: "Открытый разговор" - рубрика, где ТОП-менеджмент делится видением по ГК и т.п.
2. Рубрика: "В деталях" - освещение работы разных отделов группы компаний
3. Рубрика: "В центре внимания" - освещение лучших сотрудников, которые были награждены в конце года. Интервью о мотивации, ценностях и т.п.</t>
        </is>
      </c>
    </row>
    <row r="116" hidden="1" ht="72" customHeight="1">
      <c r="A116" s="172" t="inlineStr">
        <is>
          <t>Авиацифра 2026</t>
        </is>
      </c>
      <c r="B116" s="173" t="inlineStr">
        <is>
          <t>Помощь в организации и создание контента с конференции</t>
        </is>
      </c>
      <c r="C116" s="173" t="inlineStr">
        <is>
          <t>Развитие корпоративных коммуникаций</t>
        </is>
      </c>
      <c r="D116" s="174" t="inlineStr">
        <is>
          <t>Котов И.</t>
        </is>
      </c>
      <c r="E116" s="173" t="inlineStr">
        <is>
          <t>1. Проведение монтажных и демонтажных работ стенда группы компаний
2. Проведение фото и видеосъемки всего мероприятия
3. Монтаж итоговых видеороликов с коллегами, участниками форума</t>
        </is>
      </c>
    </row>
    <row r="117" hidden="1" ht="72" customHeight="1">
      <c r="A117" s="172" t="inlineStr">
        <is>
          <t>Настольный теннис ЛЧБ</t>
        </is>
      </c>
      <c r="B117" s="173" t="inlineStr">
        <is>
          <t>Организация участия сотрудников в турнирах по настольному теннису</t>
        </is>
      </c>
      <c r="C117" s="173" t="inlineStr">
        <is>
          <t>Поддержание корп. культуры</t>
        </is>
      </c>
      <c r="D117" s="174" t="inlineStr">
        <is>
          <t>Осипова В.
Котов И.
Бушуев Д.</t>
        </is>
      </c>
      <c r="E117" s="173" t="inlineStr">
        <is>
          <t>1. Организовано участие сотрудников компании в весенней лиге
2. Проработана концепция дополнительной популяризации настольного тенниса в компании. Рассылки запланированы на начало 2 квартала</t>
        </is>
      </c>
    </row>
    <row r="118" hidden="1" ht="72" customHeight="1">
      <c r="A118" s="172" t="inlineStr">
        <is>
          <t>Конкурс профилей на портале</t>
        </is>
      </c>
      <c r="B118" s="173" t="inlineStr">
        <is>
          <t>Проведение творческого конкурса для вовлечения сотрудников</t>
        </is>
      </c>
      <c r="C118" s="173" t="inlineStr">
        <is>
          <t>Поддержание корп. культуры</t>
        </is>
      </c>
      <c r="D118" s="174" t="inlineStr">
        <is>
          <t>Котов И.
Бушуев Д.</t>
        </is>
      </c>
      <c r="E118" s="173" t="inlineStr">
        <is>
          <t>1. Разработана концепция и информационная компания конкурса по заполнению корпоративного профиля на портале
2. Выполнены все запланированные рассылки, определены победители конкурса.</t>
        </is>
      </c>
    </row>
    <row r="119" hidden="1" ht="86.40000000000001" customHeight="1">
      <c r="A119" s="172" t="inlineStr">
        <is>
          <t>Подготовка новостей на корп. ТВ / портал / почта</t>
        </is>
      </c>
      <c r="B119" s="173" t="inlineStr">
        <is>
          <t>Создание контента для корпоративного ТВ и портала</t>
        </is>
      </c>
      <c r="C119" s="173" t="inlineStr">
        <is>
          <t>Развитие корпоративных коммуникаций</t>
        </is>
      </c>
      <c r="D119" s="174" t="inlineStr">
        <is>
          <t>Котов И.
Бушуев Д.</t>
        </is>
      </c>
      <c r="E119" s="173" t="inlineStr">
        <is>
          <t>1. Подготовлено 39 новостей на корпоративное ТВ
2. Всего подготовлено 115 слайдов на корпоративное ТВ (с учетом конкурсов 8 марта, картин и 23 февраля)
3. Подготовлено и опубликовано 28 новостей на корпоративном портале
4. Подготовлено и отправлено 57 рассылок</t>
        </is>
      </c>
    </row>
    <row r="120" hidden="1" ht="115.2" customHeight="1">
      <c r="A120" s="172" t="inlineStr">
        <is>
          <t>Горящие вакансии</t>
        </is>
      </c>
      <c r="B120" s="173" t="inlineStr">
        <is>
          <t>Ежемесячная информационная кампания</t>
        </is>
      </c>
      <c r="C120" s="173" t="inlineStr">
        <is>
          <t>Поддержание корпоративных коммуникаций, распространение активных вакансий</t>
        </is>
      </c>
      <c r="D120" s="174" t="inlineStr">
        <is>
          <t>Осипова В.
Котов И.
Исматова В.</t>
        </is>
      </c>
      <c r="E120" s="173" t="inlineStr">
        <is>
          <t>Исматова В.: выборочный сбор информации по горящим вакансиям в ОП Машково
Котов И.Д.: 1. Собрана информация по группе компаний по горящим вакансиям
2. Подготовлены и распространены все коммуникации (рассылка, слайды на ТВ, посты в группы телеграм)
Исматова В.: выборочный сбор информации по горящим вакансиям в ОП Машково</t>
        </is>
      </c>
    </row>
    <row r="121" hidden="1" ht="86.40000000000001" customHeight="1">
      <c r="A121" s="172" t="inlineStr">
        <is>
          <t>Ярмарка вакансий 18 февраля</t>
        </is>
      </c>
      <c r="B121" s="173" t="inlineStr">
        <is>
          <t>Выступление на ярмарке, создание контента</t>
        </is>
      </c>
      <c r="C121" s="175" t="inlineStr">
        <is>
          <t>Привлечь молодых специалистов на открытые вакансии , повышение узнаваемости бренда АИ Вемины</t>
        </is>
      </c>
      <c r="D121" s="174" t="inlineStr">
        <is>
          <t>Котов И.</t>
        </is>
      </c>
      <c r="E121" s="173" t="inlineStr">
        <is>
          <t>1. Проведено выступление с презентацией компании перед студентами
2. Смонтирован отчетный видеоролик по мероприятию
3. Проведена работа со студентами, оказана помощь в заполнении анкет, проведены консультации о работе в компании</t>
        </is>
      </c>
    </row>
    <row r="122" hidden="1" ht="57.6" customHeight="1">
      <c r="A122" s="172" t="inlineStr">
        <is>
          <t>Концепция корпоратива 2026 г</t>
        </is>
      </c>
      <c r="B122" s="173" t="inlineStr">
        <is>
          <t>Подготовка нового летнего корпоратива</t>
        </is>
      </c>
      <c r="C122" s="172" t="inlineStr">
        <is>
          <t>развитие корп.культуры</t>
        </is>
      </c>
      <c r="D122" s="176" t="inlineStr">
        <is>
          <t>Котов И.
Бушуев Д.</t>
        </is>
      </c>
      <c r="E122" s="173" t="inlineStr">
        <is>
          <t>1. Разработана первая версия концепции летнего корпоратива, сделаны примерные расчеты по бюджету
2. Начата глубинная проработка концепции с подрядчиком, который помогал с организацией в 2025 г</t>
        </is>
      </c>
    </row>
    <row r="123" hidden="1" ht="57.6" customHeight="1">
      <c r="A123" s="172" t="inlineStr">
        <is>
          <t>Разработка нового раздела на портале</t>
        </is>
      </c>
      <c r="B123" s="173" t="inlineStr">
        <is>
          <t>Развитие корпоративного портала</t>
        </is>
      </c>
      <c r="C123" s="173" t="inlineStr">
        <is>
          <t>Развитие корпоративных коммуникаций</t>
        </is>
      </c>
      <c r="D123" s="174" t="inlineStr">
        <is>
          <t>Котов И.</t>
        </is>
      </c>
      <c r="E123" s="173" t="inlineStr">
        <is>
          <t>1. Разработана концепция нового раздела "Куплю-продам" для реализации на портале
2. Определены правила, создано описание нового раздела</t>
        </is>
      </c>
    </row>
    <row r="124" hidden="1" ht="86.40000000000001" customHeight="1">
      <c r="A124" s="172" t="inlineStr">
        <is>
          <t>Ярмарка вакансий 25 марта</t>
        </is>
      </c>
      <c r="B124" s="173" t="inlineStr">
        <is>
          <t>Выступление на ярмарке, создание контента</t>
        </is>
      </c>
      <c r="C124" s="175" t="inlineStr">
        <is>
          <t>Привлечь молодых специалистов на открытые вакансии , повышение узнаваемости бренда АИ Вемины</t>
        </is>
      </c>
      <c r="D124" s="174" t="inlineStr">
        <is>
          <t>Осипова В.
Бушуев Д.</t>
        </is>
      </c>
      <c r="E124" s="173" t="inlineStr">
        <is>
          <t>1. Проведено выступление с презентацией компании перед студентами и посетителями
2. Смонтирован отчетный видеоролик по мероприятию
3. Проведена работа со студентами и посетителями, оказана помощь в заполнении анкет, проведены консультации о работе в компании</t>
        </is>
      </c>
    </row>
    <row r="125" ht="18" customHeight="1">
      <c r="A125" s="826" t="inlineStr">
        <is>
          <t>ФАКТ 2 квартал 2026</t>
        </is>
      </c>
      <c r="B125" s="760" t="n"/>
      <c r="C125" s="760" t="n"/>
      <c r="D125" s="760" t="n"/>
      <c r="E125" s="761" t="n"/>
    </row>
    <row r="126" hidden="1" ht="15.6" customHeight="1">
      <c r="A126" s="827" t="inlineStr">
        <is>
          <t>Кадровое делопроизводство</t>
        </is>
      </c>
      <c r="B126" s="805" t="n"/>
      <c r="C126" s="805" t="n"/>
      <c r="D126" s="805" t="n"/>
      <c r="E126" s="805" t="n"/>
    </row>
    <row r="127" hidden="1" ht="15.6" customHeight="1">
      <c r="A127" s="804" t="inlineStr">
        <is>
          <t xml:space="preserve">Текущая деятельность </t>
        </is>
      </c>
      <c r="B127" s="805" t="n"/>
      <c r="C127" s="805" t="n"/>
      <c r="D127" s="805" t="n"/>
      <c r="E127" s="747" t="n"/>
    </row>
    <row r="128" hidden="1" ht="27.6" customHeight="1">
      <c r="A128" s="71" t="inlineStr">
        <is>
          <t>Приказы о премировании</t>
        </is>
      </c>
      <c r="B128" s="52" t="inlineStr">
        <is>
          <t>Сбор данных, проверка и оформление приказов. Передача в бухгалтерию копий приказов.</t>
        </is>
      </c>
      <c r="C128" s="52" t="inlineStr">
        <is>
          <t>Соблюдение законодательства РФ</t>
        </is>
      </c>
      <c r="D128" s="178" t="inlineStr">
        <is>
          <t>Кузнецова О.Н.</t>
        </is>
      </c>
      <c r="E128" s="52" t="inlineStr">
        <is>
          <t>Выполнено 100%</t>
        </is>
      </c>
    </row>
    <row r="129" hidden="1" ht="41.4" customHeight="1">
      <c r="A129" s="691" t="inlineStr">
        <is>
          <t>Отчетность по премированию</t>
        </is>
      </c>
      <c r="B129" s="701" t="inlineStr">
        <is>
          <t>Сбор данных ежемесячно, составление свода за квартал, анализ квартального премирования</t>
        </is>
      </c>
      <c r="C129" s="701" t="inlineStr">
        <is>
          <t>Обоснование расходов для отчета руководству (Торопов Р., Шигаев В., Кисловская И.)</t>
        </is>
      </c>
      <c r="D129" s="181" t="inlineStr">
        <is>
          <t>Кузнецова О.НН.</t>
        </is>
      </c>
      <c r="E129" s="52" t="inlineStr">
        <is>
          <t xml:space="preserve">Сформированы и отработаны сводные таблицы апрель, май, июнь (включая свод за 2 квартал). Выполнено 100% с соблюдением сроков, установленных БП. </t>
        </is>
      </c>
    </row>
    <row r="130" hidden="1" ht="55.2" customHeight="1">
      <c r="A130" s="691" t="inlineStr">
        <is>
          <t xml:space="preserve">Обоснование премирования </t>
        </is>
      </c>
      <c r="B130" s="701" t="inlineStr">
        <is>
          <t>Оформление служебных записок</t>
        </is>
      </c>
      <c r="C130" s="701" t="inlineStr">
        <is>
          <t>Обоснование расходов работодателя</t>
        </is>
      </c>
      <c r="D130" s="181" t="inlineStr">
        <is>
          <t>Кузнецова О.Н.</t>
        </is>
      </c>
      <c r="E130" s="52" t="inlineStr">
        <is>
          <t>Оформлены служебные записки к приказам за март, апрель,май, июнь 2026 г. Закончено оформление документации за 2025 г.  Приказы и СЗ подготовлены на проверку аудиторам.</t>
        </is>
      </c>
    </row>
    <row r="131" hidden="1" ht="41.4" customHeight="1">
      <c r="A131" s="691" t="inlineStr">
        <is>
          <t>Приказы о материальной помощи</t>
        </is>
      </c>
      <c r="B131" s="701" t="inlineStr">
        <is>
          <t>Оформляется по заявлению работника, согласовывается с ГД.</t>
        </is>
      </c>
      <c r="C131" s="701" t="inlineStr">
        <is>
          <t>Соблюдение законодательства РФ</t>
        </is>
      </c>
      <c r="D131" s="181" t="inlineStr">
        <is>
          <t>Кузнецова О.Н.</t>
        </is>
      </c>
      <c r="E131" s="52" t="inlineStr">
        <is>
          <t>Оформлено 18 приказов (с предоставлением подтверждающих документов передано в бухгалтерию). Документы подготовлены для проверки аудиторам.</t>
        </is>
      </c>
    </row>
    <row r="132" hidden="1" ht="82.8" customHeight="1">
      <c r="A132" s="691" t="inlineStr">
        <is>
          <t xml:space="preserve">Прием на работу </t>
        </is>
      </c>
      <c r="B132" s="701" t="inlineStr">
        <is>
          <t>Оформление документов при приеме на работу: ТД, приказ, Соглашение о неразглашении конфиденциальной информации, документы по персональным данным, заявления, справки и т.д., внесение данных в базу 1С, подписание с работником</t>
        </is>
      </c>
      <c r="C132" s="701" t="inlineStr">
        <is>
          <t>Соблюдение законодательства РФ</t>
        </is>
      </c>
      <c r="D132" s="182" t="inlineStr">
        <is>
          <t>Афонина Ю.В.</t>
        </is>
      </c>
      <c r="E132" s="52" t="inlineStr">
        <is>
          <t>Оформлен 71 прием на работу с полным комплектом документов</t>
        </is>
      </c>
    </row>
    <row r="133" hidden="1" ht="82.8" customHeight="1">
      <c r="A133" s="738" t="inlineStr">
        <is>
          <t xml:space="preserve">Увольнение </t>
        </is>
      </c>
      <c r="B133" s="184" t="inlineStr">
        <is>
          <t>Оформление увольнения  по инициативе работника, по инициативе работодателя. Оформляются приказ, соглашение об увольнении, табель учета, вносится запись в тр. книжку или справка СТД-Р, ознакомление работника с документами</t>
        </is>
      </c>
      <c r="C133" s="828" t="inlineStr">
        <is>
          <t>Соблюдение законодательства РФ</t>
        </is>
      </c>
      <c r="D133" s="182" t="inlineStr">
        <is>
          <t>Афонина Ю.В.</t>
        </is>
      </c>
      <c r="E133" s="52" t="inlineStr">
        <is>
          <t>Оформлено 35 увольнений</t>
        </is>
      </c>
    </row>
    <row r="134" hidden="1" ht="41.4" customHeight="1">
      <c r="A134" s="753" t="n"/>
      <c r="B134" s="184" t="inlineStr">
        <is>
          <t>Решение сложных вопросов по увольнению работников</t>
        </is>
      </c>
      <c r="C134" s="753" t="n"/>
      <c r="D134" s="182" t="inlineStr">
        <is>
          <t>Пенский А.К.
Еремина О.А.
Козлова Ю.В.</t>
        </is>
      </c>
      <c r="E134" s="52" t="inlineStr">
        <is>
          <t xml:space="preserve">Проведена работа по подписанию соглашений сторон на 13 работников, работа по увольнению 1 работника по медицинским противопоказаниям </t>
        </is>
      </c>
    </row>
    <row r="135" hidden="1" ht="82.8" customHeight="1">
      <c r="A135" s="691" t="inlineStr">
        <is>
          <t>Переводы (изменение должностей, подразделений)</t>
        </is>
      </c>
      <c r="B135" s="184" t="inlineStr">
        <is>
          <t xml:space="preserve">Переводы оформляются по соглашению сторон (возможно в связи с  изменением шатного расписания, на основании результатлов аттестации персонала), готовится: приказ, доп. соглашение к ТД, вносятся данные в программу 1С, ознакомление работника </t>
        </is>
      </c>
      <c r="C135" s="184" t="inlineStr">
        <is>
          <t>Соблюдение законодательства РФ</t>
        </is>
      </c>
      <c r="D135" s="182" t="inlineStr">
        <is>
          <t>Афонина Ю.В.</t>
        </is>
      </c>
      <c r="E135" s="52" t="inlineStr">
        <is>
          <t>Проведено 66 переводов</t>
        </is>
      </c>
    </row>
    <row r="136" hidden="1" ht="55.2" customHeight="1">
      <c r="A136" s="691" t="inlineStr">
        <is>
          <t>Отпуска, все виды (ежегодные, без сохранений з/п, учебные, по БИР, по уходу за ребенком, донорские, пр.)</t>
        </is>
      </c>
      <c r="B136" s="184" t="inlineStr">
        <is>
          <t xml:space="preserve">На основании графика отпусков или по заявлению работника оформляется приказ на отпуск с приложением необходимых подтверждающих документов </t>
        </is>
      </c>
      <c r="C136" s="184" t="inlineStr">
        <is>
          <t>Соблюдение законодательства РФ</t>
        </is>
      </c>
      <c r="D136" s="182" t="inlineStr">
        <is>
          <t>Афонина Ю.В.
Руцкая В.В.</t>
        </is>
      </c>
      <c r="E136" s="184" t="inlineStr">
        <is>
          <t>Проведено 893 приказа по всем видам отпусков и отсутствий</t>
        </is>
      </c>
    </row>
    <row r="137" hidden="1" ht="55.2" customHeight="1">
      <c r="A137" s="691" t="inlineStr">
        <is>
          <t>Оформление сверхурочной работы</t>
        </is>
      </c>
      <c r="B137" s="184" t="inlineStr">
        <is>
          <t>На основании СЗ от руководителя и согласия работников оформляется Приказ (с офомлением повышенной оплаты или предоставлением днем отдыха)</t>
        </is>
      </c>
      <c r="C137" s="184" t="inlineStr">
        <is>
          <t>Соблюдение законодательства РФ</t>
        </is>
      </c>
      <c r="D137" s="182" t="inlineStr">
        <is>
          <t>Павленко Н.С.</t>
        </is>
      </c>
      <c r="E137" s="184" t="inlineStr">
        <is>
          <t>Проведено 155 приказов</t>
        </is>
      </c>
    </row>
    <row r="138" hidden="1" ht="55.2" customHeight="1">
      <c r="A138" s="691" t="inlineStr">
        <is>
          <t>Оформление работы в выходной день</t>
        </is>
      </c>
      <c r="B138" s="184" t="inlineStr">
        <is>
          <t>На основании СЗ от руководителя и согласия работников оформляется Приказ (с офомлением повышенной оплаты или предоставлением днем отдыха)</t>
        </is>
      </c>
      <c r="C138" s="184" t="inlineStr">
        <is>
          <t>Соблюдение законодательства РФ</t>
        </is>
      </c>
      <c r="D138" s="182" t="inlineStr">
        <is>
          <t>Афонина Ю.В. - командировки
Павленко Н.С. - все остальные</t>
        </is>
      </c>
      <c r="E138" s="184" t="inlineStr">
        <is>
          <t>Проведен 291 приказ</t>
        </is>
      </c>
    </row>
    <row r="139" hidden="1" ht="55.2" customHeight="1">
      <c r="A139" s="691" t="inlineStr">
        <is>
          <t xml:space="preserve">Командировки </t>
        </is>
      </c>
      <c r="B139" s="184" t="inlineStr">
        <is>
          <t>Оформление приказов о командировании , изменении сроков командирования  и контроль оформления  Служебных заданий на командировки</t>
        </is>
      </c>
      <c r="C139" s="184" t="inlineStr">
        <is>
          <t>Соблюдение законодательства РФ</t>
        </is>
      </c>
      <c r="D139" s="182" t="inlineStr">
        <is>
          <t>Афонина Ю.В.
Руцкая В.В.</t>
        </is>
      </c>
      <c r="E139" s="184" t="inlineStr">
        <is>
          <t>Проведено 273 приказа</t>
        </is>
      </c>
    </row>
    <row r="140" hidden="1" ht="193.2" customHeight="1">
      <c r="A140" s="691" t="inlineStr">
        <is>
          <t>Аудит кадровых документов</t>
        </is>
      </c>
      <c r="B140" s="184" t="inlineStr">
        <is>
          <t>Проверка раличия и восстановление отсутствующих приказов за 2025 и при необходимости за 2024 кадровых приказов</t>
        </is>
      </c>
      <c r="C140" s="185" t="inlineStr">
        <is>
          <t>Соблюдение законодательства РФ</t>
        </is>
      </c>
      <c r="D140" s="182" t="inlineStr">
        <is>
          <t>Козлова Ю.В.
Павленко Н.С
Афонина Ю.В.
Марцулевич В.А.</t>
        </is>
      </c>
      <c r="E140" s="184" t="inlineStr">
        <is>
          <t>Восстановлены и подписаны 13 комплектов: приказы, согласия, ДС на совмещение должностей за 2024 г. (100%) - Козлова Ю.;
Восстановлены журналы приказов за 2025 г. (100%) на восстановление не хватает 117 приказов - Козлова Ю.; 
Приказы на работу в выходной день (60шт.) и сверхурочную работу (13шт.) восстановлены на 100%, 35шт. приказов с подписями (50%) - Павленко Н.С.;
Приказы о переводе (установлении надбавки, 7шт.)
восстановлены на 100%
Восстановлен хронологический порядок изменений редакций трудовых договоров, начата работа по подготовке и подписанию ДС по ТД в редакции 25 года - восстановлены на 15% (97шт. из 648шт.)</t>
        </is>
      </c>
    </row>
    <row r="141" hidden="1">
      <c r="A141" s="829" t="inlineStr">
        <is>
          <t>Взаимодействие с внешними контролирующими организациями</t>
        </is>
      </c>
      <c r="B141" s="805" t="n"/>
      <c r="C141" s="805" t="n"/>
      <c r="D141" s="805" t="n"/>
      <c r="E141" s="747" t="n"/>
    </row>
    <row r="142" hidden="1" ht="235.95" customHeight="1">
      <c r="A142" s="691" t="inlineStr">
        <is>
          <t>ГИТ Воронежской области</t>
        </is>
      </c>
      <c r="B142" s="184" t="inlineStr">
        <is>
          <t>Ответы на запросы, предоставление документов</t>
        </is>
      </c>
      <c r="C142" s="701" t="inlineStr">
        <is>
          <t>Контроль соблюдения законодательства РФ</t>
        </is>
      </c>
      <c r="D142" s="182" t="inlineStr">
        <is>
          <t>Еремина О.А.
Пенский А.К.</t>
        </is>
      </c>
      <c r="E142" s="184" t="inlineStr">
        <is>
          <t>Уведомление о проведении профилактического визита, запрос кадровых и бухгалтерских документов. Проверка проведена, по ответному акту нарушений не выявлено.
Взаимодействие с ГИТ - Пенский и Еремина:
Пенский - личное общение с инспектором, идейное сопровождение по формату подготовки документов (копия приказа или выписка), а также по формату сшивки документов (выбрана сшивка большими массивами), прошивка пачек с документами;
Еремина - первичное общение с инспектором по телефону по уточнению документов для предоставления, подготовка документов (ЛНА, штатные расписания, списки работников), распределение объемов и контроль, окончательный сбор документов по списку;
Подготовка документов: КДП (Козлова, Афонина, Марцулевич, Павленко, Кавыза), БУ (Калашникова, Циулина)</t>
        </is>
      </c>
    </row>
    <row r="143" hidden="1" ht="85.2" customHeight="1">
      <c r="A143" s="691" t="inlineStr">
        <is>
          <t>ГИТ Воронежской области</t>
        </is>
      </c>
      <c r="B143" s="184" t="inlineStr">
        <is>
          <t>Ответы на запросы, предоставление документов</t>
        </is>
      </c>
      <c r="C143" s="701" t="inlineStr">
        <is>
          <t>Контроль соблюдения законодательства РФ</t>
        </is>
      </c>
      <c r="D143" s="182" t="inlineStr">
        <is>
          <t>Еремина О.А.</t>
        </is>
      </c>
      <c r="E143" s="184" t="inlineStr">
        <is>
          <t>Уведомление о составлении протоколов по нарушениям сроков сдачи ЕФС-1 в СФР. По уведомлению планировалось составление 22 протоколов, после предоставления возражений и подтверждающих документов протоколы были составлены только по 6 нарушениям, выписан штраф на Еремину на 1 800 руб.</t>
        </is>
      </c>
    </row>
    <row r="144" hidden="1" ht="55.2" customHeight="1">
      <c r="A144" s="691" t="inlineStr">
        <is>
          <t>Минтруд Воронежской области</t>
        </is>
      </c>
      <c r="B144" s="184" t="inlineStr">
        <is>
          <t>Ответы на запросы, предоставление документов</t>
        </is>
      </c>
      <c r="C144" s="701" t="inlineStr">
        <is>
          <t>Контроль соблюдения законодательства РФ</t>
        </is>
      </c>
      <c r="D144" s="182" t="inlineStr">
        <is>
          <t>Еремина О.А.
Пенский А.К.</t>
        </is>
      </c>
      <c r="E144" s="184" t="inlineStr">
        <is>
          <t>Запрос о непредоставлении отчета в Центр занятости о квотировании рабочих мест. Срок предоставления отчета - до 10 числа месяца, следующего за отчетным. Принято к исполнению</t>
        </is>
      </c>
    </row>
    <row r="145" hidden="1">
      <c r="A145" s="829" t="inlineStr">
        <is>
          <t xml:space="preserve">Согласование, утверждение  Положений и должностных инструкций по новому ШР в полном объеме </t>
        </is>
      </c>
      <c r="B145" s="805" t="n"/>
      <c r="C145" s="805" t="n"/>
      <c r="D145" s="805" t="n"/>
      <c r="E145" s="747" t="n"/>
    </row>
    <row r="146" hidden="1" ht="55.2" customHeight="1">
      <c r="A146" s="691" t="inlineStr">
        <is>
          <t xml:space="preserve">Согласование ДИ по новой форме по всем должностям согласно ШР, подписание, передача на утверждение ГД </t>
        </is>
      </c>
      <c r="B146" s="184" t="inlineStr">
        <is>
          <t>Наличие базы ДИ и ПП по организации в полном объеме</t>
        </is>
      </c>
      <c r="C146" s="701" t="inlineStr">
        <is>
          <t>Соблюдение законодательства РФ</t>
        </is>
      </c>
      <c r="D146" s="182" t="inlineStr">
        <is>
          <t>Еремина О.А.
Козлова Ю.В.</t>
        </is>
      </c>
      <c r="E146" s="184" t="inlineStr">
        <is>
          <t>проведена работа по ПП и ДИ, готовность 90% по непроизводству, по производству разработка и утверждение ПП и ДИ после окончательного утверждения структуры по ПЦ и ПП</t>
        </is>
      </c>
    </row>
    <row r="147" hidden="1">
      <c r="A147" s="829" t="inlineStr">
        <is>
          <t>Формирование  отчётности</t>
        </is>
      </c>
      <c r="B147" s="805" t="n"/>
      <c r="C147" s="805" t="n"/>
      <c r="D147" s="805" t="n"/>
      <c r="E147" s="747" t="n"/>
    </row>
    <row r="148" hidden="1">
      <c r="A148" s="691" t="inlineStr">
        <is>
          <t xml:space="preserve">Отчет по статистике </t>
        </is>
      </c>
      <c r="B148" s="184" t="inlineStr">
        <is>
          <t>П4 НЗ, ежеквартальный , за 4-й квартал 2025</t>
        </is>
      </c>
      <c r="C148" s="184" t="inlineStr">
        <is>
          <t>Соблюдение законодательства РФ</t>
        </is>
      </c>
      <c r="D148" s="182" t="inlineStr">
        <is>
          <t xml:space="preserve">   Козлова Ю.В.</t>
        </is>
      </c>
      <c r="E148" s="184" t="inlineStr">
        <is>
          <t>в полном объеме, без нареканий</t>
        </is>
      </c>
    </row>
    <row r="149" hidden="1" ht="55.2" customHeight="1">
      <c r="A149" s="691" t="inlineStr">
        <is>
          <t>Отчёты в СФР  штатные работники (прием/увольнение)</t>
        </is>
      </c>
      <c r="B149" s="701" t="inlineStr">
        <is>
          <t>Отчёт в СФР  (по форме ЕФС-1 разд. 1.1.)  оформляется не позднее одного рабочего дня после даты издания приказов о  приеме, увольнении работников.</t>
        </is>
      </c>
      <c r="C149" s="701" t="inlineStr">
        <is>
          <t>Соблюдение законодательства РФ</t>
        </is>
      </c>
      <c r="D149" s="182" t="inlineStr">
        <is>
          <t>Еремина О.А.
   Козлова Ю.В.
   Афонина Ю.В.</t>
        </is>
      </c>
      <c r="E149" s="184" t="inlineStr">
        <is>
          <t>в полном объеме, подготовка отчетности - Афонина, сдача отчетности - Еремина, Козлова (связано с изменением в порядке отправки отчетности - при наличии ЭЦП и МЧД, оформлены только на начальника и зама)</t>
        </is>
      </c>
    </row>
    <row r="150" hidden="1" ht="82.8" customHeight="1">
      <c r="A150" s="691" t="inlineStr">
        <is>
          <t>Отчёты в СФР  штатные работники (переводы)</t>
        </is>
      </c>
      <c r="B150" s="701" t="inlineStr">
        <is>
          <t>Отчёт в СФР  (по форме ЕФС-1 разд. 1.1.)  оформляется не позднее 25 числа месяца, следующего за отчетным месяцем издания приказов о  переводе работников. А так же иным мероприятиям предусмотренным законодательствам РФ.</t>
        </is>
      </c>
      <c r="C150" s="701" t="inlineStr">
        <is>
          <t>Соблюдение законодательства РФ</t>
        </is>
      </c>
      <c r="D150" s="182" t="inlineStr">
        <is>
          <t>Еремина О.А.
   Козлова Ю.В.
   Афонина Ю.В.</t>
        </is>
      </c>
      <c r="E150" s="184" t="inlineStr">
        <is>
          <t>в полном объеме, подготовка отчетности - Афонина, сдача отчетности - Еремина, Козлова (связано с изменением в порядке отправки отчетности - при наличии ЭЦП и МЧД, оформлены только на начальника и зама)</t>
        </is>
      </c>
    </row>
    <row r="151" hidden="1" ht="60.6" customHeight="1">
      <c r="A151" s="691" t="inlineStr">
        <is>
          <t>Отчёты в СФР  штатные работники (иные мероприятия)</t>
        </is>
      </c>
      <c r="B151" s="701" t="inlineStr">
        <is>
          <t>Отчёт в СФР  (по форме ЕФС-1 разд. 1.2.)  оформляется не позднее трех рабочих дней после даты издания приказов о  предоставлении отпусков по БиР, ОПУХ работникам.</t>
        </is>
      </c>
      <c r="C151" s="701" t="inlineStr">
        <is>
          <t>Соблюдение законодательства РФ</t>
        </is>
      </c>
      <c r="D151" s="182" t="inlineStr">
        <is>
          <t>Еремина О.А.
   Козлова Ю.В.
   Афонина Ю.В.</t>
        </is>
      </c>
      <c r="E151" s="184" t="inlineStr">
        <is>
          <t>в полном объеме, подготовка отчетности - Афонина, сдача отчетности - Еремина, Козлова (связано с изменением в порядке отправки отчетности - при наличии ЭЦП и МЧД, оформлены только на начальника и зама)</t>
        </is>
      </c>
    </row>
    <row r="152" hidden="1">
      <c r="A152" s="691" t="inlineStr">
        <is>
          <t>Отчет по инвалидам</t>
        </is>
      </c>
      <c r="B152" s="184" t="inlineStr">
        <is>
          <t xml:space="preserve">ежеквартальный </t>
        </is>
      </c>
      <c r="C152" s="184" t="inlineStr">
        <is>
          <t>Соблюдение законодательства РФ</t>
        </is>
      </c>
      <c r="D152" s="182" t="inlineStr">
        <is>
          <t>Козлова Ю.В.</t>
        </is>
      </c>
      <c r="E152" s="184" t="inlineStr">
        <is>
          <t>в полном объеме</t>
        </is>
      </c>
    </row>
    <row r="153" hidden="1">
      <c r="A153" s="829" t="inlineStr">
        <is>
          <t xml:space="preserve">Разработка (актуализация)  ЛНА, развитие процессов, создание  Базы знаний по кадрам </t>
        </is>
      </c>
      <c r="B153" s="805" t="n"/>
      <c r="C153" s="805" t="n"/>
      <c r="D153" s="805" t="n"/>
      <c r="E153" s="747" t="n"/>
    </row>
    <row r="154" hidden="1" ht="41.4" customHeight="1">
      <c r="A154" s="691" t="inlineStr">
        <is>
          <t>Участие в разработке Положения об оплате труда</t>
        </is>
      </c>
      <c r="B154" s="701" t="n"/>
      <c r="C154" s="701" t="inlineStr">
        <is>
          <t xml:space="preserve">Соблюдение законодательства РФ, Унификация ЛНА группы компаний. Регулирование трудовых отношений </t>
        </is>
      </c>
      <c r="D154" s="182" t="inlineStr">
        <is>
          <t>Еремина О.А.
   Пенский А.К.</t>
        </is>
      </c>
      <c r="E154" s="184" t="inlineStr">
        <is>
          <t>участие в подготовке проекта нового Положения для ГК</t>
        </is>
      </c>
    </row>
    <row r="155" hidden="1" ht="41.4" customHeight="1">
      <c r="A155" s="691" t="inlineStr">
        <is>
          <t>Внесение изменений в Положение об оплате труда в отношении раздела "Надбавки"</t>
        </is>
      </c>
      <c r="B155" s="701" t="inlineStr">
        <is>
          <t>Дополнить видами и размерами надбавок, связанными с работой с гостайной</t>
        </is>
      </c>
      <c r="C155" s="701" t="inlineStr">
        <is>
          <t>Соблюдение законодательства РФ, оптимизация БП</t>
        </is>
      </c>
      <c r="D155" s="182" t="inlineStr">
        <is>
          <t>Еремина О.А.</t>
        </is>
      </c>
      <c r="E155" s="184" t="inlineStr">
        <is>
          <t>в полном объеме</t>
        </is>
      </c>
    </row>
    <row r="156" hidden="1" ht="41.4" customHeight="1">
      <c r="A156" s="691" t="inlineStr">
        <is>
          <t>Участие в разработке Положения об адаптации, Положения о наставничестве, Регламента внутренних переводов</t>
        </is>
      </c>
      <c r="B156" s="701" t="inlineStr">
        <is>
          <t> </t>
        </is>
      </c>
      <c r="C156" s="701" t="inlineStr">
        <is>
          <t xml:space="preserve">Соблюдение законодательства РФ, Унификация ЛНА группы компаний. Регулирование трудовых отношений </t>
        </is>
      </c>
      <c r="D156" s="182" t="inlineStr">
        <is>
          <t>Еремина О.А.</t>
        </is>
      </c>
      <c r="E156" s="184" t="inlineStr">
        <is>
          <t>рассмотрение проектов Положений, внесение замечаний и корректировок в соответствии с действующим законодательством</t>
        </is>
      </c>
    </row>
    <row r="157" hidden="1" ht="55.2" customHeight="1">
      <c r="A157" s="691" t="inlineStr">
        <is>
          <t>Оптимизация приказов по содержанию</t>
        </is>
      </c>
      <c r="B157" s="701" t="inlineStr">
        <is>
          <t>Оптимизация приказов, содержащих данные по наряд-заказам, с целью исключения их переделки, а также для своевременности издания приказов</t>
        </is>
      </c>
      <c r="C157" s="701" t="inlineStr">
        <is>
          <t>Соблюдение законодательства РФ, оптимизация БП</t>
        </is>
      </c>
      <c r="D157" s="182" t="inlineStr">
        <is>
          <t>Еремина О.А.
   Павленко Н.С.</t>
        </is>
      </c>
      <c r="E157" s="184" t="inlineStr">
        <is>
          <t>в полном объеме, разработан и внедрен в 1С новый порядок проведения приказов РВ и СУ + контроля РВ и СУ в табеле Вемина</t>
        </is>
      </c>
    </row>
    <row r="158" hidden="1" ht="41.4" customHeight="1">
      <c r="A158" s="691" t="inlineStr">
        <is>
          <t>Изменение процессов взаимодействия между подразделениями</t>
        </is>
      </c>
      <c r="B158" s="701" t="inlineStr">
        <is>
          <t>Оптимизация взаимодействия между кадрами и бухгалтерией, разработка документооборота между кадрами и другими подразделениями</t>
        </is>
      </c>
      <c r="C158" s="701" t="inlineStr">
        <is>
          <t>Оптимизация взаимодействия работников  подразделений и ОУП</t>
        </is>
      </c>
      <c r="D158" s="182" t="inlineStr">
        <is>
          <t>Еремина О.А.</t>
        </is>
      </c>
      <c r="E158" s="184" t="inlineStr">
        <is>
          <t>изменен порядок предоставления в БУ копий кадровых приказов, договоров, ДС - передача осуществляется через прикрепление сканов документов к мероприятию</t>
        </is>
      </c>
    </row>
    <row r="159" hidden="1" ht="69" customHeight="1">
      <c r="A159" s="691" t="inlineStr">
        <is>
          <t xml:space="preserve">Подготовка методических материалов по кадрам </t>
        </is>
      </c>
      <c r="B159" s="701" t="inlineStr">
        <is>
          <t>Формирование Базы знаний по кадровым  направлениям (Прием, перевод, увольнение , пр.) . Подготовка Памяток для работников, шаблонов  СЗ, Заявлений, размещение в Базе - по основным мероприятиям</t>
        </is>
      </c>
      <c r="C159" s="701" t="inlineStr">
        <is>
          <t xml:space="preserve">Оптимизация взаимодействия работников  подразделений и ОУП.  Повышение уровня сервиса для персонала  </t>
        </is>
      </c>
      <c r="D159" s="182" t="inlineStr">
        <is>
          <t>Еремина О.А.</t>
        </is>
      </c>
      <c r="E159" s="184" t="inlineStr">
        <is>
          <t>подготовлена база заявлений для работников, шаблоны СЗ по изменению ШР, назначению совмещений</t>
        </is>
      </c>
    </row>
    <row r="160" hidden="1" ht="69" customHeight="1">
      <c r="A160" s="691" t="inlineStr">
        <is>
          <t>Оптимизация текста трудового договора</t>
        </is>
      </c>
      <c r="B160" s="701" t="inlineStr">
        <is>
          <t>Форма ТД, утвержденная в 2025 году, содержит избыточные пункты, не соответствует по отдельным пунктам нормам ТК РФ, запрос от юристов на внесение главы, касающейся интеллектуальной собственности</t>
        </is>
      </c>
      <c r="C160" s="701" t="inlineStr">
        <is>
          <t>Соблюдение законодательства РФ</t>
        </is>
      </c>
      <c r="D160" s="182" t="inlineStr">
        <is>
          <t>Еремина О.А.
   Пенский А.К.</t>
        </is>
      </c>
      <c r="E160" s="184" t="inlineStr">
        <is>
          <t>утверждена форма трудового договора для ГК</t>
        </is>
      </c>
    </row>
    <row r="161" hidden="1">
      <c r="A161" s="829" t="inlineStr">
        <is>
          <t xml:space="preserve">Работа с суммированным учетом РВ (в рамках нового Положения о СУРВ),  Графики работы подразделений с СУРВ, Табели подразделений </t>
        </is>
      </c>
      <c r="B161" s="805" t="n"/>
      <c r="C161" s="805" t="n"/>
      <c r="D161" s="805" t="n"/>
      <c r="E161" s="747" t="n"/>
    </row>
    <row r="162" hidden="1" ht="69" customHeight="1">
      <c r="A162" s="691" t="inlineStr">
        <is>
          <t>Организация работы подразделений по графикам смен.  Анализ и актуализация графиков работы (смен)  работников. Подготовка приказов Приведение в соответствие ТД  работников</t>
        </is>
      </c>
      <c r="B162" s="75" t="inlineStr">
        <is>
          <t xml:space="preserve">Соблюдение графиков производства. Разработка графиков для Отдела режима </t>
        </is>
      </c>
      <c r="C162" s="182" t="inlineStr">
        <is>
          <t xml:space="preserve">Организация деятельности подразделений, соблюдение требований ТК РФ </t>
        </is>
      </c>
      <c r="D162" s="187" t="inlineStr">
        <is>
          <t>Павленко Н.С.</t>
        </is>
      </c>
      <c r="E162" s="184" t="inlineStr">
        <is>
          <t>в полном объеме</t>
        </is>
      </c>
    </row>
    <row r="163" hidden="1" ht="55.2" customHeight="1">
      <c r="A163" s="188" t="inlineStr">
        <is>
          <t>Оптимизация работы по Табелированию, Сверхурочных, Выходных</t>
        </is>
      </c>
      <c r="B163" s="71" t="inlineStr">
        <is>
          <t>Выполнение требований аудиторов, разделение задач  HR и экономического блока при формировании табеля и ОРД на выходные, сверхурочные</t>
        </is>
      </c>
      <c r="C163" s="71" t="inlineStr">
        <is>
          <t xml:space="preserve">Организация деятельности  компании </t>
        </is>
      </c>
      <c r="D163" s="72" t="inlineStr">
        <is>
          <t>Пенский А.К. 
 Еремина О.А.</t>
        </is>
      </c>
      <c r="E163" s="184" t="inlineStr">
        <is>
          <t>в полном объеме, разработан и внедрен в 1С новый порядок проведения приказов РВ и СУ + контроля РВ и СУ в табеле Вемина</t>
        </is>
      </c>
    </row>
    <row r="164" hidden="1" ht="27.6" customFormat="1" customHeight="1" s="189">
      <c r="A164" s="190" t="inlineStr">
        <is>
          <t xml:space="preserve">Организация работы с табелями </t>
        </is>
      </c>
      <c r="B164" s="191" t="inlineStr">
        <is>
          <t xml:space="preserve">Контроль, сопровождение оформления табелей </t>
        </is>
      </c>
      <c r="C164" s="192" t="inlineStr">
        <is>
          <t xml:space="preserve">Организация деятельности подразделений, соблюдение требований ТК РФ </t>
        </is>
      </c>
      <c r="D164" s="193" t="inlineStr">
        <is>
          <t>Руцкая В.В.
Павленко Н.С.</t>
        </is>
      </c>
      <c r="E164" s="191" t="inlineStr">
        <is>
          <t>в полном объеме</t>
        </is>
      </c>
    </row>
    <row r="165" hidden="1" ht="17.25" customHeight="1">
      <c r="A165" s="829" t="inlineStr">
        <is>
          <t>Новая организационная структура, штатное расписание компании</t>
        </is>
      </c>
      <c r="B165" s="805" t="n"/>
      <c r="C165" s="805" t="n"/>
      <c r="D165" s="805" t="n"/>
      <c r="E165" s="747" t="n"/>
    </row>
    <row r="166" hidden="1" ht="41.4" customHeight="1">
      <c r="A166" s="659" t="inlineStr">
        <is>
          <t>Соблюдение штатного расписания и  ФОТ</t>
        </is>
      </c>
      <c r="B166" s="184" t="inlineStr">
        <is>
          <t xml:space="preserve">Контроль исполнения ФОТ/ШР.  Предоставление данных для приема на работу, переводов руководителям и в отдел подбора </t>
        </is>
      </c>
      <c r="C166" s="184" t="inlineStr">
        <is>
          <t xml:space="preserve">Организация деятельности  компании </t>
        </is>
      </c>
      <c r="D166" s="182" t="inlineStr">
        <is>
          <t>Еремина О.А.</t>
        </is>
      </c>
      <c r="E166" s="184" t="inlineStr">
        <is>
          <t>В конце 2 кв. была утверждена укрупненная ОС АИ-СН (с 01.05.2026), в 3 кв. запланирована работа по приведению в соответствие ШР</t>
        </is>
      </c>
    </row>
    <row r="167" hidden="1" ht="27.6" customHeight="1">
      <c r="A167" s="659" t="inlineStr">
        <is>
          <t>Составление и реализация ОС</t>
        </is>
      </c>
      <c r="B167" s="184" t="inlineStr">
        <is>
          <t>Согласование новой организационной структуры, ее реализация</t>
        </is>
      </c>
      <c r="C167" s="184" t="inlineStr">
        <is>
          <t xml:space="preserve">Организация деятельности  компании </t>
        </is>
      </c>
      <c r="D167" s="182" t="inlineStr">
        <is>
          <t>Еремина О.А.
Пенский А.К.</t>
        </is>
      </c>
      <c r="E167" s="184" t="inlineStr">
        <is>
          <t>Укрупненная ОС утверждена, в 3 кв. запланирована работа по утверждению ОС по Дирекциям и Производству</t>
        </is>
      </c>
    </row>
    <row r="168" hidden="1" ht="55.2" customFormat="1" customHeight="1" s="189">
      <c r="A168" s="681" t="inlineStr">
        <is>
          <t>Проработка возможности реализации в 1С:ЗУП управленческой структуры и отчетности</t>
        </is>
      </c>
      <c r="B168" s="191" t="inlineStr">
        <is>
          <t xml:space="preserve">Реализация упарвленческой структуры и отчетности в целях учета функциональной принадлежности позиций штатного расписания и работников. </t>
        </is>
      </c>
      <c r="C168" s="191" t="inlineStr">
        <is>
          <t xml:space="preserve">Организация деятельности  компании </t>
        </is>
      </c>
      <c r="D168" s="193" t="inlineStr">
        <is>
          <t>Пенский А.К. 
Еремина О.А.</t>
        </is>
      </c>
      <c r="E168" s="191" t="inlineStr">
        <is>
          <t>Возможность реализации УОС в 1С подтверждена, необходимо проработать технические вопросы с ИТ (задача на 3 кв.)</t>
        </is>
      </c>
    </row>
    <row r="169" hidden="1" ht="17.25" customHeight="1">
      <c r="A169" s="829" t="inlineStr">
        <is>
          <t>Ведение воинского учёта и бронирования</t>
        </is>
      </c>
      <c r="B169" s="805" t="n"/>
      <c r="C169" s="805" t="n"/>
      <c r="D169" s="805" t="n"/>
      <c r="E169" s="747" t="n"/>
    </row>
    <row r="170" hidden="1">
      <c r="A170" s="691" t="inlineStr">
        <is>
          <t>Разъяснение правил воинского учета</t>
        </is>
      </c>
      <c r="B170" s="701" t="inlineStr">
        <is>
          <t>При приеме на работу. Ведение журнала.</t>
        </is>
      </c>
      <c r="C170" s="701" t="inlineStr">
        <is>
          <t xml:space="preserve">Соблюдение законодательства РФ. </t>
        </is>
      </c>
      <c r="D170" s="181" t="inlineStr">
        <is>
          <t>Кавыза О.Г.</t>
        </is>
      </c>
      <c r="E170" s="191" t="inlineStr">
        <is>
          <t>в полном объеме</t>
        </is>
      </c>
    </row>
    <row r="171" hidden="1" ht="27.6" customHeight="1">
      <c r="A171" s="691" t="inlineStr">
        <is>
          <t>Ведение карточек ф.10</t>
        </is>
      </c>
      <c r="B171" s="184" t="inlineStr">
        <is>
          <t>При приеме, переводе, изменении данных, увольнении</t>
        </is>
      </c>
      <c r="C171" s="184" t="inlineStr">
        <is>
          <t>Соблюдение законожательства РФ.</t>
        </is>
      </c>
      <c r="D171" s="181" t="inlineStr">
        <is>
          <t>Кавыза О.Г.</t>
        </is>
      </c>
      <c r="E171" s="191" t="inlineStr">
        <is>
          <t>в полном объеме</t>
        </is>
      </c>
    </row>
    <row r="172" hidden="1" ht="41.4" customHeight="1">
      <c r="A172" s="691" t="inlineStr">
        <is>
          <t>Сведения при приеме/увольнении/переводе/  изменении др. (Приложение № 2 к Положению о ВУ)</t>
        </is>
      </c>
      <c r="B172" s="701" t="inlineStr">
        <is>
          <t xml:space="preserve">Документ направлется в военный комиссариат по месту жительства работника, в т.ч. </t>
        </is>
      </c>
      <c r="C172" s="701" t="inlineStr">
        <is>
          <t xml:space="preserve">Соблюдение законодательства РФ. </t>
        </is>
      </c>
      <c r="D172" s="181" t="inlineStr">
        <is>
          <t>Кавыза О.Г.</t>
        </is>
      </c>
      <c r="E172" s="191" t="inlineStr">
        <is>
          <t>в полном объеме</t>
        </is>
      </c>
    </row>
    <row r="173" hidden="1" ht="27.6" customHeight="1">
      <c r="A173" s="691" t="inlineStr">
        <is>
          <t>Подготовка документов по ВУ на 2026 год</t>
        </is>
      </c>
      <c r="B173" s="701" t="inlineStr">
        <is>
          <t>Документ направлется в военный комиссариат для согласования с военкомом</t>
        </is>
      </c>
      <c r="C173" s="701" t="inlineStr">
        <is>
          <t>Соблюдение законодательства РФ</t>
        </is>
      </c>
      <c r="D173" s="181" t="inlineStr">
        <is>
          <t>Кавыза О.Г.</t>
        </is>
      </c>
      <c r="E173" s="191" t="inlineStr">
        <is>
          <t>в полном объеме</t>
        </is>
      </c>
    </row>
    <row r="174" hidden="1" ht="55.2" customHeight="1">
      <c r="A174" s="691" t="inlineStr">
        <is>
          <t>Отчетность</t>
        </is>
      </c>
      <c r="B174" s="701" t="inlineStr">
        <is>
          <t>Продление справки (с предоставлением карточки организации ф.18; ф.6 и ф.19) в районной комиссии по бронированию. Передача справки в военный комиссариат</t>
        </is>
      </c>
      <c r="C174" s="701" t="inlineStr">
        <is>
          <t xml:space="preserve">Соблюдение законодательства РФ. </t>
        </is>
      </c>
      <c r="D174" s="181" t="inlineStr">
        <is>
          <t>Кавыза О.Г.</t>
        </is>
      </c>
      <c r="E174" s="191" t="inlineStr">
        <is>
          <t>в полном объеме</t>
        </is>
      </c>
    </row>
    <row r="175" hidden="1" ht="27.6" customHeight="1">
      <c r="A175" s="738" t="inlineStr">
        <is>
          <t>Ведение документации по бронированию</t>
        </is>
      </c>
      <c r="B175" s="184" t="inlineStr">
        <is>
          <t>Подготовка  приказов о бронировании сотрудников</t>
        </is>
      </c>
      <c r="C175" s="701" t="inlineStr">
        <is>
          <t>Соблюдение законодателсьвта РФ.</t>
        </is>
      </c>
      <c r="D175" s="181" t="inlineStr">
        <is>
          <t>Кавыза О.Г.</t>
        </is>
      </c>
      <c r="E175" s="191" t="inlineStr">
        <is>
          <t>в полном объеме</t>
        </is>
      </c>
    </row>
    <row r="176" hidden="1" ht="27.6" customHeight="1">
      <c r="A176" s="754" t="n"/>
      <c r="B176" s="184" t="inlineStr">
        <is>
          <t>Подготовка Выписок из приказа о бронировании сотрудников</t>
        </is>
      </c>
      <c r="C176" s="701" t="inlineStr">
        <is>
          <t xml:space="preserve">Соблюдение законодательства РФ. </t>
        </is>
      </c>
      <c r="D176" s="181" t="inlineStr">
        <is>
          <t>Кавыза О.Г.</t>
        </is>
      </c>
      <c r="E176" s="191" t="inlineStr">
        <is>
          <t>в полном объеме</t>
        </is>
      </c>
    </row>
    <row r="177" hidden="1" ht="27.6" customHeight="1">
      <c r="A177" s="754" t="n"/>
      <c r="B177" s="184" t="inlineStr">
        <is>
          <t>Подготовлены и направлены в ВК выписки их проекта приказа обронировании</t>
        </is>
      </c>
      <c r="C177" s="701" t="inlineStr">
        <is>
          <t>Соблюдение законодательства РФ</t>
        </is>
      </c>
      <c r="D177" s="181" t="inlineStr">
        <is>
          <t>Кавыза О.Г.</t>
        </is>
      </c>
      <c r="E177" s="191" t="inlineStr">
        <is>
          <t>в полном объеме</t>
        </is>
      </c>
    </row>
    <row r="178" hidden="1" ht="27.6" customHeight="1">
      <c r="A178" s="754" t="n"/>
      <c r="B178" s="184" t="inlineStr">
        <is>
          <t>Оформление приказа о прекращении бронирования</t>
        </is>
      </c>
      <c r="C178" s="701" t="inlineStr">
        <is>
          <t>Соблюдение законодательства РФ</t>
        </is>
      </c>
      <c r="D178" s="181" t="inlineStr">
        <is>
          <t>Кавыза О.Г.</t>
        </is>
      </c>
      <c r="E178" s="191" t="inlineStr">
        <is>
          <t>в полном объеме</t>
        </is>
      </c>
    </row>
    <row r="179" hidden="1" ht="27.6" customHeight="1">
      <c r="A179" s="754" t="n"/>
      <c r="B179" s="184" t="inlineStr">
        <is>
          <t>Оформление выписок из проекта приказа о прекращении бронировании</t>
        </is>
      </c>
      <c r="C179" s="701" t="inlineStr">
        <is>
          <t>Соблюдение законодательства РФ</t>
        </is>
      </c>
      <c r="D179" s="181" t="inlineStr">
        <is>
          <t>Кавыза О.Г.</t>
        </is>
      </c>
      <c r="E179" s="191" t="inlineStr">
        <is>
          <t>в полном объеме</t>
        </is>
      </c>
    </row>
    <row r="180" hidden="1" ht="27.6" customHeight="1">
      <c r="A180" s="753" t="n"/>
      <c r="B180" s="191" t="inlineStr">
        <is>
          <t>Оформление сопроводительных писем к выпискам из приказов</t>
        </is>
      </c>
      <c r="C180" s="701" t="inlineStr">
        <is>
          <t>Соблюдение законодательства РФ</t>
        </is>
      </c>
      <c r="D180" s="181" t="inlineStr">
        <is>
          <t>Кавыза О.Г.</t>
        </is>
      </c>
      <c r="E180" s="191" t="inlineStr">
        <is>
          <t>в полном объеме</t>
        </is>
      </c>
    </row>
    <row r="181" hidden="1" ht="55.2" customHeight="1">
      <c r="A181" s="190" t="inlineStr">
        <is>
          <t>Подготовка листков сообщений</t>
        </is>
      </c>
      <c r="B181" s="191" t="inlineStr">
        <is>
          <t>Документ выдается на руки сотрудники с целью посещения военкомата в связи с ихменением места жительства, состава семьи, образования и т.д.</t>
        </is>
      </c>
      <c r="C181" s="701" t="inlineStr">
        <is>
          <t>Соблюдение законодательства РФ</t>
        </is>
      </c>
      <c r="D181" s="181" t="inlineStr">
        <is>
          <t>Кавыза О.Г.</t>
        </is>
      </c>
      <c r="E181" s="191" t="inlineStr">
        <is>
          <t>в полном объеме</t>
        </is>
      </c>
    </row>
    <row r="182" hidden="1" ht="27.6" customHeight="1">
      <c r="A182" s="706" t="inlineStr">
        <is>
          <t xml:space="preserve">Подготовка направления для постановки на ВУ </t>
        </is>
      </c>
      <c r="B182" s="701" t="inlineStr">
        <is>
          <t xml:space="preserve">Документ выдается на руки сотрудники с целью посещения военкомата для постановки на ВУ </t>
        </is>
      </c>
      <c r="C182" s="701" t="inlineStr">
        <is>
          <t>Соблюдение законодательства РФ</t>
        </is>
      </c>
      <c r="D182" s="181" t="inlineStr">
        <is>
          <t>Кавыза О.Г.</t>
        </is>
      </c>
      <c r="E182" s="191" t="inlineStr">
        <is>
          <t>в полном объеме</t>
        </is>
      </c>
    </row>
    <row r="183" hidden="1" ht="27.6" customFormat="1" customHeight="1" s="189">
      <c r="A183" s="190" t="inlineStr">
        <is>
          <t>Ведение журналов</t>
        </is>
      </c>
      <c r="B183" s="191" t="inlineStr">
        <is>
          <t>Журналы по работе, связанной с воинским учетом и бронированием.</t>
        </is>
      </c>
      <c r="C183" s="191" t="inlineStr">
        <is>
          <t>Соблюдение законодательства РФ</t>
        </is>
      </c>
      <c r="D183" s="181" t="inlineStr">
        <is>
          <t>Кавыза О.Г.</t>
        </is>
      </c>
      <c r="E183" s="191" t="inlineStr">
        <is>
          <t>в полном объеме</t>
        </is>
      </c>
    </row>
    <row r="184" hidden="1" ht="41.4" customHeight="1">
      <c r="A184" s="706" t="inlineStr">
        <is>
          <t>Автоматизация в 1С ведения данных по ВУ и бронированию</t>
        </is>
      </c>
      <c r="B184" s="701" t="inlineStr">
        <is>
          <t>Внесение данных по бронированию в 1С: приказов, справок пр. документов</t>
        </is>
      </c>
      <c r="C184" s="701" t="inlineStr">
        <is>
          <t>Организация деятельности подразделения</t>
        </is>
      </c>
      <c r="D184" s="181" t="inlineStr">
        <is>
          <t>Кавыза О.Г.</t>
        </is>
      </c>
      <c r="E184" s="191" t="inlineStr">
        <is>
          <t>данные по ведению ВУ реализовано на 100%, по бронированию - в процессе, т.к. функционал по этой части в 1С обновлен разработчиками 1С в июне 2026 г.</t>
        </is>
      </c>
    </row>
    <row r="185" hidden="1">
      <c r="A185" s="819" t="inlineStr">
        <is>
          <t>Рекрутинг</t>
        </is>
      </c>
      <c r="B185" s="760" t="n"/>
      <c r="C185" s="760" t="n"/>
      <c r="D185" s="760" t="n"/>
      <c r="E185" s="761" t="n"/>
    </row>
    <row r="186" hidden="1" ht="138" customHeight="1">
      <c r="A186" s="691" t="inlineStr">
        <is>
          <t>Набор на основное производство</t>
        </is>
      </c>
      <c r="B186" s="182" t="inlineStr">
        <is>
          <t>набор персонала на критичное направление</t>
        </is>
      </c>
      <c r="C186" s="182" t="inlineStr">
        <is>
          <t>Укомплектование отделов</t>
        </is>
      </c>
      <c r="D186" s="181" t="inlineStr">
        <is>
          <t>Пенский А.
Осипова В.Г.
Блинова А.
Ковалева Е.
Исматова В.</t>
        </is>
      </c>
      <c r="E186" s="182" t="inlineStr">
        <is>
          <t xml:space="preserve">Пенский А., Осипова В.: Регулярная ОС с руководством производственного блока, отчетсноть, аналитика и представление предложений по возникающим проблемам.
Регулярная акутализация плана подбора, приоритезация. 
Внедрение чек-листов для рекрутеров и нанимающих менеджеров.
Блинова А., Ковалева Е., Исматова В.: усиленный поиск на приоритетные позиции, доп.источники (база, рекомендации, внешние рекламные ресурсы) </t>
        </is>
      </c>
    </row>
    <row r="187" hidden="1" ht="110.4" customHeight="1">
      <c r="A187" s="691" t="inlineStr">
        <is>
          <t>Набор технологов в АИ СН</t>
        </is>
      </c>
      <c r="B187" s="182" t="inlineStr">
        <is>
          <t>набор персонала на критичное направление</t>
        </is>
      </c>
      <c r="C187" s="182" t="inlineStr">
        <is>
          <t>Укомплектование отдела</t>
        </is>
      </c>
      <c r="D187" s="181" t="inlineStr">
        <is>
          <t>Осипова В.
Блинова А.
Новикова Ю.</t>
        </is>
      </c>
      <c r="E187" s="182" t="inlineStr">
        <is>
          <t xml:space="preserve">Взаимодействие с отделом ОГТ, проведение оперативных совещаний, изменение приоритетности подбора по горящим позициям.
За квартал выведено 7 новых сотрудников, на текущий момент численность службы 40 человек, закрытие критичных позиций начальника отдела в руднево, на сборку, металлообработку. </t>
        </is>
      </c>
    </row>
    <row r="188" hidden="1" ht="69" customHeight="1">
      <c r="A188" s="706" t="inlineStr">
        <is>
          <t>Усиление ОП Жуковский</t>
        </is>
      </c>
      <c r="B188" s="184" t="inlineStr">
        <is>
          <t>Набор персонала по направлениям конструкторы, технологи</t>
        </is>
      </c>
      <c r="C188" s="182" t="inlineStr">
        <is>
          <t>Масштабирование компании, развитие нового филиала</t>
        </is>
      </c>
      <c r="D188" s="182" t="inlineStr">
        <is>
          <t xml:space="preserve">Осипова В.,
Блинова А. </t>
        </is>
      </c>
      <c r="E188" s="181" t="inlineStr">
        <is>
          <t xml:space="preserve"> На текущий момент активный поиск на площадку остановлен, прорабатывается возможность перевода текущих служб
За квартал принят в ОП Жуковский - 1 сотрудник</t>
        </is>
      </c>
    </row>
    <row r="189" hidden="1" ht="82.8" customHeight="1">
      <c r="A189" s="706" t="inlineStr">
        <is>
          <t>Актуализация плана подбора на квартал</t>
        </is>
      </c>
      <c r="B189" s="184" t="inlineStr">
        <is>
          <t>Вычитка всех вакансий, актуализация плана с руководителями, корректировки в ХФ и на HH.ru</t>
        </is>
      </c>
      <c r="C189" s="182" t="inlineStr">
        <is>
          <t>Повышение качества подбора персонала</t>
        </is>
      </c>
      <c r="D189" s="182" t="inlineStr">
        <is>
          <t>Пенский А.
Осипова В.,
Шибалкова Ю. 
Ковалева Е.
Блинова А.
Исматова В.</t>
        </is>
      </c>
      <c r="E189" s="181" t="inlineStr">
        <is>
          <t xml:space="preserve"> Актуализация плана подбора, корректировка по цифрам, работа с новыми заявками</t>
        </is>
      </c>
    </row>
    <row r="190" hidden="1" ht="41.4" customHeight="1">
      <c r="A190" s="738" t="inlineStr">
        <is>
          <t xml:space="preserve">Организация и контроль работы по проверке соискателей </t>
        </is>
      </c>
      <c r="B190" s="195" t="inlineStr">
        <is>
          <t>Проверка кандидатов на различного вида задолженности и наличие ЮР лиц и ИП в системе Кронос</t>
        </is>
      </c>
      <c r="C190" s="195" t="inlineStr">
        <is>
          <t>Проверка</t>
        </is>
      </c>
      <c r="D190" s="195" t="inlineStr">
        <is>
          <t xml:space="preserve">Ковалева Е.
Осипова В.
</t>
        </is>
      </c>
      <c r="E190" s="195" t="inlineStr">
        <is>
          <t>Проведено 78 проверок в системе Кронос
Постоянные консультации с внутренней СБ по спорным вопросам</t>
        </is>
      </c>
    </row>
    <row r="191" hidden="1" ht="55.2" customHeight="1">
      <c r="A191" s="753" t="n"/>
      <c r="B191" s="196" t="inlineStr">
        <is>
          <t>Для руководящих и точечных должностей по запросу собираем рекомендации по кандидату перед выставлением оффера</t>
        </is>
      </c>
      <c r="C191" s="197" t="inlineStr">
        <is>
          <t>Повышение качества подбора персонала</t>
        </is>
      </c>
      <c r="D191" s="198" t="inlineStr">
        <is>
          <t>Шибалкова Ю. 
Ковалева Е.
Исматова В.
Новикова Ю.</t>
        </is>
      </c>
      <c r="E191" s="199" t="inlineStr">
        <is>
          <t>Ковалева Е.С.: в данном квартале не было необходимости предоставлять рекомендации на открытые позиции
Шибалкова Ю.А.: было собрано 5 рекомендаций</t>
        </is>
      </c>
    </row>
    <row r="192" hidden="1" ht="55.2" customHeight="1">
      <c r="A192" s="690" t="inlineStr">
        <is>
          <t>Предварительные мед.осмотры</t>
        </is>
      </c>
      <c r="B192" s="65" t="inlineStr">
        <is>
          <t>Направление на предварительные мед. осмотры</t>
        </is>
      </c>
      <c r="C192" s="185" t="inlineStr">
        <is>
          <t>Проверка перед трудоустройством</t>
        </is>
      </c>
      <c r="D192" s="186" t="inlineStr">
        <is>
          <t>Ковалева Е.
Блинова А. 
Исматова В.
Новикова Ю.</t>
        </is>
      </c>
      <c r="E192" s="182" t="inlineStr">
        <is>
          <t>Блинова А.И. - выдано 8 направлений на медосмотры
Исматова В. - выдано 17 направлений на медосмотр
Ковалева Е.С. - выдано 4 направление на медосмотр
Шибалкова Ю.А. - выдано 3 направления на медосмотр</t>
        </is>
      </c>
    </row>
    <row r="193" hidden="1" ht="55.2" customHeight="1">
      <c r="A193" s="71" t="inlineStr">
        <is>
          <t>Сбор рекомендаций с прошлых мест работ кандидатов</t>
        </is>
      </c>
      <c r="B193" s="184" t="inlineStr">
        <is>
          <t>Для руководящих и точечных должностей по запросу собираем рекомендации по кандидату перед выставлением оффера</t>
        </is>
      </c>
      <c r="C193" s="186" t="inlineStr">
        <is>
          <t>Повышение качества подбора персонала</t>
        </is>
      </c>
      <c r="D193" s="182" t="inlineStr">
        <is>
          <t>Шибалкова Ю. 
Ковалева Е.
Исматова В.
Новикова Ю.</t>
        </is>
      </c>
      <c r="E193" s="186" t="inlineStr">
        <is>
          <t xml:space="preserve"> Шибалкова Ю.А.: было собрано 5 рекомендаций</t>
        </is>
      </c>
    </row>
    <row r="194" hidden="1" ht="41.4" customHeight="1">
      <c r="A194" s="691" t="inlineStr">
        <is>
          <t>Мониторинг рынка труда</t>
        </is>
      </c>
      <c r="B194" s="184" t="inlineStr">
        <is>
          <t>Сбор и отражение в табличной форме данных</t>
        </is>
      </c>
      <c r="C194" s="182" t="inlineStr">
        <is>
          <t>Оценка ситуации на рынке труда для корректировки кадровой политики</t>
        </is>
      </c>
      <c r="D194" s="181" t="inlineStr">
        <is>
          <t xml:space="preserve">Осипова В.
</t>
        </is>
      </c>
      <c r="E194" s="182" t="inlineStr">
        <is>
          <t xml:space="preserve">Аналитика рынка зп по направлениям маляров и столяров, выявлено отставание от рынка. 
данные переданы руководству. </t>
        </is>
      </c>
    </row>
    <row r="195" hidden="1" ht="55.2" customHeight="1">
      <c r="A195" s="691" t="inlineStr">
        <is>
          <t>Альтернативные ресурсы
привлечения кандидатов</t>
        </is>
      </c>
      <c r="B195" s="184" t="inlineStr">
        <is>
          <t>Поиск альтернативных вариантов размещения вакансий</t>
        </is>
      </c>
      <c r="C195" s="182" t="inlineStr">
        <is>
          <t>Увеличение потока кандидатов</t>
        </is>
      </c>
      <c r="D195" s="181" t="inlineStr">
        <is>
          <t>Осипова В.,
Блинова А.</t>
        </is>
      </c>
      <c r="E195" s="182" t="inlineStr">
        <is>
          <t xml:space="preserve"> Публикаци горящий вакансий "Столяр", "Шлифовщик" в бесплатных группах ВК, форум "Мебельщик", сайте "ГородРабот". Предложение о размещения на автобусных остановках (передано Михайловой А.)</t>
        </is>
      </c>
    </row>
    <row r="196" hidden="1" ht="96.59999999999999" customHeight="1">
      <c r="A196" s="691" t="inlineStr">
        <is>
          <t>Отчетность еженедельная/квартальная</t>
        </is>
      </c>
      <c r="B196" s="191" t="inlineStr">
        <is>
          <t>Заполнение форм отчетности</t>
        </is>
      </c>
      <c r="C196" s="193" t="inlineStr">
        <is>
          <t>Выполнение плана подбора</t>
        </is>
      </c>
      <c r="D196" s="193" t="inlineStr">
        <is>
          <t>Пенский А.
Осипова В.,
Шибалкова Ю. 
Ковалева Е.
Блинова А. 
Исматова В.
Новикова Ю.</t>
        </is>
      </c>
      <c r="E196" s="193" t="inlineStr">
        <is>
          <t>Осипова В.,,Шибалкова Ю.- Заполнение еженедельной/ежемесячной отчетности, отчет по выходам сотрудников</t>
        </is>
      </c>
    </row>
    <row r="197" hidden="1" ht="110.4" customFormat="1" customHeight="1" s="189">
      <c r="A197" s="200" t="inlineStr">
        <is>
          <t>Реферальная программа</t>
        </is>
      </c>
      <c r="B197" s="201" t="inlineStr">
        <is>
          <t>Отслеживание окончания ИС сотрудников по рекомендации</t>
        </is>
      </c>
      <c r="C197" s="202" t="inlineStr">
        <is>
          <t>Увеличение воронки кандидатов, развитие HR бренда работодателя</t>
        </is>
      </c>
      <c r="D197" s="202" t="inlineStr">
        <is>
          <t>Осипова В.,
Шибалкова Ю. 
Ковалева Е.
Блинова А.
Новикова Ю.</t>
        </is>
      </c>
      <c r="E197" s="202" t="inlineStr">
        <is>
          <t xml:space="preserve"> Блинова А.И.- отслеживание испытательного срока по реферальной программе - 2 сотрудника
Исматова В.А. - отслеживание испытательного срока по реферальной программе - 7 сотрудников
Ковалева Е.С. - отслеживание испытательного срока по реферальной программе - 13 сотрудников
Осипова В. - согласовано всего 36 выплат</t>
        </is>
      </c>
    </row>
    <row r="198" hidden="1" ht="82.8" customHeight="1">
      <c r="A198" s="45" t="inlineStr">
        <is>
          <t>Обучение по подбору персонала для руководителей</t>
        </is>
      </c>
      <c r="B198" s="45" t="inlineStr">
        <is>
          <t>Разработка программы тренинга</t>
        </is>
      </c>
      <c r="C198" s="46" t="inlineStr">
        <is>
          <t>Повышение качества подбора персонала</t>
        </is>
      </c>
      <c r="D198" s="46" t="inlineStr">
        <is>
          <t>Новикова Ю.
Аншакова И.
Осипова В.</t>
        </is>
      </c>
      <c r="E198" s="46" t="inlineStr">
        <is>
          <t>Новикова Ю. - разработка тренинга, дальнейшее проведение в группах в очном формате.
Планируемый старт курса июль 2026
Аншакова И., Осипова В. - ТЗ для прорабготки курса, организация внутренних групп на обучение</t>
        </is>
      </c>
    </row>
    <row r="199" hidden="1">
      <c r="A199" s="830" t="inlineStr">
        <is>
          <t>Адаптация</t>
        </is>
      </c>
      <c r="B199" s="760" t="n"/>
      <c r="C199" s="760" t="n"/>
      <c r="D199" s="760" t="n"/>
      <c r="E199" s="760" t="n"/>
    </row>
    <row r="200" hidden="1" ht="82.8" customHeight="1">
      <c r="A200" s="740" t="inlineStr">
        <is>
          <t>Онбординг</t>
        </is>
      </c>
      <c r="B200" s="706" t="inlineStr">
        <is>
          <t>Проведение краткой экскурсии для новых сотрудников и выдача Welcome Kit, знакомство с руководителем</t>
        </is>
      </c>
      <c r="C200" s="178" t="inlineStr">
        <is>
          <t>Адаптация новичков, снижение времени на включение в работу, снижение текучести.</t>
        </is>
      </c>
      <c r="D200" s="178" t="inlineStr">
        <is>
          <t>Осипова В.
Шибалкова Ю. 
Ковалева Е.
Блинова А. 
Котов И.
Исматова В.</t>
        </is>
      </c>
      <c r="E200" s="181" t="inlineStr">
        <is>
          <t>Блинова А.И. - ОП Жуковский - 1 сотрудник
Исматова В. - ОП Машково - 26 сотрудников (включая нескольких сотрудников ОП Руднево)
Ковалева Е.С. - Москва - 1 сотрудник
Шибалкова Ю.  - Москва - 6 сотрудников</t>
        </is>
      </c>
    </row>
    <row r="201" hidden="1" ht="55.2" customHeight="1">
      <c r="A201" s="761" t="n"/>
      <c r="B201" s="191" t="inlineStr">
        <is>
          <t>Создание приветственной страницы для новых сотрудников, аналогично ЦТП</t>
        </is>
      </c>
      <c r="C201" s="193" t="inlineStr">
        <is>
          <t>Адаптация новичков, снижение времени на включение в работу, снижение текучести.</t>
        </is>
      </c>
      <c r="D201" s="193" t="inlineStr">
        <is>
          <t>Осипова В.
Котов И.</t>
        </is>
      </c>
      <c r="E201" s="193" t="inlineStr">
        <is>
          <t xml:space="preserve"> Осипова В. контроль по отправке новым сотрудникам
Котов И. Редактирование страницы в соответствии со структурными изменениями в компании (замена инфо про ГД, добавление ЗГД по пр-ву и т.д.)</t>
        </is>
      </c>
    </row>
    <row r="202" hidden="1" ht="69" customHeight="1">
      <c r="A202" s="701" t="inlineStr">
        <is>
          <t>Аттестация</t>
        </is>
      </c>
      <c r="B202" s="191" t="inlineStr">
        <is>
          <t>Проведение аттестации действующих сотрудников для повышения категории/разряда и уровня заработной платы, в соответствии с ШР</t>
        </is>
      </c>
      <c r="C202" s="193" t="inlineStr">
        <is>
          <t>Повышение категорий и разрядов действующих сотрудников</t>
        </is>
      </c>
      <c r="D202" s="193" t="inlineStr">
        <is>
          <t>Осипова В.
Шибалкова Ю.
Ковалева Е.
Блинова А.
Исматова В.</t>
        </is>
      </c>
      <c r="E202" s="193" t="inlineStr">
        <is>
          <t xml:space="preserve"> Исматова В. - проведено 4 аттестации
Ковалева Е.С. - проведена 21 аттестация. Планируется до конца квартала еще 18
Шибалкова Ю. - проведено 2 аттестации
Осипова В. - проведено 13 аттестаций</t>
        </is>
      </c>
    </row>
    <row r="203" hidden="1" ht="69" customHeight="1">
      <c r="A203" s="706" t="inlineStr">
        <is>
          <t>Разработка  адаптационного листа для вновь принятых сотрудников</t>
        </is>
      </c>
      <c r="B203" s="701" t="inlineStr">
        <is>
          <t>Утверждение формы единого чек-листа</t>
        </is>
      </c>
      <c r="C203" s="181" t="inlineStr">
        <is>
          <t>Снижение текучести персонала, дальнейшее развитие персонала</t>
        </is>
      </c>
      <c r="D203" s="181" t="inlineStr">
        <is>
          <t>Блинова А., Осипова В.</t>
        </is>
      </c>
      <c r="E203" s="181" t="inlineStr">
        <is>
          <t xml:space="preserve"> Блинова А. - разработка фомы чек-листа
Осипова В. - Редактирование чек-листа в соответствии с требованиями коллег из ОУП, с учетом рисков по законодательству. Фиксация формы в проекте Положения об адаптации.</t>
        </is>
      </c>
    </row>
    <row r="204" hidden="1" ht="110.4" customHeight="1">
      <c r="A204" s="691" t="inlineStr">
        <is>
          <t>Общение по результатам ИС</t>
        </is>
      </c>
      <c r="B204" s="701" t="inlineStr">
        <is>
          <t>Встречи с сотрудниками на ИС и во время ИС
Подготовка чек-листа для прошедших ИС и шаблона СЗ для изменений по результатам ИС</t>
        </is>
      </c>
      <c r="C204" s="181" t="inlineStr">
        <is>
          <t>Мониторинг состояния новичков на ИС, снижение текучести персонала, обсуждение дальнейшего развития</t>
        </is>
      </c>
      <c r="D204" s="181" t="inlineStr">
        <is>
          <t>Шибалкова Ю. 
Ковалева Е.
Блинова А. 
Исматова В.</t>
        </is>
      </c>
      <c r="E204" s="181" t="inlineStr">
        <is>
          <t>Исматова В. - проведено 13 встреч с сотрудниками на ИС и по его окончанию
Ковалева Е.С. - проведено 9 встреч
Шибалкова Ю. - проведено 6 встреч с сотрудниками на ИС и по его окончанию
введение Чек-листа на ИС по отдельным сотрудникам критичных позиций, отслеживание прогресса по нему</t>
        </is>
      </c>
    </row>
    <row r="205" hidden="1" ht="55.2" customFormat="1" customHeight="1" s="189">
      <c r="A205" s="190" t="inlineStr">
        <is>
          <t>Общение по результатам ИС/работы - переговоры по увольнению сотрудника</t>
        </is>
      </c>
      <c r="B205" s="191" t="inlineStr">
        <is>
          <t>Встреча с сотрудником на протяжении ИС, с проблемными зонами</t>
        </is>
      </c>
      <c r="C205" s="193" t="inlineStr">
        <is>
          <t>Повышение эффективности команды, "отсев" сотрудников, которые не устраивают работодателя</t>
        </is>
      </c>
      <c r="D205" s="193" t="inlineStr">
        <is>
          <t>Пенский А.
Осипова В.
Ковалева Е.</t>
        </is>
      </c>
      <c r="E205" s="193" t="inlineStr">
        <is>
          <t xml:space="preserve">Ковалева Е.С. - проведено 1 exit интервью
Блинова А. - проведено 2 exit интервью, 1 из них переговоры по увольнению 
Осипова В. - проведено 5 exit интервью </t>
        </is>
      </c>
    </row>
    <row r="206" hidden="1" ht="82.8" customHeight="1">
      <c r="A206" s="691" t="inlineStr">
        <is>
          <t>ЛНА</t>
        </is>
      </c>
      <c r="B206" s="701" t="inlineStr">
        <is>
          <t>Разработка и внедрение Положений об адаптации и наставничестве</t>
        </is>
      </c>
      <c r="C206" s="181" t="inlineStr">
        <is>
          <t>Систематизация процесса, инструктирование руководителей.</t>
        </is>
      </c>
      <c r="D206" s="181" t="inlineStr">
        <is>
          <t>Осипова В.</t>
        </is>
      </c>
      <c r="E206" s="46" t="inlineStr">
        <is>
          <t xml:space="preserve">Положения доработаны с учетом замечаний, на согласовании и утверждении руководства.
Участие в проработке схемы оплаты наставничества, проработка совместно с коллегами АИ Казань и АИ Воронеж </t>
        </is>
      </c>
    </row>
    <row r="207" hidden="1" ht="41.4" customHeight="1">
      <c r="A207" s="691" t="inlineStr">
        <is>
          <t>Согласование договоров на практику со студентами</t>
        </is>
      </c>
      <c r="B207" s="701" t="inlineStr">
        <is>
          <t>Прохождение практики студентами</t>
        </is>
      </c>
      <c r="C207" s="181" t="inlineStr">
        <is>
          <t>Привлечение молодых специалистов</t>
        </is>
      </c>
      <c r="D207" s="181" t="inlineStr">
        <is>
          <t>Осипова В.</t>
        </is>
      </c>
      <c r="E207" s="46" t="inlineStr">
        <is>
          <t>Проведены переговоры и согласованы 3 договора на прохождение практики в компании, утверждение куратора практики, иснтруктирование по организации практики.</t>
        </is>
      </c>
    </row>
    <row r="208" hidden="1">
      <c r="A208" s="831" t="inlineStr">
        <is>
          <t>Материальная и не материальная мотивация</t>
        </is>
      </c>
      <c r="B208" s="832" t="n"/>
      <c r="C208" s="832" t="n"/>
      <c r="D208" s="832" t="n"/>
      <c r="E208" s="749" t="n"/>
    </row>
    <row r="209" hidden="1" ht="41.4" customHeight="1">
      <c r="A209" s="76" t="inlineStr">
        <is>
          <t>Питание сотрудников</t>
        </is>
      </c>
      <c r="B209" s="65" t="inlineStr">
        <is>
          <t>Сопровождение процесса, решение проблем</t>
        </is>
      </c>
      <c r="C209" s="186" t="inlineStr">
        <is>
          <t> </t>
        </is>
      </c>
      <c r="D209" s="203" t="inlineStr">
        <is>
          <t>Пенский А.К.</t>
        </is>
      </c>
      <c r="E209" s="83" t="inlineStr">
        <is>
          <t>Шибалкова Ю., Осипова В.- заведение/контроль счетов на оплату питания Машково, Пенский - коммуникация с исполнителями по претензиям</t>
        </is>
      </c>
    </row>
    <row r="210" hidden="1" ht="82.8" customFormat="1" customHeight="1" s="189">
      <c r="A210" s="96" t="inlineStr">
        <is>
          <t>Организация питания сотрудников</t>
        </is>
      </c>
      <c r="B210" s="191" t="inlineStr">
        <is>
          <t>Организация альтернативного несубсидируемого варианта питания для гостей и командированных сотрудников посредством установки "едаматов".  Проработка организации питания в ОП Жуковский</t>
        </is>
      </c>
      <c r="C210" s="192" t="inlineStr">
        <is>
          <t>Нематериальная мотивация</t>
        </is>
      </c>
      <c r="D210" s="204" t="inlineStr">
        <is>
          <t>Пенский А.К.</t>
        </is>
      </c>
      <c r="E210" s="205" t="inlineStr">
        <is>
          <t>Проведены переговоры с потенциальными исполнителями. Компания по установке едаматов отказалась на этапе пробного периода. По Жуковскому - согласован формат взаимодействия с исполнителем. При получении одобрения руководства по обеспечению питанием сотрудников ОП Жуковский готовы подписать договор.</t>
        </is>
      </c>
    </row>
    <row r="211" hidden="1" ht="27.6" customHeight="1">
      <c r="A211" s="185" t="inlineStr">
        <is>
          <t>ДМС</t>
        </is>
      </c>
      <c r="B211" s="184" t="inlineStr">
        <is>
          <t>Участие в тендере по выбору поставщика услуг (страховщика) на следующий цикл</t>
        </is>
      </c>
      <c r="C211" s="182" t="inlineStr">
        <is>
          <t>Нематериальная мотивация</t>
        </is>
      </c>
      <c r="D211" s="203" t="inlineStr">
        <is>
          <t>Пенский А.К.</t>
        </is>
      </c>
      <c r="E211" s="83" t="inlineStr">
        <is>
          <t>Постащик определен. Обеспечено участие 2 альтернативных исполнителей.</t>
        </is>
      </c>
    </row>
    <row r="212" hidden="1" ht="110.4" customHeight="1">
      <c r="A212" s="51" t="inlineStr">
        <is>
          <t>ДМС</t>
        </is>
      </c>
      <c r="B212" s="701" t="inlineStr">
        <is>
          <t>Подключение сотрудников со сроком работы от 6 месяцев</t>
        </is>
      </c>
      <c r="C212" s="186" t="inlineStr">
        <is>
          <t>Нематериальная мотивация</t>
        </is>
      </c>
      <c r="D212" s="182" t="inlineStr">
        <is>
          <t xml:space="preserve">Осипова В. 
</t>
        </is>
      </c>
      <c r="E212" s="182" t="inlineStr">
        <is>
          <t>Подключено более 60 сотрудников, отключено более 10, замена программы для 1 сотрудника 
Составлен и подан список на подключение 586 сотрудников к новому договору с 01.07.2026 с РГС
Регулярное консультирование коллег по вопросам ДМС, помощь в спорных вопросах согласования со страховой</t>
        </is>
      </c>
    </row>
    <row r="213" hidden="1" ht="27.6" customHeight="1">
      <c r="A213" s="706" t="inlineStr">
        <is>
          <t>Подписка на журнал Кадроевое дело</t>
        </is>
      </c>
      <c r="B213" s="701" t="inlineStr">
        <is>
          <t>Оформление подписки, рассылка ежемесечных выпусков</t>
        </is>
      </c>
      <c r="C213" s="182" t="n"/>
      <c r="D213" s="182" t="inlineStr">
        <is>
          <t xml:space="preserve">Шибалкова Ю. </t>
        </is>
      </c>
      <c r="E213" s="182" t="inlineStr">
        <is>
          <t>Оформлена подписка, ежемесечная рассылка новых выпусков электронного журнала</t>
        </is>
      </c>
    </row>
    <row r="214" hidden="1" ht="27.6" customHeight="1">
      <c r="A214" s="190" t="inlineStr">
        <is>
          <t>Best Benefits</t>
        </is>
      </c>
      <c r="B214" s="191" t="inlineStr">
        <is>
          <t>Подключение сервиса для сотрудников АИ СН</t>
        </is>
      </c>
      <c r="C214" s="193" t="inlineStr">
        <is>
          <t>Нематериальная мотивация</t>
        </is>
      </c>
      <c r="D214" s="193" t="inlineStr">
        <is>
          <t>Осипова В.
Котов И.</t>
        </is>
      </c>
      <c r="E214" s="193" t="inlineStr">
        <is>
          <t xml:space="preserve"> 1. Реализация информационной кампании о программе льгот для сотрудников</t>
        </is>
      </c>
    </row>
    <row r="215" hidden="1" ht="27.6" customHeight="1">
      <c r="A215" s="190" t="inlineStr">
        <is>
          <t>Реализация плана обучения персонала</t>
        </is>
      </c>
      <c r="B215" s="191" t="inlineStr">
        <is>
          <t>План обучения согласован - актуализация планов на квартал, организация курсов</t>
        </is>
      </c>
      <c r="C215" s="193" t="inlineStr">
        <is>
          <t>Повышение компетенций сотрудников по профильным направлениям</t>
        </is>
      </c>
      <c r="D215" s="193" t="inlineStr">
        <is>
          <t xml:space="preserve">Осипова В. 
Шибалкова Ю. </t>
        </is>
      </c>
      <c r="E215" s="193" t="inlineStr">
        <is>
          <t>Шибалкова: организовано 15 обучений для 23 сотрудников</t>
        </is>
      </c>
    </row>
    <row r="216" hidden="1">
      <c r="A216" s="825" t="inlineStr">
        <is>
          <t>Развитие  HR-бренда</t>
        </is>
      </c>
      <c r="B216" s="805" t="n"/>
      <c r="C216" s="805" t="n"/>
      <c r="D216" s="805" t="n"/>
      <c r="E216" s="747" t="n"/>
    </row>
    <row r="217" hidden="1" ht="55.2" customFormat="1" customHeight="1" s="189">
      <c r="A217" s="190" t="inlineStr">
        <is>
          <t>Happy Job</t>
        </is>
      </c>
      <c r="B217" s="191" t="inlineStr">
        <is>
          <t>Органиация,проведение встреч с руководителями/сотрудниками подразделений по результатам опроса вовлеченности персонала Happy Job</t>
        </is>
      </c>
      <c r="C217" s="193" t="inlineStr">
        <is>
          <t>Повышение показателей вовлеченности и лояльности</t>
        </is>
      </c>
      <c r="D217" s="192" t="inlineStr">
        <is>
          <t xml:space="preserve">Осипова В., 
</t>
        </is>
      </c>
      <c r="E217" s="193" t="inlineStr">
        <is>
          <t xml:space="preserve"> Отслеживание плана</t>
        </is>
      </c>
    </row>
    <row r="218" hidden="1" ht="69" customHeight="1">
      <c r="A218" s="706" t="inlineStr">
        <is>
          <t>Встречи с сотрудниками по запросу от руководителей/размещенному резюме/exit-интервью</t>
        </is>
      </c>
      <c r="B218" s="701" t="inlineStr">
        <is>
          <t xml:space="preserve">По запросу
</t>
        </is>
      </c>
      <c r="C218" s="181" t="inlineStr">
        <is>
          <t>Сбор информации о причинах увольнений и проблемах компании для проработки и устранения проблем</t>
        </is>
      </c>
      <c r="D218" s="182" t="inlineStr">
        <is>
          <t>Шибалкова Ю. 
Ковалева Е.
Блинова А.
Исматова В.</t>
        </is>
      </c>
      <c r="E218" s="182" t="inlineStr">
        <is>
          <t xml:space="preserve"> Исматова В. - проведено 2 exit-интервью и 1 встреча по размещенному резюме
Ковалева Е.С. - проведена 1 встреча по размещенному резюме
Шибалкова Ю. - проведено 1 exit интервью</t>
        </is>
      </c>
    </row>
    <row r="219" hidden="1" ht="55.2" customHeight="1">
      <c r="A219" s="833" t="inlineStr">
        <is>
          <t>Поздравления с ДР сотрудников</t>
        </is>
      </c>
      <c r="B219" s="701" t="inlineStr">
        <is>
          <t xml:space="preserve">Актуализация списков именинников на будущий месяц, сбор фотографий для поздравлений. Сбор/отправка в филиалы подарков на ДР для сотрудников </t>
        </is>
      </c>
      <c r="C219" s="834" t="inlineStr">
        <is>
          <t>Поддержание корп. культуры</t>
        </is>
      </c>
      <c r="D219" s="181" t="inlineStr">
        <is>
          <t>Шибалкова Ю. Котов И.</t>
        </is>
      </c>
      <c r="E219" s="181" t="inlineStr">
        <is>
          <t xml:space="preserve"> Шибалкова Ю. - выгрузка списков из 1С
Котов И. - сбор фото, отправка подарков согласно списку по всем площадкам АИ СН </t>
        </is>
      </c>
    </row>
    <row r="220" hidden="1" ht="41.4" customHeight="1">
      <c r="A220" s="753" t="n"/>
      <c r="B220" s="701" t="inlineStr">
        <is>
          <t>Составление, подписание приказов, списков, ведомостей, договоров дарения на подарки</t>
        </is>
      </c>
      <c r="C220" s="753" t="n"/>
      <c r="D220" s="181" t="inlineStr">
        <is>
          <t>Котов И.
Бушуев Д.
Исматова В.</t>
        </is>
      </c>
      <c r="E220" s="181" t="inlineStr">
        <is>
          <t xml:space="preserve"> Исматова В. - подписание ведомостей и договоров дарения на подарки в ОП Машково</t>
        </is>
      </c>
    </row>
    <row r="221" hidden="1" ht="110.4" customHeight="1">
      <c r="A221" s="706" t="inlineStr">
        <is>
          <t>Реклама</t>
        </is>
      </c>
      <c r="B221" s="701" t="inlineStr">
        <is>
          <t>Повышение узнаваемости</t>
        </is>
      </c>
      <c r="C221" s="701" t="inlineStr">
        <is>
          <t>Развитие бренда</t>
        </is>
      </c>
      <c r="D221" s="181" t="inlineStr">
        <is>
          <t>ПенскийА.К.
 ОсиповаВ.Г.</t>
        </is>
      </c>
      <c r="E221" s="181" t="inlineStr">
        <is>
          <t>Предложения по продвижению бренда: брендирование авто - собраны тех.характеристики нашего авто у транспортного отдела, передано ТЗ на разработку в Отдел дизайна.
Собраны предложения по сотрудникам нашего HR отдела (размещение рекламы на остановках выглядит потенциально интересным) - передано Михайловой А. для проработки</t>
        </is>
      </c>
    </row>
    <row r="222" hidden="1" ht="69" customHeight="1">
      <c r="A222" s="706" t="inlineStr">
        <is>
          <t>Работа с СУЗами, ВУЗами, ярмарки вакансий</t>
        </is>
      </c>
      <c r="B222" s="701" t="inlineStr">
        <is>
          <t>Актуализация информации по сотрудничеству, участие в ярмарках вакансий</t>
        </is>
      </c>
      <c r="C222" s="181" t="inlineStr">
        <is>
          <t>Привлечь молодых специалистов на открытые вакансии , повышение узнаваемости бренда АИ СН</t>
        </is>
      </c>
      <c r="D222" s="181" t="inlineStr">
        <is>
          <t>Осипова В.,
Исматова В.
Ковалева Е.
Блинова А.</t>
        </is>
      </c>
      <c r="E222" s="182" t="inlineStr">
        <is>
          <t>Регулярные коммуникации с руковоителем из Площадки практической подготовки колледжей в Руднево, получение резюме студентов, отчетность
Трудоустроено 2 студента за квартал</t>
        </is>
      </c>
    </row>
    <row r="223" hidden="1">
      <c r="A223" s="825" t="inlineStr">
        <is>
          <t>Автоматизация процессов и аналитика</t>
        </is>
      </c>
      <c r="B223" s="805" t="n"/>
      <c r="C223" s="805" t="n"/>
      <c r="D223" s="805" t="n"/>
      <c r="E223" s="747" t="n"/>
    </row>
    <row r="224" hidden="1" ht="69" customHeight="1">
      <c r="A224" s="289" t="inlineStr">
        <is>
          <t>Аудит Хантфлоу</t>
        </is>
      </c>
      <c r="B224" s="289" t="inlineStr">
        <is>
          <t>Проведение аудит по качеству ведения базы согласно нашей инструкции, фиксация замечаний и дальнейшая отработка</t>
        </is>
      </c>
      <c r="C224" s="289" t="inlineStr">
        <is>
          <t>Повышение качества подбора, снижение сроков</t>
        </is>
      </c>
      <c r="D224" s="289" t="inlineStr">
        <is>
          <t xml:space="preserve">Осипова В. </t>
        </is>
      </c>
      <c r="E224" s="289" t="inlineStr">
        <is>
          <t>За квартал 2 дежурства по ведению базы, все выставленные замечания коллегами отработаны.
Так же отслеживание отработки замечаний рекрутерами АИ СН</t>
        </is>
      </c>
      <c r="F224" s="701" t="n"/>
      <c r="G224" s="182" t="n"/>
      <c r="H224" s="182" t="n"/>
      <c r="I224" s="182" t="n"/>
    </row>
    <row r="225" hidden="1" ht="165.6" customHeight="1">
      <c r="A225" s="290" t="inlineStr">
        <is>
          <t xml:space="preserve"> Хантфлоу</t>
        </is>
      </c>
      <c r="B225" s="291" t="inlineStr">
        <is>
          <t>Ведение базы кандидатов, отслеживание воронки подбора.</t>
        </is>
      </c>
      <c r="C225" s="292" t="inlineStr">
        <is>
          <t>Повышение качества подбора, снижение сроков</t>
        </is>
      </c>
      <c r="D225" s="292" t="inlineStr">
        <is>
          <t>Шибалкова Ю. 
Ковалева Е.
Блинова А. 
Исматова В.
Новикова Ю.</t>
        </is>
      </c>
      <c r="E225" s="292" t="inlineStr">
        <is>
          <t xml:space="preserve"> Блинова А. - открытие/закрытие заявок, приостановка вакансий, выставление меток, устранение замечаний по аудиту ХФ
Исматова В. - открытие/закрытие заявок, приостановка вакансий, выставление меток, выставление этапов, устранение замечаний по аудиту ХФ
Коваелва Е.С. - открытие/закрытие заявок, приостановка вакансий, выставление меток, выставление этапов, устранение замечаний по аудиту ХФ
Шибалкова Ю. - открытие/закрытие заявок, приостановка вакансий, выставление меток, устранение замечаний по аудиту ХФ</t>
        </is>
      </c>
    </row>
    <row r="226" hidden="1" ht="55.2" customHeight="1">
      <c r="A226" s="290" t="inlineStr">
        <is>
          <t>Аналитика резюме кандидатов. Работающих сотрудников, обновляющих резюме</t>
        </is>
      </c>
      <c r="B226" s="290" t="inlineStr">
        <is>
          <t>Отслеживание баз резюме, аналитика</t>
        </is>
      </c>
      <c r="C226" s="292" t="inlineStr">
        <is>
          <t>Удержание персонала</t>
        </is>
      </c>
      <c r="D226" s="292" t="inlineStr">
        <is>
          <t>Шибалкова Ю. 
Ковалева Е.
Блинова А.
Исматова В.</t>
        </is>
      </c>
      <c r="E226" s="292" t="inlineStr">
        <is>
          <t xml:space="preserve"> Блинова А.И. - проведено 2 встречи
Исматова В. - проведена 1 встреча
Ковалева Е.С. - проведена 1 встреча</t>
        </is>
      </c>
    </row>
    <row r="227" hidden="1">
      <c r="A227" s="825" t="inlineStr">
        <is>
          <t>Корпоративные коммуникации</t>
        </is>
      </c>
      <c r="B227" s="805" t="n"/>
      <c r="C227" s="805" t="n"/>
      <c r="D227" s="805" t="n"/>
      <c r="E227" s="747" t="n"/>
    </row>
    <row r="228" hidden="1" ht="201.6" customHeight="1">
      <c r="A228" s="295" t="inlineStr">
        <is>
          <t>Ведение корпоративных коммуникаций за 2 квартал</t>
        </is>
      </c>
      <c r="B228" s="709" t="inlineStr">
        <is>
          <t>Развитие системы коммуникаций / Контроль выполнения запланированных коммуникаций</t>
        </is>
      </c>
      <c r="C228" s="709" t="inlineStr">
        <is>
          <t>Поддержание корп.культуры</t>
        </is>
      </c>
      <c r="D228" s="711" t="inlineStr">
        <is>
          <t>Котов И.</t>
        </is>
      </c>
      <c r="E228" s="295" t="inlineStr">
        <is>
          <t xml:space="preserve"> 1. Разработаны и выполнены все запланированные коммуникации на квартал по ГК АИ + ЦТП - 309 шт (совокупно: рассылки, чаты, портал, инфодоски, ТВ)
   2. Разработаны и запущены новые рубрики по освещению сотрудников: "10 лет вместе с АИ" и "Отзыв о КЭДО".
   3. Разработан и реализован новый подход в оформлении новостей и разделов на корпоративном портале с помощью HTML-верстки и CSS стилей.
   4. Все корпоративный чаты, ранее работавшие в Телегарм - переведены в мессенджер Макс.
   5. Разработан и реализован новый формат новостей для чатов: оформление фотографии через фрейм-хедер + сопровождающий текст</t>
        </is>
      </c>
    </row>
    <row r="229" hidden="1" ht="100.8" customHeight="1">
      <c r="A229" s="709" t="inlineStr">
        <is>
          <t>Подготовка летнего корпоратива 2026 г</t>
        </is>
      </c>
      <c r="B229" s="709" t="inlineStr">
        <is>
          <t>Подготовка нового летнего корпоратива</t>
        </is>
      </c>
      <c r="C229" s="709" t="inlineStr">
        <is>
          <t>развитие корп.культуры</t>
        </is>
      </c>
      <c r="D229" s="318" t="inlineStr">
        <is>
          <t>Котов И.
 Осипова В.</t>
        </is>
      </c>
      <c r="E229" s="295" t="inlineStr">
        <is>
          <t xml:space="preserve"> 1. Разработана полная концепция корпоративного мероприятия
   2. Утверждены площадка и подрядчики для проведения корпоратива
   3. Запланированы встречи с подрядиками для глубокой программы и согласования договоров для заключения.</t>
        </is>
      </c>
    </row>
    <row r="230" hidden="1" ht="172.8" customHeight="1">
      <c r="A230" s="709" t="inlineStr">
        <is>
          <t>Настольный теннис ЛЧБ</t>
        </is>
      </c>
      <c r="B230" s="709" t="inlineStr">
        <is>
          <t>Организация участия сотрудников в турнирах по настольному теннису</t>
        </is>
      </c>
      <c r="C230" s="709" t="inlineStr">
        <is>
          <t>Поддержание корп. культуры</t>
        </is>
      </c>
      <c r="D230" s="318" t="inlineStr">
        <is>
          <t>Осипова В.
  Котов И.</t>
        </is>
      </c>
      <c r="E230" s="295" t="inlineStr">
        <is>
          <t>1. Организовано участие команды по настольному теннису в турнире
   2. Снят и запущен видеоролик об участии команды
   3. Разработана и запущена информационная кампания по освещению настольного тенниса среди компаний АИ СН и ЦТП.
   4. Создан чат любителей настольного тенниса в Макс. Запланированы коммуникации по мотивации участников для вступления в сборную команду.
   5. На 3-й квартал запланирована проработка и согласование площадок для тренировок сборной команды</t>
        </is>
      </c>
    </row>
    <row r="231" hidden="1" ht="144" customHeight="1">
      <c r="A231" s="709" t="inlineStr">
        <is>
          <t>Горящие вакансии</t>
        </is>
      </c>
      <c r="B231" s="709" t="inlineStr">
        <is>
          <t>Ежемесячная информационная кампания</t>
        </is>
      </c>
      <c r="C231" s="295" t="inlineStr">
        <is>
          <t>Поддержание корпоративных коммуникаций, распространение активных вакансий</t>
        </is>
      </c>
      <c r="D231" s="318" t="inlineStr">
        <is>
          <t>Осипова В.
   Котов И.
   Исматова В.</t>
        </is>
      </c>
      <c r="E231" s="295" t="inlineStr">
        <is>
          <t>Исматова В.: выборочный сбор информации по горящим вакансиям в ОП Машково, распечатка свежих объявлений для инфодоски на пр-ве
   Котов И.Д.: 1. Собрана информация по группе компаний по горящим вакансиям
   2. Подготовлены и распространены все коммуникации (рассылка, слайды на ТВ, посты в группы телеграм)
   3. Переоформлена визуализация на корпоративном портале раздела с горящими вакансиями  с помощью HTML-верстки и CSS стилей.</t>
        </is>
      </c>
    </row>
    <row r="232" hidden="1" ht="409.6" customHeight="1">
      <c r="A232" s="709" t="inlineStr">
        <is>
          <t>Приложение "контент-планнер"</t>
        </is>
      </c>
      <c r="B232" s="295" t="inlineStr">
        <is>
          <t>Модернизация собственного приложения для ведения планов</t>
        </is>
      </c>
      <c r="C232" s="295" t="inlineStr">
        <is>
          <t>Развитие корпоративных коммуникаций</t>
        </is>
      </c>
      <c r="D232" s="711" t="inlineStr">
        <is>
          <t>Котов И.</t>
        </is>
      </c>
      <c r="E232" s="295" t="inlineStr">
        <is>
          <t>1. Приложение для планирования контента модернизировано, протестировано и подготовлено для реализации по другим подразделениям.
   2. Добавлены теги событий, которые можно назначать вместо выборочной покраски событий цветом
   3. Переработана система защиты: приложение не требует авторизации, но при удалении событий - они временно хранятся в корзине. Каждый день в 23:59 происходит автоматический бэкап, сохраняющий все записи. При стирании всех настроек - система делает снимок, позволяющий восстановить все настройки, работавшие ранее. Бэкапы невозможно удалить вручную, а система хранит 2 свежие версии как восстановительные.
   4. Добавлен таймлайн справа от сетки календаря, который отображает события сегодняшнего дня. Все события можно отмечать выполненными с помощью специальных чекбоксов.
   5. Обновлена система быстрых пресетов. Можно создавать свои шаблоны событий, чтобы не делать вручную рутинные итерации.
   6. Можно менять / добавлять и убирать локации, в которых будут храниться события.
   7. Добавлена возможность редактирования ответственных и платформ. Можно назначать сотрудников, ответственых за выполнение, а также платформы, на которые распространяется событие (пример: портал, рассылка, и т.д)
   8. Полностью переработано цветовое оформление, есть возможность сделать цветовое оформление под каждого пользователя.
   9. Создана заново база данных, переделана на формат PostgreSQL. Переработана архитектура приложения, разделена на фронт, бэк и БД. В результате сокращена работа ИТ специалистов по обновлению планнера с 2 часов до 10 минут.
   10. отработан механизм работы приложения с новым пользователем, создан автоматический сбор статистики, реализована возможность адаптивной настройки как для внутренних, так и внешних клиентов. 
   11. Планируется презентовать В. В. Шигаеву в конце 2-го / начале 3-го квартала.</t>
        </is>
      </c>
    </row>
    <row r="233" hidden="1" ht="129.6" customHeight="1">
      <c r="A233" s="709" t="inlineStr">
        <is>
          <t>Администрирование портала</t>
        </is>
      </c>
      <c r="B233" s="295" t="inlineStr">
        <is>
          <t>Отработка заявок сотрудников, помощь в адаптации</t>
        </is>
      </c>
      <c r="C233" s="295" t="inlineStr">
        <is>
          <t>Поддержание корпоративных коммуникаций</t>
        </is>
      </c>
      <c r="D233" s="711" t="inlineStr">
        <is>
          <t>Котов И.</t>
        </is>
      </c>
      <c r="E233" s="295" t="inlineStr">
        <is>
          <t xml:space="preserve"> 1. Осуществлялся контроль и своевременное реагирование на возникающие рабочие ситуации: поддержка пользователей при сложностях работы с порталом.
   2. Обновились разделы общего диска: создана и наполнена структура папок действующими ЛНА.
   3. Осуществлено наполнение контентом портала: новости, горящие вакансии, фотографии профилей сотрудников, инструкции, базы знаний.</t>
        </is>
      </c>
    </row>
    <row r="234" hidden="1" ht="57.6" customHeight="1">
      <c r="A234" s="709" t="inlineStr">
        <is>
          <t>Организация мероприятия "Лица Победы"</t>
        </is>
      </c>
      <c r="B234" s="711" t="inlineStr">
        <is>
          <t>информационная кампания, организация проведения</t>
        </is>
      </c>
      <c r="C234" s="711" t="inlineStr">
        <is>
          <t>Поддержание корп. культуры</t>
        </is>
      </c>
      <c r="D234" s="711" t="inlineStr">
        <is>
          <t>Котов И.</t>
        </is>
      </c>
      <c r="E234" s="295" t="inlineStr">
        <is>
          <t xml:space="preserve"> 1. Подготовлена и реализована информационная кампания по патриотической акции.
   2. Опубликовано 65 слайдов с героями/участниками и детями ВОВ.</t>
        </is>
      </c>
    </row>
    <row r="235" hidden="1" ht="57.6" customHeight="1">
      <c r="A235" s="709" t="inlineStr">
        <is>
          <t>Организация мероприятия, посвященного празднованию 1 июня</t>
        </is>
      </c>
      <c r="B235" s="318" t="inlineStr">
        <is>
          <t>информационная кампания, организация проведения</t>
        </is>
      </c>
      <c r="C235" s="711" t="inlineStr">
        <is>
          <t>Поддержание корп. культуры</t>
        </is>
      </c>
      <c r="D235" s="711" t="inlineStr">
        <is>
          <t>Котов И.</t>
        </is>
      </c>
      <c r="E235" s="295" t="inlineStr">
        <is>
          <t xml:space="preserve"> 1. Подготовлена и реализована информационная кампания конкурса оригмами: подготовлено и опубликовано 16 слайдов (28 участников)
   2. Награждены победители конкурса</t>
        </is>
      </c>
    </row>
    <row r="236" hidden="1" ht="57.6" customHeight="1">
      <c r="A236" s="835" t="inlineStr">
        <is>
          <t>Поздравления с ДР сотрудников</t>
        </is>
      </c>
      <c r="B236" s="295" t="inlineStr">
        <is>
          <t xml:space="preserve">Актуализация списков именинников на будущий месяц, сбор фотографий для поздравлений. Сбор/отправка в филиалы подарков на ДР для сотрудников </t>
        </is>
      </c>
      <c r="C236" s="836" t="inlineStr">
        <is>
          <t>Поддержание корп. культуры</t>
        </is>
      </c>
      <c r="D236" s="836" t="inlineStr">
        <is>
          <t>Котов И.
   Исматова В.</t>
        </is>
      </c>
      <c r="E236" s="295" t="inlineStr">
        <is>
          <t xml:space="preserve"> 1. Собраны списки именинников (апрель, май, июнь). Подготовлены все запланированные рассылки с поздравлениями</t>
        </is>
      </c>
    </row>
    <row r="237" hidden="1" ht="86.40000000000001" customHeight="1">
      <c r="A237" s="753" t="n"/>
      <c r="B237" s="295" t="inlineStr">
        <is>
          <t>Составление, подписание приказов, списков, ведомостей, договоров дарения на подарки</t>
        </is>
      </c>
      <c r="C237" s="753" t="n"/>
      <c r="D237" s="753" t="n"/>
      <c r="E237" s="295" t="inlineStr">
        <is>
          <t xml:space="preserve"> Исматова В. - подписание договоров 
   дарения на подарки в ОП Машково
   Котов И.:
   1. Собраны подарки на ДР квартала, отправлены по подразделениям. Отправлены договора дарения коллегам из подразделений.</t>
        </is>
      </c>
    </row>
    <row r="238" hidden="1" ht="57.6" customHeight="1">
      <c r="A238" s="709" t="inlineStr">
        <is>
          <t>Викторина ко Дню космонавтики</t>
        </is>
      </c>
      <c r="B238" s="295" t="inlineStr">
        <is>
          <t>Проведение тематической викторины для сотрудников</t>
        </is>
      </c>
      <c r="C238" s="711" t="inlineStr">
        <is>
          <t>Поддержание корп. культуры</t>
        </is>
      </c>
      <c r="D238" s="711" t="inlineStr">
        <is>
          <t>Котов И.</t>
        </is>
      </c>
      <c r="E238" s="295" t="inlineStr">
        <is>
          <t xml:space="preserve"> 1. Подготовлена и реализована информационная кампания викторины ко Дню космонавтики
   2. Награждены победители викторины (305 участников)</t>
        </is>
      </c>
    </row>
    <row r="239" hidden="1" ht="72" customHeight="1">
      <c r="A239" s="709" t="inlineStr">
        <is>
          <t>Закупка инфодосок и ТВ-панелей в новые подразделения</t>
        </is>
      </c>
      <c r="B239" s="295" t="inlineStr">
        <is>
          <t>Закупка и установка ТВ и инфодоски в ОП Ульяновск</t>
        </is>
      </c>
      <c r="C239" s="709" t="inlineStr">
        <is>
          <t>Поддержание корпоративных коммуникаций</t>
        </is>
      </c>
      <c r="D239" s="711" t="inlineStr">
        <is>
          <t>Котов И.
   Осипова В.</t>
        </is>
      </c>
      <c r="E239" s="295" t="inlineStr">
        <is>
          <t xml:space="preserve"> 1. Согласовывается закупка инфодоски на ОП Ульяновск. Закупка запланирована на начало 3-го квартала.
   2. Запланирована установка нового корпоративного ТВ в ПП№6 Воронеж до 03.07</t>
        </is>
      </c>
    </row>
    <row r="240" hidden="1" ht="57.6" customHeight="1">
      <c r="A240" s="296" t="inlineStr">
        <is>
          <t>Съемка производственных помещений - Химград, учебного класса - Аэропорт</t>
        </is>
      </c>
      <c r="B240" s="296" t="inlineStr">
        <is>
          <t>съемка материалов для использования в будущих роликах</t>
        </is>
      </c>
      <c r="C240" s="709" t="inlineStr">
        <is>
          <t>Поддержание корпоративных коммуникаций</t>
        </is>
      </c>
      <c r="D240" s="711" t="inlineStr">
        <is>
          <t>Котов И.</t>
        </is>
      </c>
      <c r="E240" s="296" t="inlineStr">
        <is>
          <t>1. Выполнена съемка производственных помещений в технополисе Химград.
   2. Выполнена съемка нового учебного класса на цокольном этаже, включая экспонаты стенда мерча.</t>
        </is>
      </c>
    </row>
    <row r="241" hidden="1" ht="72" customHeight="1">
      <c r="A241" s="296" t="inlineStr">
        <is>
          <t>ДМС для сотрудников</t>
        </is>
      </c>
      <c r="B241" s="296" t="inlineStr">
        <is>
          <t>информационная кампания о программе ДМС</t>
        </is>
      </c>
      <c r="C241" s="318" t="inlineStr">
        <is>
          <t>Поддержание корп. культуры</t>
        </is>
      </c>
      <c r="D241" s="318" t="inlineStr">
        <is>
          <t>Котов И.</t>
        </is>
      </c>
      <c r="E241" s="296" t="inlineStr">
        <is>
          <t>1. Разработаны поддерживающие информационные рассылки о возможностях программы ДМС
   2. Запланирована информационная кампания о ДМС на год продления программы. Выполнено первичное информирование о пролонгации - рассылка и чаты.</t>
        </is>
      </c>
    </row>
    <row r="242" hidden="1" ht="86.40000000000001" customHeight="1">
      <c r="A242" s="296" t="inlineStr">
        <is>
          <t>Видео-экскурсия по ГК (для welcome тренинга)</t>
        </is>
      </c>
      <c r="B242" s="296" t="inlineStr">
        <is>
          <t>планирование нового элемента адаптации сотрудников</t>
        </is>
      </c>
      <c r="C242" s="296" t="inlineStr">
        <is>
          <t>Развитие корп. Культуры</t>
        </is>
      </c>
      <c r="D242" s="318" t="inlineStr">
        <is>
          <t>Котов И.
   Осипова В.</t>
        </is>
      </c>
      <c r="E242" s="296" t="inlineStr">
        <is>
          <t>1. Разработан драфт сценария для съемки видео-экскурсии по ГК (структура, описание, направления, вводная информация для ознакомления)
   2. Запланирована доработка сценария и адаптация видео-экскурсии по АИ СН - московскому офису. Съемки планируется завершить до 01.08</t>
        </is>
      </c>
    </row>
    <row r="243" hidden="1" ht="100.8" customHeight="1">
      <c r="A243" s="296" t="inlineStr">
        <is>
          <t>Корпоративный помощник</t>
        </is>
      </c>
      <c r="B243" s="296" t="inlineStr">
        <is>
          <t>проект по внедрению ИИ</t>
        </is>
      </c>
      <c r="C243" s="296" t="inlineStr">
        <is>
          <t>развитие ИИ в ГК</t>
        </is>
      </c>
      <c r="D243" s="318" t="inlineStr">
        <is>
          <t>Котов И.</t>
        </is>
      </c>
      <c r="E243" s="296" t="inlineStr">
        <is>
          <t>1. Доработана База знаний корпоративного помощника: добавлены ЛНА и положения, общая законодательная информация
   2. Создана веб-версия помощника и сайт администрирования. Разработана архитектура и визуализация сайта. Сайт передан разработчикам для интеграции ИИ-бота к фронту.</t>
        </is>
      </c>
    </row>
    <row r="244" hidden="1" ht="72" customHeight="1">
      <c r="A244" s="296" t="inlineStr">
        <is>
          <t>Викторина ко Дню охраны труда</t>
        </is>
      </c>
      <c r="B244" s="295" t="inlineStr">
        <is>
          <t>Проведение тематической викторины для сотрудников</t>
        </is>
      </c>
      <c r="C244" s="318" t="inlineStr">
        <is>
          <t>Поддержание корп. культуры</t>
        </is>
      </c>
      <c r="D244" s="318" t="inlineStr">
        <is>
          <t>Котов И.</t>
        </is>
      </c>
      <c r="E244" s="295" t="inlineStr">
        <is>
          <t xml:space="preserve"> 1. Подготовлена и реализована информационная кампания по тематической викторине.
   2. Закуплены подарки для победителей, подписаны приказы и ведомости, победители награждены туристическими аптечками и защитными очками.</t>
        </is>
      </c>
    </row>
    <row r="245" ht="18" customHeight="1">
      <c r="A245" s="837" t="inlineStr">
        <is>
          <t>ФАКТ 3 квартал 2026</t>
        </is>
      </c>
      <c r="B245" s="805" t="n"/>
      <c r="C245" s="805" t="n"/>
      <c r="D245" s="805" t="n"/>
      <c r="E245" s="747" t="n"/>
    </row>
    <row r="246" ht="15.6" customHeight="1">
      <c r="A246" s="838" t="inlineStr">
        <is>
          <t>Кадровое делопроизводство</t>
        </is>
      </c>
      <c r="B246" s="805" t="n"/>
      <c r="C246" s="805" t="n"/>
      <c r="D246" s="805" t="n"/>
      <c r="E246" s="747" t="n"/>
    </row>
    <row r="247" ht="15.6" customHeight="1">
      <c r="A247" s="804" t="inlineStr">
        <is>
          <t xml:space="preserve">Текущая деятельность </t>
        </is>
      </c>
      <c r="B247" s="805" t="n"/>
      <c r="C247" s="805" t="n"/>
      <c r="D247" s="805" t="n"/>
      <c r="E247" s="747" t="n"/>
    </row>
    <row r="248" ht="27.6" customHeight="1">
      <c r="A248" s="290" t="inlineStr">
        <is>
          <t>Приказы о премировании</t>
        </is>
      </c>
      <c r="B248" s="184" t="inlineStr">
        <is>
          <t>Сбор данных, проверка и оформление приказов. Передача в бухгалтерию копий приказов.</t>
        </is>
      </c>
      <c r="C248" s="701" t="inlineStr">
        <is>
          <t>Соблюдение законодательства РФ</t>
        </is>
      </c>
      <c r="D248" s="182" t="inlineStr">
        <is>
          <t>Еремина О.А.</t>
        </is>
      </c>
      <c r="E248" s="184" t="inlineStr">
        <is>
          <t>В полном объеме</t>
        </is>
      </c>
    </row>
    <row r="249" ht="41.4" customHeight="1">
      <c r="A249" s="290" t="inlineStr">
        <is>
          <t>Отчетность по премированию</t>
        </is>
      </c>
      <c r="B249" s="184" t="inlineStr">
        <is>
          <t>Сбор данных ежемесячно, составление свода за месяц/квартал, подготовка данных для анализа квартального премирования</t>
        </is>
      </c>
      <c r="C249" s="701" t="inlineStr">
        <is>
          <t>Обоснование расходов для отчета руководству (Торопов Р., Шигаев В., Кисловская И.)</t>
        </is>
      </c>
      <c r="D249" s="182" t="inlineStr">
        <is>
          <t>Еремина О.А.</t>
        </is>
      </c>
      <c r="E249" s="184" t="inlineStr">
        <is>
          <t>В полном объеме</t>
        </is>
      </c>
    </row>
    <row r="250">
      <c r="A250" s="290" t="inlineStr">
        <is>
          <t xml:space="preserve">Обоснование премирования </t>
        </is>
      </c>
      <c r="B250" s="184" t="inlineStr">
        <is>
          <t>Оформление служебных записок</t>
        </is>
      </c>
      <c r="C250" s="701" t="inlineStr">
        <is>
          <t>Обоснование расходов работодателя</t>
        </is>
      </c>
      <c r="D250" s="182" t="inlineStr">
        <is>
          <t>Еремина О.А.</t>
        </is>
      </c>
      <c r="E250" s="184" t="inlineStr">
        <is>
          <t>В полном объеме</t>
        </is>
      </c>
    </row>
    <row r="251" ht="27.6" customHeight="1">
      <c r="A251" s="290" t="inlineStr">
        <is>
          <t>Приказы о материальной помощи</t>
        </is>
      </c>
      <c r="B251" s="184" t="inlineStr">
        <is>
          <t>Оформляется по заявлению работника, согласовывается с ГД.</t>
        </is>
      </c>
      <c r="C251" s="701" t="inlineStr">
        <is>
          <t>Соблюдение законодательства РФ</t>
        </is>
      </c>
      <c r="D251" s="182" t="inlineStr">
        <is>
          <t>Еремина О.А.</t>
        </is>
      </c>
      <c r="E251" s="184" t="inlineStr">
        <is>
          <t>В соответствии с поданными заявлениями и предоставленными документами - 6 приказов</t>
        </is>
      </c>
    </row>
    <row r="252" ht="82.8" customHeight="1">
      <c r="A252" s="290" t="inlineStr">
        <is>
          <t xml:space="preserve">Прием на работу </t>
        </is>
      </c>
      <c r="B252" s="184" t="inlineStr">
        <is>
          <t>Оформление документов при приеме на работу: ТД, приказ, Соглашение о неразглашении конфиденциальной информации, документы по персональным данным, заявления, справки и т.д., внесение данных в базу 1С, подписание с работником</t>
        </is>
      </c>
      <c r="C252" s="701" t="inlineStr">
        <is>
          <t>Соблюдение законодательства РФ</t>
        </is>
      </c>
      <c r="D252" s="182" t="inlineStr">
        <is>
          <t>Афонина Ю.В.
   Резенова Н.А.
   Руцкая В.В.</t>
        </is>
      </c>
      <c r="E252" s="184" t="inlineStr">
        <is>
          <t>Всего - 55 приемов
   Афонина: 20 приемов + 18 пакетов документов
   Резенова: 18 приемов
   Руцкая: 18 приемов (ФЛ+форма КМ)</t>
        </is>
      </c>
    </row>
    <row r="253" ht="82.8" customHeight="1">
      <c r="A253" s="738" t="inlineStr">
        <is>
          <t xml:space="preserve">Увольнение </t>
        </is>
      </c>
      <c r="B253" s="184" t="inlineStr">
        <is>
          <t>Оформление увольнения  по инициативе работника, по инициативе работодателя. Оформляются приказ, соглашение об увольнении, табель учета, вносится запись в тр. книжку или справка СТД-Р, ознакомление работника с документами</t>
        </is>
      </c>
      <c r="C253" s="701" t="inlineStr">
        <is>
          <t>Соблюдение законодательства РФ</t>
        </is>
      </c>
      <c r="D253" s="182" t="inlineStr">
        <is>
          <t>Афонина Ю.В.
   Резенова Н.А.</t>
        </is>
      </c>
      <c r="E253" s="184" t="inlineStr">
        <is>
          <t>Всего - 62 приказа
   Афонина - 31 приказ
   Резенова - 31 приказ</t>
        </is>
      </c>
    </row>
    <row r="254" ht="27.6" customHeight="1">
      <c r="A254" s="753" t="n"/>
      <c r="B254" s="184" t="inlineStr">
        <is>
          <t>Решение сложных вопросов по увольнению работников</t>
        </is>
      </c>
      <c r="C254" s="701" t="n"/>
      <c r="D254" s="182" t="inlineStr">
        <is>
          <t>Еремина О.А.
   Козлова Ю.В.</t>
        </is>
      </c>
      <c r="E254" s="184" t="inlineStr">
        <is>
          <t>15 увольнений по соглашению сторон</t>
        </is>
      </c>
    </row>
    <row r="255" ht="82.8" customHeight="1">
      <c r="A255" s="691" t="inlineStr">
        <is>
          <t>Переводы (изменение должностей, подразделений)</t>
        </is>
      </c>
      <c r="B255" s="184" t="inlineStr">
        <is>
          <t xml:space="preserve">Переводы оформляются по соглашению сторон (возможно в связи с  изменением шатного расписания, на основании результатлов аттестации персонала), готовится: приказ, доп. соглашение к ТД, вносятся данные в программу 1С, ознакомление работника </t>
        </is>
      </c>
      <c r="C255" s="701" t="inlineStr">
        <is>
          <t>Соблюдение законодательства РФ</t>
        </is>
      </c>
      <c r="D255" s="182" t="inlineStr">
        <is>
          <t>Афонина Ю.В.
   Резенова Н.А.
   Козлова Ю.В.
   Павленко Н.С.</t>
        </is>
      </c>
      <c r="E255" s="184" t="inlineStr">
        <is>
          <t>501 кадровых переводов в т.ч. изменения по новой ОС</t>
        </is>
      </c>
    </row>
    <row r="256" ht="69" customHeight="1">
      <c r="A256" s="691" t="inlineStr">
        <is>
          <t>Отпуска, все виды (ежегодные, без сохранений з/п, учебные, по БИР, по уходу за ребенком, донорские, пр.)</t>
        </is>
      </c>
      <c r="B256" s="184" t="inlineStr">
        <is>
          <t xml:space="preserve">На основании графика отпусков или по заявлению работника оформляется приказ на отпуск с приложением необходимых подтверждающих документов </t>
        </is>
      </c>
      <c r="C256" s="701" t="inlineStr">
        <is>
          <t>Соблюдение законодательства РФ</t>
        </is>
      </c>
      <c r="D256" s="182" t="inlineStr">
        <is>
          <t>Афонина Ю.В.
   Руцкая В.В.
   Резенова Н.А.
   Казначеева А.Н.</t>
        </is>
      </c>
      <c r="E256" s="184" t="inlineStr">
        <is>
          <t>Всего - 854 приказа
   Афонина: 184 приказа
   Резенова: 165 приказов
   Руцкая: 357 приказов
   Казначеева: 148 приказов</t>
        </is>
      </c>
    </row>
    <row r="257" ht="55.2" customHeight="1">
      <c r="A257" s="691" t="inlineStr">
        <is>
          <t>Оформление сверхурочной работы</t>
        </is>
      </c>
      <c r="B257" s="184" t="inlineStr">
        <is>
          <t>На основании СЗ от руководителя и согласия работников оформляется Приказ (с офомлением повышенной оплаты или предоставлением днем отдыха)</t>
        </is>
      </c>
      <c r="C257" s="701" t="inlineStr">
        <is>
          <t>Соблюдение законодательства РФ</t>
        </is>
      </c>
      <c r="D257" s="182" t="inlineStr">
        <is>
          <t>Павленко Н.С.
   Руцкая В.В.</t>
        </is>
      </c>
      <c r="E257" s="184" t="inlineStr">
        <is>
          <t>на 28.09.26 - 56 приказов</t>
        </is>
      </c>
    </row>
    <row r="258" ht="55.2" customHeight="1">
      <c r="A258" s="691" t="inlineStr">
        <is>
          <t>Оформление работы в выходной день</t>
        </is>
      </c>
      <c r="B258" s="184" t="inlineStr">
        <is>
          <t>На основании СЗ от руководителя и согласия работников оформляется Приказ (с офомлением повышенной оплаты или предоставлением днем отдыха)</t>
        </is>
      </c>
      <c r="C258" s="701" t="inlineStr">
        <is>
          <t>Соблюдение законодательства РФ</t>
        </is>
      </c>
      <c r="D258" s="182" t="inlineStr">
        <is>
          <t>Афонина Ю.В. - командировки
   Павленко Н.С. - все остальные</t>
        </is>
      </c>
      <c r="E258" s="184" t="inlineStr">
        <is>
          <t>на 28.09.26 - 89 приказов</t>
        </is>
      </c>
    </row>
    <row r="259" ht="55.2" customHeight="1">
      <c r="A259" s="691" t="inlineStr">
        <is>
          <t xml:space="preserve">Командировки </t>
        </is>
      </c>
      <c r="B259" s="184" t="inlineStr">
        <is>
          <t>Оформление приказов о командировании , изменении сроков командирования  и контроль оформления  Служебных заданий на командировки</t>
        </is>
      </c>
      <c r="C259" s="701" t="inlineStr">
        <is>
          <t>Соблюдение законодательства РФ</t>
        </is>
      </c>
      <c r="D259" s="182" t="inlineStr">
        <is>
          <t>Афонина Ю.В.
   Руцкая В.В.
   Резенова Н.А.</t>
        </is>
      </c>
      <c r="E259" s="184" t="inlineStr">
        <is>
          <t>Всего - 281 приказ
   Афонина: 133 приказа
   Резенова: 142 приказа
   Руцкая: 6 приказов</t>
        </is>
      </c>
    </row>
    <row r="260" ht="55.2" customHeight="1">
      <c r="A260" s="691" t="inlineStr">
        <is>
          <t>Аудит кадровых документов</t>
        </is>
      </c>
      <c r="B260" s="184" t="inlineStr">
        <is>
          <t>Проверка раличия и восстановление отсутствующих приказов за 2025 и при необходимости за 2024 кадровых приказов</t>
        </is>
      </c>
      <c r="C260" s="701" t="inlineStr">
        <is>
          <t>Соблюдение законодательства РФ</t>
        </is>
      </c>
      <c r="D260" s="182" t="inlineStr">
        <is>
          <t>Козлова Ю.В.
   Афонина Ю.В.
   Резенова Н.А.
   Павленко Н.С.</t>
        </is>
      </c>
      <c r="E260" s="184" t="inlineStr">
        <is>
          <t>План работ на 3 кв. выполнен на 75%, связано с увольнением основного работника по этой задаче</t>
        </is>
      </c>
    </row>
    <row r="261">
      <c r="A261" s="829" t="inlineStr">
        <is>
          <t xml:space="preserve">Согласование, утверждение  Положений и должностных инструкций по новому ШР в полном объеме </t>
        </is>
      </c>
      <c r="B261" s="805" t="n"/>
      <c r="C261" s="805" t="n"/>
      <c r="D261" s="805" t="n"/>
      <c r="E261" s="747" t="n"/>
    </row>
    <row r="262" ht="96.59999999999999" customHeight="1">
      <c r="A262" s="691" t="inlineStr">
        <is>
          <t xml:space="preserve">Согласование ДИ по новой форме по всем должностям согласно ШР, подписание, передача на утверждение ГД </t>
        </is>
      </c>
      <c r="B262" s="184" t="inlineStr">
        <is>
          <t>Наличие базы ДИ и ПП по организации в полном объеме</t>
        </is>
      </c>
      <c r="C262" s="701" t="inlineStr">
        <is>
          <t>Соблюдение законодательства РФ</t>
        </is>
      </c>
      <c r="D262" s="182" t="inlineStr">
        <is>
          <t>Пенский А.К.
Еремина О.А.</t>
        </is>
      </c>
      <c r="E262" s="184" t="inlineStr">
        <is>
          <t>Пенский: разработка совместно с ЮО общего подхода к формированию ДИ руководителей разного уровня, согласование требований к тексту ДИ и ПП по первому уровню подчиненности
Еремина: организация работы по разработке и согласование обновленных ДИ и ПП в соответсвии с новой ОС и требованиями</t>
        </is>
      </c>
    </row>
    <row r="263">
      <c r="A263" s="829" t="inlineStr">
        <is>
          <t>Формирование  отчётности</t>
        </is>
      </c>
      <c r="B263" s="805" t="n"/>
      <c r="C263" s="805" t="n"/>
      <c r="D263" s="805" t="n"/>
      <c r="E263" s="747" t="n"/>
    </row>
    <row r="264">
      <c r="A264" s="691" t="inlineStr">
        <is>
          <t xml:space="preserve">Отчет по статистике </t>
        </is>
      </c>
      <c r="B264" s="184" t="inlineStr">
        <is>
          <t>П4 НЗ, ежеквартальный, за 3-й квартал 2026</t>
        </is>
      </c>
      <c r="C264" s="701" t="inlineStr">
        <is>
          <t>Соблюдение законодательства РФ</t>
        </is>
      </c>
      <c r="D264" s="182" t="inlineStr">
        <is>
          <t>Козлова Ю.В</t>
        </is>
      </c>
      <c r="E264" s="184" t="inlineStr">
        <is>
          <t>В полном объеме</t>
        </is>
      </c>
    </row>
    <row r="265" ht="55.2" customHeight="1">
      <c r="A265" s="691" t="inlineStr">
        <is>
          <t>Отчёты в СФР штатные работники (прием/увольнение)</t>
        </is>
      </c>
      <c r="B265" s="184" t="inlineStr">
        <is>
          <t>Отчёт в СФР  (по форме ЕФС-1 разд. 1.1.)  оформляется не позднее одного рабочего дня после даты издания приказов о  приеме, увольнении работников.</t>
        </is>
      </c>
      <c r="C265" s="701" t="inlineStr">
        <is>
          <t>Соблюдение законодательства РФ</t>
        </is>
      </c>
      <c r="D265" s="182" t="inlineStr">
        <is>
          <t>Афонина Ю.В.
   Резенова Н.А.
   Козлова Ю.В.
   Еремина О.А.</t>
        </is>
      </c>
      <c r="E265" s="184" t="inlineStr">
        <is>
          <t>Афонина и Резенова отвечают за своевременное формирование отчетов, Козлова и Еремина - за отправку, т.к. имеют ЭЦП и МЧД</t>
        </is>
      </c>
    </row>
    <row r="266" ht="82.8" customHeight="1">
      <c r="A266" s="691" t="inlineStr">
        <is>
          <t>Отчёты в СФР  штатные работники (переводы)</t>
        </is>
      </c>
      <c r="B266" s="184" t="inlineStr">
        <is>
          <t>Отчёт в СФР  (по форме ЕФС-1 разд. 1.1.)  оформляется не позднее 25 числа месяца, следующего за отчетным месяцем издания приказов о  переводе работников. А так же иным мероприятиям предусмотренным законодательствам РФ.</t>
        </is>
      </c>
      <c r="C266" s="701" t="inlineStr">
        <is>
          <t>Соблюдение законодательства РФ</t>
        </is>
      </c>
      <c r="D266" s="182" t="inlineStr">
        <is>
          <t>Афонина Ю.В.
   Резенова Н.А.
   Козлова Ю.В.
   Еремина О.А.</t>
        </is>
      </c>
      <c r="E266" s="184" t="inlineStr">
        <is>
          <t>Афонина и Резенова отвечают за своевременное формирование отчетов, Козлова и Еремина - за отправку, т.к. имеют ЭЦП и МЧД</t>
        </is>
      </c>
    </row>
    <row r="267">
      <c r="A267" s="691" t="inlineStr">
        <is>
          <t>Отчет по инвалидам</t>
        </is>
      </c>
      <c r="B267" s="184" t="inlineStr">
        <is>
          <t xml:space="preserve">ежеквартальный </t>
        </is>
      </c>
      <c r="C267" s="701" t="inlineStr">
        <is>
          <t>Соблюдение законодательства РФ</t>
        </is>
      </c>
      <c r="D267" s="182" t="inlineStr">
        <is>
          <t>Козлова Ю.В.</t>
        </is>
      </c>
      <c r="E267" s="184" t="inlineStr">
        <is>
          <t>В полном объеме</t>
        </is>
      </c>
    </row>
    <row r="268">
      <c r="A268" s="829" t="inlineStr">
        <is>
          <t xml:space="preserve">Разработка (актуализация)  ЛНА, развитие процессов, создание  Базы знаний по кадрам </t>
        </is>
      </c>
      <c r="B268" s="805" t="n"/>
      <c r="C268" s="805" t="n"/>
      <c r="D268" s="805" t="n"/>
      <c r="E268" s="747" t="n"/>
    </row>
    <row r="269" ht="27.6" customHeight="1">
      <c r="A269" s="691" t="inlineStr">
        <is>
          <t>Внесение изменений в БП Командировки ГК</t>
        </is>
      </c>
      <c r="B269" s="184" t="inlineStr">
        <is>
          <t>Дополнить размеры суточных по загранице суточными для поездок в Китай</t>
        </is>
      </c>
      <c r="C269" s="701" t="inlineStr">
        <is>
          <t>Соблюдение законодательства РФ, оптимизация БП</t>
        </is>
      </c>
      <c r="D269" s="182" t="inlineStr">
        <is>
          <t>Еремина О.А.</t>
        </is>
      </c>
      <c r="E269" s="184" t="inlineStr">
        <is>
          <t>Подготовлены формы приказов по командировкам, согласованы с БУ и аудиторами</t>
        </is>
      </c>
    </row>
    <row r="270" ht="41.4" customHeight="1">
      <c r="A270" s="691" t="inlineStr">
        <is>
          <t>Автоматизация печатных форм приказов и договоров в 1С</t>
        </is>
      </c>
      <c r="B270" s="184" t="inlineStr">
        <is>
          <t>В рамках подготовки к внедрению КЭДО</t>
        </is>
      </c>
      <c r="C270" s="701" t="inlineStr">
        <is>
          <t> </t>
        </is>
      </c>
      <c r="D270" s="182" t="inlineStr">
        <is>
          <t>Еремина О.А.
   Козлова Ю.В.</t>
        </is>
      </c>
      <c r="E270" s="184" t="inlineStr">
        <is>
          <t>Доработаны все ТЗ, которые были в работе у ДПО, далее - переход на автоматизацию документов, согласованных по ГК</t>
        </is>
      </c>
    </row>
    <row r="271" ht="55.2" customHeight="1">
      <c r="A271" s="691" t="inlineStr">
        <is>
          <t>Изменение процессов взаимодействия между подразделениями</t>
        </is>
      </c>
      <c r="B271" s="184" t="inlineStr">
        <is>
          <t>Оптимизация взаимодействия между кадрами и бухгалтерией, разработка документооборота между кадрами и другими подразделениями</t>
        </is>
      </c>
      <c r="C271" s="701" t="inlineStr">
        <is>
          <t>Оптимизация взаимодействия работников  подразделений и ОУП</t>
        </is>
      </c>
      <c r="D271" s="182" t="inlineStr">
        <is>
          <t>Еремина О.А.</t>
        </is>
      </c>
      <c r="E271" s="184" t="inlineStr">
        <is>
          <t>Простроены процессы взаимодействия с офис-менеджерами по команидровкам, решены вопросы по работе в 1С с БУ, в сентябре начата работа по проработке взаимодействия с подразделениями по премиям</t>
        </is>
      </c>
    </row>
    <row r="272" ht="69" customHeight="1">
      <c r="A272" s="691" t="inlineStr">
        <is>
          <t xml:space="preserve">Подготовка методических материалов по кадрам </t>
        </is>
      </c>
      <c r="B272" s="184" t="inlineStr">
        <is>
          <t>Формирование Базы знаний по кадровым  направлениям (Прием, перевод, увольнение , пр.) . Подготовка Памяток для работников, шаблонов  СЗ, Заявлений, размещение в Базе - по основным мероприятиям</t>
        </is>
      </c>
      <c r="C272" s="701" t="inlineStr">
        <is>
          <t xml:space="preserve">Оптимизация взаимодействия работников  подразделений и ОУП.  Повышение уровня сервиса для персонала  </t>
        </is>
      </c>
      <c r="D272" s="182" t="inlineStr">
        <is>
          <t>Еремина О.А.</t>
        </is>
      </c>
      <c r="E272" s="184" t="inlineStr">
        <is>
          <t>Совместно с кадрами ГК подготовлен БП Совмещение с формами приказов и ДС</t>
        </is>
      </c>
    </row>
    <row r="273" ht="27.6" customHeight="1">
      <c r="A273" s="412" t="inlineStr">
        <is>
          <t>Оптимизация работы отделов Дирекции по персоналу</t>
        </is>
      </c>
      <c r="B273" s="413" t="inlineStr">
        <is>
          <t> </t>
        </is>
      </c>
      <c r="C273" s="414" t="inlineStr">
        <is>
          <t> </t>
        </is>
      </c>
      <c r="D273" s="415" t="inlineStr">
        <is>
          <t>Еремина О.А.</t>
        </is>
      </c>
      <c r="E273" s="413" t="inlineStr">
        <is>
          <t>Автоматизация работы ОПиРП в части ведения проекта ДМС в 1С</t>
        </is>
      </c>
    </row>
    <row r="274">
      <c r="A274" s="829" t="inlineStr">
        <is>
          <t xml:space="preserve">Работа с суммированным учетом РВ (в рамках Положения о СУРВ),  Графики работы подразделений с СУРВ, Табели подразделений </t>
        </is>
      </c>
      <c r="B274" s="805" t="n"/>
      <c r="C274" s="805" t="n"/>
      <c r="D274" s="805" t="n"/>
      <c r="E274" s="747" t="n"/>
    </row>
    <row r="275" ht="69" customHeight="1">
      <c r="A275" s="410" t="inlineStr">
        <is>
          <t>Организация работы подразделений по графикам смен.  Анализ и актуализация графиков работы (смен)  работников. Подготовка приказов Приведение в соответствие ТД  работников</t>
        </is>
      </c>
      <c r="B275" s="112" t="inlineStr">
        <is>
          <t xml:space="preserve">Соблюдение графиков производства. Разработка графиком для Отдела режима </t>
        </is>
      </c>
      <c r="C275" s="727" t="inlineStr">
        <is>
          <t xml:space="preserve">Организация деятельности подразделений, соблюдение требований ТК РФ </t>
        </is>
      </c>
      <c r="D275" s="182" t="inlineStr">
        <is>
          <t>Павленко Н.С.</t>
        </is>
      </c>
      <c r="E275" s="184" t="inlineStr">
        <is>
          <t>В полном объеме</t>
        </is>
      </c>
    </row>
    <row r="276" ht="27.6" customHeight="1">
      <c r="A276" s="691" t="inlineStr">
        <is>
          <t xml:space="preserve">Организация работы с табелями </t>
        </is>
      </c>
      <c r="B276" s="184" t="inlineStr">
        <is>
          <t xml:space="preserve">Контроль, сопровождение оформления табелей </t>
        </is>
      </c>
      <c r="C276" s="701" t="inlineStr">
        <is>
          <t xml:space="preserve">Организация деятельности подразделений, соблюдение требований ТК РФ </t>
        </is>
      </c>
      <c r="D276" s="182" t="inlineStr">
        <is>
          <t>Руцкая В.В.
   Павленко Н.С.</t>
        </is>
      </c>
      <c r="E276" s="184" t="inlineStr">
        <is>
          <t>В полном объеме</t>
        </is>
      </c>
    </row>
    <row r="277" ht="27.6" customHeight="1">
      <c r="A277" s="691" t="inlineStr">
        <is>
          <t xml:space="preserve">Организация работы с табелями </t>
        </is>
      </c>
      <c r="B277" s="184" t="inlineStr">
        <is>
          <t>Назначение ответственных за ведение табелей Вемина по подразделениям</t>
        </is>
      </c>
      <c r="C277" s="701" t="inlineStr">
        <is>
          <t xml:space="preserve">Организация деятельности подразделений, соблюдение требований ТК РФ </t>
        </is>
      </c>
      <c r="D277" s="182" t="inlineStr">
        <is>
          <t>Павленко Н.С.</t>
        </is>
      </c>
      <c r="E277" s="184" t="inlineStr">
        <is>
          <t>В полном объеме</t>
        </is>
      </c>
    </row>
    <row r="278">
      <c r="A278" s="829" t="inlineStr">
        <is>
          <t>Новая организационная структура, штатное расписание компании</t>
        </is>
      </c>
      <c r="B278" s="805" t="n"/>
      <c r="C278" s="805" t="n"/>
      <c r="D278" s="805" t="n"/>
      <c r="E278" s="747" t="n"/>
    </row>
    <row r="279" ht="41.4" customHeight="1">
      <c r="A279" s="691" t="inlineStr">
        <is>
          <t>Соблюдение нового штатного расписания и  ФОТ</t>
        </is>
      </c>
      <c r="B279" s="184" t="inlineStr">
        <is>
          <t xml:space="preserve">Контроль исполнения ФОТ/ШР.  Предоставление данных для приема на работу, переводов руководителям и в отдел подбора </t>
        </is>
      </c>
      <c r="C279" s="701" t="inlineStr">
        <is>
          <t xml:space="preserve">Организация деятельности  компании </t>
        </is>
      </c>
      <c r="D279" s="182" t="inlineStr">
        <is>
          <t>Еремина О.А.</t>
        </is>
      </c>
      <c r="E279" s="184" t="inlineStr">
        <is>
          <t>В установленном порядке</t>
        </is>
      </c>
    </row>
    <row r="280">
      <c r="A280" s="691" t="inlineStr">
        <is>
          <t>Внесение изменений в 1С по новому  ШР</t>
        </is>
      </c>
      <c r="B280" s="184" t="inlineStr">
        <is>
          <t>Согласование, внесение изменений в 1С</t>
        </is>
      </c>
      <c r="C280" s="701" t="inlineStr">
        <is>
          <t xml:space="preserve">Организация деятельности  компании </t>
        </is>
      </c>
      <c r="D280" s="182" t="inlineStr">
        <is>
          <t>Еремина О.А.</t>
        </is>
      </c>
      <c r="E280" s="184" t="inlineStr">
        <is>
          <t>В установленном порядке</t>
        </is>
      </c>
    </row>
    <row r="281" ht="96.59999999999999" customHeight="1">
      <c r="A281" s="691" t="inlineStr">
        <is>
          <t>Проработка возможности реализации в 1С:ЗУП управленческой структуры и отчетности</t>
        </is>
      </c>
      <c r="B281" s="184" t="inlineStr">
        <is>
          <t xml:space="preserve">Реализация управленческой структуры и отчетности в целях учета функциональной принадлежности позиций штатного расписания и работников. </t>
        </is>
      </c>
      <c r="C281" s="701" t="inlineStr">
        <is>
          <t xml:space="preserve">Организация деятельности  компании </t>
        </is>
      </c>
      <c r="D281" s="182" t="inlineStr">
        <is>
          <t>Пенский А.К.
Еремина О.А.</t>
        </is>
      </c>
      <c r="E281" s="184" t="inlineStr">
        <is>
          <t>ТЗ передано через Юшко в работу новому подрядчику (работа началась только во второй половине сентября)
Пенский: описание требуемых данных, составление списка необходимых для оптимизации работы Дирекции отчетов, взаимодействие с ИТ
Еремина: подготовка ТЗ, общение с подрядчиком по реализации</t>
        </is>
      </c>
    </row>
    <row r="282" ht="55.2" customHeight="1">
      <c r="A282" s="691" t="inlineStr">
        <is>
          <t>Функциональное подчинение по ОС</t>
        </is>
      </c>
      <c r="B282" s="184" t="inlineStr">
        <is>
          <t xml:space="preserve">Временное решение по реализации управленческой структуры и отчетности в целях учета функциональной принадлежности позиций штатного расписания и работников. </t>
        </is>
      </c>
      <c r="C282" s="701" t="inlineStr">
        <is>
          <t xml:space="preserve">Организация деятельности  компании </t>
        </is>
      </c>
      <c r="D282" s="182" t="inlineStr">
        <is>
          <t>Еремина О.А.</t>
        </is>
      </c>
      <c r="E282" s="184" t="inlineStr">
        <is>
          <t>Разработка временного решения для управленческого учета: добавлены доп.поля в карточку сотрудника в 1С для внесения подчиненности</t>
        </is>
      </c>
    </row>
    <row r="283" ht="55.2" customHeight="1">
      <c r="A283" s="691" t="inlineStr">
        <is>
          <t>Организационная структура Общества</t>
        </is>
      </c>
      <c r="B283" s="184" t="inlineStr">
        <is>
          <t>Разработка, согласование, внесение изменений в 1С</t>
        </is>
      </c>
      <c r="C283" s="701" t="inlineStr">
        <is>
          <t xml:space="preserve">Организация деятельности  компании </t>
        </is>
      </c>
      <c r="D283" s="182" t="inlineStr">
        <is>
          <t>Пенский А.К.
Еремина О.А.</t>
        </is>
      </c>
      <c r="E283" s="184" t="inlineStr">
        <is>
          <t>Пенский: разработка структур по дирекциям, согласование с руководителями
Еремина: участие в разработке, реализация согласованных структур в 1С и штатном расписании</t>
        </is>
      </c>
    </row>
    <row r="284">
      <c r="A284" s="829" t="inlineStr">
        <is>
          <t>Ведение воинского учёта и бронирования</t>
        </is>
      </c>
      <c r="B284" s="805" t="n"/>
      <c r="C284" s="805" t="n"/>
      <c r="D284" s="805" t="n"/>
      <c r="E284" s="747" t="n"/>
    </row>
    <row r="285">
      <c r="A285" s="691" t="inlineStr">
        <is>
          <t>Разъяснение правил воинского учета</t>
        </is>
      </c>
      <c r="B285" s="184" t="inlineStr">
        <is>
          <t>При приеме на работу. Ведение журнала.</t>
        </is>
      </c>
      <c r="C285" s="701" t="inlineStr">
        <is>
          <t xml:space="preserve">Соблюдение законодательства РФ. </t>
        </is>
      </c>
      <c r="D285" s="182" t="inlineStr">
        <is>
          <t>Кавыза О.Г.</t>
        </is>
      </c>
      <c r="E285" s="184" t="inlineStr">
        <is>
          <t>26 документов</t>
        </is>
      </c>
    </row>
    <row r="286" ht="27.6" customHeight="1">
      <c r="A286" s="691" t="inlineStr">
        <is>
          <t>Ведение карточек ф.10</t>
        </is>
      </c>
      <c r="B286" s="184" t="inlineStr">
        <is>
          <t>При приеме, переводе, изменении данных, увольнении</t>
        </is>
      </c>
      <c r="C286" s="701" t="inlineStr">
        <is>
          <t>Соблюдение законожательства РФ.</t>
        </is>
      </c>
      <c r="D286" s="182" t="inlineStr">
        <is>
          <t>Кавыза О.Г.</t>
        </is>
      </c>
      <c r="E286" s="184" t="inlineStr">
        <is>
          <t>26 документов</t>
        </is>
      </c>
    </row>
    <row r="287" ht="41.4" customHeight="1">
      <c r="A287" s="691" t="inlineStr">
        <is>
          <t>Сведения при приеме/увольнении/переводе/  изменении др. (Приложение № 2 к Положению о ВУ)</t>
        </is>
      </c>
      <c r="B287" s="184" t="inlineStr">
        <is>
          <t>Направление в военный комиссариат по месту жительства работника</t>
        </is>
      </c>
      <c r="C287" s="701" t="inlineStr">
        <is>
          <t xml:space="preserve">Соблюдение законодательства РФ. </t>
        </is>
      </c>
      <c r="D287" s="182" t="inlineStr">
        <is>
          <t>Кавыза О.Г.</t>
        </is>
      </c>
      <c r="E287" s="184" t="inlineStr">
        <is>
          <t>187 документов</t>
        </is>
      </c>
    </row>
    <row r="288" ht="55.2" customHeight="1">
      <c r="A288" s="691" t="inlineStr">
        <is>
          <t>Отчетность</t>
        </is>
      </c>
      <c r="B288" s="184" t="inlineStr">
        <is>
          <t>Продление справки (с предоставлением карточки организации ф.18; ф.6 и ф.19) в районной комиссии по бронированию. Передача справки в военный комиссариат</t>
        </is>
      </c>
      <c r="C288" s="701" t="inlineStr">
        <is>
          <t xml:space="preserve">Соблюдение законодательства РФ. </t>
        </is>
      </c>
      <c r="D288" s="182" t="inlineStr">
        <is>
          <t>Кавыза О.Г.</t>
        </is>
      </c>
      <c r="E288" s="184" t="inlineStr">
        <is>
          <t>В полном объеме</t>
        </is>
      </c>
    </row>
    <row r="289" ht="27.6" customHeight="1">
      <c r="A289" s="839" t="inlineStr">
        <is>
          <t>Ведение документации по бронированию</t>
        </is>
      </c>
      <c r="B289" s="184" t="inlineStr">
        <is>
          <t>Подготовка  приказов о бронировании сотрудников</t>
        </is>
      </c>
      <c r="C289" s="701" t="inlineStr">
        <is>
          <t xml:space="preserve">Соблюдение законодательства РФ. </t>
        </is>
      </c>
      <c r="D289" s="182" t="inlineStr">
        <is>
          <t>Кавыза О.Г.</t>
        </is>
      </c>
      <c r="E289" s="184" t="inlineStr">
        <is>
          <t>1 документ</t>
        </is>
      </c>
    </row>
    <row r="290" ht="27.6" customHeight="1">
      <c r="A290" s="754" t="n"/>
      <c r="B290" s="184" t="inlineStr">
        <is>
          <t>Подготовка Выписок из приказа о бронировании сотрудников</t>
        </is>
      </c>
      <c r="C290" s="701" t="inlineStr">
        <is>
          <t xml:space="preserve">Соблюдение законодательства РФ. </t>
        </is>
      </c>
      <c r="D290" s="182" t="inlineStr">
        <is>
          <t>Кавыза О.Г.</t>
        </is>
      </c>
      <c r="E290" s="184" t="inlineStr">
        <is>
          <t>82 документа</t>
        </is>
      </c>
    </row>
    <row r="291" ht="27.6" customHeight="1">
      <c r="A291" s="754" t="n"/>
      <c r="B291" s="184" t="inlineStr">
        <is>
          <t>Оформление приказа о прекращении бронирования</t>
        </is>
      </c>
      <c r="C291" s="701" t="inlineStr">
        <is>
          <t xml:space="preserve">Соблюдение законодательства РФ. </t>
        </is>
      </c>
      <c r="D291" s="182" t="inlineStr">
        <is>
          <t>Кавыза О.Г.</t>
        </is>
      </c>
      <c r="E291" s="184" t="inlineStr">
        <is>
          <t>22 документа</t>
        </is>
      </c>
    </row>
    <row r="292" ht="27.6" customHeight="1">
      <c r="A292" s="754" t="n"/>
      <c r="B292" s="184" t="inlineStr">
        <is>
          <t>Оформление выписок из проекта приказа о прекращении бронировании</t>
        </is>
      </c>
      <c r="C292" s="701" t="inlineStr">
        <is>
          <t xml:space="preserve">Соблюдение законодательства РФ. </t>
        </is>
      </c>
      <c r="D292" s="182" t="inlineStr">
        <is>
          <t>Кавыза О.Г.</t>
        </is>
      </c>
      <c r="E292" s="184" t="inlineStr">
        <is>
          <t>25 документов</t>
        </is>
      </c>
    </row>
    <row r="293" ht="27.6" customHeight="1">
      <c r="A293" s="753" t="n"/>
      <c r="B293" s="184" t="inlineStr">
        <is>
          <t>Оформление сопроводительных писем к выпискам из приказов</t>
        </is>
      </c>
      <c r="C293" s="701" t="inlineStr">
        <is>
          <t xml:space="preserve">Соблюдение законодательства РФ. </t>
        </is>
      </c>
      <c r="D293" s="182" t="inlineStr">
        <is>
          <t>Кавыза О.Г.</t>
        </is>
      </c>
      <c r="E293" s="184" t="inlineStr">
        <is>
          <t>107 документов</t>
        </is>
      </c>
    </row>
    <row r="294" ht="55.2" customHeight="1">
      <c r="A294" s="691" t="inlineStr">
        <is>
          <t>Подготовка листков сообщений</t>
        </is>
      </c>
      <c r="B294" s="184" t="inlineStr">
        <is>
          <t>Документ выдается на руки сотрудники с целью посещения военкомата в связи с ихменением места жительства, состава семьи, образования и т.д.</t>
        </is>
      </c>
      <c r="C294" s="701" t="inlineStr">
        <is>
          <t xml:space="preserve">Соблюдение законодательства РФ. </t>
        </is>
      </c>
      <c r="D294" s="182" t="inlineStr">
        <is>
          <t>Кавыза О.Г.</t>
        </is>
      </c>
      <c r="E294" s="184" t="inlineStr">
        <is>
          <t>80 документов</t>
        </is>
      </c>
    </row>
    <row r="295" ht="27.6" customHeight="1">
      <c r="A295" s="691" t="inlineStr">
        <is>
          <t xml:space="preserve">Подготовка направления для постановки на ВУ </t>
        </is>
      </c>
      <c r="B295" s="184" t="inlineStr">
        <is>
          <t xml:space="preserve">Документ выдается на руки сотрудники с целью посещения военкомата для постановки на ВУ </t>
        </is>
      </c>
      <c r="C295" s="701" t="inlineStr">
        <is>
          <t xml:space="preserve">Соблюдение законодательства РФ. </t>
        </is>
      </c>
      <c r="D295" s="182" t="inlineStr">
        <is>
          <t>Кавыза О.Г.</t>
        </is>
      </c>
      <c r="E295" s="184" t="inlineStr">
        <is>
          <t>14 документов</t>
        </is>
      </c>
    </row>
    <row r="296" ht="27.6" customHeight="1">
      <c r="A296" s="691" t="inlineStr">
        <is>
          <t>Ведение журналов</t>
        </is>
      </c>
      <c r="B296" s="184" t="inlineStr">
        <is>
          <t>Журналы по работе, связанной с воинским учетом и бронированием.</t>
        </is>
      </c>
      <c r="C296" s="701" t="inlineStr">
        <is>
          <t xml:space="preserve">Соблюдение законодательства РФ. </t>
        </is>
      </c>
      <c r="D296" s="182" t="inlineStr">
        <is>
          <t>Кавыза О.Г.</t>
        </is>
      </c>
      <c r="E296" s="184" t="inlineStr">
        <is>
          <t>В полном объеме</t>
        </is>
      </c>
    </row>
    <row r="297" ht="27.6" customHeight="1">
      <c r="A297" s="691" t="inlineStr">
        <is>
          <t>Автоматизация в 1С ведения данных по ВУ и бронированию</t>
        </is>
      </c>
      <c r="B297" s="184" t="inlineStr">
        <is>
          <t>Внесение данных по бронированию в 1С: приказов, справок пр. документов</t>
        </is>
      </c>
      <c r="C297" s="701" t="inlineStr">
        <is>
          <t>Организация деятельности подразделения</t>
        </is>
      </c>
      <c r="D297" s="182" t="inlineStr">
        <is>
          <t>Кавыза О.Г.</t>
        </is>
      </c>
      <c r="E297" s="184" t="inlineStr">
        <is>
          <t>Обновление базы ВК в соответствии с утвержденными после объединения</t>
        </is>
      </c>
    </row>
    <row r="298" ht="27.6" customHeight="1">
      <c r="A298" s="691" t="inlineStr">
        <is>
          <t>Подключение к ЛК Реестр повесток.рф</t>
        </is>
      </c>
      <c r="B298" s="184" t="inlineStr">
        <is>
          <t>Подача установленных форм в электронном виде</t>
        </is>
      </c>
      <c r="C298" s="701" t="inlineStr">
        <is>
          <t>Соблюдение законодательства РФ</t>
        </is>
      </c>
      <c r="D298" s="182" t="inlineStr">
        <is>
          <t>Кавыза О.Г.</t>
        </is>
      </c>
      <c r="E298" s="184" t="inlineStr">
        <is>
          <t>Регистрация на сайте, получение МЧД и ЭЦП, на первую половину октября запланированы первые отправки форм</t>
        </is>
      </c>
    </row>
    <row r="299">
      <c r="A299" s="819" t="inlineStr">
        <is>
          <t>ОТ и ТБ</t>
        </is>
      </c>
      <c r="B299" s="760" t="n"/>
      <c r="C299" s="760" t="n"/>
      <c r="D299" s="760" t="n"/>
      <c r="E299" s="761" t="n"/>
    </row>
    <row r="300" ht="27.6" customFormat="1" customHeight="1" s="372">
      <c r="A300" s="691" t="inlineStr">
        <is>
          <t>Создание отдела ОТ, ТБ, экологической безопасности</t>
        </is>
      </c>
      <c r="B300" s="184" t="inlineStr">
        <is>
          <t>Комплектование штата, содание перечня работ до конца 2026г.</t>
        </is>
      </c>
      <c r="C300" s="701" t="inlineStr">
        <is>
          <t> </t>
        </is>
      </c>
      <c r="D300" s="182" t="inlineStr">
        <is>
          <t>Пенский А.</t>
        </is>
      </c>
      <c r="E300" s="184" t="inlineStr">
        <is>
          <t>Принят начальник отдела, уволен неэффективный сотрудник, проводятся собеседования на замещение</t>
        </is>
      </c>
      <c r="F300" t="inlineStr">
        <is>
          <t> </t>
        </is>
      </c>
      <c r="G300" t="inlineStr">
        <is>
          <t> </t>
        </is>
      </c>
      <c r="H300" t="inlineStr">
        <is>
          <t> </t>
        </is>
      </c>
      <c r="I300" t="inlineStr">
        <is>
          <t> </t>
        </is>
      </c>
    </row>
    <row r="301" ht="27.6" customFormat="1" customHeight="1" s="372">
      <c r="A301" s="691" t="inlineStr">
        <is>
          <t>Создание плана работы отдела, показателей оценки результата</t>
        </is>
      </c>
      <c r="B301" s="184" t="inlineStr">
        <is>
          <t> </t>
        </is>
      </c>
      <c r="C301" s="701" t="inlineStr">
        <is>
          <t> </t>
        </is>
      </c>
      <c r="D301" s="182" t="inlineStr">
        <is>
          <t>Пенский А.</t>
        </is>
      </c>
      <c r="E301" s="184" t="inlineStr">
        <is>
          <t>Q:\Охрана труда и экология\План работы отдела</t>
        </is>
      </c>
      <c r="F301" t="inlineStr">
        <is>
          <t> </t>
        </is>
      </c>
      <c r="G301" t="inlineStr">
        <is>
          <t> </t>
        </is>
      </c>
      <c r="H301" t="inlineStr">
        <is>
          <t> </t>
        </is>
      </c>
      <c r="I301" t="inlineStr">
        <is>
          <t> </t>
        </is>
      </c>
    </row>
    <row r="302" ht="151.8" customFormat="1" customHeight="1" s="372">
      <c r="A302" s="691" t="inlineStr">
        <is>
          <t>СОУТ</t>
        </is>
      </c>
      <c r="B302" s="184" t="inlineStr">
        <is>
          <t> </t>
        </is>
      </c>
      <c r="C302" s="701" t="inlineStr">
        <is>
          <t>Соблюдение законодательства</t>
        </is>
      </c>
      <c r="D302" s="182" t="inlineStr">
        <is>
          <t>Пенский А.</t>
        </is>
      </c>
      <c r="E302" s="184" t="inlineStr">
        <is>
          <t xml:space="preserve">
   Проанализированы требования и подготовлено техническое задание на проведение СОУТ для контрагентов. Проведён конкурентный анализ коммерческих предложений, по его итогам выбран подрядчик. Подготовлены сопроводительные документы для заключения договора. В ближайшее время договор будет загружен в 1С:ДО. Расходы на проведение СОУТ заложены в бюджет на 2027 год. СОУТ   рабочих мест офисного персонала головного подразделения запланирован до конца 2026 г.  </t>
        </is>
      </c>
      <c r="F302" t="inlineStr">
        <is>
          <t> </t>
        </is>
      </c>
      <c r="G302" t="inlineStr">
        <is>
          <t> </t>
        </is>
      </c>
      <c r="H302" t="inlineStr">
        <is>
          <t> </t>
        </is>
      </c>
      <c r="I302" t="inlineStr">
        <is>
          <t> </t>
        </is>
      </c>
    </row>
    <row r="303" customFormat="1" s="372">
      <c r="A303" s="691" t="inlineStr">
        <is>
          <t>ОПР</t>
        </is>
      </c>
      <c r="B303" s="184" t="inlineStr">
        <is>
          <t> </t>
        </is>
      </c>
      <c r="C303" s="701" t="inlineStr">
        <is>
          <t>Соблюдение законодательства</t>
        </is>
      </c>
      <c r="D303" s="182" t="inlineStr">
        <is>
          <t>Пенский А.</t>
        </is>
      </c>
      <c r="E303" s="184" t="inlineStr">
        <is>
          <t xml:space="preserve">Заложена в бюджет 2027 года. </t>
        </is>
      </c>
      <c r="F303" t="inlineStr">
        <is>
          <t> </t>
        </is>
      </c>
      <c r="G303" t="inlineStr">
        <is>
          <t> </t>
        </is>
      </c>
      <c r="H303" t="inlineStr">
        <is>
          <t> </t>
        </is>
      </c>
      <c r="I303" t="inlineStr">
        <is>
          <t> </t>
        </is>
      </c>
    </row>
    <row r="304" ht="69" customFormat="1" customHeight="1" s="372">
      <c r="A304" s="691" t="inlineStr">
        <is>
          <t>Автоматизация процессов</t>
        </is>
      </c>
      <c r="B304" s="184" t="inlineStr">
        <is>
          <t>Участие в проработке решений и их внедрение</t>
        </is>
      </c>
      <c r="C304" s="701" t="inlineStr">
        <is>
          <t xml:space="preserve">Развитие процессов </t>
        </is>
      </c>
      <c r="D304" s="182" t="inlineStr">
        <is>
          <t>Айкешева А.</t>
        </is>
      </c>
      <c r="E304" s="184" t="inlineStr">
        <is>
          <t>Принято участие во встречах по выбору контрагента и в тестировании системы «1С: Охрана труда». Подрядчикам переданы необходимые и недостающие данные. Составлен перечень вопросов к подрядчикам. Подготовлен сравнительный анализ предложений.</t>
        </is>
      </c>
      <c r="F304" t="inlineStr">
        <is>
          <t> </t>
        </is>
      </c>
      <c r="G304" t="inlineStr">
        <is>
          <t> </t>
        </is>
      </c>
      <c r="H304" t="inlineStr">
        <is>
          <t> </t>
        </is>
      </c>
      <c r="I304" t="inlineStr">
        <is>
          <t> </t>
        </is>
      </c>
    </row>
    <row r="305" ht="82.8" customHeight="1">
      <c r="A305" s="691" t="inlineStr">
        <is>
          <t>Организация обучения по охране труда (программа А, Б, СИЗ, первая помощь) для работников рабочих профессий</t>
        </is>
      </c>
      <c r="B305" s="184" t="inlineStr">
        <is>
          <t> </t>
        </is>
      </c>
      <c r="C305" s="701" t="inlineStr">
        <is>
          <t>Соблюдение законодательства</t>
        </is>
      </c>
      <c r="D305" s="182" t="inlineStr">
        <is>
          <t>Айкешева А.К.</t>
        </is>
      </c>
      <c r="E305" s="184" t="inlineStr">
        <is>
          <t>Заключён новый договор с учебным центром на более выгодных условиях. Распоряжением определён перечень работников головного офиса, подлежащих обучению. Составлен сводный по компании перечень работников, прошедших и не прошедших обучение по обязательным программам обучения требованиям охраны труда.</t>
        </is>
      </c>
    </row>
    <row r="306" ht="234.6" customHeight="1">
      <c r="A306" s="691" t="inlineStr">
        <is>
          <t>Разработка локальных нормативных актов по охране труда и экологии</t>
        </is>
      </c>
      <c r="B306" s="184" t="inlineStr">
        <is>
          <t>Приказы, ЛНД и т.д.</t>
        </is>
      </c>
      <c r="C306" s="701" t="inlineStr">
        <is>
          <t>Соблюдение законодательства</t>
        </is>
      </c>
      <c r="D306" s="182" t="inlineStr">
        <is>
          <t>Айкешева А.К.</t>
        </is>
      </c>
      <c r="E306" s="184" t="inlineStr">
        <is>
          <t>Приказ о назначении ответственных лиц по охране труда находится на согласовании в 1С:ДО. - Приказ о проведении вводного, первичного и повторного инструктажей по охране труда находится на согласовании в 1С:ДО. - Приказ об организации обеспечения аптечками первой помощи находится на согласовании у руководителей подразделений. - Перечень работ с повышенной опасностью в ООО «АИ-СН» находится на согласовании у руководителей подразделений. Переработка инструкций по экологической безопасности и управление отходами ( согласовано на подписи) .Разработка приказа по экол.без-ти и управлению отходами. Разработка и согласование программы инструктажа для сторожа. Разработка приказа по проведению аудита по экологии в производственных подразделениях. Подготовка бюджета по экологии на 2027 г. На стадии разработка приказа по инструктажу экол.без-ти.</t>
        </is>
      </c>
    </row>
    <row r="307" ht="41.4" customHeight="1">
      <c r="A307" s="691" t="inlineStr">
        <is>
          <t>Разработка таблицы по нормам СИЗ (спец. одежды) по подразделениям и профессиям</t>
        </is>
      </c>
      <c r="B307" s="184" t="inlineStr">
        <is>
          <t> </t>
        </is>
      </c>
      <c r="C307" s="701" t="inlineStr">
        <is>
          <t>Соблюдение законодательства</t>
        </is>
      </c>
      <c r="D307" s="182" t="inlineStr">
        <is>
          <t>Айкешева А.К.</t>
        </is>
      </c>
      <c r="E307" s="184" t="inlineStr">
        <is>
          <t>Для части должностей разработаны нормы бесплатной выдачи СИЗ. Они направлены руководителю площадки на ознакомление и согласование.</t>
        </is>
      </c>
    </row>
    <row r="308" ht="124.2" customHeight="1">
      <c r="A308" s="691" t="inlineStr">
        <is>
          <t>Формирование комплектов документов по охране труда для обособленных подразделений</t>
        </is>
      </c>
      <c r="B308" s="184" t="inlineStr">
        <is>
          <t>Инструкции ОТ, программы инструктажа, журналы инструктажа</t>
        </is>
      </c>
      <c r="C308" s="701" t="inlineStr">
        <is>
          <t>Соблюдение законодательства</t>
        </is>
      </c>
      <c r="D308" s="182" t="inlineStr">
        <is>
          <t>Айкешева А.К.</t>
        </is>
      </c>
      <c r="E308" s="184" t="inlineStr">
        <is>
          <t>Разработаны инструкции и программы инструктажей для производственного персонала. Журналы регистрации инструктажей закуплены. Руководителям подразделений они будут переданы после подписания приказа о проведении инструктажей. Разработаны памятки по заполнению журналов регистрации инструктажей. Разработаны также памятки: - для вводного инструктажа внешних посетителей; - об инцидентах и травмах; - о состоянии здоровья и самочувствии работников.</t>
        </is>
      </c>
    </row>
    <row r="309" ht="55.2" customHeight="1">
      <c r="A309" s="691" t="inlineStr">
        <is>
          <t xml:space="preserve">Обучение работников по экологической безопасности </t>
        </is>
      </c>
      <c r="B309" s="184" t="inlineStr">
        <is>
          <t> </t>
        </is>
      </c>
      <c r="C309" s="701" t="inlineStr">
        <is>
          <t> </t>
        </is>
      </c>
      <c r="D309" s="182" t="inlineStr">
        <is>
          <t>Батушин А.</t>
        </is>
      </c>
      <c r="E309" s="184" t="inlineStr">
        <is>
          <t xml:space="preserve">7 сотрудников прошли обучение по экологической безопасности. На стадии разработки приказ  по подразделениям ответственных за экологическую безопасность. </t>
        </is>
      </c>
    </row>
    <row r="310" ht="55.2" customHeight="1">
      <c r="A310" s="691" t="inlineStr">
        <is>
          <t>Инвентаризация отходов</t>
        </is>
      </c>
      <c r="B310" s="184" t="inlineStr">
        <is>
          <t>Ведение договора, сбор данных</t>
        </is>
      </c>
      <c r="C310" s="701" t="inlineStr">
        <is>
          <t>Соблюдение законодательства</t>
        </is>
      </c>
      <c r="D310" s="182" t="inlineStr">
        <is>
          <t>Батушин А.В.                            Пенский А.</t>
        </is>
      </c>
      <c r="E310" s="184" t="inlineStr">
        <is>
          <t>Получена инвентаризация отходов и  паспорта на отходы, документы подписаны. В работе заключение ДС по отходам( 3 вида). На согласовании СЗ по площадкам накопления отходов.</t>
        </is>
      </c>
    </row>
    <row r="311" ht="69" customHeight="1">
      <c r="A311" s="691" t="inlineStr">
        <is>
          <t>Подготовка и контроль по вывозу отходов в подразделениях</t>
        </is>
      </c>
      <c r="B311" s="184" t="inlineStr">
        <is>
          <t>Сбор информации, учёт в журнале движения отходов</t>
        </is>
      </c>
      <c r="C311" s="701" t="inlineStr">
        <is>
          <t>Соблюдение законодательства</t>
        </is>
      </c>
      <c r="D311" s="182" t="inlineStr">
        <is>
          <t>Батушин А.В.</t>
        </is>
      </c>
      <c r="E311" s="184" t="inlineStr">
        <is>
          <t>Вывезены отходы металла и мукулатура,  предоставление закрывающих док-в на контроле.Прорабатывается вопрос по вывозу СОЖ с Руднево со смежными подразделениями. Направлены запросы на на вывоз отходов  по списку в подрядные организации.</t>
        </is>
      </c>
    </row>
    <row r="312" ht="124.2" customHeight="1">
      <c r="A312" s="691" t="inlineStr">
        <is>
          <t>Контроль за соблюдением охраны труда и экологии в подразделениях</t>
        </is>
      </c>
      <c r="B312" s="184" t="inlineStr">
        <is>
          <t> </t>
        </is>
      </c>
      <c r="C312" s="701" t="inlineStr">
        <is>
          <t>Соблюдение законодательства</t>
        </is>
      </c>
      <c r="D312" s="182" t="inlineStr">
        <is>
          <t>Айкешева А.К.
   Батушин А.В.</t>
        </is>
      </c>
      <c r="E312" s="184" t="inlineStr">
        <is>
          <t xml:space="preserve">Разработана дорожная карта по экологии, она принята в работу. Проводится анализ, корректировка и согласование инструкций по экологической безопасности. Проведена дератизация в Руднево. Оформлены заявки в ЛК РПН на Батушина А.В. И Пенского А.К. В работе запрос по сбору информации о проектной документации и иных документов. В текущем режиме проводится работа с другими подразделениями Общества. Проведена проверка укомплектованности аптечек. </t>
        </is>
      </c>
    </row>
    <row r="313" ht="138" customHeight="1">
      <c r="A313" s="691" t="inlineStr">
        <is>
          <t>Оплата и контроль счётов по охране труда и экологии</t>
        </is>
      </c>
      <c r="B313" s="184" t="inlineStr">
        <is>
          <t>Договорная работы (Медкомиссия, вывоз отходов)</t>
        </is>
      </c>
      <c r="C313" s="701" t="inlineStr">
        <is>
          <t> </t>
        </is>
      </c>
      <c r="D313" s="182" t="inlineStr">
        <is>
          <t xml:space="preserve">      Пенский А.                      Айкешева А.К.
   Батушин А.В.</t>
        </is>
      </c>
      <c r="E313" s="184" t="inlineStr">
        <is>
          <t>Договор на проведение медицинских осмотров и психиатрических освидетельствований находится на согласовании в 1С:ДО. Определены сроки проведения периодического медицинского осмотра и контингент работников, подлежащих осмотру. Периодический медицинский осмотр пройдёт в выездном формате, поэтому после подписания договора будет проведена организационная работа.  В работе заключение договора на вывоз оргтехники . Вработе контроль по оплате счетов по обучению и  предварительному МО.</t>
        </is>
      </c>
    </row>
    <row r="314" ht="41.4" customFormat="1" customHeight="1" s="38">
      <c r="A314" s="691" t="inlineStr">
        <is>
          <t>Бюджетирование</t>
        </is>
      </c>
      <c r="B314" s="184" t="inlineStr">
        <is>
          <t> </t>
        </is>
      </c>
      <c r="C314" s="701" t="inlineStr">
        <is>
          <t> </t>
        </is>
      </c>
      <c r="D314" s="182" t="inlineStr">
        <is>
          <t>Айкешева А.К.</t>
        </is>
      </c>
      <c r="E314" s="184" t="inlineStr">
        <is>
          <t>Сформирован проект бюджета по охране труда и экологии на 2027 год. Составлена смета на оснащение учебного класса по охране труда на 2027 год.</t>
        </is>
      </c>
    </row>
    <row r="315" customFormat="1" s="38">
      <c r="A315" s="738" t="n"/>
      <c r="B315" s="739" t="n"/>
      <c r="C315" s="740" t="n"/>
      <c r="D315" s="741" t="n"/>
      <c r="E315" s="739" t="n"/>
    </row>
    <row r="316" ht="41.4" customFormat="1" customHeight="1" s="372">
      <c r="A316" s="691" t="inlineStr">
        <is>
          <t>Прочее</t>
        </is>
      </c>
      <c r="B316" s="184" t="inlineStr">
        <is>
          <t> </t>
        </is>
      </c>
      <c r="C316" s="701" t="inlineStr">
        <is>
          <t> </t>
        </is>
      </c>
      <c r="D316" s="182" t="inlineStr">
        <is>
          <t>Айкешева А.К.</t>
        </is>
      </c>
      <c r="E316" s="184" t="inlineStr">
        <is>
          <t>Принято участие в аттестации персонала совместно с отделом по управлению персоналом. Прорабатываются текущие вопросы и запросы, поступающие в ходе работы.</t>
        </is>
      </c>
    </row>
    <row r="317" ht="42.40000000000001" customFormat="1" customHeight="1" s="372">
      <c r="A317" s="742" t="inlineStr">
        <is>
          <t>ОХРАНА ТРУДА. ЛНА, программы, инструкции, журналы</t>
        </is>
      </c>
      <c r="B317" s="742" t="inlineStr">
        <is>
          <t>Распределение обязанностей и ответственности по охране труда между руководителями и должностными лицами подразделений</t>
        </is>
      </c>
      <c r="C317" s="743" t="inlineStr">
        <is>
          <t>Соблюдение законодательства</t>
        </is>
      </c>
      <c r="D317" s="744" t="inlineStr">
        <is>
          <t>Айкешева А.К.</t>
        </is>
      </c>
      <c r="E317" s="742" t="n"/>
    </row>
    <row r="318" ht="28.6" customFormat="1" customHeight="1" s="372">
      <c r="A318" s="754" t="n"/>
      <c r="B318" s="742" t="inlineStr">
        <is>
          <t>Разработка и утверждение Плана мероприятий по улучшению условий и охраны труда на 2027 г.</t>
        </is>
      </c>
      <c r="C318" s="743" t="inlineStr">
        <is>
          <t>Соблюдение законодательства</t>
        </is>
      </c>
      <c r="D318" s="744" t="inlineStr">
        <is>
          <t>Айкешева А.К.</t>
        </is>
      </c>
      <c r="E318" s="742" t="n"/>
    </row>
    <row r="319" ht="28.6" customFormat="1" customHeight="1" s="372">
      <c r="A319" s="754" t="n"/>
      <c r="B319" s="742" t="inlineStr">
        <is>
          <t>Регламентация порядка проведения инструктажей по охране труда (вводного, первичного на рабочем месте, повторного)</t>
        </is>
      </c>
      <c r="C319" s="743" t="inlineStr">
        <is>
          <t>Соблюдение законодательства</t>
        </is>
      </c>
      <c r="D319" s="744" t="inlineStr">
        <is>
          <t>Айкешева А.К.</t>
        </is>
      </c>
      <c r="E319" s="742" t="n"/>
    </row>
    <row r="320" ht="28.6" customFormat="1" customHeight="1" s="372">
      <c r="A320" s="754" t="n"/>
      <c r="B320" s="742" t="inlineStr">
        <is>
          <t>Разработка и утверждение программ вводного и первичного/повторного инструктажей по охране труда</t>
        </is>
      </c>
      <c r="C320" s="743" t="inlineStr">
        <is>
          <t>Соблюдение законодательства</t>
        </is>
      </c>
      <c r="D320" s="744" t="inlineStr">
        <is>
          <t>Айкешева А.К.</t>
        </is>
      </c>
      <c r="E320" s="742" t="n"/>
    </row>
    <row r="321" ht="28.6" customFormat="1" customHeight="1" s="372">
      <c r="A321" s="754" t="n"/>
      <c r="B321" s="742" t="inlineStr">
        <is>
          <t>Обеспечение руководителей подразделений журналами регистрации инструктажей и памятками по их заполнению</t>
        </is>
      </c>
      <c r="C321" s="743" t="inlineStr">
        <is>
          <t>Соблюдение законодательства</t>
        </is>
      </c>
      <c r="D321" s="744" t="inlineStr">
        <is>
          <t>Айкешева А.К.</t>
        </is>
      </c>
      <c r="E321" s="742" t="n"/>
    </row>
    <row r="322" ht="28.6" customFormat="1" customHeight="1" s="372">
      <c r="A322" s="753" t="n"/>
      <c r="B322" s="742" t="inlineStr">
        <is>
          <t>Организация проведения инструктажей по охране труда на всех площадках</t>
        </is>
      </c>
      <c r="C322" s="743" t="inlineStr">
        <is>
          <t>Соблюдение законодательства</t>
        </is>
      </c>
      <c r="D322" s="744" t="inlineStr">
        <is>
          <t>Айкешева А.К.</t>
        </is>
      </c>
      <c r="E322" s="742" t="n"/>
    </row>
    <row r="323" ht="28.6" customFormat="1" customHeight="1" s="372">
      <c r="A323" s="742" t="inlineStr">
        <is>
          <t>ОХРАНА ТРУДА. СОУТ</t>
        </is>
      </c>
      <c r="B323" s="742" t="inlineStr">
        <is>
          <t>Заключение договора на проведение СОУТ с выбранным подрядчиком (согласование и загрузка в 1С:ДО)</t>
        </is>
      </c>
      <c r="C323" s="743" t="inlineStr">
        <is>
          <t>Соблюдение законодательства</t>
        </is>
      </c>
      <c r="D323" s="744" t="inlineStr">
        <is>
          <t>Айкешева А.К., подрядчик</t>
        </is>
      </c>
      <c r="E323" s="742" t="n"/>
    </row>
    <row r="324" ht="28.6" customFormat="1" customHeight="1" s="372">
      <c r="A324" s="754" t="n"/>
      <c r="B324" s="742" t="inlineStr">
        <is>
          <t>Формирование комиссии по проведению СОУТ, утверждение перечня рабочих мест и графика проведения СОУТ</t>
        </is>
      </c>
      <c r="C324" s="743" t="inlineStr">
        <is>
          <t>Соблюдение законодательства</t>
        </is>
      </c>
      <c r="D324" s="744" t="inlineStr">
        <is>
          <t>Айкешева А.К., подрядчик</t>
        </is>
      </c>
      <c r="E324" s="742" t="n"/>
    </row>
    <row r="325" ht="42.40000000000001" customFormat="1" customHeight="1" s="372">
      <c r="A325" s="754" t="n"/>
      <c r="B325" s="742" t="inlineStr">
        <is>
          <t>Проведение СОУТ рабочих мест офисного персонала головного подразделения (идентификация вредных и (или) опасных производственных факторов, исследования и измерения)</t>
        </is>
      </c>
      <c r="C325" s="743" t="inlineStr">
        <is>
          <t>Соблюдение законодательства</t>
        </is>
      </c>
      <c r="D325" s="744" t="inlineStr">
        <is>
          <t>Айкешева А.К., подрядчик</t>
        </is>
      </c>
      <c r="E325" s="742" t="n"/>
    </row>
    <row r="326" ht="42.40000000000001" customFormat="1" customHeight="1" s="372">
      <c r="A326" s="754" t="n"/>
      <c r="B326" s="742" t="inlineStr">
        <is>
          <t>Утверждение отчёта о проведении СОУТ и ознакомление работников с результатами (картами СОУТ) в срок не позднее 30 календарных дней</t>
        </is>
      </c>
      <c r="C326" s="743" t="inlineStr">
        <is>
          <t>Соблюдение законодательства</t>
        </is>
      </c>
      <c r="D326" s="744" t="inlineStr">
        <is>
          <t>Айкешева А.К., подрядчик</t>
        </is>
      </c>
      <c r="E326" s="742" t="n"/>
    </row>
    <row r="327" ht="28.6" customFormat="1" customHeight="1" s="372">
      <c r="A327" s="754" t="n"/>
      <c r="B327" s="742" t="inlineStr">
        <is>
          <t>Подача декларации соответствия условий труда в ГИТ; контроль передачи сведений о результатах СОУТ во ФГИС СОУТ</t>
        </is>
      </c>
      <c r="C327" s="743" t="inlineStr">
        <is>
          <t>Соблюдение законодательства</t>
        </is>
      </c>
      <c r="D327" s="744" t="inlineStr">
        <is>
          <t>Айкешева А.К., подрядчик</t>
        </is>
      </c>
      <c r="E327" s="742" t="n"/>
    </row>
    <row r="328" ht="42.40000000000001" customFormat="1" customHeight="1" s="372">
      <c r="A328" s="753" t="n"/>
      <c r="B328" s="742" t="inlineStr">
        <is>
          <t>Планирование СОУТ обособленных подразделений на 2027 г. (Воронеж, Казань, Жуковский, Ульяновск, Внуково, Машково, Руднево)</t>
        </is>
      </c>
      <c r="C328" s="743" t="inlineStr">
        <is>
          <t>Соблюдение законодательства</t>
        </is>
      </c>
      <c r="D328" s="744" t="inlineStr">
        <is>
          <t>Айкешева А.К., подрядчик</t>
        </is>
      </c>
      <c r="E328" s="742" t="n"/>
    </row>
    <row r="329" ht="28.6" customFormat="1" customHeight="1" s="38">
      <c r="A329" s="742" t="inlineStr">
        <is>
          <t>ОХРАНА ТРУДА. Обучение</t>
        </is>
      </c>
      <c r="B329" s="742" t="inlineStr">
        <is>
          <t>Организация обучения по охране труда работников офиса г. Москва</t>
        </is>
      </c>
      <c r="C329" s="743" t="inlineStr">
        <is>
          <t>Соблюдение законодательства</t>
        </is>
      </c>
      <c r="D329" s="744" t="inlineStr">
        <is>
          <t>Айкешева А.К.</t>
        </is>
      </c>
      <c r="E329" s="742" t="n"/>
    </row>
    <row r="330" ht="42.40000000000001" customFormat="1" customHeight="1" s="38">
      <c r="A330" s="753" t="n"/>
      <c r="B330" s="742" t="inlineStr">
        <is>
          <t>Организация обучения рабочих, не прошедших обязательное обучение по охране труда (программы А, Б, В, применение СИЗ, оказание первой помощи)</t>
        </is>
      </c>
      <c r="C330" s="743" t="inlineStr">
        <is>
          <t>Соблюдение законодательства</t>
        </is>
      </c>
      <c r="D330" s="744" t="inlineStr">
        <is>
          <t>Айкешева А.К.</t>
        </is>
      </c>
      <c r="E330" s="742" t="n"/>
    </row>
    <row r="331" ht="42.40000000000001" customFormat="1" customHeight="1" s="511">
      <c r="A331" s="742" t="inlineStr">
        <is>
          <t>ОХРАНА ТРУДА. Стажировка и РПО</t>
        </is>
      </c>
      <c r="B331" s="742" t="inlineStr">
        <is>
          <t>Выстраивание системы обучения по охране труда: разработка и утверждение Положения о порядке обучения по охране труда и проверки знания требований охраны труда</t>
        </is>
      </c>
      <c r="C331" s="743" t="inlineStr">
        <is>
          <t>Соблюдение законодательства</t>
        </is>
      </c>
      <c r="D331" s="744" t="inlineStr">
        <is>
          <t>Айкешева А.К.</t>
        </is>
      </c>
      <c r="E331" s="742" t="n"/>
    </row>
    <row r="332" ht="28.6" customFormat="1" customHeight="1" s="511">
      <c r="A332" s="754" t="n"/>
      <c r="B332" s="742" t="inlineStr">
        <is>
          <t>Определение и утверждение перечня работ повышенной опасности</t>
        </is>
      </c>
      <c r="C332" s="743" t="inlineStr">
        <is>
          <t>Соблюдение законодательства</t>
        </is>
      </c>
      <c r="D332" s="744" t="inlineStr">
        <is>
          <t>Айкешева А.К.</t>
        </is>
      </c>
      <c r="E332" s="742" t="n"/>
    </row>
    <row r="333" ht="42.40000000000001" customFormat="1" customHeight="1" s="38">
      <c r="A333" s="754" t="n"/>
      <c r="B333" s="742" t="inlineStr">
        <is>
          <t>Внедрение стажировки на рабочем месте: разработка и утверждение Положения о стажировке и перечня профессий (должностей), подлежащих стажировке</t>
        </is>
      </c>
      <c r="C333" s="743" t="inlineStr">
        <is>
          <t>Соблюдение законодательства</t>
        </is>
      </c>
      <c r="D333" s="744" t="inlineStr">
        <is>
          <t>Айкешева А.К.</t>
        </is>
      </c>
      <c r="E333" s="742" t="n"/>
    </row>
    <row r="334" ht="28.6" customFormat="1" customHeight="1" s="38">
      <c r="A334" s="753" t="n"/>
      <c r="B334" s="742" t="inlineStr">
        <is>
          <t>Разработка программ стажировки и формы стажировочного листа</t>
        </is>
      </c>
      <c r="C334" s="743" t="inlineStr">
        <is>
          <t>Соблюдение законодательства</t>
        </is>
      </c>
      <c r="D334" s="744" t="inlineStr">
        <is>
          <t>Айкешева А.К.</t>
        </is>
      </c>
      <c r="E334" s="742" t="n"/>
    </row>
    <row r="335" ht="42.40000000000001" customFormat="1" customHeight="1" s="38">
      <c r="A335" s="742" t="inlineStr">
        <is>
          <t>ОХРАНА ТРУДА. Медицинские осмотры и психиатрические освидетельствования</t>
        </is>
      </c>
      <c r="B335" s="742" t="inlineStr">
        <is>
          <t>Заключение договора с медицинской организацией на проведение медицинских осмотров и психиатрических освидетельствований</t>
        </is>
      </c>
      <c r="C335" s="743" t="inlineStr">
        <is>
          <t>Соблюдение законодательства</t>
        </is>
      </c>
      <c r="D335" s="744" t="inlineStr">
        <is>
          <t>Айкешева А.К.</t>
        </is>
      </c>
      <c r="E335" s="742" t="n"/>
    </row>
    <row r="336" ht="42.40000000000001" customFormat="1" customHeight="1" s="38">
      <c r="A336" s="754" t="n"/>
      <c r="B336" s="742" t="inlineStr">
        <is>
          <t>Организация периодического медосмотра: издание приказа, утверждение поимённого списка и календарного плана с медицинской организацией</t>
        </is>
      </c>
      <c r="C336" s="743" t="inlineStr">
        <is>
          <t>Соблюдение законодательства</t>
        </is>
      </c>
      <c r="D336" s="744" t="inlineStr">
        <is>
          <t>Айкешева А.К.</t>
        </is>
      </c>
      <c r="E336" s="742" t="n"/>
    </row>
    <row r="337" ht="28.6" customFormat="1" customHeight="1" s="38">
      <c r="A337" s="754" t="n"/>
      <c r="B337" s="742" t="inlineStr">
        <is>
          <t>Проведение периодического медосмотра в выездном формате; получение заключительного акта</t>
        </is>
      </c>
      <c r="C337" s="743" t="inlineStr">
        <is>
          <t>Соблюдение законодательства</t>
        </is>
      </c>
      <c r="D337" s="744" t="inlineStr">
        <is>
          <t>Айкешева А.К.</t>
        </is>
      </c>
      <c r="E337" s="742" t="n"/>
    </row>
    <row r="338" ht="42.40000000000001" customFormat="1" customHeight="1" s="38">
      <c r="A338" s="754" t="n"/>
      <c r="B338" s="742" t="inlineStr">
        <is>
          <t>Организация психиатрического освидетельствования: определение перечня должностей, разработка Положения, выдача направлений</t>
        </is>
      </c>
      <c r="C338" s="743" t="inlineStr">
        <is>
          <t>Соблюдение законодательства</t>
        </is>
      </c>
      <c r="D338" s="744" t="inlineStr">
        <is>
          <t>Айкешева А.К.</t>
        </is>
      </c>
      <c r="E338" s="742" t="n"/>
    </row>
    <row r="339" ht="28.6" customFormat="1" customHeight="1" s="38">
      <c r="A339" s="754" t="n"/>
      <c r="B339" s="742" t="inlineStr">
        <is>
          <t>Подбор альтернативных медицинских организаций в регионах для прохождения предварительных медосмотров</t>
        </is>
      </c>
      <c r="C339" s="743" t="inlineStr">
        <is>
          <t>Соблюдение законодательства</t>
        </is>
      </c>
      <c r="D339" s="744" t="inlineStr">
        <is>
          <t>Айкешева А.К.</t>
        </is>
      </c>
      <c r="E339" s="742" t="n"/>
    </row>
    <row r="340" ht="28.6" customFormat="1" customHeight="1" s="38">
      <c r="A340" s="754" t="n"/>
      <c r="B340" s="742" t="inlineStr">
        <is>
          <t>Организация учёта направлений на медосмотры (введение журнала выдачи направлений)</t>
        </is>
      </c>
      <c r="C340" s="743" t="inlineStr">
        <is>
          <t>Соблюдение законодательства</t>
        </is>
      </c>
      <c r="D340" s="744" t="inlineStr">
        <is>
          <t>Айкешева А.К.</t>
        </is>
      </c>
      <c r="E340" s="742" t="n"/>
    </row>
    <row r="341" ht="28.6" customFormat="1" customHeight="1" s="38">
      <c r="A341" s="753" t="n"/>
      <c r="B341" s="742" t="inlineStr">
        <is>
          <t>Регламентация порядка допуска к работе и отстранения от работы по результатам медосмотров</t>
        </is>
      </c>
      <c r="C341" s="743" t="inlineStr">
        <is>
          <t>Соблюдение законодательства</t>
        </is>
      </c>
      <c r="D341" s="744" t="inlineStr">
        <is>
          <t>Айкешева А.К.</t>
        </is>
      </c>
      <c r="E341" s="742" t="n"/>
    </row>
    <row r="342" ht="28.6" customFormat="1" customHeight="1" s="38">
      <c r="A342" s="742" t="inlineStr">
        <is>
          <t>ОХРАНА ТРУДА. СИЗ</t>
        </is>
      </c>
      <c r="B342" s="742" t="inlineStr">
        <is>
          <t>Утверждение Норм бесплатной выдачи СИЗ работникам по профессиям (должностям)</t>
        </is>
      </c>
      <c r="C342" s="743" t="inlineStr">
        <is>
          <t>Соблюдение законодательства</t>
        </is>
      </c>
      <c r="D342" s="744" t="inlineStr">
        <is>
          <t>Айкешева А.К.</t>
        </is>
      </c>
      <c r="E342" s="742" t="n"/>
    </row>
    <row r="343" ht="28.6" customFormat="1" customHeight="1" s="372">
      <c r="A343" s="754" t="n"/>
      <c r="B343" s="742" t="inlineStr">
        <is>
          <t>Регламентация порядка обеспечения работников СИЗ (Порядок обеспечения СИЗ)</t>
        </is>
      </c>
      <c r="C343" s="743" t="inlineStr">
        <is>
          <t>Соблюдение законодательства</t>
        </is>
      </c>
      <c r="D343" s="744" t="inlineStr">
        <is>
          <t>Айкешева А.К.</t>
        </is>
      </c>
      <c r="E343" s="742" t="n"/>
    </row>
    <row r="344" ht="28.6" customFormat="1" customHeight="1" s="38">
      <c r="A344" s="754" t="n"/>
      <c r="B344" s="742" t="inlineStr">
        <is>
          <t>Распределение ответственности за выдачу и учёт СИЗ в подразделениях</t>
        </is>
      </c>
      <c r="C344" s="743" t="inlineStr">
        <is>
          <t>Соблюдение законодательства</t>
        </is>
      </c>
      <c r="D344" s="744" t="inlineStr">
        <is>
          <t>Айкешева А.К.</t>
        </is>
      </c>
      <c r="E344" s="742" t="n"/>
    </row>
    <row r="345" ht="28.6" customFormat="1" customHeight="1" s="38">
      <c r="A345" s="753" t="n"/>
      <c r="B345" s="742" t="inlineStr">
        <is>
          <t>Организация учёта выдачи СИЗ (введение личных карточек учёта выдачи СИЗ)</t>
        </is>
      </c>
      <c r="C345" s="743" t="inlineStr">
        <is>
          <t>Соблюдение законодательства</t>
        </is>
      </c>
      <c r="D345" s="744" t="inlineStr">
        <is>
          <t>Айкешева А.К.</t>
        </is>
      </c>
      <c r="E345" s="742" t="n"/>
    </row>
    <row r="346" ht="28.6" customFormat="1" customHeight="1" s="38">
      <c r="A346" s="742" t="inlineStr">
        <is>
          <t>ОХРАНА ТРУДА. Аптечки</t>
        </is>
      </c>
      <c r="B346" s="742" t="inlineStr">
        <is>
          <t>Регламентация порядка обеспечения аптечками для оказания первой помощи</t>
        </is>
      </c>
      <c r="C346" s="743" t="inlineStr">
        <is>
          <t>Соблюдение законодательства</t>
        </is>
      </c>
      <c r="D346" s="744" t="inlineStr">
        <is>
          <t>Айкешева А.К.</t>
        </is>
      </c>
      <c r="E346" s="742" t="n"/>
    </row>
    <row r="347" ht="28.6" customFormat="1" customHeight="1" s="38">
      <c r="A347" s="754" t="n"/>
      <c r="B347" s="742" t="inlineStr">
        <is>
          <t>Распределение ответственности за хранение и укомплектованность аптечек по площадкам</t>
        </is>
      </c>
      <c r="C347" s="743" t="inlineStr">
        <is>
          <t>Соблюдение законодательства</t>
        </is>
      </c>
      <c r="D347" s="744" t="inlineStr">
        <is>
          <t>Айкешева А.К.</t>
        </is>
      </c>
      <c r="E347" s="742" t="n"/>
    </row>
    <row r="348" ht="28.6" customFormat="1" customHeight="1" s="38">
      <c r="A348" s="754" t="n"/>
      <c r="B348" s="742" t="inlineStr">
        <is>
          <t>Организация учёта и контроля укомплектованности аптечек (введение журнала)</t>
        </is>
      </c>
      <c r="C348" s="743" t="inlineStr">
        <is>
          <t>Соблюдение законодательства</t>
        </is>
      </c>
      <c r="D348" s="744" t="inlineStr">
        <is>
          <t>Айкешева А.К.</t>
        </is>
      </c>
      <c r="E348" s="742" t="n"/>
    </row>
    <row r="349" ht="28.6" customFormat="1" customHeight="1" s="38">
      <c r="A349" s="753" t="n"/>
      <c r="B349" s="742" t="inlineStr">
        <is>
          <t>Доукомплектование аптечек для оказания первой помощи на площадках</t>
        </is>
      </c>
      <c r="C349" s="743" t="inlineStr">
        <is>
          <t>Соблюдение законодательства</t>
        </is>
      </c>
      <c r="D349" s="744" t="inlineStr">
        <is>
          <t>Айкешева А.К.</t>
        </is>
      </c>
      <c r="E349" s="742" t="n"/>
    </row>
    <row r="350" ht="28.6" customFormat="1" customHeight="1" s="38">
      <c r="A350" s="742" t="inlineStr">
        <is>
          <t>ЭКОЛОГИЯ. ЛНА</t>
        </is>
      </c>
      <c r="B350" s="742" t="inlineStr">
        <is>
          <t>Распределение ответственности за обеспечение экологической безопасности и обращение с отходами в подразделениях</t>
        </is>
      </c>
      <c r="C350" s="743" t="inlineStr">
        <is>
          <t>Соблюдение законодательства</t>
        </is>
      </c>
      <c r="D350" s="744" t="inlineStr">
        <is>
          <t>Батушин  А.В.</t>
        </is>
      </c>
      <c r="E350" s="742" t="n"/>
    </row>
    <row r="351" ht="28.6" customFormat="1" customHeight="1" s="38">
      <c r="A351" s="754" t="n"/>
      <c r="B351" s="742" t="inlineStr">
        <is>
          <t>Регламентация деятельности в области экологической безопасности и обращения с отходами (приказ, инструкции)</t>
        </is>
      </c>
      <c r="C351" s="743" t="inlineStr">
        <is>
          <t>Соблюдение законодательства</t>
        </is>
      </c>
      <c r="D351" s="744" t="inlineStr">
        <is>
          <t>Батушин  А.В.</t>
        </is>
      </c>
      <c r="E351" s="742" t="n"/>
    </row>
    <row r="352" ht="27.6" customFormat="1" customHeight="1" s="38">
      <c r="A352" s="754" t="n"/>
      <c r="B352" s="742" t="inlineStr">
        <is>
          <t>Проведение инструктажа по экологической безопасности</t>
        </is>
      </c>
      <c r="C352" s="743" t="inlineStr">
        <is>
          <t>Соблюдение законодательства</t>
        </is>
      </c>
      <c r="D352" s="744" t="inlineStr">
        <is>
          <t>Батушин  А.В.</t>
        </is>
      </c>
      <c r="E352" s="742" t="n"/>
    </row>
    <row r="353" ht="27.6" customFormat="1" customHeight="1" s="38">
      <c r="A353" s="754" t="n"/>
      <c r="B353" s="742" t="inlineStr">
        <is>
          <t>Формирование комиссии по проведению экологического аудита</t>
        </is>
      </c>
      <c r="C353" s="743" t="inlineStr">
        <is>
          <t>Соблюдение законодательства</t>
        </is>
      </c>
      <c r="D353" s="744" t="inlineStr">
        <is>
          <t>Батушин  А.В.</t>
        </is>
      </c>
      <c r="E353" s="742" t="n"/>
    </row>
    <row r="354" ht="28.6" customFormat="1" customHeight="1" s="38">
      <c r="A354" s="754" t="n"/>
      <c r="B354" s="742" t="inlineStr">
        <is>
          <t>Проведение экологического аудита 8 площадок: процессы, источники выбросов, отходы по ФККО, водопользование</t>
        </is>
      </c>
      <c r="C354" s="743" t="inlineStr">
        <is>
          <t>Соблюдение законодательства</t>
        </is>
      </c>
      <c r="D354" s="744" t="inlineStr">
        <is>
          <t>Батушин  А.В.</t>
        </is>
      </c>
      <c r="E354" s="742" t="n"/>
    </row>
    <row r="355" ht="27.6" customFormat="1" customHeight="1" s="38">
      <c r="A355" s="754" t="n"/>
      <c r="B355" s="742" t="inlineStr">
        <is>
          <t>Руднево: сбор и анализ проектной документации</t>
        </is>
      </c>
      <c r="C355" s="743" t="inlineStr">
        <is>
          <t>Соблюдение законодательства</t>
        </is>
      </c>
      <c r="D355" s="744" t="inlineStr">
        <is>
          <t>Батушин  А.В.</t>
        </is>
      </c>
      <c r="E355" s="742" t="n"/>
    </row>
    <row r="356" ht="28.6" customFormat="1" customHeight="1" s="38">
      <c r="A356" s="753" t="n"/>
      <c r="B356" s="742" t="inlineStr">
        <is>
          <t>Руднево: подготовка ТЗ на разработку документации (ОВОС/НДВ) для постановки объекта на государственный учёт</t>
        </is>
      </c>
      <c r="C356" s="743" t="inlineStr">
        <is>
          <t>Соблюдение законодательства</t>
        </is>
      </c>
      <c r="D356" s="744" t="inlineStr">
        <is>
          <t>Батушин  А.В.</t>
        </is>
      </c>
      <c r="E356" s="742" t="n"/>
    </row>
    <row r="357" ht="28.6" customFormat="1" customHeight="1" s="38">
      <c r="A357" s="742" t="inlineStr">
        <is>
          <t>ЭКОЛОГИЯ. Обучение</t>
        </is>
      </c>
      <c r="B357" s="742" t="inlineStr">
        <is>
          <t>Организация обучения ответственных за обращение с отходами (не менее 1 чел. на площадку)</t>
        </is>
      </c>
      <c r="C357" s="743" t="inlineStr">
        <is>
          <t>Соблюдение законодательства</t>
        </is>
      </c>
      <c r="D357" s="744" t="inlineStr">
        <is>
          <t>Батушин  А.В.</t>
        </is>
      </c>
      <c r="E357" s="742" t="n"/>
    </row>
    <row r="358" ht="27.6" customFormat="1" customHeight="1" s="408">
      <c r="A358" s="742" t="inlineStr">
        <is>
          <t>ЭКОЛОГИЯ. Договоры, отходы, журналы</t>
        </is>
      </c>
      <c r="B358" s="742" t="inlineStr">
        <is>
          <t>Заключение дополнительных соглашений по 3 видам отходов</t>
        </is>
      </c>
      <c r="C358" s="743" t="inlineStr">
        <is>
          <t>Соблюдение законодательства</t>
        </is>
      </c>
      <c r="D358" s="744" t="inlineStr">
        <is>
          <t>Батушин  А.В.</t>
        </is>
      </c>
      <c r="E358" s="742" t="n"/>
    </row>
    <row r="359" ht="28.6" customFormat="1" customHeight="1" s="38">
      <c r="A359" s="754" t="n"/>
      <c r="B359" s="742" t="inlineStr">
        <is>
          <t>Организация вывоза списанной оргтехники (заключение договора)</t>
        </is>
      </c>
      <c r="C359" s="743" t="inlineStr">
        <is>
          <t>Соблюдение законодательства</t>
        </is>
      </c>
      <c r="D359" s="744" t="inlineStr">
        <is>
          <t>Батушин  А.В.</t>
        </is>
      </c>
      <c r="E359" s="742" t="n"/>
    </row>
    <row r="360" ht="27.6" customFormat="1" customHeight="1" s="38">
      <c r="A360" s="754" t="n"/>
      <c r="B360" s="742" t="inlineStr">
        <is>
          <t>Организация вывоза отработанной СОЖ с площадки Руднево</t>
        </is>
      </c>
      <c r="C360" s="743" t="inlineStr">
        <is>
          <t>Соблюдение законодательства</t>
        </is>
      </c>
      <c r="D360" s="744" t="inlineStr">
        <is>
          <t>Батушин  А.В.</t>
        </is>
      </c>
      <c r="E360" s="742" t="n"/>
    </row>
    <row r="361" ht="28.6" customFormat="1" customHeight="1" s="38">
      <c r="A361" s="754" t="n"/>
      <c r="B361" s="742" t="inlineStr">
        <is>
          <t>Подбор лицензированных операторов по обращению с отходами в регионах и заключение договоров</t>
        </is>
      </c>
      <c r="C361" s="743" t="inlineStr">
        <is>
          <t>Соблюдение законодательства</t>
        </is>
      </c>
      <c r="D361" s="744" t="inlineStr">
        <is>
          <t>Батушин  А.В.</t>
        </is>
      </c>
      <c r="E361" s="742" t="n"/>
    </row>
    <row r="362" ht="27.6" customFormat="1" customHeight="1" s="38">
      <c r="A362" s="754" t="n"/>
      <c r="B362" s="742" t="inlineStr">
        <is>
          <t>Проверка договоров на вывоз ТКО по площадкам</t>
        </is>
      </c>
      <c r="C362" s="743" t="inlineStr">
        <is>
          <t>Соблюдение законодательства</t>
        </is>
      </c>
      <c r="D362" s="744" t="inlineStr">
        <is>
          <t>Батушин  А.В.</t>
        </is>
      </c>
      <c r="E362" s="742" t="n"/>
    </row>
    <row r="363" ht="27.6" customFormat="1" customHeight="1" s="38">
      <c r="A363" s="754" t="n"/>
      <c r="B363" s="742" t="inlineStr">
        <is>
          <t>Согласование мест накопления отходов (СЗ)</t>
        </is>
      </c>
      <c r="C363" s="743" t="inlineStr">
        <is>
          <t>Соблюдение законодательства</t>
        </is>
      </c>
      <c r="D363" s="744" t="inlineStr">
        <is>
          <t>Батушин  А.В.</t>
        </is>
      </c>
      <c r="E363" s="742" t="n"/>
    </row>
    <row r="364" ht="42.40000000000001" customFormat="1" customHeight="1" s="38">
      <c r="A364" s="754" t="n"/>
      <c r="B364" s="742" t="inlineStr">
        <is>
          <t>Урегулирование с арендодателями вопросов размещения мест накопления отходов: направление запросов, оформление ДС к договорам аренды</t>
        </is>
      </c>
      <c r="C364" s="743" t="inlineStr">
        <is>
          <t>Соблюдение законодательства</t>
        </is>
      </c>
      <c r="D364" s="744" t="inlineStr">
        <is>
          <t>Батушин  А.В.</t>
        </is>
      </c>
      <c r="E364" s="742" t="n"/>
    </row>
    <row r="365" ht="27.6" customFormat="1" customHeight="1" s="38">
      <c r="A365" s="754" t="n"/>
      <c r="B365" s="742" t="inlineStr">
        <is>
          <t>Обустройство мест накопления отходов</t>
        </is>
      </c>
      <c r="C365" s="743" t="inlineStr">
        <is>
          <t>Соблюдение законодательства</t>
        </is>
      </c>
      <c r="D365" s="744" t="inlineStr">
        <is>
          <t>Батушин  А.В.</t>
        </is>
      </c>
      <c r="E365" s="742" t="n"/>
    </row>
    <row r="366" ht="42.40000000000001" customFormat="1" customHeight="1" s="38">
      <c r="A366" s="754" t="n"/>
      <c r="B366" s="742" t="inlineStr">
        <is>
          <t>Организация учёта движения отходов на всех площадках: издание приказа, введение журналов движения отходов (форма по приказу Минприроды № 227, с 01.09.2026)</t>
        </is>
      </c>
      <c r="C366" s="743" t="inlineStr">
        <is>
          <t>Соблюдение законодательства</t>
        </is>
      </c>
      <c r="D366" s="744" t="inlineStr">
        <is>
          <t>Батушин  А.В.</t>
        </is>
      </c>
      <c r="E366" s="742" t="n"/>
    </row>
    <row r="367" ht="28.6" customFormat="1" customHeight="1" s="38">
      <c r="A367" s="753" t="n"/>
      <c r="B367" s="742" t="inlineStr">
        <is>
          <t>Разработка паспортов отходов I–IV классов опасности по площадкам (по итогам аудита)</t>
        </is>
      </c>
      <c r="C367" s="743" t="inlineStr">
        <is>
          <t>Соблюдение законодательства</t>
        </is>
      </c>
      <c r="D367" s="744" t="inlineStr">
        <is>
          <t>Батушин  А.В.</t>
        </is>
      </c>
      <c r="E367" s="742" t="n"/>
    </row>
    <row r="368" ht="28.6" customFormat="1" customHeight="1" s="38">
      <c r="A368" s="742" t="inlineStr">
        <is>
          <t>ЭКОЛОГИЯ. Отчётность</t>
        </is>
      </c>
      <c r="B368" s="742" t="inlineStr">
        <is>
          <t>Получение доступа в личный кабинет природопользователя Росприроднадзора (оформление МЧД, УКЭП)</t>
        </is>
      </c>
      <c r="C368" s="743" t="inlineStr">
        <is>
          <t>Соблюдение законодательства</t>
        </is>
      </c>
      <c r="D368" s="744" t="inlineStr">
        <is>
          <t>Батушин  А.В.</t>
        </is>
      </c>
      <c r="E368" s="742" t="n"/>
    </row>
    <row r="369" ht="28.6" customFormat="1" customHeight="1" s="38">
      <c r="A369" s="754" t="n"/>
      <c r="B369" s="742" t="inlineStr">
        <is>
          <t>Подготовка данных для статистической отчётности за 2026 г. (янв.–март 2027): 2-ТП (воздух), 2-ТП (отходы), 4-ОС</t>
        </is>
      </c>
      <c r="C369" s="743" t="inlineStr">
        <is>
          <t>Соблюдение законодательства</t>
        </is>
      </c>
      <c r="D369" s="744" t="inlineStr">
        <is>
          <t>Батушин  А.В.</t>
        </is>
      </c>
      <c r="E369" s="742" t="n"/>
    </row>
    <row r="370" ht="27.6" customFormat="1" customHeight="1" s="372">
      <c r="A370" s="754" t="n"/>
      <c r="B370" s="742" t="inlineStr">
        <is>
          <t>Подготовка декларации о плате за НВОС за 2026 г.</t>
        </is>
      </c>
      <c r="C370" s="743" t="inlineStr">
        <is>
          <t>Соблюдение законодательства</t>
        </is>
      </c>
      <c r="D370" s="744" t="inlineStr">
        <is>
          <t>Батушин  А.В.</t>
        </is>
      </c>
      <c r="E370" s="742" t="n"/>
    </row>
    <row r="371" ht="28.6" customFormat="1" customHeight="1" s="372">
      <c r="A371" s="753" t="n"/>
      <c r="B371" s="742" t="inlineStr">
        <is>
          <t>Подготовка отчёта об организации и о результатах ПЭК за 2026 г.</t>
        </is>
      </c>
      <c r="C371" s="743" t="inlineStr">
        <is>
          <t>Соблюдение законодательства</t>
        </is>
      </c>
      <c r="D371" s="744" t="inlineStr">
        <is>
          <t>Батушин  А.В.</t>
        </is>
      </c>
      <c r="E371" s="742" t="n"/>
    </row>
    <row r="372" ht="28.6" customFormat="1" customHeight="1" s="408">
      <c r="A372" s="742" t="inlineStr">
        <is>
          <t>ЭКОЛОГИЯ. Контроль</t>
        </is>
      </c>
      <c r="B372" s="742" t="inlineStr">
        <is>
          <t>Организация внутреннего экологического контроля на площадках Руднево и Машково (ежеквартально)</t>
        </is>
      </c>
      <c r="C372" s="743" t="inlineStr">
        <is>
          <t>Соблюдение законодательства</t>
        </is>
      </c>
      <c r="D372" s="744" t="inlineStr">
        <is>
          <t>Батушин  А.В.</t>
        </is>
      </c>
      <c r="E372" s="742" t="n"/>
    </row>
    <row r="373" ht="27.6" customFormat="1" customHeight="1" s="38">
      <c r="A373" s="753" t="n"/>
      <c r="B373" s="742" t="inlineStr">
        <is>
          <t>Формирование реестра экологической документации компании</t>
        </is>
      </c>
      <c r="C373" s="743" t="inlineStr">
        <is>
          <t>Соблюдение законодательства</t>
        </is>
      </c>
      <c r="D373" s="744" t="inlineStr">
        <is>
          <t>Батушин  А.В.</t>
        </is>
      </c>
      <c r="E373" s="742" t="n"/>
    </row>
    <row r="374" customFormat="1" s="38">
      <c r="A374" s="830" t="inlineStr">
        <is>
          <t>Рекрутинг</t>
        </is>
      </c>
      <c r="B374" s="760" t="n"/>
      <c r="C374" s="760" t="n"/>
      <c r="D374" s="760" t="n"/>
      <c r="E374" s="760" t="n"/>
    </row>
    <row r="375" ht="100.8" customFormat="1" customHeight="1" s="38">
      <c r="A375" s="404" t="inlineStr">
        <is>
          <t>Набор технологов в АИ СН</t>
        </is>
      </c>
      <c r="B375" s="403" t="inlineStr">
        <is>
          <t>набор персонала на критичное направление</t>
        </is>
      </c>
      <c r="C375" s="403" t="inlineStr">
        <is>
          <t>Укомплектование отдела</t>
        </is>
      </c>
      <c r="D375" s="403" t="inlineStr">
        <is>
          <t>Осипова В.
   Блинова А.
   Новикова Ю.</t>
        </is>
      </c>
      <c r="E375" s="444" t="inlineStr">
        <is>
          <t>Осипова В.Г.
   регулярыне статусы, актуализация и приоритезация по ставкам
   Блинова А.И.Активный поиск и подбор технологов по разгым направлениям(прием +3 сотр) 
   Новикова Ю. (прием +1 сотр)</t>
        </is>
      </c>
    </row>
    <row r="376" ht="86.40000000000001" customFormat="1" customHeight="1" s="38">
      <c r="A376" s="512" t="inlineStr">
        <is>
          <t>Доработка концепции внешнего кадрового резерва</t>
        </is>
      </c>
      <c r="B376" s="513" t="inlineStr">
        <is>
          <t>Кадровый резерв, который может потребоваться при  расширении производства (теплая база кандидатов)</t>
        </is>
      </c>
      <c r="C376" s="514" t="inlineStr">
        <is>
          <t>Масштабирование производства</t>
        </is>
      </c>
      <c r="D376" s="514" t="inlineStr">
        <is>
          <t>Пенский А. 
Осипова В. 
Шибалкова Ю.
Ковалева Е.
Блинова А.
Исматова В.</t>
        </is>
      </c>
      <c r="E376" s="514" t="inlineStr">
        <is>
          <t xml:space="preserve"> Утверждение схемы добавления резюме в базу; добавление кандидатов в резерв в соответствующими пометками для легкого поиска в дальнейшем </t>
        </is>
      </c>
    </row>
    <row r="377" ht="82.8" customFormat="1" customHeight="1" s="38">
      <c r="A377" s="508" t="inlineStr">
        <is>
          <t>Актуализация плана подбора на квартал</t>
        </is>
      </c>
      <c r="B377" s="509" t="inlineStr">
        <is>
          <t>Вычитка всех вакансий, актуализация плана с руководителями, корректировки в ХФ и на HH.ru</t>
        </is>
      </c>
      <c r="C377" s="510" t="inlineStr">
        <is>
          <t>Повышение качества подбора персонала</t>
        </is>
      </c>
      <c r="D377" s="510" t="inlineStr">
        <is>
          <t>Пенский А.
Осипова В.,
Шибалкова Ю. 
Ковалева Е.
Блинова А.
Исматова В.</t>
        </is>
      </c>
      <c r="E377" s="510" t="inlineStr">
        <is>
          <t>План актуализирован</t>
        </is>
      </c>
    </row>
    <row r="378" ht="41.4" customFormat="1" customHeight="1" s="38">
      <c r="A378" s="840" t="inlineStr">
        <is>
          <t xml:space="preserve">Организация и контроль работы по проверке соискателей </t>
        </is>
      </c>
      <c r="B378" s="195" t="inlineStr">
        <is>
          <t>Проверка кандидатов на различного вида задолженности и наличие ЮР лиц и ИП в системе Кронос</t>
        </is>
      </c>
      <c r="C378" s="195" t="inlineStr">
        <is>
          <t>Проверка</t>
        </is>
      </c>
      <c r="D378" s="195" t="inlineStr">
        <is>
          <t xml:space="preserve">Ковалева Е.
Осипова В.
</t>
        </is>
      </c>
      <c r="E378" s="195" t="inlineStr">
        <is>
          <t>Проведено 75 проверок в системе Кронос</t>
        </is>
      </c>
    </row>
    <row r="379" ht="41.4" customFormat="1" customHeight="1" s="38">
      <c r="A379" s="841" t="n"/>
      <c r="B379" s="196" t="inlineStr">
        <is>
          <t xml:space="preserve">Точечные консультации с внутренней СБ по спорным вопросам проверок у кандидатов </t>
        </is>
      </c>
      <c r="C379" s="197" t="inlineStr">
        <is>
          <t>Повышение качества подбора персонала</t>
        </is>
      </c>
      <c r="D379" s="198" t="inlineStr">
        <is>
          <t xml:space="preserve">Шибалкова Ю. 
Ковалева Е.
</t>
        </is>
      </c>
      <c r="E379" s="199" t="inlineStr">
        <is>
          <t>Шибалкова Ю.А.  сбор доп. сведений на 2 кандидатов
Ковалева Е.С.: сбор доп сведений на 1 кандидата</t>
        </is>
      </c>
    </row>
    <row r="380" ht="55.2" customFormat="1" customHeight="1" s="38">
      <c r="A380" s="690" t="inlineStr">
        <is>
          <t>Предварительные мед.осмотры</t>
        </is>
      </c>
      <c r="B380" s="65" t="inlineStr">
        <is>
          <t>Направление на предварительные мед. осмотры</t>
        </is>
      </c>
      <c r="C380" s="185" t="inlineStr">
        <is>
          <t>Проверка перед трудоустройством</t>
        </is>
      </c>
      <c r="D380" s="186" t="inlineStr">
        <is>
          <t>Ковалева Е.
Блинова А. 
Исматова В.
Новикова Ю.</t>
        </is>
      </c>
      <c r="E380" s="182" t="inlineStr">
        <is>
          <t>Исматова В.: было сделано около 10 направлений на медосмотр Блинова: выдано 6 направлений на медосмотр
Шибалкова Ю.А.: выдано 5 направлений на медосмотр
Ковалева Е.С.: выдано 4 направления на медосмотр</t>
        </is>
      </c>
    </row>
    <row r="381" ht="41.4" customFormat="1" customHeight="1" s="38">
      <c r="A381" s="71" t="inlineStr">
        <is>
          <t>Сбор рекомендаций с прошлых мест работ кандидатов</t>
        </is>
      </c>
      <c r="B381" s="184" t="inlineStr">
        <is>
          <t>Для руководящих и точечных должностей по запросу собираем рекомендации по кандидату перед выставлением оффера</t>
        </is>
      </c>
      <c r="C381" s="186" t="inlineStr">
        <is>
          <t>Повышение качества подбора персонала</t>
        </is>
      </c>
      <c r="D381" s="182" t="inlineStr">
        <is>
          <t>Шибалкова Ю. 
Ковалева Е.                              Блинова А.И</t>
        </is>
      </c>
      <c r="E381" s="186" t="inlineStr">
        <is>
          <t>Блинова А.И.Собраны рекомендации на 2-х кандидатов
Шибалкова Ю.А.  сбор рекомендации на 4-х кандидатов
Ковалева Е.С.: сбор рекомендации на 2 кандидатов</t>
        </is>
      </c>
    </row>
    <row r="382" ht="138" customFormat="1" customHeight="1" s="38">
      <c r="A382" s="691" t="inlineStr">
        <is>
          <t>Мониторинг рынка труда</t>
        </is>
      </c>
      <c r="B382" s="184" t="inlineStr">
        <is>
          <t>Сбор и отражение в табличной форме данных</t>
        </is>
      </c>
      <c r="C382" s="182" t="inlineStr">
        <is>
          <t>Оценка ситуации на рынке труда для корректировки кадровой политики</t>
        </is>
      </c>
      <c r="D382" s="181" t="inlineStr">
        <is>
          <t>Осипова В.
Блинова А.
Шибалкова Ю. 
Ковалева Е.
Исматова В.</t>
        </is>
      </c>
      <c r="E382" s="182" t="inlineStr">
        <is>
          <t>Осипова В.Г. Сбор и сведение данных и выводов по зарплатной аналитике, предоствление руководству
Блинова А.И.: мониторинг рынка труда по 2 должностям - столяр и сборщик стеклопластиковых изделий
Шибалкова Ю.: мониторинг рынка труда по 3 должностям - Облицовщик (шпон), Облицовщик (оклейка), специалист по закупкам
Ковалева Е.С.: мониторинг рынув труда по 3 должностям - оператор станка с ЧПУ (металл), оператор станка с ЧПУ (деревообработка), шлифовщик</t>
        </is>
      </c>
    </row>
    <row r="383" ht="124.2" customFormat="1" customHeight="1" s="38">
      <c r="A383" s="691" t="inlineStr">
        <is>
          <t>Отчетность еженедельная/квартальная</t>
        </is>
      </c>
      <c r="B383" s="191" t="inlineStr">
        <is>
          <t>Заполнение форм отчетности</t>
        </is>
      </c>
      <c r="C383" s="193" t="inlineStr">
        <is>
          <t>Выполнение плана подбора</t>
        </is>
      </c>
      <c r="D383" s="193" t="inlineStr">
        <is>
          <t>Пенский А.
Осипова В.,
Шибалкова Ю. 
Ковалева Е.
Блинова А. 
Исматова В.
Новикова Ю.</t>
        </is>
      </c>
      <c r="E383" s="193" t="inlineStr">
        <is>
          <t>Блинова А.И - заполнение отчета по рекрутингу каждую пятницу. Заполнение квартального отчета в конце квартала
Шибалкова Ю. - заполнение отчета по рекрутингу каждую пятницу, еженедельный отчет по выходам новых сотрудников,  квартального отчета в конце квартала.
Ковалева Е.С. - еженедельная актуализация отчета кандидатам на всех процессах подбора
Осипова В.Г. Проведение регулярных статуов по подбору, сбор отчетности</t>
        </is>
      </c>
    </row>
    <row r="384" ht="69" customFormat="1" customHeight="1" s="38">
      <c r="A384" s="200" t="inlineStr">
        <is>
          <t>Реферальная программа</t>
        </is>
      </c>
      <c r="B384" s="201" t="inlineStr">
        <is>
          <t>Отслеживание окончания ИС сотрудников по рекомендации</t>
        </is>
      </c>
      <c r="C384" s="202" t="inlineStr">
        <is>
          <t>Увеличение воронки кандидатов, развитие HR бренда работодателя</t>
        </is>
      </c>
      <c r="D384" s="202" t="inlineStr">
        <is>
          <t>Осипова В.,
Шибалкова Ю. 
Ковалева Е.
Блинова А.
Новикова Ю.</t>
        </is>
      </c>
      <c r="E384" s="202" t="inlineStr">
        <is>
          <t>Фиксация данных по рекомендателям, отслеживание результатов работы рекомендованных сотрудников</t>
        </is>
      </c>
    </row>
    <row r="385" ht="124.2" customFormat="1" customHeight="1" s="38">
      <c r="A385" s="45" t="inlineStr">
        <is>
          <t>Обучение по подбору персонала для руководителей</t>
        </is>
      </c>
      <c r="B385" s="45" t="inlineStr">
        <is>
          <t>Разработка программы тренинга</t>
        </is>
      </c>
      <c r="C385" s="46" t="inlineStr">
        <is>
          <t>Повышение качества подбора персонала</t>
        </is>
      </c>
      <c r="D385" s="46" t="inlineStr">
        <is>
          <t>Новикова Ю.
Аншакова И.
Осипова В.</t>
        </is>
      </c>
      <c r="E385" s="46" t="inlineStr">
        <is>
          <t xml:space="preserve">- Разработана презентация для обучения
- Подобран материал для проведения практических заданий
- Проведено пилотно обучение с HR и руководителями АИ+ЦТП на 4 часа
- Проведено боевое обучение первой группы в Машково - 6,5ч (программа была "сжата" ввиду непредвиденных обстоятельств из-за отключения света, изначально программа на 8ч
- разработана рабочая тетрадь </t>
        </is>
      </c>
    </row>
    <row r="386" ht="33.6" customFormat="1" customHeight="1" s="38">
      <c r="A386" s="45" t="inlineStr">
        <is>
          <t>Планирование подбора на 2027 год</t>
        </is>
      </c>
      <c r="B386" s="45" t="inlineStr">
        <is>
          <t>Сбор данных по подразделениям</t>
        </is>
      </c>
      <c r="C386" s="46" t="inlineStr">
        <is>
          <t>Планирование 2027 год</t>
        </is>
      </c>
      <c r="D386" s="46" t="inlineStr">
        <is>
          <t>Осипова В.Г.</t>
        </is>
      </c>
      <c r="E386" s="46" t="inlineStr">
        <is>
          <t>Собраны первичные данные для плана подбора 2027, сведение первой версии плана на момент 09.2026</t>
        </is>
      </c>
    </row>
    <row r="387" customFormat="1" s="38">
      <c r="A387" s="830" t="inlineStr">
        <is>
          <t>Адаптация</t>
        </is>
      </c>
      <c r="B387" s="760" t="n"/>
      <c r="C387" s="760" t="n"/>
      <c r="D387" s="760" t="n"/>
      <c r="E387" s="760" t="n"/>
    </row>
    <row r="388" ht="41.4" customFormat="1" customHeight="1" s="38">
      <c r="A388" s="417" t="inlineStr">
        <is>
          <t>Переезд в Руднево</t>
        </is>
      </c>
      <c r="B388" s="418" t="inlineStr">
        <is>
          <t>Организация доставки сотрудников на площадку, организация питания, предложения п обустройству офиса, бытовых условий.</t>
        </is>
      </c>
      <c r="C388" s="371" t="inlineStr">
        <is>
          <t>Организация комфортных условий труда для сотрудников</t>
        </is>
      </c>
      <c r="D388" s="373" t="inlineStr">
        <is>
          <t>Пенский А.</t>
        </is>
      </c>
      <c r="E388" s="423" t="inlineStr">
        <is>
          <t>проработаны варианты по организации столовых, произведены расчеты плановой численности персонала</t>
        </is>
      </c>
    </row>
    <row r="389" ht="96.59999999999999" customFormat="1" customHeight="1" s="38">
      <c r="A389" s="842" t="inlineStr">
        <is>
          <t>Онбординг</t>
        </is>
      </c>
      <c r="B389" s="727" t="inlineStr">
        <is>
          <t>Проведение краткой экскурсии для новых сотрудников и выдача Welcome Kit, знакомство с руководителем</t>
        </is>
      </c>
      <c r="C389" s="178" t="inlineStr">
        <is>
          <t>Адаптация новичков, снижение времени на включение в работу, снижение текучести.</t>
        </is>
      </c>
      <c r="D389" s="178" t="inlineStr">
        <is>
          <t>Осипова В.
Шибалкова Ю. 
Ковалева Е.
Блинова А. 
Котов И.
Исматова В.</t>
        </is>
      </c>
      <c r="E389" s="181" t="inlineStr">
        <is>
          <t xml:space="preserve">Исматова В.: краткая экскурсия, выдача Welcome Kit в производственном цехе Машково/Руднево
Шибалкова Ю. экскурсия, выдача Welcome Kit в офисе Мск
Ковалева Е. - проведение экскурсий в офисе, выдача Welcome Kit
Котов И. экскурсия, выдача Welcome Kit в офисе Мск
</t>
        </is>
      </c>
    </row>
    <row r="390" customFormat="1" s="38"/>
    <row r="391" ht="69" customFormat="1" customHeight="1" s="38">
      <c r="A391" s="691" t="inlineStr">
        <is>
          <t>Общение по результатам ИС</t>
        </is>
      </c>
      <c r="B391" s="701" t="inlineStr">
        <is>
          <t>Встречи с сотрудниками на ИС и во время ИС
Подготовка чек-листа для прошедших ИС и шаблона СЗ для изменений по результатам ИС</t>
        </is>
      </c>
      <c r="C391" s="181" t="inlineStr">
        <is>
          <t>Мониторинг состояния новичков на ИС, снижение текучести персонала, обсуждение дальнейшего развития</t>
        </is>
      </c>
      <c r="D391" s="181" t="inlineStr">
        <is>
          <t>Шибалкова Ю. 
Ковалева Е.
Блинова А. 
Исматова В.</t>
        </is>
      </c>
      <c r="E391" s="181" t="inlineStr">
        <is>
          <t>Исматова В.: проведено 9 встреч по результатам ИС                            Блинова А.И. - проведено 11 встреч по результатам ИС
Шибалкова Ю.: роведено 5 встреч по результатам ИС
Ковалева Е.: проведено 3 встречи по результатам ИС
Осипова В.Г. проведено 2 встречи по результатам ИС</t>
        </is>
      </c>
    </row>
    <row r="392" ht="41.4" customFormat="1" customHeight="1" s="38">
      <c r="A392" s="440" t="inlineStr">
        <is>
          <t>Общение по результатам ИС/работы - переговоры по увольнению сотрудника</t>
        </is>
      </c>
      <c r="B392" s="441" t="inlineStr">
        <is>
          <t>Встреча с сотрудником на протяжении ИС, с проблемными зонами</t>
        </is>
      </c>
      <c r="C392" s="442" t="inlineStr">
        <is>
          <t>Повышение эффективности команды, "отсев" сотрудников, которые не устраивают работодателя</t>
        </is>
      </c>
      <c r="D392" s="442" t="inlineStr">
        <is>
          <t>Осипова В.
Ковалева Е.
Исматова В.</t>
        </is>
      </c>
      <c r="E392" s="442" t="inlineStr">
        <is>
          <t>Исматова В.: проведена 1 встреча по увольнению 
Ковалева Е.: проведено 3 встречи по увольнениюч
Осипова В.: проведено 6 встреч по увольнениям</t>
        </is>
      </c>
    </row>
    <row r="393" customFormat="1" s="38">
      <c r="A393" s="843" t="inlineStr">
        <is>
          <t>Материальная и не материальная мотивация</t>
        </is>
      </c>
      <c r="B393" s="805" t="n"/>
      <c r="C393" s="805" t="n"/>
      <c r="D393" s="805" t="n"/>
      <c r="E393" s="747" t="n"/>
    </row>
    <row r="394" ht="55.2" customFormat="1" customHeight="1" s="38">
      <c r="A394" s="410" t="inlineStr">
        <is>
          <t>Питание сотрудников</t>
        </is>
      </c>
      <c r="B394" s="410" t="inlineStr">
        <is>
          <t>Сопровождение процесса, решение проблем</t>
        </is>
      </c>
      <c r="C394" s="443" t="inlineStr">
        <is>
          <t> </t>
        </is>
      </c>
      <c r="D394" s="443" t="inlineStr">
        <is>
          <t>Пенский А.К.</t>
        </is>
      </c>
      <c r="E394" s="443" t="inlineStr">
        <is>
          <t>Отладка электронного документооборота с контрагентом. Работа по минимизации списания обедов. Разбор конфликтных ситуаций. Заведение и отслеживание заявок на оплату.</t>
        </is>
      </c>
    </row>
    <row r="395" ht="151.8" customFormat="1" customHeight="1" s="38">
      <c r="A395" s="727" t="inlineStr">
        <is>
          <t>ДМС</t>
        </is>
      </c>
      <c r="B395" s="727" t="inlineStr">
        <is>
          <t>Подключение сотрудников со сроком работы от 6 месяцев</t>
        </is>
      </c>
      <c r="C395" s="443" t="inlineStr">
        <is>
          <t>Нематериальная мотивация</t>
        </is>
      </c>
      <c r="D395" s="443" t="inlineStr">
        <is>
          <t>Осипова В. 
Блинова А.И.</t>
        </is>
      </c>
      <c r="E395" s="443" t="inlineStr">
        <is>
          <t xml:space="preserve">Осипова В. организация со стороны АИ СН встреч с представителями ДМС на площадках в Машково и Руднево; курирование ДМС в АИ СН, решение вопросов по программе, отслеживание проблем при перезаключении догвора с июля 2026
Блинова А.И.: оперативное внесение изменений в списки на ДМС (отключение сотрудников)/формирование списков на включение к программе ДМС 1 раз в месяц. Консультация сотрудников по программе ДМС
</t>
        </is>
      </c>
    </row>
    <row r="396" ht="41.4" customFormat="1" customHeight="1" s="38">
      <c r="A396" s="706" t="inlineStr">
        <is>
          <t>Подписка на журнал Кадровое дело</t>
        </is>
      </c>
      <c r="B396" s="701" t="inlineStr">
        <is>
          <t>Оформление подписки, рассылка ежемесечных выпусков</t>
        </is>
      </c>
      <c r="C396" s="182" t="inlineStr">
        <is>
          <t>Рассылка коллегам из HR отдела и ОУП свежих выпусков журнала, актуальных статей</t>
        </is>
      </c>
      <c r="D396" s="182" t="inlineStr">
        <is>
          <t xml:space="preserve">Шибалкова Ю. </t>
        </is>
      </c>
      <c r="E396" s="182" t="inlineStr">
        <is>
          <t>Шибалкова Ю.: Рассылка коллегам из HR отдела и ОУП свежих выпусков журнала, актуальных статей на регулярной основе  по мере получения новый публикаций</t>
        </is>
      </c>
    </row>
    <row r="397" ht="82.8" customFormat="1" customHeight="1" s="38">
      <c r="A397" s="190" t="inlineStr">
        <is>
          <t>Реализация плана обучения персонала</t>
        </is>
      </c>
      <c r="B397" s="191" t="inlineStr">
        <is>
          <t>План обучения согласован - актуализация планов на квартал, организация курсов</t>
        </is>
      </c>
      <c r="C397" s="193" t="inlineStr">
        <is>
          <t>Повышение компетенций сотрудников по профильным направлениям</t>
        </is>
      </c>
      <c r="D397" s="193" t="inlineStr">
        <is>
          <t xml:space="preserve">Осипова В. 
Шибалкова Ю. </t>
        </is>
      </c>
      <c r="E397" s="193" t="inlineStr">
        <is>
          <t>Корректировка и актуализация плана на обучение. Отслеживание прохождения текущих курсов. Сбор закрывающих документов. Организовно 6 обучениий
Осипова В. Шибалкова Ю. - предложения по корректировке плана обучения в соответствии с сокращением бюджета</t>
        </is>
      </c>
    </row>
    <row r="398" ht="55.2" customFormat="1" customHeight="1" s="38">
      <c r="A398" s="405" t="inlineStr">
        <is>
          <t>Кадровый резерв</t>
        </is>
      </c>
      <c r="B398" s="406" t="inlineStr">
        <is>
          <t>Концепция, начало проекта</t>
        </is>
      </c>
      <c r="C398" s="407" t="inlineStr">
        <is>
          <t>Проработка дорожной карты проекта
Старт проекта по созданию внутреннего кадрового резерва из разных блоков компании (ИТР, пр-во, АУП)</t>
        </is>
      </c>
      <c r="D398" s="407" t="inlineStr">
        <is>
          <t>Осипова В.</t>
        </is>
      </c>
      <c r="E398" s="193" t="inlineStr">
        <is>
          <t>с 21 сентября запуск, с 25 сентября сбор заявок на участие в программе</t>
        </is>
      </c>
    </row>
    <row r="399" ht="69" customFormat="1" customHeight="1" s="38">
      <c r="A399" s="405" t="inlineStr">
        <is>
          <t xml:space="preserve">Проработка изменений зарплатной сетки и штатного расписанияпо производству (Машково Руднево) </t>
        </is>
      </c>
      <c r="B399" s="406" t="inlineStr">
        <is>
          <t>Совместно с ЗГД по произвоству работа по унификации зп сетки с АИ Казань в соответствии с рыночной зп</t>
        </is>
      </c>
      <c r="C399" s="407" t="inlineStr">
        <is>
          <t>Приведение производственной зп сетки в соответствии с АИ Казань и рынком, повышение мотивации производственного персонала</t>
        </is>
      </c>
      <c r="D399" s="407" t="inlineStr">
        <is>
          <t>Пенский А.
Осипова В.Г.</t>
        </is>
      </c>
      <c r="E399" s="193" t="inlineStr">
        <is>
          <t xml:space="preserve">Подготовка аналитических данных по рыночной зп для производственных должностей, совместно с ЗГД по произвоству работа по унификации зп сетки с АИ Казань в соответствии с рыночной зп. 
Данные переданы в ОУП для изменений </t>
        </is>
      </c>
    </row>
    <row r="400" ht="55.2" customFormat="1" customHeight="1" s="38">
      <c r="A400" s="405" t="inlineStr">
        <is>
          <t>Договоры на практику (студенты по рекомендации наших сотрудников, закрытие учебной практики нашим сотрудникам)</t>
        </is>
      </c>
      <c r="B400" s="406" t="inlineStr">
        <is>
          <t>Проведение практики</t>
        </is>
      </c>
      <c r="C400" s="407" t="inlineStr">
        <is>
          <t>Предоставление практики студентам</t>
        </is>
      </c>
      <c r="D400" s="407" t="inlineStr">
        <is>
          <t>Осипова В.</t>
        </is>
      </c>
      <c r="E400" s="193" t="inlineStr">
        <is>
          <t>Согласовано и подписано 2 договора на практику</t>
        </is>
      </c>
    </row>
    <row r="401" ht="41.4" customFormat="1" customHeight="1" s="38">
      <c r="A401" s="405" t="inlineStr">
        <is>
          <t>Мероприятие для сотрудников 10+ лет</t>
        </is>
      </c>
      <c r="B401" s="406" t="inlineStr">
        <is>
          <t>Помощь с сбором списка сотрудников на мероприятие</t>
        </is>
      </c>
      <c r="C401" s="407" t="inlineStr">
        <is>
          <t>Повышение лояльности персонала</t>
        </is>
      </c>
      <c r="D401" s="407" t="inlineStr">
        <is>
          <t>Пенский А.
Осипова В.
Шибалкова Ю.</t>
        </is>
      </c>
      <c r="E401" s="193" t="inlineStr">
        <is>
          <t>Помощь с составлением списка сотрудников (с учетом стажа в ГК), обзвон сотрудников для подтверждения участия и просчета фин.количества</t>
        </is>
      </c>
    </row>
    <row r="402" customFormat="1" s="38">
      <c r="A402" s="825" t="inlineStr">
        <is>
          <t>Развитие  HR-бренда</t>
        </is>
      </c>
      <c r="B402" s="805" t="n"/>
      <c r="C402" s="805" t="n"/>
      <c r="D402" s="805" t="n"/>
      <c r="E402" s="747" t="n"/>
    </row>
    <row r="403" ht="96.59999999999999" customFormat="1" customHeight="1" s="38">
      <c r="A403" s="405" t="inlineStr">
        <is>
          <t>Happy Job</t>
        </is>
      </c>
      <c r="B403" s="406" t="inlineStr">
        <is>
          <t>Органиация,проведение встреч с руководителями/сотрудниками подразделений по результатам опроса вовлеченности персонала Happy Job</t>
        </is>
      </c>
      <c r="C403" s="407" t="inlineStr">
        <is>
          <t>Повышение показателей вовлеченности и лояльности</t>
        </is>
      </c>
      <c r="D403" s="409" t="inlineStr">
        <is>
          <t>Пенский А.
Осипова В.Г.</t>
        </is>
      </c>
      <c r="E403" s="407" t="inlineStr">
        <is>
          <t>Пенский А. - формирование загрузочного файла, работа с подразделениями, информирование руководителей, сопровождение информационной компании
Осипова В.Г. - участи в проработке структуры опроса, логики исследования; 
 список на опрос</t>
        </is>
      </c>
    </row>
    <row r="404" ht="55.2" customFormat="1" customHeight="1" s="38">
      <c r="A404" s="706" t="inlineStr">
        <is>
          <t>Встречи с сотрудниками по запросу от руководителей/размещенному резюме/exit-интервью</t>
        </is>
      </c>
      <c r="B404" s="701" t="inlineStr">
        <is>
          <t xml:space="preserve">По запросу
</t>
        </is>
      </c>
      <c r="C404" s="181" t="inlineStr">
        <is>
          <t>Сбор информации о причинах увольнений и проблемах компании для проработки и устранения проблем</t>
        </is>
      </c>
      <c r="D404" s="182" t="inlineStr">
        <is>
          <t>Шибалкова Ю. 
Ковалева Е.
Блинова А.
Исматова В.</t>
        </is>
      </c>
      <c r="E404" s="182" t="inlineStr">
        <is>
          <t>Исматова В.: проведено 4 exit-интервью                                              Блинова А.И.: проведено 3 exit интервью
Шибалкова Ю.: проведено 1 exit интервью
Осипова В.Г.: прведено 19 exit интервью</t>
        </is>
      </c>
    </row>
    <row r="405" ht="55.2" customFormat="1" customHeight="1" s="38">
      <c r="A405" s="833" t="inlineStr">
        <is>
          <t>Поздравления с ДР сотрудников</t>
        </is>
      </c>
      <c r="B405" s="701" t="inlineStr">
        <is>
          <t xml:space="preserve">Актуализация списков именинников на будущий месяц, сбор фотографий для поздравлений. Сбор/отправка в филиалы подарков на ДР для сотрудников </t>
        </is>
      </c>
      <c r="C405" s="834" t="inlineStr">
        <is>
          <t>Поддержание корп. культуры</t>
        </is>
      </c>
      <c r="D405" s="181" t="inlineStr">
        <is>
          <t>Шибалкова Ю. Котов И.</t>
        </is>
      </c>
      <c r="E405" s="181" t="inlineStr">
        <is>
          <t>Шибалкова Ю.: Актуализация и выгрузка списков именинников
Котов И.: Обработка списков для составления рассылок и документации</t>
        </is>
      </c>
    </row>
    <row r="406" ht="41.4" customFormat="1" customHeight="1" s="38">
      <c r="A406" s="753" t="n"/>
      <c r="B406" s="701" t="inlineStr">
        <is>
          <t>Составление, подписание приказов, списков, ведомостей, договоров дарения на подарки</t>
        </is>
      </c>
      <c r="C406" s="753" t="n"/>
      <c r="D406" s="181" t="inlineStr">
        <is>
          <t>Котов И.
Исматова В.</t>
        </is>
      </c>
      <c r="E406" s="181" t="inlineStr">
        <is>
          <t>Исматова В.: подписание договоров и ведомостей на площадке Машково
Котов И.: Составление приказов и договоров дарения</t>
        </is>
      </c>
    </row>
    <row r="407" ht="69" customFormat="1" customHeight="1" s="38">
      <c r="A407" s="405" t="inlineStr">
        <is>
          <t>Реклама</t>
        </is>
      </c>
      <c r="B407" s="406" t="inlineStr">
        <is>
          <t>Повышение узнаваемости</t>
        </is>
      </c>
      <c r="C407" s="406" t="inlineStr">
        <is>
          <t>Развитие бренда
Контроль реализации исполнения ТЗ на брендирование корп.транспорта со стороны Отдела дизайна</t>
        </is>
      </c>
      <c r="D407" s="407" t="inlineStr">
        <is>
          <t>ПенскийА.К.
ОсиповаВ.Г.</t>
        </is>
      </c>
      <c r="E407" s="445" t="inlineStr">
        <is>
          <t>задача была в прошлом квартале, почему она дублируется? Хзадача получилась переходящей: с нашей стороны все сделано, передано в отдел дизайна. Как они сделают - продолжим реализацию с заказом оклейки корпоративных автобусов ПЕРЕНЕСЕНА НА СЛЕДУЮЩИЙ ГОД</t>
        </is>
      </c>
    </row>
    <row r="408" ht="55.2" customFormat="1" customHeight="1" s="38">
      <c r="A408" s="706" t="inlineStr">
        <is>
          <t>Работа с СУЗами, ВУЗами, ярмарки вакансий</t>
        </is>
      </c>
      <c r="B408" s="701" t="inlineStr">
        <is>
          <t>Актуализация информации по сотрудничеству, участие в ярмарках вакансий</t>
        </is>
      </c>
      <c r="C408" s="181" t="inlineStr">
        <is>
          <t>Привлечь молодых специалистов на открытые вакансии , повышение узнаваемости бренда АИ СН</t>
        </is>
      </c>
      <c r="D408" s="181" t="inlineStr">
        <is>
          <t>Осипова В.,
Исматова В.
Ковалева Е.
Блинова А.</t>
        </is>
      </c>
      <c r="E408" s="182" t="inlineStr">
        <is>
          <t>Исматова В.: внесено предложение о сотрудничестве с КАДР 26, тк есть действующие сотрудники из данного колледжа</t>
        </is>
      </c>
    </row>
    <row r="409" customFormat="1" s="38">
      <c r="A409" s="825" t="inlineStr">
        <is>
          <t>Автоматизация процессов и аналитика</t>
        </is>
      </c>
      <c r="B409" s="805" t="n"/>
      <c r="C409" s="805" t="n"/>
      <c r="D409" s="805" t="n"/>
      <c r="E409" s="747" t="n"/>
    </row>
    <row r="410" ht="41.4" customFormat="1" customHeight="1" s="38">
      <c r="A410" s="691" t="inlineStr">
        <is>
          <t>Аудит Хантфлоу</t>
        </is>
      </c>
      <c r="B410" s="691" t="inlineStr">
        <is>
          <t>Проведение аудит по качеству ведения базы согласно нашей инструкции, фиксация замечаний и дальнейшая отработка</t>
        </is>
      </c>
      <c r="C410" s="691" t="inlineStr">
        <is>
          <t>Повышение качества подбора, снижение сроков</t>
        </is>
      </c>
      <c r="D410" s="195" t="inlineStr">
        <is>
          <t xml:space="preserve">Осипова В. </t>
        </is>
      </c>
      <c r="E410" s="691" t="inlineStr">
        <is>
          <t>Проведение дежурств по аудиту базы, передача в отдел отработки замечаний по аудиту</t>
        </is>
      </c>
    </row>
    <row r="411" ht="69" customFormat="1" customHeight="1" s="38">
      <c r="A411" s="691" t="inlineStr">
        <is>
          <t xml:space="preserve"> Хантфлоу</t>
        </is>
      </c>
      <c r="B411" s="701" t="inlineStr">
        <is>
          <t>Ведение базы кандидатов, отслеживание воронки подбора.</t>
        </is>
      </c>
      <c r="C411" s="182" t="inlineStr">
        <is>
          <t>Повышение качества подбора, снижение сроков</t>
        </is>
      </c>
      <c r="D411" s="182" t="inlineStr">
        <is>
          <t>Шибалкова Ю. 
Ковалева Е.
Блинова А. 
Исматова В.
Новикова Ю.</t>
        </is>
      </c>
      <c r="E411" s="182" t="inlineStr">
        <is>
          <t>Шибалкова Ю.: ведение базы ХФ, открытие/закрытие вакансий, отработка замечаний по Аудиту
Ковалева Е.: ведение базы ХФ, добавление новых вакансий, закрытие неактуальных вакансий, аудит</t>
        </is>
      </c>
    </row>
    <row r="412" ht="55.2" customFormat="1" customHeight="1" s="38">
      <c r="A412" s="691" t="inlineStr">
        <is>
          <t>Аналитика резюме кандидатов. Работающих сотрудников, обновляющих резюме</t>
        </is>
      </c>
      <c r="B412" s="184" t="inlineStr">
        <is>
          <t>Отслеживание баз резюме, аналитика</t>
        </is>
      </c>
      <c r="C412" s="182" t="inlineStr">
        <is>
          <t>Удержание персонала</t>
        </is>
      </c>
      <c r="D412" s="182" t="inlineStr">
        <is>
          <t>Шибалкова Ю. 
Ковалева Е.
Блинова А.
Исматова В.</t>
        </is>
      </c>
      <c r="E412" s="182" t="inlineStr">
        <is>
          <t>Шибалкова Ю.: периодический просмотр базы НН.ru на отслеживание сотрудников, обновляющих резюме
Ковалева Е.: еженедельный отсмотр резюме действующих сотрудников, точечное информирование руководителей</t>
        </is>
      </c>
    </row>
    <row r="413" ht="35.55" customFormat="1" customHeight="1" s="38">
      <c r="A413" s="691" t="inlineStr">
        <is>
          <t>Бюджет 2027</t>
        </is>
      </c>
      <c r="B413" s="184" t="inlineStr">
        <is>
          <t>Сбор информации</t>
        </is>
      </c>
      <c r="C413" s="182" t="inlineStr">
        <is>
          <t>Планирование 2027, передача данных в финансовый блок</t>
        </is>
      </c>
      <c r="D413" s="182" t="inlineStr">
        <is>
          <t>Пенский А.
Осипова В.</t>
        </is>
      </c>
      <c r="E413" s="182" t="inlineStr">
        <is>
          <t>Составление бюджета с учетом всех планируемых затрат и стратегических задач на 2027 год</t>
        </is>
      </c>
    </row>
    <row r="414" ht="18.45" customFormat="1" customHeight="1" s="38">
      <c r="A414" s="825" t="inlineStr">
        <is>
          <t>Развитие и обучение</t>
        </is>
      </c>
      <c r="B414" s="805" t="n"/>
      <c r="C414" s="805" t="n"/>
      <c r="D414" s="805" t="n"/>
      <c r="E414" s="747" t="n"/>
    </row>
    <row r="415" ht="34.2" customFormat="1" customHeight="1" s="38">
      <c r="A415" s="370" t="inlineStr">
        <is>
          <t>Актуализация процесса планирования обучения</t>
        </is>
      </c>
      <c r="B415" s="370" t="inlineStr">
        <is>
          <t>подготовка к бюджетированию 2027</t>
        </is>
      </c>
      <c r="C415" s="371" t="inlineStr">
        <is>
          <t xml:space="preserve">Развитие процессов </t>
        </is>
      </c>
      <c r="D415" s="371" t="inlineStr">
        <is>
          <t>Пенский А., ОсиповаВ.</t>
        </is>
      </c>
      <c r="E415" s="371" t="n"/>
    </row>
    <row r="416" ht="27" customFormat="1" customHeight="1" s="38">
      <c r="A416" s="417" t="inlineStr">
        <is>
          <t>Разработка програаммы и Организация обучения кадрового резерва</t>
        </is>
      </c>
      <c r="B416" s="417" t="inlineStr">
        <is>
          <t>повышение управленческих компетенций резервистов</t>
        </is>
      </c>
      <c r="C416" s="418" t="inlineStr">
        <is>
          <t>развитие потенциала Компании</t>
        </is>
      </c>
      <c r="D416" s="418" t="inlineStr">
        <is>
          <t>Пенский А., Осипова В.</t>
        </is>
      </c>
      <c r="E416" s="418" t="n"/>
    </row>
    <row r="417" ht="111.3" customFormat="1" customHeight="1" s="38">
      <c r="A417" s="727" t="inlineStr">
        <is>
          <t>Аттестация</t>
        </is>
      </c>
      <c r="B417" s="515" t="inlineStr">
        <is>
          <t>Проведение аттестации действующих сотрудников для повышения категории/разряда и уровня заработной платы, в соответствии с ШР</t>
        </is>
      </c>
      <c r="C417" s="193" t="inlineStr">
        <is>
          <t>Повышение категорий и разрядов действующих сотрудников</t>
        </is>
      </c>
      <c r="D417" s="193" t="inlineStr">
        <is>
          <t>Осипова В.
Шибалкова Ю.
Ковалева Е.
Блинова А.
Исматова В.</t>
        </is>
      </c>
      <c r="E417" s="193" t="inlineStr">
        <is>
          <t>Осипова В.: сведение итогов аттестации для согласования с руководством, передача данных в ОУП для проведения изменений;
Исматова В.: проведено 11 аттестаций
Шибалкова Ю.: проведено 5 аттестаций ИК (Жуковский)
Ковалева Е.: проведено 13 аттестаций
Осипова В. : проведено 31 внеплановая аттестация в Воронеже</t>
        </is>
      </c>
    </row>
    <row r="418" customFormat="1" s="38">
      <c r="A418" s="825" t="inlineStr">
        <is>
          <t>ЛНА и регламентация процессов</t>
        </is>
      </c>
      <c r="B418" s="805" t="n"/>
      <c r="C418" s="805" t="n"/>
      <c r="D418" s="805" t="n"/>
      <c r="E418" s="747" t="n"/>
    </row>
    <row r="419" ht="82.8" customFormat="1" customHeight="1" s="38">
      <c r="A419" s="691" t="inlineStr">
        <is>
          <t>ЛНА</t>
        </is>
      </c>
      <c r="B419" s="701" t="inlineStr">
        <is>
          <t>Внедрение Положений об адаптации и наставничестве</t>
        </is>
      </c>
      <c r="C419" s="181" t="inlineStr">
        <is>
          <t>Систематизация процесса, инструктирование руководителей.</t>
        </is>
      </c>
      <c r="D419" s="181" t="inlineStr">
        <is>
          <t>Осипова В.</t>
        </is>
      </c>
      <c r="E419" s="419" t="inlineStr">
        <is>
          <t>Участие в проработке системы мотивации для наставников, для утверждения в Положении об оплате труда
По итогам 2 итерация нового процесса соглсования ЛНА по ГК - отработаны все замечания, переданы на 3 круг согласования</t>
        </is>
      </c>
    </row>
    <row r="420" ht="35.25" customFormat="1" customHeight="1" s="38">
      <c r="A420" s="691" t="inlineStr">
        <is>
          <t>Комиссия по этике и служебному поведению работников</t>
        </is>
      </c>
      <c r="B420" s="184" t="inlineStr">
        <is>
          <t>Соблюдение норм и правил Кодекса</t>
        </is>
      </c>
      <c r="C420" s="182" t="inlineStr">
        <is>
          <t>Систематизация процесса</t>
        </is>
      </c>
      <c r="D420" s="182" t="inlineStr">
        <is>
          <t>Пенский А.
Осипова В.</t>
        </is>
      </c>
      <c r="E420" s="182" t="inlineStr">
        <is>
          <t>Первое заседание комисси по этике и служебному поведению работников по 2 инцидентам (драка в Машково и оскорбления в эл.почте).
Издание приказа о созыве комиссии, сбор письменных показаний, проведение заседания.</t>
        </is>
      </c>
    </row>
    <row r="421" ht="55.2" customFormat="1" customHeight="1" s="38">
      <c r="A421" s="691" t="inlineStr">
        <is>
          <t>Аудит ОС Кволити+ (по ГОСТ Р 58876)</t>
        </is>
      </c>
      <c r="B421" s="184" t="inlineStr">
        <is>
          <t>Устранение замечаний по итогам вненего аудита</t>
        </is>
      </c>
      <c r="C421" s="182" t="inlineStr">
        <is>
          <t>СМК</t>
        </is>
      </c>
      <c r="D421" s="182" t="inlineStr">
        <is>
          <t>Осипова В.
Ковалева Е.</t>
        </is>
      </c>
      <c r="E421" s="182" t="inlineStr">
        <is>
          <t>Устранений замечаний в части процедуры аттестации персонала - Положение об аттестации переработано и внесены соответствующие изменения, отвечающие требованиям аудиторов.</t>
        </is>
      </c>
    </row>
    <row r="422" ht="82.8" customFormat="1" customHeight="1" s="38">
      <c r="A422" s="691" t="inlineStr">
        <is>
          <t xml:space="preserve">Прохождение внутреннего аудита СМК отдела подбора и развития персонала </t>
        </is>
      </c>
      <c r="B422" s="184" t="inlineStr">
        <is>
          <t>Подведение итогов по результатам аудита и корректирующим действиям 2025 года; прохождение планового аудита 2026</t>
        </is>
      </c>
      <c r="C422" s="182" t="inlineStr">
        <is>
          <t>Плановый аудит СМК</t>
        </is>
      </c>
      <c r="D422" s="182" t="inlineStr">
        <is>
          <t>Осипова В.
Ковалева Е.</t>
        </is>
      </c>
      <c r="E422" s="182" t="inlineStr">
        <is>
          <t>Подготовка у аудиту - сбор необходимых документов и систематизация; 
В сентябре успешно пройден внутренний аудит СМК и приняты итоги по плану 2025-2026 года;
 разработан план корректирующих действий 2026-2027</t>
        </is>
      </c>
    </row>
    <row r="423" ht="41.4" customFormat="1" customHeight="1" s="38">
      <c r="A423" s="691" t="inlineStr">
        <is>
          <t>План мероприятий по достижению целей в области качества дирекции о персоналу на 2026г.</t>
        </is>
      </c>
      <c r="B423" s="184" t="inlineStr">
        <is>
          <t>СМК</t>
        </is>
      </c>
      <c r="C423" s="182" t="inlineStr">
        <is>
          <t>СМК</t>
        </is>
      </c>
      <c r="D423" s="182" t="inlineStr">
        <is>
          <t>Пенский А.
Осипова В.</t>
        </is>
      </c>
      <c r="E423" s="182" t="inlineStr">
        <is>
          <t>С отделом СМК согласован план мероприятий для закрытия целей в области качества в части дирекции по персоналу (вопросы по обучению и наставничеству)</t>
        </is>
      </c>
    </row>
    <row r="424" ht="41.4" customFormat="1" customHeight="1" s="38">
      <c r="A424" s="691" t="inlineStr">
        <is>
          <t>Аудит Росавиации по ФАП-145</t>
        </is>
      </c>
      <c r="B424" s="184" t="inlineStr">
        <is>
          <t>СМК</t>
        </is>
      </c>
      <c r="C424" s="182" t="inlineStr">
        <is>
          <t>СМК</t>
        </is>
      </c>
      <c r="D424" s="182" t="inlineStr">
        <is>
          <t>Осипова В.Г.</t>
        </is>
      </c>
      <c r="E424" s="182" t="inlineStr">
        <is>
          <t>По запросу СМК участие в совещании по внешнему аудиту Росавиации, подготовка по возможным вопросам в части персонала. Аудит пройден успешно.</t>
        </is>
      </c>
    </row>
    <row r="425" customFormat="1" s="38">
      <c r="A425" s="844" t="inlineStr">
        <is>
          <t>Корпоративные коммуникации</t>
        </is>
      </c>
      <c r="B425" s="832" t="n"/>
      <c r="C425" s="832" t="n"/>
      <c r="D425" s="832" t="n"/>
      <c r="E425" s="749" t="n"/>
    </row>
    <row r="426" ht="273.6" customFormat="1" customHeight="1" s="38">
      <c r="A426" s="390" t="inlineStr">
        <is>
          <t>Развитие каналов коммуникаций в компании</t>
        </is>
      </c>
      <c r="B426" s="391" t="inlineStr">
        <is>
          <t>Использование текущих каналов и продвижение, предложения по развитию (почтовые рассылки, инфодоски, чаты)</t>
        </is>
      </c>
      <c r="C426" s="392" t="inlineStr">
        <is>
          <t>Повышение качества коммуникаций и обмен новостями в компании</t>
        </is>
      </c>
      <c r="D426" s="393" t="inlineStr">
        <is>
          <t>Котов И.
Осипова В.</t>
        </is>
      </c>
      <c r="E426" s="392" t="inlineStr">
        <is>
          <t xml:space="preserve">   Котов, Осипова: 1.Закуплены дополнительные инфодоски для подразделения в Руднево, а также ТВ в ПП №6 (Воронеж).
Котов И.:
1.Доработано приложение «Контент-планнер» до предрелизового состояния. Проведена презентация Владимиру Шигаеву. Определено дальнейшее направление работы для внедрения приложения в группу компаний.
   2.Полное администрирование канала компании в MAX. Создан единый стиль для всех постов с хедерами по группе компаний.
   3.Предложен и реализован новый стиль регулярных рассылок — «Новые сотрудники недели».
   4.Собраны и разработаны страницы на корпоративном портале: ДМС и Спорт.
   5.Создан единый стиль для интервью «10 лет вместе с «Авиационными интерьерами»» для портала, чатов и рассылок.</t>
        </is>
      </c>
    </row>
    <row r="427" ht="86.40000000000001" customFormat="1" customHeight="1" s="38">
      <c r="A427" s="374" t="inlineStr">
        <is>
          <t>Корпоративные рассылки и ТВ</t>
        </is>
      </c>
      <c r="B427" s="394" t="inlineStr">
        <is>
          <t>Плановые и внеплановые коммуникации: дни рождения, выходы новых сотрудников, реферальная программа и другие инфоповоды</t>
        </is>
      </c>
      <c r="C427" s="374" t="inlineStr">
        <is>
          <t>Поддержание корпоративных коммуникаций</t>
        </is>
      </c>
      <c r="D427" s="376" t="inlineStr">
        <is>
          <t>Котов И.</t>
        </is>
      </c>
      <c r="E427" s="392" t="inlineStr">
        <is>
          <t xml:space="preserve">1.Реализована 321 коммуникация по группе компаний, 255 из которых подготовлены лично.
   2.Всего реализовано: 233 рассылки, 250 новостей в чаты, 113 новостей на портал, 33 новости на корпоративное ТВ.
</t>
        </is>
      </c>
    </row>
    <row r="428" ht="72" customFormat="1" customHeight="1" s="38">
      <c r="A428" s="374" t="inlineStr">
        <is>
          <t>Настольный теннис ЛЧБ</t>
        </is>
      </c>
      <c r="B428" s="395" t="inlineStr">
        <is>
          <t>Организация участия сотрудников в турнирах по настольному теннису, ведение информационной кампании</t>
        </is>
      </c>
      <c r="C428" s="374" t="inlineStr">
        <is>
          <t>Поддержание корп. культуры</t>
        </is>
      </c>
      <c r="D428" s="292" t="inlineStr">
        <is>
          <t>Котов И.
   Осипова В.</t>
        </is>
      </c>
      <c r="E428" s="397" t="inlineStr">
        <is>
          <t>1.Проведено освещение корпоративного тенниса и будущей Лиги чемпионов бизнеса среди АИ СН и ЦТП.
   2.Команда пополнилась на 2 игроков.
   3.Зарегистрирована сборная команда на осенние игры.</t>
        </is>
      </c>
    </row>
    <row r="429" ht="72" customFormat="1" customHeight="1" s="38">
      <c r="A429" s="374" t="inlineStr">
        <is>
          <t>Волейбол</t>
        </is>
      </c>
      <c r="B429" s="389" t="inlineStr">
        <is>
          <t>Создание команды, информационная кампания по набору, сопровождение тренировок</t>
        </is>
      </c>
      <c r="C429" s="374" t="inlineStr">
        <is>
          <t>Поддержание корп. культуры</t>
        </is>
      </c>
      <c r="D429" s="376" t="inlineStr">
        <is>
          <t>Котов И.</t>
        </is>
      </c>
      <c r="E429" s="390" t="inlineStr">
        <is>
          <t>1.Оказана помощь в создании команды по волейболу.
   2.Проведена информационная кампания по набору в команду.
   3.Собрана команда из 10 постоянных игроков, которая тренируется еженедельно.</t>
        </is>
      </c>
    </row>
    <row r="430" ht="288" customFormat="1" customHeight="1" s="38">
      <c r="A430" s="374" t="inlineStr">
        <is>
          <t>Видео-контент</t>
        </is>
      </c>
      <c r="B430" s="395" t="inlineStr">
        <is>
          <t>Съёмка, монтаж и озвучка корпоративных роликов: фильмы, интервью, ОТ, мероприятия</t>
        </is>
      </c>
      <c r="C430" s="374" t="inlineStr">
        <is>
          <t>Поддержание корпоративных коммуникаций</t>
        </is>
      </c>
      <c r="D430" s="376" t="inlineStr">
        <is>
          <t>Котов И.</t>
        </is>
      </c>
      <c r="E430" s="390" t="inlineStr">
        <is>
          <t>1.Разработан сценарий совместно с А. Прошкиным по второму фильму «Культурный код».
   2.Снят второй корпоративный фильм в Воронеже и Москве.
   3.Снят общий ролик о летних мероприятиях (съёмки в Воронеже проводились в отпуске), смонтирован и представлен коллегам.
   4.Снят и смонтирован ролик-интервью на «Технофесте» (съёмки в отпуске).
   5.Сняты 2 видео по охране труда (офис и производство) в Казани. Ролик по производству смонтирован, записана озвучка совместно с И. Казарцевым. Планируется запись текста для офисного ролика, а в следующем квартале — ещё ролики по ОТ (офис и производство) в Москве и Воронеже.
   6.Снят ролик об участии коллег ЦТП в Московском марафоне (в выходной день).
   7.Смонтирован ролик для информационной кампании вебинара по ИИ (будет представлен на ТВ и в чатах перед вебинаром).</t>
        </is>
      </c>
    </row>
    <row r="431" ht="273.6" customFormat="1" customHeight="1" s="38">
      <c r="A431" s="374" t="inlineStr">
        <is>
          <t>Летнее мероприятие</t>
        </is>
      </c>
      <c r="B431" s="395" t="inlineStr">
        <is>
          <t>Разработка концепции, работа с подрядчиком, проведение мероприятия, сопровождение</t>
        </is>
      </c>
      <c r="C431" s="374" t="inlineStr">
        <is>
          <t>Нематериальная мотивация, поддержание корп. культуры</t>
        </is>
      </c>
      <c r="D431" s="376" t="inlineStr">
        <is>
          <t>Пенский А.
Котов И.
   Осипова В.
Исматова В.
Блинова А.
Ковалева Е.
Шибалкова Ю.</t>
        </is>
      </c>
      <c r="E431" s="390" t="inlineStr">
        <is>
          <t>Пенский А.:
1. Проработана и обеспечена безопасность на мероприятии, курирование внешней службы охраны
2. Осуществлялся контроль сотрудников, подготавливавших летнее мероприятие
3. Контроль работы подрядчика - организатора мероприятия
Котов, Осипова:
1.Разработана полная концепция летнего мероприятия АИ СН и ЦТП.
2.Проведено мероприятие на базе парк-отеля «Орловский».
3.Осуществлялась постоянная работа с подрядчиком.
Котов И.:
1.Предложены и реализованы отдельные бейджи для организаторов мероприятия.
Исматова, Блинова, Ковалева, Шибалкова:
1. Помощь в организации сотрудников для посадки в автобусы на мероприятие и с него</t>
        </is>
      </c>
    </row>
    <row r="432" ht="72" customFormat="1" customHeight="1" s="38">
      <c r="A432" s="290" t="inlineStr">
        <is>
          <t>Горящие вакансии</t>
        </is>
      </c>
      <c r="B432" s="290" t="inlineStr">
        <is>
          <t>Ежемесячная информационная кампания</t>
        </is>
      </c>
      <c r="C432" s="290" t="inlineStr">
        <is>
          <t>Поддержание корпоративных коммуникаций, распространение активных вакансий</t>
        </is>
      </c>
      <c r="D432" s="292" t="inlineStr">
        <is>
          <t xml:space="preserve">Осипова В.
   Котов И.
   Исматова В.
</t>
        </is>
      </c>
      <c r="E432" s="290" t="inlineStr">
        <is>
          <t>Котов И.: Сбор информации по ГК и освещение горящих вакансий по почте, на корп. ТВ и портале, а также в чатах Макс.
Исматова В.: размещение объявлений на информ досках на площадках Машково и Руднево</t>
        </is>
      </c>
    </row>
    <row r="433" ht="172.8" customFormat="1" customHeight="1" s="38">
      <c r="A433" s="374" t="inlineStr">
        <is>
          <t>Happy Job</t>
        </is>
      </c>
      <c r="B433" s="395" t="inlineStr">
        <is>
          <t>Информационная кампания по освещению ежегодного опроса вовлечённости</t>
        </is>
      </c>
      <c r="C433" s="374" t="inlineStr">
        <is>
          <t>Поддержание корпоративных коммуникаций, распространение активных вакансий</t>
        </is>
      </c>
      <c r="D433" s="376" t="inlineStr">
        <is>
          <t>Пенский А.
Котов И.</t>
        </is>
      </c>
      <c r="E433" s="390" t="inlineStr">
        <is>
          <t>Пенский А.:
1. Контроль реализации информационной кампании по АИ СН
2. Проведена работа с руководителями всех подразделений по агитации сотрудников в участии в опросе
Котов И.:
1.Проведена информационная кампания по освещению ежегодного опроса вовлечённости.
2.Все рассылки согласованы и реализованы.
3.В 4 квартале планируется реализация рассылок об итогах опроса.</t>
        </is>
      </c>
    </row>
    <row r="434" ht="72" customFormat="1" customHeight="1" s="38">
      <c r="A434" s="374" t="inlineStr">
        <is>
          <t>Замещение руководителя</t>
        </is>
      </c>
      <c r="B434" s="395" t="inlineStr">
        <is>
          <t>Контроль и реализация всех внутренних коммуникаций на период отпуска руководителя</t>
        </is>
      </c>
      <c r="C434" s="374" t="inlineStr">
        <is>
          <t>Нематериальная мотивация, поддержание корп. культуры</t>
        </is>
      </c>
      <c r="D434" s="376" t="inlineStr">
        <is>
          <t>Котов И.</t>
        </is>
      </c>
      <c r="E434" s="390" t="inlineStr">
        <is>
          <t>1.Замещение А. Прошкина на период отпуска.
2.Контроль и реализация всех внутренних коммуникаций.
3. Проведен обзвон 70 сотрудников, приглашены в театр (тех, кто работает 10 лет и более), составлен свод</t>
        </is>
      </c>
    </row>
    <row r="435" ht="55.2" customFormat="1" customHeight="1" s="38">
      <c r="A435" s="845" t="inlineStr">
        <is>
          <t>Поздравления с ДР сотрудников</t>
        </is>
      </c>
      <c r="B435" s="290" t="inlineStr">
        <is>
          <t xml:space="preserve">Актуализация списков именинников на будущий месяц, сбор фотографий для поздравлений. Сбор/отправка в филиалы подарков на ДР для сотрудников </t>
        </is>
      </c>
      <c r="C435" s="290" t="inlineStr">
        <is>
          <t>Поддержание корп. культуры</t>
        </is>
      </c>
      <c r="D435" s="292" t="inlineStr">
        <is>
          <t xml:space="preserve">Котов И.
</t>
        </is>
      </c>
      <c r="E435" s="290" t="inlineStr">
        <is>
          <t>1. Сбор информации об именинниках, ежедневная отправка рассылок по почте и в чатах, загрузка фотографий сотрудников на портале</t>
        </is>
      </c>
    </row>
    <row r="436" ht="69" customFormat="1" customHeight="1" s="38">
      <c r="A436" s="754" t="n"/>
      <c r="B436" s="290" t="inlineStr">
        <is>
          <t>Составление, подписание приказов, списков, ведомостей, договоров дарения на подарки</t>
        </is>
      </c>
      <c r="C436" s="290" t="inlineStr">
        <is>
          <t>Поддержание корп. культуры</t>
        </is>
      </c>
      <c r="D436" s="292" t="n"/>
      <c r="E436" s="290" t="inlineStr">
        <is>
          <t>1. Выдача подарков сотрудникам по подразделениям (ежемесячно)
2. Оказана помощь коллегам из отдела дизайна в проверке заключительной партии ракеток для АИ Казань (выявление брака)</t>
        </is>
      </c>
    </row>
    <row r="437" customFormat="1" s="38">
      <c r="A437" s="753" t="n"/>
      <c r="B437" s="387" t="inlineStr">
        <is>
          <t>Выдача подарков сотрудникам</t>
        </is>
      </c>
      <c r="C437" s="387" t="n"/>
      <c r="D437" s="388" t="inlineStr">
        <is>
          <t>Исматова В.</t>
        </is>
      </c>
      <c r="E437" s="387" t="n"/>
    </row>
    <row r="438" ht="72" customFormat="1" customHeight="1" s="38">
      <c r="A438" s="374" t="inlineStr">
        <is>
          <t>Кубок «Химграда 2026»</t>
        </is>
      </c>
      <c r="B438" s="395" t="inlineStr">
        <is>
          <t>Информационное освещение результатов коллег на летнем турнире в Казани</t>
        </is>
      </c>
      <c r="C438" s="374" t="inlineStr">
        <is>
          <t>Поддержание корпоративных коммуникаций</t>
        </is>
      </c>
      <c r="D438" s="376" t="inlineStr">
        <is>
          <t>Котов И.</t>
        </is>
      </c>
      <c r="E438" s="390" t="inlineStr">
        <is>
          <t>1.Реализована информационная кампания по освещению результатов коллег, участвовавших в летнем турнире в Казани.
   2.Подготовлены новостные рассылки и публикации на портале.</t>
        </is>
      </c>
    </row>
    <row r="439" ht="57.6" customFormat="1" customHeight="1" s="38">
      <c r="A439" s="374" t="inlineStr">
        <is>
          <t>Кадровый резерв</t>
        </is>
      </c>
      <c r="B439" s="395" t="inlineStr">
        <is>
          <t>Разработка плана коммуникаций и освещение программы на портале и в чатах</t>
        </is>
      </c>
      <c r="C439" s="374" t="inlineStr">
        <is>
          <t>Развитие корпоративных коммуникаций</t>
        </is>
      </c>
      <c r="D439" s="376" t="inlineStr">
        <is>
          <t>Котов И.
   Осипова В.</t>
        </is>
      </c>
      <c r="E439" s="390" t="inlineStr">
        <is>
          <t>1.Помощь в разработке плана коммуникаций по освещению программы на корпоративном портале.
   2.Проведено освещение программы среди коллег компании.</t>
        </is>
      </c>
    </row>
    <row r="440" ht="72" customFormat="1" customHeight="1" s="38">
      <c r="A440" s="374" t="inlineStr">
        <is>
          <t>ДМС</t>
        </is>
      </c>
      <c r="B440" s="395" t="inlineStr">
        <is>
          <t>Информационная кампания по освещению корпоративной страховки, серия рассылок</t>
        </is>
      </c>
      <c r="C440" s="374" t="inlineStr">
        <is>
          <t>Поддержание корп.культуры</t>
        </is>
      </c>
      <c r="D440" s="376" t="inlineStr">
        <is>
          <t>Котов И.</t>
        </is>
      </c>
      <c r="E440" s="390" t="inlineStr">
        <is>
          <t>1.Проведена информационная кампания среди коллег группы компаний по освещению корпоративной страховки.
   2.Создана серия рассылок о программе страхования и её возможностях.</t>
        </is>
      </c>
    </row>
    <row r="441" ht="100.8" customFormat="1" customHeight="1" s="38">
      <c r="A441" s="374" t="inlineStr">
        <is>
          <t>КЭДО</t>
        </is>
      </c>
      <c r="B441" s="395" t="inlineStr">
        <is>
          <t>Освещение КЭДО для сотрудников, унификация инструкций и загрузка на портал</t>
        </is>
      </c>
      <c r="C441" s="374" t="inlineStr">
        <is>
          <t>Поддержание корпоративных коммуникаций</t>
        </is>
      </c>
      <c r="D441" s="376" t="inlineStr">
        <is>
          <t>Котов И.</t>
        </is>
      </c>
      <c r="E441" s="390" t="inlineStr">
        <is>
          <t>1.Проведена информационная кампания по освещению КЭДО для сотрудников «Авиационных интерьеров».
   2.Унифицированы инструкции и загружены на корпоративный портал.
   3.В 4 квартале инструкции будут доработаны, планируется освещение для коллег ГК АИ после внедрения КЭДО в АИ СН и АИ Воронеж.</t>
        </is>
      </c>
    </row>
    <row r="442" ht="86.40000000000001" customFormat="1" customHeight="1" s="38">
      <c r="A442" s="396" t="inlineStr">
        <is>
          <t>Обращение Р. В. Торопова и инструкция по командировкам</t>
        </is>
      </c>
      <c r="B442" s="396" t="inlineStr">
        <is>
          <t>Доработка инструкции и освещение процесса через обращение руководителя</t>
        </is>
      </c>
      <c r="C442" s="374" t="inlineStr">
        <is>
          <t>Поддержание корпоративных коммуникаций</t>
        </is>
      </c>
      <c r="D442" s="376" t="inlineStr">
        <is>
          <t>Котов И.</t>
        </is>
      </c>
      <c r="E442" s="398" t="inlineStr">
        <is>
          <t>1.Доработана инструкция по командировкам для сотрудников компании.
   2.Проведено освещение процесса через обращение Р. В. Топорова.
   3.Оказана помощь в отправке письма для всех сотрудников компании.</t>
        </is>
      </c>
    </row>
    <row r="443" ht="57.6" customFormat="1" customHeight="1" s="38">
      <c r="A443" s="396" t="inlineStr">
        <is>
          <t>Подарки к 1 сентября</t>
        </is>
      </c>
      <c r="B443" s="396" t="inlineStr">
        <is>
          <t>Сбор и вручение подарков сотрудникам — родителям первоклассников</t>
        </is>
      </c>
      <c r="C443" s="374" t="inlineStr">
        <is>
          <t>Поддержание корп.культуры</t>
        </is>
      </c>
      <c r="D443" s="376" t="inlineStr">
        <is>
          <t>Котов И.</t>
        </is>
      </c>
      <c r="E443" s="398" t="inlineStr">
        <is>
          <t>1.Собраны и вручены подарки сотрудникам — родителям первоклассников.
   2.Оказана помощь в отправке подарков для сотрудников АИ Казань через СДЭК.</t>
        </is>
      </c>
    </row>
    <row r="444" ht="69" customFormat="1" customHeight="1" s="38">
      <c r="A444" s="290" t="inlineStr">
        <is>
          <t>Видео-экскурсия по ГК</t>
        </is>
      </c>
      <c r="B444" s="290" t="inlineStr">
        <is>
          <t>планирование нового элемента адаптации сотрудников</t>
        </is>
      </c>
      <c r="C444" s="290" t="inlineStr">
        <is>
          <t>Развитие корп. Культуры</t>
        </is>
      </c>
      <c r="D444" s="292" t="inlineStr">
        <is>
          <t>Котов И.
   Осипова В.</t>
        </is>
      </c>
      <c r="E444" s="290" t="inlineStr">
        <is>
          <t>1. Составлен концепт ознакомительного видео для новых сотрудников ГК
2. Запланирована съемка видео после монтажа серии роликов по ОТ, а также внеплановых видео (Мос. марафон, видеогид)</t>
        </is>
      </c>
    </row>
    <row r="445" ht="110.4" customFormat="1" customHeight="1" s="38">
      <c r="A445" s="290" t="inlineStr">
        <is>
          <t>Корпоративный помощник</t>
        </is>
      </c>
      <c r="B445" s="290" t="inlineStr">
        <is>
          <t>проект по внедрению ИИ</t>
        </is>
      </c>
      <c r="C445" s="290" t="inlineStr">
        <is>
          <t>развитие ИИ в ГК</t>
        </is>
      </c>
      <c r="D445" s="292" t="inlineStr">
        <is>
          <t>Котов И.</t>
        </is>
      </c>
      <c r="E445" s="290" t="inlineStr">
        <is>
          <t>1.Создан веб-интерфейс (сайт) для бота — как для пользователей, так и для администраторов.
2.Создано 3 группы тестировщиков для корпоративного чат-бота, разработаны инструкции по тестированию.
3. Контроль деятельности тестировщиков и разработчиков бота совместно с П. Игнатенко
4. Запланирована масштабная доработка базы знаний после окончания периода тестирования</t>
        </is>
      </c>
    </row>
    <row r="446" customFormat="1" s="38"/>
    <row r="447" ht="18" customFormat="1" customHeight="1" s="38">
      <c r="A447" s="837" t="inlineStr">
        <is>
          <t>ПЛАН 4 квартал 2026</t>
        </is>
      </c>
      <c r="B447" s="805" t="n"/>
      <c r="C447" s="805" t="n"/>
      <c r="D447" s="805" t="n"/>
      <c r="E447" s="747" t="n"/>
    </row>
    <row r="448" ht="15.6" customFormat="1" customHeight="1" s="38">
      <c r="A448" s="838" t="inlineStr">
        <is>
          <t>Кадровое делопроизводство</t>
        </is>
      </c>
      <c r="B448" s="805" t="n"/>
      <c r="C448" s="805" t="n"/>
      <c r="D448" s="805" t="n"/>
      <c r="E448" s="747" t="n"/>
    </row>
    <row r="449" ht="15.6" customFormat="1" customHeight="1" s="38">
      <c r="A449" s="804" t="inlineStr">
        <is>
          <t xml:space="preserve">Текущая деятельность </t>
        </is>
      </c>
      <c r="B449" s="805" t="n"/>
      <c r="C449" s="805" t="n"/>
      <c r="D449" s="805" t="n"/>
      <c r="E449" s="747" t="n"/>
    </row>
    <row r="450" ht="27.6" customFormat="1" customHeight="1" s="38">
      <c r="A450" s="290" t="inlineStr">
        <is>
          <t>Приказы о премировании</t>
        </is>
      </c>
      <c r="B450" s="184" t="inlineStr">
        <is>
          <t>Сбор данных, проверка и оформление приказов. Передача в бухгалтерию копий приказов.</t>
        </is>
      </c>
      <c r="C450" s="701" t="inlineStr">
        <is>
          <t>Соблюдение законодательства РФ</t>
        </is>
      </c>
      <c r="D450" s="182" t="inlineStr">
        <is>
          <t>Еремина О.А.</t>
        </is>
      </c>
      <c r="E450" s="184" t="n"/>
    </row>
    <row r="451" ht="41.4" customFormat="1" customHeight="1" s="38">
      <c r="A451" s="290" t="inlineStr">
        <is>
          <t>Отчетность по премированию</t>
        </is>
      </c>
      <c r="B451" s="184" t="inlineStr">
        <is>
          <t>Сбор данных ежемесячно, составление свода за месяц/квартал, подготовка данных для анализа квартального премирования</t>
        </is>
      </c>
      <c r="C451" s="701" t="inlineStr">
        <is>
          <t>Обоснование расходов для отчета руководству (Торопов Р., Шигаев В., Кисловская И.)</t>
        </is>
      </c>
      <c r="D451" s="182" t="inlineStr">
        <is>
          <t>Еремина О.А.</t>
        </is>
      </c>
      <c r="E451" s="184" t="n"/>
    </row>
    <row r="452" customFormat="1" s="38">
      <c r="A452" s="290" t="inlineStr">
        <is>
          <t xml:space="preserve">Обоснование премирования </t>
        </is>
      </c>
      <c r="B452" s="184" t="inlineStr">
        <is>
          <t>Оформление служебных записок</t>
        </is>
      </c>
      <c r="C452" s="701" t="inlineStr">
        <is>
          <t>Обоснование расходов работодателя</t>
        </is>
      </c>
      <c r="D452" s="182" t="inlineStr">
        <is>
          <t>Еремина О.А.</t>
        </is>
      </c>
      <c r="E452" s="184" t="n"/>
    </row>
    <row r="453" ht="27.6" customFormat="1" customHeight="1" s="38">
      <c r="A453" s="290" t="inlineStr">
        <is>
          <t>Приказы о материальной помощи</t>
        </is>
      </c>
      <c r="B453" s="184" t="inlineStr">
        <is>
          <t>Оформляется по заявлению работника, согласовывается с ГД.</t>
        </is>
      </c>
      <c r="C453" s="701" t="inlineStr">
        <is>
          <t>Соблюдение законодательства РФ</t>
        </is>
      </c>
      <c r="D453" s="182" t="inlineStr">
        <is>
          <t>Еремина О.А.</t>
        </is>
      </c>
      <c r="E453" s="184" t="n"/>
    </row>
    <row r="454" ht="82.8" customFormat="1" customHeight="1" s="38">
      <c r="A454" s="290" t="inlineStr">
        <is>
          <t xml:space="preserve">Прием на работу </t>
        </is>
      </c>
      <c r="B454" s="184" t="inlineStr">
        <is>
          <t>Оформление документов при приеме на работу: ТД, приказ, Соглашение о неразглашении конфиденциальной информации, документы по персональным данным, заявления, справки и т.д., внесение данных в базу 1С, подписание с работником</t>
        </is>
      </c>
      <c r="C454" s="701" t="inlineStr">
        <is>
          <t>Соблюдение законодательства РФ</t>
        </is>
      </c>
      <c r="D454" s="182" t="inlineStr">
        <is>
          <t>Афонина Ю.В.
   Резенова Н.А.
   Руцкая В.В.</t>
        </is>
      </c>
      <c r="E454" s="184" t="n"/>
    </row>
    <row r="455" ht="82.8" customFormat="1" customHeight="1" s="38">
      <c r="A455" s="738" t="inlineStr">
        <is>
          <t xml:space="preserve">Увольнение </t>
        </is>
      </c>
      <c r="B455" s="184" t="inlineStr">
        <is>
          <t>Оформление увольнения  по инициативе работника, по инициативе работодателя. Оформляются приказ, соглашение об увольнении, табель учета, вносится запись в тр. книжку или справка СТД-Р, ознакомление работника с документами</t>
        </is>
      </c>
      <c r="C455" s="701" t="inlineStr">
        <is>
          <t>Соблюдение законодательства РФ</t>
        </is>
      </c>
      <c r="D455" s="182" t="inlineStr">
        <is>
          <t>Афонина Ю.В.
   Резенова Н.А.</t>
        </is>
      </c>
      <c r="E455" s="184" t="n"/>
    </row>
    <row r="456" ht="27.6" customFormat="1" customHeight="1" s="38">
      <c r="A456" s="753" t="n"/>
      <c r="B456" s="184" t="inlineStr">
        <is>
          <t>Решение сложных вопросов по увольнению работников</t>
        </is>
      </c>
      <c r="C456" s="701" t="n"/>
      <c r="D456" s="182" t="inlineStr">
        <is>
          <t>Еремина О.А.
   Козлова Ю.В.</t>
        </is>
      </c>
      <c r="E456" s="184" t="n"/>
    </row>
    <row r="457" ht="82.8" customFormat="1" customHeight="1" s="38">
      <c r="A457" s="691" t="inlineStr">
        <is>
          <t>Переводы (изменение должностей, подразделений)</t>
        </is>
      </c>
      <c r="B457" s="184" t="inlineStr">
        <is>
          <t xml:space="preserve">Переводы оформляются по соглашению сторон (возможно в связи с  изменением шатного расписания, на основании результатлов аттестации персонала), готовится: приказ, доп. соглашение к ТД, вносятся данные в программу 1С, ознакомление работника </t>
        </is>
      </c>
      <c r="C457" s="701" t="inlineStr">
        <is>
          <t>Соблюдение законодательства РФ</t>
        </is>
      </c>
      <c r="D457" s="182" t="inlineStr">
        <is>
          <t>Афонина Ю.В.
   Резенова Н.А.
   Павленко Н.С.</t>
        </is>
      </c>
      <c r="E457" s="184" t="n"/>
    </row>
    <row r="458" ht="55.2" customFormat="1" customHeight="1" s="38">
      <c r="A458" s="691" t="inlineStr">
        <is>
          <t>Отпуска, все виды (ежегодные, без сохранений з/п, учебные, по БИР, по уходу за ребенком, донорские, пр.)</t>
        </is>
      </c>
      <c r="B458" s="184" t="inlineStr">
        <is>
          <t xml:space="preserve">На основании графика отпусков или по заявлению работника оформляется приказ на отпуск с приложением необходимых подтверждающих документов </t>
        </is>
      </c>
      <c r="C458" s="701" t="inlineStr">
        <is>
          <t>Соблюдение законодательства РФ</t>
        </is>
      </c>
      <c r="D458" s="182" t="inlineStr">
        <is>
          <t>Афонина Ю.В.
   Руцкая В.В.
   Резенова Н.А.
   Казначеева А.Н.</t>
        </is>
      </c>
      <c r="E458" s="184" t="n"/>
    </row>
    <row r="459" ht="55.2" customFormat="1" customHeight="1" s="38">
      <c r="A459" s="691" t="inlineStr">
        <is>
          <t>Оформление сверхурочной работы</t>
        </is>
      </c>
      <c r="B459" s="184" t="inlineStr">
        <is>
          <t>На основании СЗ от руководителя и согласия работников оформляется Приказ (с офомлением повышенной оплаты или предоставлением днем отдыха)</t>
        </is>
      </c>
      <c r="C459" s="701" t="inlineStr">
        <is>
          <t>Соблюдение законодательства РФ</t>
        </is>
      </c>
      <c r="D459" s="182" t="inlineStr">
        <is>
          <t>Павленко Н.С.
Руцкая В.В.</t>
        </is>
      </c>
      <c r="E459" s="184" t="n"/>
    </row>
    <row r="460" ht="55.2" customFormat="1" customHeight="1" s="38">
      <c r="A460" s="691" t="inlineStr">
        <is>
          <t>Оформление работы в выходной день</t>
        </is>
      </c>
      <c r="B460" s="184" t="inlineStr">
        <is>
          <t>На основании СЗ от руководителя и согласия работников оформляется Приказ (с офомлением повышенной оплаты или предоставлением днем отдыха)</t>
        </is>
      </c>
      <c r="C460" s="701" t="inlineStr">
        <is>
          <t>Соблюдение законодательства РФ</t>
        </is>
      </c>
      <c r="D460" s="182" t="inlineStr">
        <is>
          <t>Афонина Ю.В. - командировки
   Павленко Н.С. - все остальные</t>
        </is>
      </c>
      <c r="E460" s="184" t="n"/>
    </row>
    <row r="461" ht="55.2" customFormat="1" customHeight="1" s="38">
      <c r="A461" s="691" t="inlineStr">
        <is>
          <t xml:space="preserve">Командировки </t>
        </is>
      </c>
      <c r="B461" s="184" t="inlineStr">
        <is>
          <t>Оформление приказов о командировании , изменении сроков командирования  и контроль оформления  Служебных заданий на командировки</t>
        </is>
      </c>
      <c r="C461" s="701" t="inlineStr">
        <is>
          <t>Соблюдение законодательства РФ</t>
        </is>
      </c>
      <c r="D461" s="182" t="inlineStr">
        <is>
          <t>Афонина Ю.В.
   Руцкая В.В.
   Резенова Н.А.</t>
        </is>
      </c>
      <c r="E461" s="184" t="n"/>
    </row>
    <row r="462" ht="55.2" customFormat="1" customHeight="1" s="38">
      <c r="A462" s="691" t="inlineStr">
        <is>
          <t>Аудит кадровых документов</t>
        </is>
      </c>
      <c r="B462" s="184" t="inlineStr">
        <is>
          <t>Проверка раличия и восстановление отсутствующих приказов за 2025 и при необходимости за 2024 кадровых приказов</t>
        </is>
      </c>
      <c r="C462" s="701" t="inlineStr">
        <is>
          <t>Соблюдение законодательства РФ</t>
        </is>
      </c>
      <c r="D462" s="182" t="inlineStr">
        <is>
          <t>Козлова Ю.В.
   Афонина Ю.В.
   Резенова Н.А.
   Павленко Н.С.</t>
        </is>
      </c>
      <c r="E462" s="184" t="n"/>
    </row>
    <row r="463" customFormat="1" s="38">
      <c r="A463" s="829" t="inlineStr">
        <is>
          <t xml:space="preserve">Согласование, утверждение  Положений и должностных инструкций по новому ШР в полном объеме </t>
        </is>
      </c>
      <c r="B463" s="805" t="n"/>
      <c r="C463" s="805" t="n"/>
      <c r="D463" s="805" t="n"/>
      <c r="E463" s="747" t="n"/>
    </row>
    <row r="464" ht="41.4" customFormat="1" customHeight="1" s="38">
      <c r="A464" s="691" t="inlineStr">
        <is>
          <t xml:space="preserve">Согласование ДИ по новой форме по всем должностям согласно ШР, подписание, передача на утверждение ГД </t>
        </is>
      </c>
      <c r="B464" s="184" t="inlineStr">
        <is>
          <t>Наличие базы ДИ и ПП по организации в полном объеме</t>
        </is>
      </c>
      <c r="C464" s="701" t="inlineStr">
        <is>
          <t>Соблюдение законодательства РФ</t>
        </is>
      </c>
      <c r="D464" s="182" t="inlineStr">
        <is>
          <t>Еремина О.А.
Козлова Ю.В.</t>
        </is>
      </c>
      <c r="E464" s="184" t="n"/>
    </row>
    <row r="465" customFormat="1" s="38">
      <c r="A465" s="829" t="inlineStr">
        <is>
          <t>Формирование  отчётности</t>
        </is>
      </c>
      <c r="B465" s="805" t="n"/>
      <c r="C465" s="805" t="n"/>
      <c r="D465" s="805" t="n"/>
      <c r="E465" s="747" t="n"/>
    </row>
    <row r="466" customFormat="1" s="38">
      <c r="A466" s="691" t="inlineStr">
        <is>
          <t xml:space="preserve">Отчет по статистике </t>
        </is>
      </c>
      <c r="B466" s="184" t="inlineStr">
        <is>
          <t>П4 НЗ, ежеквартальный, за 3-й квартал 2026</t>
        </is>
      </c>
      <c r="C466" s="701" t="inlineStr">
        <is>
          <t>Соблюдение законодательства РФ</t>
        </is>
      </c>
      <c r="D466" s="182" t="inlineStr">
        <is>
          <t>Козлова Ю.В</t>
        </is>
      </c>
      <c r="E466" s="184" t="n"/>
    </row>
    <row r="467" ht="55.2" customFormat="1" customHeight="1" s="38">
      <c r="A467" s="691" t="inlineStr">
        <is>
          <t>Отчёты в СФР штатные работники (прием/увольнение)</t>
        </is>
      </c>
      <c r="B467" s="184" t="inlineStr">
        <is>
          <t>Отчёт в СФР  (по форме ЕФС-1 разд. 1.1.)  оформляется не позднее одного рабочего дня после даты издания приказов о  приеме, увольнении работников.</t>
        </is>
      </c>
      <c r="C467" s="701" t="inlineStr">
        <is>
          <t>Соблюдение законодательства РФ</t>
        </is>
      </c>
      <c r="D467" s="182" t="inlineStr">
        <is>
          <t>Афонина Ю.В.
   Резенова Н.А.
   Козлова Ю.В.
   Еремина О.А.</t>
        </is>
      </c>
      <c r="E467" s="184" t="n"/>
    </row>
    <row r="468" ht="82.8" customFormat="1" customHeight="1" s="38">
      <c r="A468" s="691" t="inlineStr">
        <is>
          <t>Отчёты в СФР  штатные работники (переводы)</t>
        </is>
      </c>
      <c r="B468" s="184" t="inlineStr">
        <is>
          <t>Отчёт в СФР  (по форме ЕФС-1 разд. 1.1.)  оформляется не позднее 25 числа месяца, следующего за отчетным месяцем издания приказов о  переводе работников. А так же иным мероприятиям предусмотренным законодательствам РФ.</t>
        </is>
      </c>
      <c r="C468" s="701" t="inlineStr">
        <is>
          <t>Соблюдение законодательства РФ</t>
        </is>
      </c>
      <c r="D468" s="182" t="inlineStr">
        <is>
          <t>Афонина Ю.В.
   Резенова Н.А.
   Козлова Ю.В.
   Еремина О.А.</t>
        </is>
      </c>
      <c r="E468" s="184" t="n"/>
    </row>
    <row r="469" customFormat="1" s="38">
      <c r="A469" s="691" t="inlineStr">
        <is>
          <t>Отчет по инвалидам</t>
        </is>
      </c>
      <c r="B469" s="184" t="inlineStr">
        <is>
          <t xml:space="preserve">ежеквартальный </t>
        </is>
      </c>
      <c r="C469" s="701" t="inlineStr">
        <is>
          <t>Соблюдение законодательства РФ</t>
        </is>
      </c>
      <c r="D469" s="182" t="inlineStr">
        <is>
          <t>Козлова Ю.В.</t>
        </is>
      </c>
      <c r="E469" s="184" t="n"/>
    </row>
    <row r="470" customFormat="1" s="38">
      <c r="A470" s="829" t="inlineStr">
        <is>
          <t xml:space="preserve">Разработка (актуализация)  ЛНА, развитие процессов, создание  Базы знаний по кадрам </t>
        </is>
      </c>
      <c r="B470" s="805" t="n"/>
      <c r="C470" s="805" t="n"/>
      <c r="D470" s="805" t="n"/>
      <c r="E470" s="747" t="n"/>
    </row>
    <row r="471" ht="27.6" customFormat="1" customHeight="1" s="38">
      <c r="A471" s="691" t="inlineStr">
        <is>
          <t>Внесение изменений в БП Командировки ГК</t>
        </is>
      </c>
      <c r="B471" s="184" t="inlineStr">
        <is>
          <t>Дополнить размеры суточных по загранице суточными для поездок в Китай</t>
        </is>
      </c>
      <c r="C471" s="701" t="inlineStr">
        <is>
          <t>Соблюдение законодательства РФ, оптимизация БП</t>
        </is>
      </c>
      <c r="D471" s="182" t="inlineStr">
        <is>
          <t>Еремина О.А.</t>
        </is>
      </c>
      <c r="E471" s="184" t="n"/>
    </row>
    <row r="472" ht="27.6" customFormat="1" customHeight="1" s="38">
      <c r="A472" s="691" t="inlineStr">
        <is>
          <t>Автоматизация печатных форм приказов и договоров в 1С</t>
        </is>
      </c>
      <c r="B472" s="184" t="inlineStr">
        <is>
          <t>В рамках подготовки к внедрению КЭДО</t>
        </is>
      </c>
      <c r="C472" s="701" t="inlineStr">
        <is>
          <t> </t>
        </is>
      </c>
      <c r="D472" s="182" t="inlineStr">
        <is>
          <t>Еремина О.А.
   Козлова Ю.В.</t>
        </is>
      </c>
      <c r="E472" s="184" t="n"/>
    </row>
    <row r="473" ht="41.4" customFormat="1" customHeight="1" s="408">
      <c r="A473" s="691" t="inlineStr">
        <is>
          <t>Изменение процессов взаимодействия между подразделениями</t>
        </is>
      </c>
      <c r="B473" s="184" t="inlineStr">
        <is>
          <t>Оптимизация взаимодействия между кадрами и бухгалтерией, разработка документооборота между кадрами и другими подразделениями</t>
        </is>
      </c>
      <c r="C473" s="701" t="inlineStr">
        <is>
          <t>Оптимизация взаимодействия работников  подразделений и ОУП</t>
        </is>
      </c>
      <c r="D473" s="182" t="inlineStr">
        <is>
          <t>Еремина О.А.</t>
        </is>
      </c>
      <c r="E473" s="184" t="n"/>
    </row>
    <row r="474" ht="69" customFormat="1" customHeight="1" s="38">
      <c r="A474" s="691" t="inlineStr">
        <is>
          <t xml:space="preserve">Подготовка методических материалов по кадрам </t>
        </is>
      </c>
      <c r="B474" s="184" t="inlineStr">
        <is>
          <t>Формирование Базы знаний по кадровым  направлениям (Прием, перевод, увольнение , пр.) . Подготовка Памяток для работников, шаблонов  СЗ, Заявлений, размещение в Базе - по основным мероприятиям</t>
        </is>
      </c>
      <c r="C474" s="701" t="inlineStr">
        <is>
          <t xml:space="preserve">Оптимизация взаимодействия работников  подразделений и ОУП.  Повышение уровня сервиса для персонала  </t>
        </is>
      </c>
      <c r="D474" s="182" t="inlineStr">
        <is>
          <t>Еремина О.А.</t>
        </is>
      </c>
      <c r="E474" s="184" t="n"/>
    </row>
    <row r="475" ht="27.6" customFormat="1" customHeight="1" s="38">
      <c r="A475" s="412" t="inlineStr">
        <is>
          <t>Оптимизация работы отделов Дирекции по персоналу</t>
        </is>
      </c>
      <c r="B475" s="413" t="inlineStr">
        <is>
          <t> </t>
        </is>
      </c>
      <c r="C475" s="414" t="inlineStr">
        <is>
          <t> </t>
        </is>
      </c>
      <c r="D475" s="415" t="inlineStr">
        <is>
          <t>Еремина О.А.</t>
        </is>
      </c>
      <c r="E475" s="413" t="n"/>
    </row>
    <row r="476" customFormat="1" s="38">
      <c r="A476" s="829" t="inlineStr">
        <is>
          <t xml:space="preserve">Работа с суммированным учетом РВ (в рамках Положения о СУРВ),  Графики работы подразделений с СУРВ, Табели подразделений </t>
        </is>
      </c>
      <c r="B476" s="805" t="n"/>
      <c r="C476" s="805" t="n"/>
      <c r="D476" s="805" t="n"/>
      <c r="E476" s="747" t="n"/>
    </row>
    <row r="477" ht="69" customFormat="1" customHeight="1" s="38">
      <c r="A477" s="410" t="inlineStr">
        <is>
          <t>Организация работы подразделений по графикам смен.  Анализ и актуализация графиков работы (смен)  работников. Подготовка приказов Приведение в соответствие ТД  работников</t>
        </is>
      </c>
      <c r="B477" s="112" t="inlineStr">
        <is>
          <t xml:space="preserve">Соблюдение графиков производства. Разработка графиком для Отдела режима </t>
        </is>
      </c>
      <c r="C477" s="727" t="inlineStr">
        <is>
          <t xml:space="preserve">Организация деятельности подразделений, соблюдение требований ТК РФ </t>
        </is>
      </c>
      <c r="D477" s="182" t="inlineStr">
        <is>
          <t>Павленко Н.С.</t>
        </is>
      </c>
      <c r="E477" s="184" t="n"/>
    </row>
    <row r="478" ht="27.6" customFormat="1" customHeight="1" s="38">
      <c r="A478" s="691" t="inlineStr">
        <is>
          <t xml:space="preserve">Организация работы с табелями </t>
        </is>
      </c>
      <c r="B478" s="184" t="inlineStr">
        <is>
          <t xml:space="preserve">Контроль, сопровождение оформления табелей </t>
        </is>
      </c>
      <c r="C478" s="701" t="inlineStr">
        <is>
          <t xml:space="preserve">Организация деятельности подразделений, соблюдение требований ТК РФ </t>
        </is>
      </c>
      <c r="D478" s="182" t="inlineStr">
        <is>
          <t>Руцкая В.В.
   Павленко Н.С.</t>
        </is>
      </c>
      <c r="E478" s="184" t="n"/>
    </row>
    <row r="479" ht="27.6" customFormat="1" customHeight="1" s="38">
      <c r="A479" s="691" t="inlineStr">
        <is>
          <t xml:space="preserve">Организация работы с табелями </t>
        </is>
      </c>
      <c r="B479" s="184" t="inlineStr">
        <is>
          <t>Назначение ответственных за ведение табелей Вемина по подразделениям</t>
        </is>
      </c>
      <c r="C479" s="701" t="inlineStr">
        <is>
          <t xml:space="preserve">Организация деятельности подразделений, соблюдение требований ТК РФ </t>
        </is>
      </c>
      <c r="D479" s="182" t="inlineStr">
        <is>
          <t>Павленко Н.С.</t>
        </is>
      </c>
      <c r="E479" s="184" t="n"/>
    </row>
    <row r="480" customFormat="1" s="38">
      <c r="A480" s="829" t="inlineStr">
        <is>
          <t>Новая организационная структура, штатное расписание компании</t>
        </is>
      </c>
      <c r="B480" s="805" t="n"/>
      <c r="C480" s="805" t="n"/>
      <c r="D480" s="805" t="n"/>
      <c r="E480" s="747" t="n"/>
    </row>
    <row r="481" ht="41.4" customFormat="1" customHeight="1" s="38">
      <c r="A481" s="691" t="inlineStr">
        <is>
          <t>Соблюдение нового штатного расписания и  ФОТ</t>
        </is>
      </c>
      <c r="B481" s="184" t="inlineStr">
        <is>
          <t xml:space="preserve">Контроль исполнения ФОТ/ШР.  Предоставление данных для приема на работу, переводов руководителям и в отдел подбора </t>
        </is>
      </c>
      <c r="C481" s="701" t="inlineStr">
        <is>
          <t xml:space="preserve">Организация деятельности  компании </t>
        </is>
      </c>
      <c r="D481" s="182" t="inlineStr">
        <is>
          <t>Еремина О.А.</t>
        </is>
      </c>
      <c r="E481" s="184" t="n"/>
    </row>
    <row r="482" customFormat="1" s="38">
      <c r="A482" s="691" t="inlineStr">
        <is>
          <t>Внесение изменений в 1С по новому  ШР</t>
        </is>
      </c>
      <c r="B482" s="184" t="inlineStr">
        <is>
          <t>Согласование, внесение изменений в 1С</t>
        </is>
      </c>
      <c r="C482" s="701" t="inlineStr">
        <is>
          <t xml:space="preserve">Организация деятельности  компании </t>
        </is>
      </c>
      <c r="D482" s="182" t="inlineStr">
        <is>
          <t>Еремина О.А.</t>
        </is>
      </c>
      <c r="E482" s="184" t="n"/>
    </row>
    <row r="483" ht="55.2" customFormat="1" customHeight="1" s="38">
      <c r="A483" s="691" t="inlineStr">
        <is>
          <t>Проработка возможности реализации в 1С:ЗУП управленческой структуры и отчетности</t>
        </is>
      </c>
      <c r="B483" s="184" t="inlineStr">
        <is>
          <t xml:space="preserve">Реализация упарвленческой структцуры и отчетности в целях учета функциональной принадлежности позиций штатного расписания и работников. </t>
        </is>
      </c>
      <c r="C483" s="701" t="inlineStr">
        <is>
          <t xml:space="preserve">Организация деятельности  компании </t>
        </is>
      </c>
      <c r="D483" s="182" t="inlineStr">
        <is>
          <t>Еремина О.А.</t>
        </is>
      </c>
      <c r="E483" s="184" t="n"/>
    </row>
    <row r="484" customFormat="1" s="38">
      <c r="A484" s="829" t="inlineStr">
        <is>
          <t>Ведение воинского учёта и бронирования</t>
        </is>
      </c>
      <c r="B484" s="805" t="n"/>
      <c r="C484" s="805" t="n"/>
      <c r="D484" s="805" t="n"/>
      <c r="E484" s="747" t="n"/>
    </row>
    <row r="485" customFormat="1" s="38">
      <c r="A485" s="691" t="inlineStr">
        <is>
          <t>Разъяснение правил воинского учета</t>
        </is>
      </c>
      <c r="B485" s="184" t="inlineStr">
        <is>
          <t>При приеме на работу. Ведение журнала.</t>
        </is>
      </c>
      <c r="C485" s="701" t="inlineStr">
        <is>
          <t xml:space="preserve">Соблюдение законодательства РФ. </t>
        </is>
      </c>
      <c r="D485" s="182" t="inlineStr">
        <is>
          <t>Кавыза О.Г.</t>
        </is>
      </c>
      <c r="E485" s="184" t="n"/>
    </row>
    <row r="486" ht="27.6" customFormat="1" customHeight="1" s="38">
      <c r="A486" s="691" t="inlineStr">
        <is>
          <t>Ведение карточек ф.10</t>
        </is>
      </c>
      <c r="B486" s="184" t="inlineStr">
        <is>
          <t>При приеме, переводе, изменении данных, увольнении</t>
        </is>
      </c>
      <c r="C486" s="701" t="inlineStr">
        <is>
          <t>Соблюдение законожательства РФ.</t>
        </is>
      </c>
      <c r="D486" s="182" t="inlineStr">
        <is>
          <t>Кавыза О.Г.</t>
        </is>
      </c>
      <c r="E486" s="184" t="n"/>
    </row>
    <row r="487" ht="41.4" customFormat="1" customHeight="1" s="38">
      <c r="A487" s="691" t="inlineStr">
        <is>
          <t>Сведения при приеме/увольнении/переводе/  изменении др. (Приложение № 2 к Положению о ВУ)</t>
        </is>
      </c>
      <c r="B487" s="184" t="inlineStr">
        <is>
          <t>Направление в военный комиссариат по месту жительства работника</t>
        </is>
      </c>
      <c r="C487" s="701" t="inlineStr">
        <is>
          <t xml:space="preserve">Соблюдение законодательства РФ. </t>
        </is>
      </c>
      <c r="D487" s="182" t="inlineStr">
        <is>
          <t>Кавыза О.Г.</t>
        </is>
      </c>
      <c r="E487" s="184" t="n"/>
    </row>
    <row r="488" ht="55.2" customFormat="1" customHeight="1" s="38">
      <c r="A488" s="691" t="inlineStr">
        <is>
          <t>Отчетность</t>
        </is>
      </c>
      <c r="B488" s="184" t="inlineStr">
        <is>
          <t>Продление справки (с предоставлением карточки организации ф.18; ф.6 и ф.19) в районной комиссии по бронированию. Передача справки в военный комиссариат</t>
        </is>
      </c>
      <c r="C488" s="701" t="inlineStr">
        <is>
          <t xml:space="preserve">Соблюдение законодательства РФ. </t>
        </is>
      </c>
      <c r="D488" s="182" t="inlineStr">
        <is>
          <t>Кавыза О.Г.</t>
        </is>
      </c>
      <c r="E488" s="184" t="n"/>
    </row>
    <row r="489" ht="27.6" customFormat="1" customHeight="1" s="38">
      <c r="A489" s="839" t="inlineStr">
        <is>
          <t>Ведение документации по бронированию</t>
        </is>
      </c>
      <c r="B489" s="184" t="inlineStr">
        <is>
          <t>Подготовка  приказов о бронировании сотрудников</t>
        </is>
      </c>
      <c r="C489" s="701" t="inlineStr">
        <is>
          <t xml:space="preserve">Соблюдение законодательства РФ. </t>
        </is>
      </c>
      <c r="D489" s="182" t="inlineStr">
        <is>
          <t>Кавыза О.Г.</t>
        </is>
      </c>
      <c r="E489" s="184" t="n"/>
    </row>
    <row r="490" ht="27.6" customFormat="1" customHeight="1" s="38">
      <c r="A490" s="754" t="n"/>
      <c r="B490" s="184" t="inlineStr">
        <is>
          <t>Подготовка Выписок из приказа о бронировании сотрудников</t>
        </is>
      </c>
      <c r="C490" s="701" t="inlineStr">
        <is>
          <t xml:space="preserve">Соблюдение законодательства РФ. </t>
        </is>
      </c>
      <c r="D490" s="182" t="inlineStr">
        <is>
          <t>Кавыза О.Г.</t>
        </is>
      </c>
      <c r="E490" s="184" t="n"/>
    </row>
    <row r="491" ht="27.6" customFormat="1" customHeight="1" s="38">
      <c r="A491" s="754" t="n"/>
      <c r="B491" s="184" t="inlineStr">
        <is>
          <t>Оформление приказа о прекращении бронирования</t>
        </is>
      </c>
      <c r="C491" s="701" t="inlineStr">
        <is>
          <t xml:space="preserve">Соблюдение законодательства РФ. </t>
        </is>
      </c>
      <c r="D491" s="182" t="inlineStr">
        <is>
          <t>Кавыза О.Г.</t>
        </is>
      </c>
      <c r="E491" s="184" t="n"/>
    </row>
    <row r="492" ht="27.6" customFormat="1" customHeight="1" s="38">
      <c r="A492" s="754" t="n"/>
      <c r="B492" s="184" t="inlineStr">
        <is>
          <t>Оформление выписок из проекта приказа о прекращении бронировании</t>
        </is>
      </c>
      <c r="C492" s="701" t="inlineStr">
        <is>
          <t xml:space="preserve">Соблюдение законодательства РФ. </t>
        </is>
      </c>
      <c r="D492" s="182" t="inlineStr">
        <is>
          <t>Кавыза О.Г.</t>
        </is>
      </c>
      <c r="E492" s="184" t="n"/>
    </row>
    <row r="493" ht="27.6" customFormat="1" customHeight="1" s="38">
      <c r="A493" s="753" t="n"/>
      <c r="B493" s="184" t="inlineStr">
        <is>
          <t>Оформление сопроводительных писем к выпискам из приказов</t>
        </is>
      </c>
      <c r="C493" s="701" t="inlineStr">
        <is>
          <t xml:space="preserve">Соблюдение законодательства РФ. </t>
        </is>
      </c>
      <c r="D493" s="182" t="inlineStr">
        <is>
          <t>Кавыза О.Г.</t>
        </is>
      </c>
      <c r="E493" s="184" t="n"/>
    </row>
    <row r="494" ht="55.2" customFormat="1" customHeight="1" s="38">
      <c r="A494" s="691" t="inlineStr">
        <is>
          <t>Подготовка листков сообщений</t>
        </is>
      </c>
      <c r="B494" s="184" t="inlineStr">
        <is>
          <t>Документ выдается на руки сотрудники с целью посещения военкомата в связи с ихменением места жительства, состава семьи, образования и т.д.</t>
        </is>
      </c>
      <c r="C494" s="701" t="inlineStr">
        <is>
          <t xml:space="preserve">Соблюдение законодательства РФ. </t>
        </is>
      </c>
      <c r="D494" s="182" t="inlineStr">
        <is>
          <t>Кавыза О.Г.</t>
        </is>
      </c>
      <c r="E494" s="184" t="n"/>
    </row>
    <row r="495" ht="27.6" customFormat="1" customHeight="1" s="38">
      <c r="A495" s="691" t="inlineStr">
        <is>
          <t xml:space="preserve">Подготовка направления для постановки на ВУ </t>
        </is>
      </c>
      <c r="B495" s="184" t="inlineStr">
        <is>
          <t xml:space="preserve">Документ выдается на руки сотрудники с целью посещения военкомата для постановки на ВУ </t>
        </is>
      </c>
      <c r="C495" s="701" t="inlineStr">
        <is>
          <t xml:space="preserve">Соблюдение законодательства РФ. </t>
        </is>
      </c>
      <c r="D495" s="182" t="inlineStr">
        <is>
          <t>Кавыза О.Г.</t>
        </is>
      </c>
      <c r="E495" s="184" t="n"/>
    </row>
    <row r="496" ht="27.6" customFormat="1" customHeight="1" s="38">
      <c r="A496" s="691" t="inlineStr">
        <is>
          <t>Ведение журналов</t>
        </is>
      </c>
      <c r="B496" s="184" t="inlineStr">
        <is>
          <t>Журналы по работе, связанной с воинским учетом и бронированием.</t>
        </is>
      </c>
      <c r="C496" s="701" t="inlineStr">
        <is>
          <t xml:space="preserve">Соблюдение законодательства РФ. </t>
        </is>
      </c>
      <c r="D496" s="182" t="inlineStr">
        <is>
          <t>Кавыза О.Г.</t>
        </is>
      </c>
      <c r="E496" s="184" t="n"/>
    </row>
    <row r="497" ht="27.6" customFormat="1" customHeight="1" s="38">
      <c r="A497" s="691" t="inlineStr">
        <is>
          <t>Автоматизация в 1С ведения данных по ВУ и бронированию</t>
        </is>
      </c>
      <c r="B497" s="184" t="inlineStr">
        <is>
          <t>Внесение данных по бронированию в 1С: приказов, справок пр. документов</t>
        </is>
      </c>
      <c r="C497" s="701" t="inlineStr">
        <is>
          <t>Организация деятельности подразделения</t>
        </is>
      </c>
      <c r="D497" s="182" t="inlineStr">
        <is>
          <t>Кавыза О.Г.</t>
        </is>
      </c>
      <c r="E497" s="184" t="n"/>
    </row>
    <row r="498" customFormat="1" s="38">
      <c r="A498" s="691" t="inlineStr">
        <is>
          <t>Подключение к ЛК Реестр повесток.рф</t>
        </is>
      </c>
      <c r="B498" s="184" t="inlineStr">
        <is>
          <t>Подача установленных форм в электронном виде</t>
        </is>
      </c>
      <c r="C498" s="701" t="inlineStr">
        <is>
          <t>Соблюдение законодательства РФ</t>
        </is>
      </c>
      <c r="D498" s="182" t="inlineStr">
        <is>
          <t>Кавыза О.Г.</t>
        </is>
      </c>
      <c r="E498" s="184" t="n"/>
    </row>
    <row r="499" customFormat="1" s="38">
      <c r="A499" s="819" t="inlineStr">
        <is>
          <t>ОТ и ТБ</t>
        </is>
      </c>
      <c r="B499" s="760" t="n"/>
      <c r="C499" s="760" t="n"/>
      <c r="D499" s="760" t="n"/>
      <c r="E499" s="761" t="n"/>
    </row>
    <row r="500" ht="27.6" customFormat="1" customHeight="1" s="38">
      <c r="A500" s="691" t="inlineStr">
        <is>
          <t>Создание отдела ОТ, ТБ, экологической безопасности</t>
        </is>
      </c>
      <c r="B500" s="184" t="inlineStr">
        <is>
          <t>Комплектование штата, содание перечня работ до конца 2026г.</t>
        </is>
      </c>
      <c r="C500" s="701" t="inlineStr">
        <is>
          <t> </t>
        </is>
      </c>
      <c r="D500" s="182" t="inlineStr">
        <is>
          <t>Пенский А.</t>
        </is>
      </c>
      <c r="E500" s="184" t="n"/>
    </row>
    <row r="501" ht="27.6" customFormat="1" customHeight="1" s="38">
      <c r="A501" s="691" t="inlineStr">
        <is>
          <t>Создание плана работы отдела, показателей оценки результата</t>
        </is>
      </c>
      <c r="B501" s="184" t="inlineStr">
        <is>
          <t> </t>
        </is>
      </c>
      <c r="C501" s="701" t="inlineStr">
        <is>
          <t> </t>
        </is>
      </c>
      <c r="D501" s="182" t="inlineStr">
        <is>
          <t>Пенский А.</t>
        </is>
      </c>
      <c r="E501" s="184" t="n"/>
    </row>
    <row r="502" customFormat="1" s="38">
      <c r="A502" s="691" t="inlineStr">
        <is>
          <t>СОУТ</t>
        </is>
      </c>
      <c r="B502" s="184" t="inlineStr">
        <is>
          <t> </t>
        </is>
      </c>
      <c r="C502" s="701" t="inlineStr">
        <is>
          <t>Соблюдение законодательства</t>
        </is>
      </c>
      <c r="D502" s="182" t="inlineStr">
        <is>
          <t>Пенский А.</t>
        </is>
      </c>
      <c r="E502" s="184" t="n"/>
    </row>
    <row r="503" customFormat="1" s="38">
      <c r="A503" s="691" t="inlineStr">
        <is>
          <t>ОПР</t>
        </is>
      </c>
      <c r="B503" s="184" t="inlineStr">
        <is>
          <t> </t>
        </is>
      </c>
      <c r="C503" s="701" t="inlineStr">
        <is>
          <t>Соблюдение законодательства</t>
        </is>
      </c>
      <c r="D503" s="182" t="inlineStr">
        <is>
          <t>Пенский А.</t>
        </is>
      </c>
      <c r="E503" s="184" t="n"/>
    </row>
    <row r="504" customFormat="1" s="511">
      <c r="A504" s="691" t="inlineStr">
        <is>
          <t>Автоматизация процессов</t>
        </is>
      </c>
      <c r="B504" s="184" t="inlineStr">
        <is>
          <t>Участие в проработке решений и их внедрение</t>
        </is>
      </c>
      <c r="C504" s="701" t="inlineStr">
        <is>
          <t xml:space="preserve">Развитие процессов </t>
        </is>
      </c>
      <c r="D504" s="182" t="inlineStr">
        <is>
          <t>Пенский А.</t>
        </is>
      </c>
      <c r="E504" s="184" t="n"/>
    </row>
    <row r="505" ht="41.4" customFormat="1" customHeight="1" s="38">
      <c r="A505" s="691" t="inlineStr">
        <is>
          <t>Организация обучения по охране труда (программа А, Б, СИЗ, первая помощь) для работников рабочих профессий</t>
        </is>
      </c>
      <c r="B505" s="184" t="inlineStr">
        <is>
          <t> </t>
        </is>
      </c>
      <c r="C505" s="701" t="inlineStr">
        <is>
          <t>Соблюдение законодательства</t>
        </is>
      </c>
      <c r="D505" s="182" t="inlineStr">
        <is>
          <t>Айкешева А.К.</t>
        </is>
      </c>
      <c r="E505" s="184" t="n"/>
    </row>
    <row r="506" ht="27.6" customFormat="1" customHeight="1" s="38">
      <c r="A506" s="691" t="inlineStr">
        <is>
          <t>Разработка локальных нормативных актов по охране труда и экологии</t>
        </is>
      </c>
      <c r="B506" s="184" t="inlineStr">
        <is>
          <t>Приказы, ЛНД и т.д.</t>
        </is>
      </c>
      <c r="C506" s="701" t="inlineStr">
        <is>
          <t>Соблюдение законодательства</t>
        </is>
      </c>
      <c r="D506" s="182" t="inlineStr">
        <is>
          <t>Айкешева А.К.</t>
        </is>
      </c>
      <c r="E506" s="184" t="n"/>
    </row>
    <row r="507" ht="27.6" customFormat="1" customHeight="1" s="38">
      <c r="A507" s="691" t="inlineStr">
        <is>
          <t>Разработка таблицы по нормам СИЗ (спец. одежды) по подразделениям и профессиям</t>
        </is>
      </c>
      <c r="B507" s="184" t="inlineStr">
        <is>
          <t> </t>
        </is>
      </c>
      <c r="C507" s="701" t="inlineStr">
        <is>
          <t>Соблюдение законодательства</t>
        </is>
      </c>
      <c r="D507" s="182" t="inlineStr">
        <is>
          <t>Айкешева А.К.</t>
        </is>
      </c>
      <c r="E507" s="184" t="n"/>
    </row>
    <row r="508" ht="41.4" customFormat="1" customHeight="1" s="38">
      <c r="A508" s="691" t="inlineStr">
        <is>
          <t>Формирование комплектов документов по охране труда для обособленных подразделений</t>
        </is>
      </c>
      <c r="B508" s="184" t="inlineStr">
        <is>
          <t>Инструкции ОТ, программы инструктажа, журналы инструктажа</t>
        </is>
      </c>
      <c r="C508" s="701" t="inlineStr">
        <is>
          <t>Соблюдение законодательства</t>
        </is>
      </c>
      <c r="D508" s="182" t="inlineStr">
        <is>
          <t>Айкешева А.К.</t>
        </is>
      </c>
      <c r="E508" s="184" t="n"/>
    </row>
    <row r="509" ht="27.6" customFormat="1" customHeight="1" s="38">
      <c r="A509" s="691" t="inlineStr">
        <is>
          <t xml:space="preserve">Обучение работников по экологической безопасности </t>
        </is>
      </c>
      <c r="B509" s="184" t="inlineStr">
        <is>
          <t> </t>
        </is>
      </c>
      <c r="C509" s="701" t="inlineStr">
        <is>
          <t> </t>
        </is>
      </c>
      <c r="D509" s="182" t="inlineStr">
        <is>
          <t> </t>
        </is>
      </c>
      <c r="E509" s="184" t="n"/>
    </row>
    <row r="510" customFormat="1" s="38">
      <c r="A510" s="691" t="inlineStr">
        <is>
          <t>Инвентаризация отходов</t>
        </is>
      </c>
      <c r="B510" s="184" t="inlineStr">
        <is>
          <t>Ведение договора, сбор данных</t>
        </is>
      </c>
      <c r="C510" s="701" t="inlineStr">
        <is>
          <t>Соблюдение законодательства</t>
        </is>
      </c>
      <c r="D510" s="182" t="inlineStr">
        <is>
          <t>Батушин А.В.</t>
        </is>
      </c>
      <c r="E510" s="184" t="n"/>
    </row>
    <row r="511" ht="27.6" customFormat="1" customHeight="1" s="38">
      <c r="A511" s="691" t="inlineStr">
        <is>
          <t>Подготовка и контроль по вывозу отходов в подразделениях</t>
        </is>
      </c>
      <c r="B511" s="184" t="inlineStr">
        <is>
          <t>Сбор информации, учёт в журнале движения отходов</t>
        </is>
      </c>
      <c r="C511" s="701" t="inlineStr">
        <is>
          <t>Соблюдение законодательства</t>
        </is>
      </c>
      <c r="D511" s="182" t="inlineStr">
        <is>
          <t>Батушин А.В.</t>
        </is>
      </c>
      <c r="E511" s="184" t="n"/>
    </row>
    <row r="512" ht="27.6" customFormat="1" customHeight="1" s="38">
      <c r="A512" s="691" t="inlineStr">
        <is>
          <t>Контроль за соблюдением охраны труда и экологии в подразделениях</t>
        </is>
      </c>
      <c r="B512" s="184" t="inlineStr">
        <is>
          <t> </t>
        </is>
      </c>
      <c r="C512" s="701" t="inlineStr">
        <is>
          <t>Соблюдение законодательства</t>
        </is>
      </c>
      <c r="D512" s="182" t="inlineStr">
        <is>
          <t>Айкешева А.К.
   Батушин А.В.</t>
        </is>
      </c>
      <c r="E512" s="184" t="n"/>
    </row>
    <row r="513" ht="27.6" customFormat="1" customHeight="1" s="38">
      <c r="A513" s="691" t="inlineStr">
        <is>
          <t>Оплата и контроль счётов по охране труда и экологии</t>
        </is>
      </c>
      <c r="B513" s="184" t="inlineStr">
        <is>
          <t>Договорная работы (Медкомиссия, вывоз отходов)</t>
        </is>
      </c>
      <c r="C513" s="701" t="inlineStr">
        <is>
          <t> </t>
        </is>
      </c>
      <c r="D513" s="182" t="inlineStr">
        <is>
          <t>Айкешева А.К.
   Батушин А.В.</t>
        </is>
      </c>
      <c r="E513" s="184" t="n"/>
    </row>
    <row r="514" customFormat="1" s="38">
      <c r="A514" s="691" t="inlineStr">
        <is>
          <t>Бюджетирование</t>
        </is>
      </c>
      <c r="B514" s="184" t="inlineStr">
        <is>
          <t> </t>
        </is>
      </c>
      <c r="C514" s="701" t="inlineStr">
        <is>
          <t> </t>
        </is>
      </c>
      <c r="D514" s="182" t="inlineStr">
        <is>
          <t>Айкешева А.К.</t>
        </is>
      </c>
      <c r="E514" s="184" t="n"/>
    </row>
    <row r="515" customFormat="1" s="38">
      <c r="A515" s="691" t="inlineStr">
        <is>
          <t>Прочее</t>
        </is>
      </c>
      <c r="B515" s="184" t="inlineStr">
        <is>
          <t> </t>
        </is>
      </c>
      <c r="C515" s="701" t="inlineStr">
        <is>
          <t> </t>
        </is>
      </c>
      <c r="D515" s="182" t="inlineStr">
        <is>
          <t>Айкешева А.К.</t>
        </is>
      </c>
      <c r="E515" s="184" t="n"/>
    </row>
    <row r="516" customFormat="1" s="38">
      <c r="A516" s="830" t="inlineStr">
        <is>
          <t>Рекрутинг</t>
        </is>
      </c>
      <c r="B516" s="760" t="n"/>
      <c r="C516" s="760" t="n"/>
      <c r="D516" s="760" t="n"/>
      <c r="E516" s="760" t="n"/>
    </row>
    <row r="517" customFormat="1" s="38">
      <c r="A517" s="404" t="inlineStr">
        <is>
          <t>Набор технологов в АИ СН</t>
        </is>
      </c>
      <c r="B517" s="403" t="inlineStr">
        <is>
          <t>набор персонала на критичное направление</t>
        </is>
      </c>
      <c r="C517" s="403" t="inlineStr">
        <is>
          <t>Укомплектование отдела</t>
        </is>
      </c>
      <c r="D517" s="403" t="inlineStr">
        <is>
          <t>Осипова В.
   Блинова А.
   Новикова Ю.</t>
        </is>
      </c>
      <c r="E517" s="444" t="n"/>
    </row>
    <row r="518" ht="72" customFormat="1" customHeight="1" s="38">
      <c r="A518" s="447" t="inlineStr">
        <is>
          <t>Внешний кадроый резерв</t>
        </is>
      </c>
      <c r="B518" s="448" t="inlineStr">
        <is>
          <t>Кадровый резерв, который может потребоваться при  расширении производства (теплая база кандидатов)</t>
        </is>
      </c>
      <c r="C518" s="449" t="inlineStr">
        <is>
          <t>Масштабирование производства</t>
        </is>
      </c>
      <c r="D518" s="449" t="inlineStr">
        <is>
          <t>Осипова В.
Шибалкова Ю.
Ковалева Е.
Блинова А.
Исматова В.</t>
        </is>
      </c>
      <c r="E518" s="449" t="n"/>
    </row>
    <row r="519" ht="27.6" customFormat="1" customHeight="1" s="38">
      <c r="A519" s="706" t="inlineStr">
        <is>
          <t>Актуализация плана подбора на квартал</t>
        </is>
      </c>
      <c r="B519" s="184" t="inlineStr">
        <is>
          <t>Вычитка всех вакансий, актуализация плана с руководителями, корректировки в ХФ и на HH.ru</t>
        </is>
      </c>
      <c r="C519" s="182" t="inlineStr">
        <is>
          <t>Повышение качества подбора персонала</t>
        </is>
      </c>
      <c r="D519" s="182" t="inlineStr">
        <is>
          <t>Пенский А.
Осипова В.,</t>
        </is>
      </c>
      <c r="E519" s="181" t="n"/>
    </row>
    <row r="520" ht="41.4" customFormat="1" customHeight="1" s="38">
      <c r="A520" s="840" t="inlineStr">
        <is>
          <t xml:space="preserve">Организация и контроль работы по проверке соискателей </t>
        </is>
      </c>
      <c r="B520" s="195" t="inlineStr">
        <is>
          <t>Проверка кандидатов на различного вида задолженности и наличие ЮР лиц и ИП в системе Кронос</t>
        </is>
      </c>
      <c r="C520" s="195" t="inlineStr">
        <is>
          <t>Проверка</t>
        </is>
      </c>
      <c r="D520" s="195" t="inlineStr">
        <is>
          <t xml:space="preserve">Ковалева Е.
Осипова В.
</t>
        </is>
      </c>
      <c r="E520" s="195" t="n"/>
    </row>
    <row r="521" ht="41.4" customFormat="1" customHeight="1" s="38">
      <c r="A521" s="841" t="n"/>
      <c r="B521" s="196" t="inlineStr">
        <is>
          <t xml:space="preserve">Точечные консультации с внутренней СБ по спорным вопросам проверок у кандидатов </t>
        </is>
      </c>
      <c r="C521" s="197" t="inlineStr">
        <is>
          <t>Повышение качества подбора персонала</t>
        </is>
      </c>
      <c r="D521" s="198" t="inlineStr">
        <is>
          <t xml:space="preserve">Шибалкова Ю. 
Ковалева Е.
</t>
        </is>
      </c>
      <c r="E521" s="199" t="n"/>
    </row>
    <row r="522" ht="55.2" customFormat="1" customHeight="1" s="38">
      <c r="A522" s="690" t="inlineStr">
        <is>
          <t>Предварительные мед.осмотры</t>
        </is>
      </c>
      <c r="B522" s="65" t="inlineStr">
        <is>
          <t>Направление на предварительные мед. осмотры</t>
        </is>
      </c>
      <c r="C522" s="185" t="inlineStr">
        <is>
          <t>Проверка перед трудоустройством</t>
        </is>
      </c>
      <c r="D522" s="186" t="inlineStr">
        <is>
          <t>Ковалева Е.
Блинова А. 
Исматова В.
Новикова Ю.</t>
        </is>
      </c>
      <c r="E522" s="182" t="n"/>
    </row>
    <row r="523" ht="41.4" customFormat="1" customHeight="1" s="38">
      <c r="A523" s="71" t="inlineStr">
        <is>
          <t>Сбор рекомендаций с прошлых мест работ кандидатов</t>
        </is>
      </c>
      <c r="B523" s="184" t="inlineStr">
        <is>
          <t>Для руководящих и точечных должностей по запросу собираем рекомендации по кандидату перед выставлением оффера</t>
        </is>
      </c>
      <c r="C523" s="186" t="inlineStr">
        <is>
          <t>Повышение качества подбора персонала</t>
        </is>
      </c>
      <c r="D523" s="182" t="inlineStr">
        <is>
          <t>Шибалкова Ю. 
Ковалева Е.                              Блинова А.И</t>
        </is>
      </c>
      <c r="E523" s="186" t="n"/>
    </row>
    <row r="524" ht="69" customFormat="1" customHeight="1" s="38">
      <c r="A524" s="691" t="inlineStr">
        <is>
          <t>Мониторинг рынка труда</t>
        </is>
      </c>
      <c r="B524" s="184" t="inlineStr">
        <is>
          <t>Сбор и отражение в табличной форме данных</t>
        </is>
      </c>
      <c r="C524" s="182" t="inlineStr">
        <is>
          <t>Оценка ситуации на рынке труда для корректировки кадровой политики</t>
        </is>
      </c>
      <c r="D524" s="181" t="inlineStr">
        <is>
          <t>Осипова В.
Блинова А.
Шибалкова Ю. 
Ковалева Е.
Исматова В.</t>
        </is>
      </c>
      <c r="E524" s="182" t="n"/>
    </row>
    <row r="525" ht="96.59999999999999" customFormat="1" customHeight="1" s="38">
      <c r="A525" s="691" t="inlineStr">
        <is>
          <t>Отчетность еженедельная/квартальная</t>
        </is>
      </c>
      <c r="B525" s="191" t="inlineStr">
        <is>
          <t>Заполнение форм отчетности</t>
        </is>
      </c>
      <c r="C525" s="193" t="inlineStr">
        <is>
          <t>Выполнение плана подбора</t>
        </is>
      </c>
      <c r="D525" s="193" t="inlineStr">
        <is>
          <t>Пенский А.
Осипова В.,
Шибалкова Ю. 
Ковалева Е.
Блинова А. 
Исматова В.
Новикова Ю.</t>
        </is>
      </c>
      <c r="E525" s="193" t="n"/>
    </row>
    <row r="526" ht="69" customFormat="1" customHeight="1" s="38">
      <c r="A526" s="200" t="inlineStr">
        <is>
          <t>Реферальная программа</t>
        </is>
      </c>
      <c r="B526" s="201" t="inlineStr">
        <is>
          <t>Отслеживание окончания ИС сотрудников по рекомендации</t>
        </is>
      </c>
      <c r="C526" s="202" t="inlineStr">
        <is>
          <t>Увеличение воронки кандидатов, развитие HR бренда работодателя</t>
        </is>
      </c>
      <c r="D526" s="202" t="inlineStr">
        <is>
          <t>Осипова В.,
Шибалкова Ю. 
Ковалева Е.
Блинова А.
Новикова Ю.</t>
        </is>
      </c>
      <c r="E526" s="202" t="n"/>
    </row>
    <row r="527" ht="41.4" customFormat="1" customHeight="1" s="38">
      <c r="A527" s="45" t="inlineStr">
        <is>
          <t>Обучение по подбору персонала для руководителей</t>
        </is>
      </c>
      <c r="B527" s="45" t="inlineStr">
        <is>
          <t>Проведение обучение</t>
        </is>
      </c>
      <c r="C527" s="46" t="inlineStr">
        <is>
          <t>Повышение качества подбора персонала</t>
        </is>
      </c>
      <c r="D527" s="46" t="inlineStr">
        <is>
          <t>Новикова Ю.
Аншакова И.
Осипова В.</t>
        </is>
      </c>
      <c r="E527" s="46" t="n"/>
    </row>
    <row r="528" customFormat="1" s="38">
      <c r="A528" s="45" t="inlineStr">
        <is>
          <t>Планирование подбора на 2027 год</t>
        </is>
      </c>
      <c r="B528" s="45" t="inlineStr">
        <is>
          <t>Сбор данных по подразделениям</t>
        </is>
      </c>
      <c r="C528" s="46" t="inlineStr">
        <is>
          <t>Планирование 2027 год</t>
        </is>
      </c>
      <c r="D528" s="46" t="inlineStr">
        <is>
          <t>Осипова В.Г.</t>
        </is>
      </c>
      <c r="E528" s="46" t="n"/>
    </row>
    <row r="529" customFormat="1" s="38">
      <c r="A529" s="830" t="inlineStr">
        <is>
          <t>Адаптация</t>
        </is>
      </c>
      <c r="B529" s="760" t="n"/>
      <c r="C529" s="760" t="n"/>
      <c r="D529" s="760" t="n"/>
      <c r="E529" s="760" t="n"/>
    </row>
    <row r="530" ht="41.4" customFormat="1" customHeight="1" s="38">
      <c r="A530" s="370" t="inlineStr">
        <is>
          <t>Переезд в Руднево</t>
        </is>
      </c>
      <c r="B530" s="371" t="inlineStr">
        <is>
          <t>Организация доставки сотрудников на площадку, организация питания, предложения п обустройству офиса, бытовых условий.</t>
        </is>
      </c>
      <c r="C530" s="371" t="inlineStr">
        <is>
          <t>Организация комфортных условий труда для сотрудников</t>
        </is>
      </c>
      <c r="D530" s="373" t="inlineStr">
        <is>
          <t>Пенский А.</t>
        </is>
      </c>
      <c r="E530" s="423" t="n"/>
    </row>
    <row r="531" ht="82.8" customFormat="1" customHeight="1" s="38">
      <c r="A531" s="740" t="inlineStr">
        <is>
          <t>Онбординг</t>
        </is>
      </c>
      <c r="B531" s="706" t="inlineStr">
        <is>
          <t>Проведение краткой экскурсии для новых сотрудников и выдача Welcome Kit, знакомство с руководителем</t>
        </is>
      </c>
      <c r="C531" s="178" t="inlineStr">
        <is>
          <t>Адаптация новичков, снижение времени на включение в работу, снижение текучести.</t>
        </is>
      </c>
      <c r="D531" s="178" t="inlineStr">
        <is>
          <t>Осипова В.
Шибалкова Ю. 
Ковалева Е.
Блинова А. 
Котов И.
Исматова В.</t>
        </is>
      </c>
      <c r="E531" s="181" t="n"/>
    </row>
    <row r="532" ht="27.6" customFormat="1" customHeight="1" s="38">
      <c r="A532" s="761" t="n"/>
      <c r="B532" s="191" t="inlineStr">
        <is>
          <t>Создание приветственной страницы для новых сотрудников, аналогично ЦТП</t>
        </is>
      </c>
      <c r="C532" s="193" t="inlineStr">
        <is>
          <t>Адаптация новичков, снижение времени на включение в работу, снижение текучести.</t>
        </is>
      </c>
      <c r="D532" s="193" t="inlineStr">
        <is>
          <t>Осипова В.
Котов И.</t>
        </is>
      </c>
      <c r="E532" s="193" t="n"/>
    </row>
    <row r="533" ht="69" customFormat="1" customHeight="1" s="38">
      <c r="A533" s="701" t="inlineStr">
        <is>
          <t>Аттестация</t>
        </is>
      </c>
      <c r="B533" s="191" t="inlineStr">
        <is>
          <t>Проведение аттестации действующих сотрудников для повышения категории/разряда и уровня заработной платы, в соответствии с ШР</t>
        </is>
      </c>
      <c r="C533" s="193" t="inlineStr">
        <is>
          <t>Повышение категорий и разрядов действующих сотрудников</t>
        </is>
      </c>
      <c r="D533" s="193" t="inlineStr">
        <is>
          <t>Осипова В.
Шибалкова Ю.
Ковалева Е.
Блинова А.
Исматова В.</t>
        </is>
      </c>
      <c r="E533" s="193" t="n"/>
    </row>
    <row r="534" ht="55.2" customFormat="1" customHeight="1" s="38">
      <c r="A534" s="691" t="inlineStr">
        <is>
          <t>Общение по результатам ИС</t>
        </is>
      </c>
      <c r="B534" s="701" t="inlineStr">
        <is>
          <t>Встречи с сотрудниками на ИС и во время ИС
Подготовка чек-листа для прошедших ИС и шаблона СЗ для изменений по результатам ИС</t>
        </is>
      </c>
      <c r="C534" s="181" t="inlineStr">
        <is>
          <t>Мониторинг состояния новичков на ИС, снижение текучести персонала, обсуждение дальнейшего развития</t>
        </is>
      </c>
      <c r="D534" s="181" t="inlineStr">
        <is>
          <t>Шибалкова Ю. 
Ковалева Е.
Блинова А. 
Исматова В.</t>
        </is>
      </c>
      <c r="E534" s="181" t="n"/>
    </row>
    <row r="535" ht="41.4" customFormat="1" customHeight="1" s="38">
      <c r="A535" s="440" t="inlineStr">
        <is>
          <t>Общение по результатам ИС/работы - переговоры по увольнению сотрудника</t>
        </is>
      </c>
      <c r="B535" s="441" t="inlineStr">
        <is>
          <t>Встреча с сотрудником на протяжении ИС, с проблемными зонами</t>
        </is>
      </c>
      <c r="C535" s="442" t="inlineStr">
        <is>
          <t>Повышение эффективности команды, "отсев" сотрудников, которые не устраивают работодателя</t>
        </is>
      </c>
      <c r="D535" s="442" t="inlineStr">
        <is>
          <t>Осипова В.
Ковалева Е.
Исматова В.</t>
        </is>
      </c>
      <c r="E535" s="442" t="n"/>
    </row>
    <row r="536" customFormat="1" s="38">
      <c r="A536" s="843" t="inlineStr">
        <is>
          <t>Материальная и не материальная мотивация</t>
        </is>
      </c>
      <c r="B536" s="805" t="n"/>
      <c r="C536" s="805" t="n"/>
      <c r="D536" s="805" t="n"/>
      <c r="E536" s="747" t="n"/>
    </row>
    <row r="537" customFormat="1" s="38">
      <c r="A537" s="410" t="inlineStr">
        <is>
          <t>Питание сотрудников</t>
        </is>
      </c>
      <c r="B537" s="410" t="inlineStr">
        <is>
          <t>Сопровождение процесса, решение проблем</t>
        </is>
      </c>
      <c r="C537" s="443" t="inlineStr">
        <is>
          <t> </t>
        </is>
      </c>
      <c r="D537" s="443" t="inlineStr">
        <is>
          <t>Пенский А.К.</t>
        </is>
      </c>
      <c r="E537" s="443" t="n"/>
    </row>
    <row r="538" ht="27.6" customFormat="1" customHeight="1" s="38">
      <c r="A538" s="727" t="inlineStr">
        <is>
          <t>ДМС</t>
        </is>
      </c>
      <c r="B538" s="727" t="inlineStr">
        <is>
          <t>Подключение сотрудников со сроком работы от 6 месяцев</t>
        </is>
      </c>
      <c r="C538" s="443" t="inlineStr">
        <is>
          <t>Нематериальная мотивация</t>
        </is>
      </c>
      <c r="D538" s="443" t="inlineStr">
        <is>
          <t>Осипова В. 
Блинова А.И.</t>
        </is>
      </c>
      <c r="E538" s="443" t="n"/>
    </row>
    <row r="539" ht="41.4" customFormat="1" customHeight="1" s="38">
      <c r="A539" s="706" t="inlineStr">
        <is>
          <t>Подписка на журнал Кадровое дело</t>
        </is>
      </c>
      <c r="B539" s="701" t="inlineStr">
        <is>
          <t>Оформление подписки, рассылка ежемесечных выпусков</t>
        </is>
      </c>
      <c r="C539" s="182" t="inlineStr">
        <is>
          <t>Рассылка коллегам из HR отдела и ОУП свежих выпусков журнала, актуальных статей</t>
        </is>
      </c>
      <c r="D539" s="182" t="inlineStr">
        <is>
          <t xml:space="preserve">Шибалкова Ю. </t>
        </is>
      </c>
      <c r="E539" s="182" t="n"/>
    </row>
    <row r="540" ht="27.6" customHeight="1">
      <c r="A540" s="190" t="inlineStr">
        <is>
          <t>Реализация плана обучения персонала</t>
        </is>
      </c>
      <c r="B540" s="191" t="inlineStr">
        <is>
          <t>План обучения согласован - актуализация планов на квартал, организация курсов</t>
        </is>
      </c>
      <c r="C540" s="193" t="inlineStr">
        <is>
          <t>Повышение компетенций сотрудников по профильным направлениям</t>
        </is>
      </c>
      <c r="D540" s="193" t="inlineStr">
        <is>
          <t xml:space="preserve">Осипова В. 
Шибалкова Ю. </t>
        </is>
      </c>
      <c r="E540" s="193" t="n"/>
    </row>
    <row r="541" ht="55.2" customHeight="1">
      <c r="A541" s="405" t="inlineStr">
        <is>
          <t>Кадровый резерв</t>
        </is>
      </c>
      <c r="B541" s="406" t="inlineStr">
        <is>
          <t>Концепция, начало проекта</t>
        </is>
      </c>
      <c r="C541" s="407" t="inlineStr">
        <is>
          <t>Проработка дорожной карты проекта
Старт проекта по созданию внутреннего кадрового резерва из разных блоков компании (ИТР, пр-во, АУП)</t>
        </is>
      </c>
      <c r="D541" s="407" t="inlineStr">
        <is>
          <t>Осипова В.</t>
        </is>
      </c>
      <c r="E541" s="193" t="n"/>
    </row>
    <row r="542" ht="55.2" customHeight="1">
      <c r="A542" s="405" t="inlineStr">
        <is>
          <t>Договоры на практику (студенты по рекомендации наших сотрудников, закрытие учебной практики нашим сотрудникам)</t>
        </is>
      </c>
      <c r="B542" s="406" t="inlineStr">
        <is>
          <t>Проведение практики</t>
        </is>
      </c>
      <c r="C542" s="407" t="inlineStr">
        <is>
          <t>Предоставление практики студентам</t>
        </is>
      </c>
      <c r="D542" s="407" t="inlineStr">
        <is>
          <t>Осипова В.</t>
        </is>
      </c>
      <c r="E542" s="193" t="n"/>
    </row>
    <row r="543" ht="41.4" customHeight="1">
      <c r="A543" s="405" t="inlineStr">
        <is>
          <t>Мероприятие для сотрудников 10+ лет</t>
        </is>
      </c>
      <c r="B543" s="406" t="n"/>
      <c r="C543" s="407" t="inlineStr">
        <is>
          <t>Повышение лояльности персонала</t>
        </is>
      </c>
      <c r="D543" s="407" t="inlineStr">
        <is>
          <t>Пенский А.
Осипова В.
Шибалкова Ю.</t>
        </is>
      </c>
      <c r="E543" s="193" t="n"/>
    </row>
    <row r="544">
      <c r="A544" s="825" t="inlineStr">
        <is>
          <t>Развитие  HR-бренда</t>
        </is>
      </c>
      <c r="B544" s="805" t="n"/>
      <c r="C544" s="805" t="n"/>
      <c r="D544" s="805" t="n"/>
      <c r="E544" s="747" t="n"/>
    </row>
    <row r="545" ht="55.2" customHeight="1">
      <c r="A545" s="405" t="inlineStr">
        <is>
          <t>Happy Job</t>
        </is>
      </c>
      <c r="B545" s="406" t="inlineStr">
        <is>
          <t>Органиация,проведение встреч с руководителями/сотрудниками подразделений по результатам опроса вовлеченности персонала Happy Job</t>
        </is>
      </c>
      <c r="C545" s="407" t="inlineStr">
        <is>
          <t>Повышение показателей вовлеченности и лояльности</t>
        </is>
      </c>
      <c r="D545" s="409" t="inlineStr">
        <is>
          <t>Пенский А.
Осипова В.Г.</t>
        </is>
      </c>
      <c r="E545" s="407" t="n"/>
    </row>
    <row r="546" ht="55.2" customHeight="1">
      <c r="A546" s="706" t="inlineStr">
        <is>
          <t>Встречи с сотрудниками по запросу от руководителей/размещенному резюме/exit-интервью</t>
        </is>
      </c>
      <c r="B546" s="701" t="inlineStr">
        <is>
          <t xml:space="preserve">По запросу
</t>
        </is>
      </c>
      <c r="C546" s="181" t="inlineStr">
        <is>
          <t>Сбор информации о причинах увольнений и проблемах компании для проработки и устранения проблем</t>
        </is>
      </c>
      <c r="D546" s="182" t="inlineStr">
        <is>
          <t>Шибалкова Ю. 
Ковалева Е.
Блинова А.
Исматова В.</t>
        </is>
      </c>
      <c r="E546" s="182" t="n"/>
    </row>
    <row r="547" ht="55.2" customHeight="1">
      <c r="A547" s="833" t="inlineStr">
        <is>
          <t>Поздравления с ДР сотрудников</t>
        </is>
      </c>
      <c r="B547" s="701" t="inlineStr">
        <is>
          <t xml:space="preserve">Актуализация списков именинников на будущий месяц, сбор фотографий для поздравлений. Сбор/отправка в филиалы подарков на ДР для сотрудников </t>
        </is>
      </c>
      <c r="C547" s="834" t="inlineStr">
        <is>
          <t>Поддержание корп. культуры</t>
        </is>
      </c>
      <c r="D547" s="181" t="inlineStr">
        <is>
          <t>Шибалкова Ю. Котов И.</t>
        </is>
      </c>
      <c r="E547" s="181" t="n"/>
    </row>
    <row r="548" ht="27.6" customHeight="1">
      <c r="A548" s="753" t="n"/>
      <c r="B548" s="701" t="inlineStr">
        <is>
          <t>Составление, подписание приказов, списков, ведомостей, договоров дарения на подарки</t>
        </is>
      </c>
      <c r="C548" s="753" t="n"/>
      <c r="D548" s="181" t="inlineStr">
        <is>
          <t>Котов И.
Исматова В.</t>
        </is>
      </c>
      <c r="E548" s="181" t="n"/>
    </row>
    <row r="549" ht="55.2" customHeight="1">
      <c r="A549" s="508" t="inlineStr">
        <is>
          <t>Работа с СУЗами, ВУЗами, ярмарки вакансий</t>
        </is>
      </c>
      <c r="B549" s="509" t="inlineStr">
        <is>
          <t>Актуализация информации по сотрудничеству, участие в ярмарках вакансий</t>
        </is>
      </c>
      <c r="C549" s="510" t="inlineStr">
        <is>
          <t>Привлечь молодых специалистов на открытые вакансии , повышение узнаваемости бренда АИ СН</t>
        </is>
      </c>
      <c r="D549" s="510" t="inlineStr">
        <is>
          <t>Осипова В.,
Исматова В.
Ковалева Е.
Блинова А.</t>
        </is>
      </c>
      <c r="E549" s="510" t="n"/>
    </row>
    <row r="550">
      <c r="A550" s="825" t="inlineStr">
        <is>
          <t>Автоматизация процессов и аналитика</t>
        </is>
      </c>
      <c r="B550" s="805" t="n"/>
      <c r="C550" s="805" t="n"/>
      <c r="D550" s="805" t="n"/>
      <c r="E550" s="747" t="n"/>
    </row>
    <row r="551" ht="41.4" customHeight="1">
      <c r="A551" s="691" t="inlineStr">
        <is>
          <t>Аудит Хантфлоу</t>
        </is>
      </c>
      <c r="B551" s="691" t="inlineStr">
        <is>
          <t>Проведение аудит по качеству ведения базы согласно нашей инструкции, фиксация замечаний и дальнейшая отработка</t>
        </is>
      </c>
      <c r="C551" s="691" t="inlineStr">
        <is>
          <t>Повышение качества подбора, снижение сроков</t>
        </is>
      </c>
      <c r="D551" s="195" t="inlineStr">
        <is>
          <t xml:space="preserve">Осипова В. </t>
        </is>
      </c>
      <c r="E551" s="691" t="n"/>
    </row>
    <row r="552" ht="69" customHeight="1">
      <c r="A552" s="691" t="inlineStr">
        <is>
          <t xml:space="preserve"> Хантфлоу</t>
        </is>
      </c>
      <c r="B552" s="701" t="inlineStr">
        <is>
          <t>Ведение базы кандидатов, отслеживание воронки подбора.</t>
        </is>
      </c>
      <c r="C552" s="182" t="inlineStr">
        <is>
          <t>Повышение качества подбора, снижение сроков</t>
        </is>
      </c>
      <c r="D552" s="182" t="inlineStr">
        <is>
          <t>Шибалкова Ю. 
Ковалева Е.
Блинова А. 
Исматова В.
Новикова Ю.</t>
        </is>
      </c>
      <c r="E552" s="182" t="n"/>
    </row>
    <row r="553" ht="55.2" customHeight="1">
      <c r="A553" s="691" t="inlineStr">
        <is>
          <t>Аналитика резюме кандидатов. Работающих сотрудников, обновляющих резюме</t>
        </is>
      </c>
      <c r="B553" s="184" t="inlineStr">
        <is>
          <t>Отслеживание баз резюме, аналитика</t>
        </is>
      </c>
      <c r="C553" s="182" t="inlineStr">
        <is>
          <t>Удержание персонала</t>
        </is>
      </c>
      <c r="D553" s="182" t="inlineStr">
        <is>
          <t>Шибалкова Ю. 
Ковалева Е.
Блинова А.
Исматова В.</t>
        </is>
      </c>
      <c r="E553" s="182" t="n"/>
    </row>
    <row r="554" ht="27.6" customHeight="1">
      <c r="A554" s="691" t="inlineStr">
        <is>
          <t>Бюджет 2027</t>
        </is>
      </c>
      <c r="B554" s="184" t="inlineStr">
        <is>
          <t>Сбор информации</t>
        </is>
      </c>
      <c r="C554" s="182" t="inlineStr">
        <is>
          <t>Планирование 2027, передача данных в финансовый блок</t>
        </is>
      </c>
      <c r="D554" s="182" t="inlineStr">
        <is>
          <t>Пенский А.
Осипова В.</t>
        </is>
      </c>
      <c r="E554" s="182" t="n"/>
    </row>
    <row r="555">
      <c r="A555" s="825" t="inlineStr">
        <is>
          <t>Развитие и обучение</t>
        </is>
      </c>
      <c r="B555" s="805" t="n"/>
      <c r="C555" s="805" t="n"/>
      <c r="D555" s="805" t="n"/>
      <c r="E555" s="747" t="n"/>
    </row>
    <row r="556" ht="27.6" customHeight="1">
      <c r="A556" s="370" t="inlineStr">
        <is>
          <t>Актуализация процесса планирования обучения</t>
        </is>
      </c>
      <c r="B556" s="370" t="inlineStr">
        <is>
          <t>подготовка к бюджетированию 2027</t>
        </is>
      </c>
      <c r="C556" s="371" t="inlineStr">
        <is>
          <t xml:space="preserve">Развитие процессов </t>
        </is>
      </c>
      <c r="D556" s="371" t="inlineStr">
        <is>
          <t>Пенский А., ОсиповаВ.</t>
        </is>
      </c>
      <c r="E556" s="371" t="n"/>
    </row>
    <row r="557" ht="27.6" customHeight="1">
      <c r="A557" s="417" t="inlineStr">
        <is>
          <t>Разработка програаммы и Организация обучения кадрового резерва</t>
        </is>
      </c>
      <c r="B557" s="417" t="inlineStr">
        <is>
          <t>повышение управленческих компетенций резервистов</t>
        </is>
      </c>
      <c r="C557" s="418" t="inlineStr">
        <is>
          <t>развитие потенциала Компании</t>
        </is>
      </c>
      <c r="D557" s="418" t="inlineStr">
        <is>
          <t>Пенский А., Осипова В.</t>
        </is>
      </c>
      <c r="E557" s="418" t="n"/>
    </row>
    <row r="558">
      <c r="A558" s="825" t="inlineStr">
        <is>
          <t>ЛНА и регламентация процессов</t>
        </is>
      </c>
      <c r="B558" s="805" t="n"/>
      <c r="C558" s="805" t="n"/>
      <c r="D558" s="805" t="n"/>
      <c r="E558" s="747" t="n"/>
    </row>
    <row r="559" ht="82.8" customHeight="1">
      <c r="A559" s="691" t="inlineStr">
        <is>
          <t>ЛНА</t>
        </is>
      </c>
      <c r="B559" s="701" t="inlineStr">
        <is>
          <t>Внедрение Положений об адаптации и наставничестве</t>
        </is>
      </c>
      <c r="C559" s="181" t="inlineStr">
        <is>
          <t>Систематизация процесса, инструктирование руководителей.</t>
        </is>
      </c>
      <c r="D559" s="181" t="inlineStr">
        <is>
          <t>Осипова В.</t>
        </is>
      </c>
      <c r="E559" s="419" t="inlineStr">
        <is>
          <t>Участие в проработке системы мотивации для наставников, для утверждения в Положении об оплате труда
По итогам 2 итерация нового процесса соглсования ЛНА по ГК - отработаны все замечания, переданы на 3 круг согласования</t>
        </is>
      </c>
    </row>
    <row r="560">
      <c r="A560" s="844" t="inlineStr">
        <is>
          <t>Корпоративные коммуникации</t>
        </is>
      </c>
      <c r="B560" s="832" t="n"/>
      <c r="C560" s="832" t="n"/>
      <c r="D560" s="832" t="n"/>
      <c r="E560" s="749" t="n"/>
    </row>
    <row r="561" ht="43.2" customHeight="1">
      <c r="A561" s="390" t="inlineStr">
        <is>
          <t>Развитие каналов коммуникаций в компании</t>
        </is>
      </c>
      <c r="B561" s="391" t="inlineStr">
        <is>
          <t>Использование текущих каналов и продвижение, предложения по развитию (почтовые рассылки, инфодоски, чаты)</t>
        </is>
      </c>
      <c r="C561" s="392" t="inlineStr">
        <is>
          <t>Повышение качества коммуникаций и обмен новостями в компании</t>
        </is>
      </c>
      <c r="D561" s="393" t="inlineStr">
        <is>
          <t>Котов И.
Осипова В.</t>
        </is>
      </c>
      <c r="E561" s="392" t="n"/>
    </row>
    <row r="562">
      <c r="A562" s="374" t="inlineStr">
        <is>
          <t>Корпоративные рассылки и ТВ</t>
        </is>
      </c>
      <c r="B562" s="394" t="inlineStr">
        <is>
          <t>Плановые и внеплановые коммуникации: дни рождения, выходы новых сотрудников, реферальная программа и другие инфоповоды</t>
        </is>
      </c>
      <c r="C562" s="374" t="inlineStr">
        <is>
          <t>Поддержание корпоративных коммуникаций</t>
        </is>
      </c>
      <c r="D562" s="376" t="inlineStr">
        <is>
          <t>Котов И.</t>
        </is>
      </c>
      <c r="E562" s="392" t="n"/>
    </row>
    <row r="563" ht="27.6" customHeight="1">
      <c r="A563" s="374" t="inlineStr">
        <is>
          <t>Настольный теннис ЛЧБ</t>
        </is>
      </c>
      <c r="B563" s="395" t="inlineStr">
        <is>
          <t>Организация участия сотрудников в турнирах по настольному теннису, ведение информационной кампании</t>
        </is>
      </c>
      <c r="C563" s="374" t="inlineStr">
        <is>
          <t>Поддержание корп. культуры</t>
        </is>
      </c>
      <c r="D563" s="292" t="inlineStr">
        <is>
          <t>Котов И.
   Осипова В.</t>
        </is>
      </c>
      <c r="E563" s="397" t="n"/>
    </row>
    <row r="564">
      <c r="A564" s="374" t="inlineStr">
        <is>
          <t>Волейбол</t>
        </is>
      </c>
      <c r="B564" s="389" t="inlineStr">
        <is>
          <t>Освещение нового вида корпоративного спорта</t>
        </is>
      </c>
      <c r="C564" s="374" t="inlineStr">
        <is>
          <t>Поддержание корп. культуры</t>
        </is>
      </c>
      <c r="D564" s="376" t="inlineStr">
        <is>
          <t>Котов И.</t>
        </is>
      </c>
      <c r="E564" s="390" t="n"/>
    </row>
    <row r="565">
      <c r="A565" s="374" t="inlineStr">
        <is>
          <t>Видео-контент</t>
        </is>
      </c>
      <c r="B565" s="395" t="inlineStr">
        <is>
          <t>Съёмка, монтаж и озвучка корпоративных роликов: фильмы, интервью, ОТ, мероприятия</t>
        </is>
      </c>
      <c r="C565" s="374" t="inlineStr">
        <is>
          <t>Поддержание корпоративных коммуникаций</t>
        </is>
      </c>
      <c r="D565" s="376" t="inlineStr">
        <is>
          <t>Котов И.</t>
        </is>
      </c>
      <c r="E565" s="390" t="n"/>
    </row>
    <row r="566">
      <c r="A566" s="374" t="inlineStr">
        <is>
          <t>Детские новогодние подарки</t>
        </is>
      </c>
      <c r="B566" s="395" t="inlineStr">
        <is>
          <t>Раздача детских подарков для сотрудников</t>
        </is>
      </c>
      <c r="C566" s="374" t="inlineStr">
        <is>
          <t>Нематериальная мотивация, поддержание корп. культуры</t>
        </is>
      </c>
      <c r="D566" s="376" t="inlineStr">
        <is>
          <t>Котов И.
   Осипова В.
Исматова В.
Блинова А.
Ковалева Е.
Шибалкова Ю.</t>
        </is>
      </c>
      <c r="E566" s="390" t="n"/>
    </row>
    <row r="567" ht="55.2" customHeight="1">
      <c r="A567" s="290" t="inlineStr">
        <is>
          <t>Горящие вакансии</t>
        </is>
      </c>
      <c r="B567" s="290" t="inlineStr">
        <is>
          <t>Ежемесячная информационная кампания</t>
        </is>
      </c>
      <c r="C567" s="290" t="inlineStr">
        <is>
          <t>Поддержание корпоративных коммуникаций, распространение активных вакансий</t>
        </is>
      </c>
      <c r="D567" s="292" t="inlineStr">
        <is>
          <t xml:space="preserve">Осипова В.
   Котов И.
   Исматова В.
</t>
        </is>
      </c>
      <c r="E567" s="290" t="n"/>
    </row>
    <row r="568" ht="33.9" customHeight="1">
      <c r="A568" s="374" t="inlineStr">
        <is>
          <t>Корпоративный портал</t>
        </is>
      </c>
      <c r="B568" s="455" t="inlineStr">
        <is>
          <t>Развитие корпоративного портала, добавление новых функций, администрирование</t>
        </is>
      </c>
      <c r="C568" s="374" t="inlineStr">
        <is>
          <t>Поддержание корпоративных коммуникаций, распространение активных вакансий</t>
        </is>
      </c>
      <c r="D568" s="376" t="inlineStr">
        <is>
          <t>Котов И.</t>
        </is>
      </c>
      <c r="E568" s="390" t="n"/>
    </row>
    <row r="569" ht="28.8" customHeight="1">
      <c r="A569" s="374" t="inlineStr">
        <is>
          <t>Тайный санта</t>
        </is>
      </c>
      <c r="B569" s="455" t="inlineStr">
        <is>
          <t>Проведение корпоративной игры среди сотрудников</t>
        </is>
      </c>
      <c r="C569" s="374" t="inlineStr">
        <is>
          <t>Нематериальная мотивация, поддержание корп. культуры</t>
        </is>
      </c>
      <c r="D569" s="376" t="inlineStr">
        <is>
          <t>Котов И.</t>
        </is>
      </c>
      <c r="E569" s="390" t="n"/>
    </row>
    <row r="570" ht="55.2" customHeight="1">
      <c r="A570" s="845" t="inlineStr">
        <is>
          <t>Поздравления с ДР сотрудников</t>
        </is>
      </c>
      <c r="B570" s="290" t="inlineStr">
        <is>
          <t xml:space="preserve">Актуализация списков именинников на будущий месяц, сбор фотографий для поздравлений. Сбор/отправка в филиалы подарков на ДР для сотрудников </t>
        </is>
      </c>
      <c r="C570" s="290" t="inlineStr">
        <is>
          <t>Поддержание корп. культуры</t>
        </is>
      </c>
      <c r="D570" s="292" t="inlineStr">
        <is>
          <t xml:space="preserve">Котов И.
</t>
        </is>
      </c>
      <c r="E570" s="290" t="n"/>
    </row>
    <row r="571" ht="27.6" customHeight="1">
      <c r="A571" s="754" t="n"/>
      <c r="B571" s="290" t="inlineStr">
        <is>
          <t>Составление, подписание приказов, списков, ведомостей, договоров дарения на подарки</t>
        </is>
      </c>
      <c r="C571" s="290" t="inlineStr">
        <is>
          <t>Поддержание корп. культуры</t>
        </is>
      </c>
      <c r="D571" s="292" t="n"/>
      <c r="E571" s="290" t="n"/>
    </row>
    <row r="572">
      <c r="A572" s="753" t="n"/>
      <c r="B572" s="387" t="inlineStr">
        <is>
          <t>Выдача подарков сотрудникам</t>
        </is>
      </c>
      <c r="C572" s="387" t="n"/>
      <c r="D572" s="388" t="inlineStr">
        <is>
          <t>Исматова В.</t>
        </is>
      </c>
      <c r="E572" s="387" t="n"/>
    </row>
    <row r="573">
      <c r="A573" s="374" t="inlineStr">
        <is>
          <t>Кадровый резерв</t>
        </is>
      </c>
      <c r="B573" s="395" t="inlineStr">
        <is>
          <t>Разработка плана коммуникаций и освещение программы на портале и в чатах</t>
        </is>
      </c>
      <c r="C573" s="374" t="inlineStr">
        <is>
          <t>Развитие корпоративных коммуникаций</t>
        </is>
      </c>
      <c r="D573" s="376" t="inlineStr">
        <is>
          <t>Котов И.
   Осипова В.</t>
        </is>
      </c>
      <c r="E573" s="390" t="n"/>
    </row>
    <row r="574">
      <c r="A574" s="374" t="inlineStr">
        <is>
          <t>ИИ-вебинар</t>
        </is>
      </c>
      <c r="B574" s="395" t="inlineStr">
        <is>
          <t>Освещение ИИ-вебинара для сотрудников ГК</t>
        </is>
      </c>
      <c r="C574" s="374" t="inlineStr">
        <is>
          <t>Развитие корпоративных коммуникаций</t>
        </is>
      </c>
      <c r="D574" s="376" t="inlineStr">
        <is>
          <t>Котов И.</t>
        </is>
      </c>
      <c r="E574" s="390" t="n"/>
    </row>
    <row r="575">
      <c r="A575" s="374" t="inlineStr">
        <is>
          <t>КЭДО</t>
        </is>
      </c>
      <c r="B575" s="395" t="inlineStr">
        <is>
          <t>Освещение КЭДО для сотрудников, унификация инструкций и загрузка на портал</t>
        </is>
      </c>
      <c r="C575" s="374" t="inlineStr">
        <is>
          <t>Поддержание корпоративных коммуникаций</t>
        </is>
      </c>
      <c r="D575" s="376" t="inlineStr">
        <is>
          <t>Котов И.</t>
        </is>
      </c>
      <c r="E575" s="390" t="n"/>
    </row>
    <row r="576" ht="27.6" customHeight="1">
      <c r="A576" s="290" t="inlineStr">
        <is>
          <t>Видео-экскурсия по ГК</t>
        </is>
      </c>
      <c r="B576" s="290" t="inlineStr">
        <is>
          <t>планирование нового элемента адаптации сотрудников</t>
        </is>
      </c>
      <c r="C576" s="290" t="inlineStr">
        <is>
          <t>Развитие корп. Культуры</t>
        </is>
      </c>
      <c r="D576" s="292" t="inlineStr">
        <is>
          <t>Котов И.
   Осипова В.</t>
        </is>
      </c>
      <c r="E576" s="290" t="n"/>
    </row>
    <row r="577">
      <c r="A577" s="290" t="inlineStr">
        <is>
          <t>Корпоративный помощник</t>
        </is>
      </c>
      <c r="B577" s="290" t="inlineStr">
        <is>
          <t>проект по внедрению ИИ</t>
        </is>
      </c>
      <c r="C577" s="290" t="inlineStr">
        <is>
          <t>развитие ИИ в ГК</t>
        </is>
      </c>
      <c r="D577" s="292" t="inlineStr">
        <is>
          <t>Котов И.</t>
        </is>
      </c>
      <c r="E577" s="290" t="n"/>
    </row>
  </sheetData>
  <mergeCells count="116">
    <mergeCell ref="A39:E39"/>
    <mergeCell ref="A48:E48"/>
    <mergeCell ref="A402:E402"/>
    <mergeCell ref="A389"/>
    <mergeCell ref="A11:E11"/>
    <mergeCell ref="A216:E216"/>
    <mergeCell ref="A103:E103"/>
    <mergeCell ref="A387:E387"/>
    <mergeCell ref="A346:A349"/>
    <mergeCell ref="A531:A532"/>
    <mergeCell ref="A236:A237"/>
    <mergeCell ref="C236:C237"/>
    <mergeCell ref="A516:E516"/>
    <mergeCell ref="A54:A59"/>
    <mergeCell ref="A208:E208"/>
    <mergeCell ref="A484:E484"/>
    <mergeCell ref="A219:A220"/>
    <mergeCell ref="A499:E499"/>
    <mergeCell ref="A247:E247"/>
    <mergeCell ref="A185:E185"/>
    <mergeCell ref="A342:A345"/>
    <mergeCell ref="A190:A191"/>
    <mergeCell ref="C405:C406"/>
    <mergeCell ref="A470:E470"/>
    <mergeCell ref="A165:E165"/>
    <mergeCell ref="A299:E299"/>
    <mergeCell ref="A93:E93"/>
    <mergeCell ref="A368:A371"/>
    <mergeCell ref="A261:E261"/>
    <mergeCell ref="A70:A71"/>
    <mergeCell ref="A284:E284"/>
    <mergeCell ref="A489:A493"/>
    <mergeCell ref="A435:A437"/>
    <mergeCell ref="A560:E560"/>
    <mergeCell ref="A547:A548"/>
    <mergeCell ref="A289:A293"/>
    <mergeCell ref="A246:E246"/>
    <mergeCell ref="A409:E409"/>
    <mergeCell ref="A418:E418"/>
    <mergeCell ref="A3:E3"/>
    <mergeCell ref="A405:A406"/>
    <mergeCell ref="A17:A18"/>
    <mergeCell ref="A393:E393"/>
    <mergeCell ref="C17:C18"/>
    <mergeCell ref="A253:A254"/>
    <mergeCell ref="A68:A69"/>
    <mergeCell ref="A81:E81"/>
    <mergeCell ref="A147:E147"/>
    <mergeCell ref="A274:E274"/>
    <mergeCell ref="A161:E161"/>
    <mergeCell ref="C68:C69"/>
    <mergeCell ref="A550:E550"/>
    <mergeCell ref="E68:E69"/>
    <mergeCell ref="A335:A341"/>
    <mergeCell ref="A520:A521"/>
    <mergeCell ref="A536:E536"/>
    <mergeCell ref="A378:A379"/>
    <mergeCell ref="A25:E25"/>
    <mergeCell ref="A463:E463"/>
    <mergeCell ref="A358:A367"/>
    <mergeCell ref="B68:B69"/>
    <mergeCell ref="A447:E447"/>
    <mergeCell ref="D68:D69"/>
    <mergeCell ref="A425:E425"/>
    <mergeCell ref="A223:E223"/>
    <mergeCell ref="C70:C71"/>
    <mergeCell ref="A465:E465"/>
    <mergeCell ref="C219:C220"/>
    <mergeCell ref="A317:A322"/>
    <mergeCell ref="A331:A334"/>
    <mergeCell ref="A570:A572"/>
    <mergeCell ref="A2:E2"/>
    <mergeCell ref="D236:D237"/>
    <mergeCell ref="A278:E278"/>
    <mergeCell ref="A42:E42"/>
    <mergeCell ref="A449:E449"/>
    <mergeCell ref="A175:A180"/>
    <mergeCell ref="C547:C548"/>
    <mergeCell ref="A141:E141"/>
    <mergeCell ref="A263:E263"/>
    <mergeCell ref="A125:E125"/>
    <mergeCell ref="A350:A356"/>
    <mergeCell ref="A199:E199"/>
    <mergeCell ref="A372:A373"/>
    <mergeCell ref="A323:A328"/>
    <mergeCell ref="A455:A456"/>
    <mergeCell ref="A127:E127"/>
    <mergeCell ref="A64:E64"/>
    <mergeCell ref="A169:E169"/>
    <mergeCell ref="A555:E555"/>
    <mergeCell ref="A476:E476"/>
    <mergeCell ref="A88:E88"/>
    <mergeCell ref="A153:E153"/>
    <mergeCell ref="A133:A134"/>
    <mergeCell ref="A227:E227"/>
    <mergeCell ref="C133:C134"/>
    <mergeCell ref="A268:E268"/>
    <mergeCell ref="A99:E99"/>
    <mergeCell ref="A448:E448"/>
    <mergeCell ref="A145:E145"/>
    <mergeCell ref="A27:E27"/>
    <mergeCell ref="A33:E33"/>
    <mergeCell ref="A200:A201"/>
    <mergeCell ref="A374:E374"/>
    <mergeCell ref="A558:E558"/>
    <mergeCell ref="A96:A97"/>
    <mergeCell ref="A414:E414"/>
    <mergeCell ref="C96:C97"/>
    <mergeCell ref="A126:E126"/>
    <mergeCell ref="A529:E529"/>
    <mergeCell ref="A329:A330"/>
    <mergeCell ref="A10:E10"/>
    <mergeCell ref="A544:E544"/>
    <mergeCell ref="A82:A83"/>
    <mergeCell ref="A480:E480"/>
    <mergeCell ref="A245:E245"/>
  </mergeCells>
  <hyperlinks>
    <hyperlink xmlns:r="http://schemas.openxmlformats.org/officeDocument/2006/relationships" ref="E301" r:id="rId1"/>
  </hyperlinks>
  <pageMargins left="0.701" right="0.701" top="0.752" bottom="0.752" header="0.3" footer="0.3"/>
  <pageSetup orientation="landscape" paperSize="9" scale="11" useFirstPageNumber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3"/>
  <sheetViews>
    <sheetView topLeftCell="A20" zoomScale="80" workbookViewId="0">
      <pane ySplit="1" topLeftCell="A50" activePane="bottomLeft" state="frozen"/>
      <selection activeCell="C16" sqref="C16"/>
      <selection pane="bottomLeft" activeCell="A20" sqref="A20"/>
    </sheetView>
  </sheetViews>
  <sheetFormatPr baseColWidth="8" defaultColWidth="9.109375" defaultRowHeight="14.4"/>
  <cols>
    <col width="31.6640625" customWidth="1" style="206" min="1" max="1"/>
    <col width="31.33203125" customWidth="1" style="206" min="2" max="3"/>
    <col width="24.88671875" customWidth="1" style="206" min="4" max="4"/>
    <col width="22.33203125" customWidth="1" style="206" min="5" max="5"/>
    <col width="36.33203125" customWidth="1" style="206" min="6" max="6"/>
    <col width="39.109375" customWidth="1" style="207" min="7" max="7"/>
    <col width="29.44140625" customWidth="1" style="208" min="8" max="8"/>
    <col width="9.109375" customWidth="1" style="206" min="9" max="11"/>
    <col width="15.6640625" customWidth="1" style="206" min="12" max="12"/>
    <col width="9.109375" customWidth="1" style="206" min="13" max="16384"/>
  </cols>
  <sheetData>
    <row r="1">
      <c r="A1" s="209" t="inlineStr">
        <is>
          <t>ФИО сотрудника</t>
        </is>
      </c>
      <c r="B1" s="209" t="inlineStr">
        <is>
          <t xml:space="preserve">Отдел </t>
        </is>
      </c>
      <c r="C1" s="209" t="inlineStr">
        <is>
          <t>Должность</t>
        </is>
      </c>
      <c r="D1" s="209" t="inlineStr">
        <is>
          <t>Дата начала работы</t>
        </is>
      </c>
      <c r="E1" s="209" t="inlineStr">
        <is>
          <t>Дата увольнения</t>
        </is>
      </c>
      <c r="F1" s="209" t="inlineStr">
        <is>
          <t>Срок работы, в годах</t>
        </is>
      </c>
      <c r="G1" s="209" t="inlineStr">
        <is>
          <t>Причина увольнения</t>
        </is>
      </c>
      <c r="H1" s="209" t="inlineStr">
        <is>
          <t>Значимость для компании</t>
        </is>
      </c>
    </row>
    <row r="2" ht="43.2" customFormat="1" customHeight="1" s="210">
      <c r="A2" s="272" t="inlineStr">
        <is>
          <t>Шувалов Алексей Витальевич</t>
        </is>
      </c>
      <c r="B2" s="272" t="inlineStr">
        <is>
          <t>Управление</t>
        </is>
      </c>
      <c r="C2" s="272" t="inlineStr">
        <is>
          <t>Главный инженер</t>
        </is>
      </c>
      <c r="D2" s="272" t="inlineStr">
        <is>
          <t>15.11.2024</t>
        </is>
      </c>
      <c r="E2" s="272" t="inlineStr">
        <is>
          <t>31.03.2026</t>
        </is>
      </c>
      <c r="F2" s="270">
        <f>(E2-D2)/365</f>
        <v/>
      </c>
      <c r="G2" s="271" t="inlineStr">
        <is>
          <t>Инициатива сотрудника - нашел работу с бОльшей зп, не готов работать зам.нового ГИ</t>
        </is>
      </c>
      <c r="H2" s="212" t="n">
        <v>4</v>
      </c>
      <c r="J2" s="846" t="inlineStr">
        <is>
          <t>Значимость сотрудника для организации определяется по шкале от 0 до 5, 
где 0 - минимальное значение,    
   5 - максимальное</t>
        </is>
      </c>
    </row>
    <row r="3" ht="43.2" customFormat="1" customHeight="1" s="210">
      <c r="A3" s="272" t="inlineStr">
        <is>
          <t>Игошкина Ольга Вячеславовна</t>
        </is>
      </c>
      <c r="B3" s="272" t="inlineStr">
        <is>
          <t>Отдел сертификации авиационной техники</t>
        </is>
      </c>
      <c r="C3" s="272" t="inlineStr">
        <is>
          <t>Начальник отдела</t>
        </is>
      </c>
      <c r="D3" s="272" t="inlineStr">
        <is>
          <t>02.05.2024</t>
        </is>
      </c>
      <c r="E3" s="272" t="inlineStr">
        <is>
          <t>19.01.2026</t>
        </is>
      </c>
      <c r="F3" s="270">
        <f>(E3-D3)/365</f>
        <v/>
      </c>
      <c r="G3" s="273" t="inlineStr">
        <is>
          <t>Инициатива работодателя - не лояльное отношение к компании и руководтсу, не устраивает качество работы</t>
        </is>
      </c>
      <c r="H3" s="212" t="n">
        <v>3</v>
      </c>
      <c r="J3" s="737" t="n"/>
      <c r="K3" s="737" t="n"/>
      <c r="L3" s="737" t="n"/>
    </row>
    <row r="4" customFormat="1" s="210">
      <c r="A4" s="272" t="inlineStr">
        <is>
          <t>Кочетков Илья Анатольевич</t>
        </is>
      </c>
      <c r="B4" s="272" t="inlineStr">
        <is>
          <t>Отдел режима (Офис)</t>
        </is>
      </c>
      <c r="C4" s="272" t="inlineStr">
        <is>
          <t>Оперативный дежурный</t>
        </is>
      </c>
      <c r="D4" s="272" t="inlineStr">
        <is>
          <t>01.07.2018</t>
        </is>
      </c>
      <c r="E4" s="272" t="inlineStr">
        <is>
          <t>06.01.2026</t>
        </is>
      </c>
      <c r="F4" s="270">
        <f>(E4-D4)/365</f>
        <v/>
      </c>
      <c r="G4" s="273" t="inlineStr">
        <is>
          <t>Смерть сотрудника</t>
        </is>
      </c>
      <c r="H4" s="212" t="n">
        <v>4</v>
      </c>
      <c r="J4" s="737" t="n"/>
      <c r="K4" s="737" t="n"/>
      <c r="L4" s="737" t="n"/>
    </row>
    <row r="5" ht="28.8" customFormat="1" customHeight="1" s="210">
      <c r="A5" s="272" t="inlineStr">
        <is>
          <t>Рено Эдуар Марк Александр Луи</t>
        </is>
      </c>
      <c r="B5" s="272" t="inlineStr">
        <is>
          <t>Дирекция программ</t>
        </is>
      </c>
      <c r="C5" s="272" t="inlineStr">
        <is>
          <t>Руководитель проекта по разработке систем развлечения</t>
        </is>
      </c>
      <c r="D5" s="272" t="inlineStr">
        <is>
          <t>18.05.2023</t>
        </is>
      </c>
      <c r="E5" s="272" t="inlineStr">
        <is>
          <t>11.03.2026</t>
        </is>
      </c>
      <c r="F5" s="270">
        <f>(E5-D5)/365</f>
        <v/>
      </c>
      <c r="G5" s="273" t="inlineStr">
        <is>
          <t>Увольнение с основного места работы - перевод на основное место в АИ Казань</t>
        </is>
      </c>
      <c r="H5" s="213" t="n">
        <v>0</v>
      </c>
      <c r="J5" s="737" t="n"/>
      <c r="K5" s="737" t="n"/>
      <c r="L5" s="737" t="n"/>
    </row>
    <row r="6" ht="28.8" customFormat="1" customHeight="1" s="210">
      <c r="A6" s="272" t="inlineStr">
        <is>
          <t>Вертипрахов Сергей Валерьевич</t>
        </is>
      </c>
      <c r="B6" s="272" t="inlineStr">
        <is>
          <t>Дирекция программ</t>
        </is>
      </c>
      <c r="C6" s="272" t="inlineStr">
        <is>
          <t>Ведущий менеджер проектов</t>
        </is>
      </c>
      <c r="D6" s="272" t="inlineStr">
        <is>
          <t>01.05.2019</t>
        </is>
      </c>
      <c r="E6" s="272" t="inlineStr">
        <is>
          <t>20.03.2026</t>
        </is>
      </c>
      <c r="F6" s="270">
        <f>(E6-D6)/365</f>
        <v/>
      </c>
      <c r="G6" s="273" t="inlineStr">
        <is>
          <t>Инициатива работодателя - "мертвая душа"</t>
        </is>
      </c>
      <c r="H6" s="213" t="n">
        <v>0</v>
      </c>
      <c r="J6" s="737" t="n"/>
      <c r="K6" s="737" t="n"/>
      <c r="L6" s="737" t="n"/>
    </row>
    <row r="7" customFormat="1" s="210">
      <c r="A7" s="272" t="inlineStr">
        <is>
          <t>Тимохин Артем Юрьевич</t>
        </is>
      </c>
      <c r="B7" s="272" t="inlineStr">
        <is>
          <t>Дирекция программ</t>
        </is>
      </c>
      <c r="C7" s="272" t="inlineStr">
        <is>
          <t>Руководитель проекта</t>
        </is>
      </c>
      <c r="D7" s="272" t="inlineStr">
        <is>
          <t>29.01.2024</t>
        </is>
      </c>
      <c r="E7" s="272" t="inlineStr">
        <is>
          <t>11.03.2026</t>
        </is>
      </c>
      <c r="F7" s="270">
        <f>(E7-D7)/365</f>
        <v/>
      </c>
      <c r="G7" s="273" t="inlineStr">
        <is>
          <t>Увольнение с совместительства</t>
        </is>
      </c>
      <c r="H7" s="213" t="n">
        <v>0</v>
      </c>
      <c r="J7" s="737" t="n"/>
      <c r="K7" s="737" t="n"/>
      <c r="L7" s="737" t="n"/>
    </row>
    <row r="8" ht="43.2" customHeight="1">
      <c r="A8" s="272" t="inlineStr">
        <is>
          <t>Новикова Юлия Алексеевна</t>
        </is>
      </c>
      <c r="B8" s="272" t="inlineStr">
        <is>
          <t>Отдел подбора и развития персонала</t>
        </is>
      </c>
      <c r="C8" s="272" t="inlineStr">
        <is>
          <t>Менеджер по подбору персонала</t>
        </is>
      </c>
      <c r="D8" s="272" t="inlineStr">
        <is>
          <t>11.11.2025</t>
        </is>
      </c>
      <c r="E8" s="272" t="inlineStr">
        <is>
          <t>02.02.2026</t>
        </is>
      </c>
      <c r="F8" s="270">
        <f>(E8-D8)/365</f>
        <v/>
      </c>
      <c r="G8" s="273" t="inlineStr">
        <is>
          <t>техническое увольнение - перевод на совместительство с основного места работы</t>
        </is>
      </c>
      <c r="H8" s="212" t="n">
        <v>0</v>
      </c>
    </row>
    <row r="9" ht="28.8" customHeight="1">
      <c r="A9" s="272" t="inlineStr">
        <is>
          <t>Ковальчук Елена Борисовна</t>
        </is>
      </c>
      <c r="B9" s="272" t="inlineStr">
        <is>
          <t>Отдел управления персоналом</t>
        </is>
      </c>
      <c r="C9" s="272" t="inlineStr">
        <is>
          <t>Ведущий специалист по воинскому учету</t>
        </is>
      </c>
      <c r="D9" s="272" t="inlineStr">
        <is>
          <t>20.02.2025</t>
        </is>
      </c>
      <c r="E9" s="272" t="inlineStr">
        <is>
          <t>04.03.2026</t>
        </is>
      </c>
      <c r="F9" s="270">
        <f>(E9-D9)/365</f>
        <v/>
      </c>
      <c r="G9" s="273" t="inlineStr">
        <is>
          <t>Инициатива работника - семейные причины, переезд</t>
        </is>
      </c>
      <c r="H9" s="212" t="n">
        <v>4</v>
      </c>
    </row>
    <row r="10" ht="28.8" customHeight="1">
      <c r="A10" s="272" t="inlineStr">
        <is>
          <t>Башкирова Татьяна Алексеевна</t>
        </is>
      </c>
      <c r="B10" s="272" t="inlineStr">
        <is>
          <t>Отдел управления персоналом</t>
        </is>
      </c>
      <c r="C10" s="272" t="inlineStr">
        <is>
          <t>Ведущий менеджер по персоналу</t>
        </is>
      </c>
      <c r="D10" s="272" t="inlineStr">
        <is>
          <t>12.12.2025</t>
        </is>
      </c>
      <c r="E10" s="272" t="inlineStr">
        <is>
          <t>27.03.2026</t>
        </is>
      </c>
      <c r="F10" s="270">
        <f>(E10-D10)/365</f>
        <v/>
      </c>
      <c r="G10" s="273" t="inlineStr">
        <is>
          <t>Инициатива работодателя - не устраивает качество/подход к работе</t>
        </is>
      </c>
      <c r="H10" s="213" t="n">
        <v>3</v>
      </c>
    </row>
    <row r="11" ht="57.6" customHeight="1">
      <c r="A11" s="272" t="inlineStr">
        <is>
          <t>Лаптева Елена Викторовна</t>
        </is>
      </c>
      <c r="B11" s="272" t="inlineStr">
        <is>
          <t>Отдел технической документации</t>
        </is>
      </c>
      <c r="C11" s="272" t="inlineStr">
        <is>
          <t>Начальник отдела</t>
        </is>
      </c>
      <c r="D11" s="272" t="inlineStr">
        <is>
          <t>15.01.2026</t>
        </is>
      </c>
      <c r="E11" s="272" t="inlineStr">
        <is>
          <t>31.03.2026</t>
        </is>
      </c>
      <c r="F11" s="270">
        <f>(E11-D11)/365</f>
        <v/>
      </c>
      <c r="G11" s="271" t="inlineStr">
        <is>
          <t>Инициатива работодателя - непрохождение ИС, низкое качество выполнения задач, конфликты с подчиненными</t>
        </is>
      </c>
      <c r="H11" s="214" t="n">
        <v>4</v>
      </c>
    </row>
    <row r="12" ht="28.8" customHeight="1">
      <c r="A12" s="272" t="inlineStr">
        <is>
          <t>Жабин Максим Сергеевич</t>
        </is>
      </c>
      <c r="B12" s="272" t="inlineStr">
        <is>
          <t>Отдел главного технолога</t>
        </is>
      </c>
      <c r="C12" s="272" t="inlineStr">
        <is>
          <t>Инженер - технолог 3 категории</t>
        </is>
      </c>
      <c r="D12" s="272" t="inlineStr">
        <is>
          <t>19.08.2025</t>
        </is>
      </c>
      <c r="E12" s="272" t="inlineStr">
        <is>
          <t>14.01.2026</t>
        </is>
      </c>
      <c r="F12" s="270">
        <f>(E12-D12)/365</f>
        <v/>
      </c>
      <c r="G12" s="273" t="inlineStr">
        <is>
          <t>Инициатива работодателя - не устраивает качество работы, прогулы</t>
        </is>
      </c>
      <c r="H12" s="212" t="n">
        <v>2</v>
      </c>
    </row>
    <row r="13" ht="28.8" customHeight="1">
      <c r="A13" s="272" t="inlineStr">
        <is>
          <t>Козлов Александр Анатольевич</t>
        </is>
      </c>
      <c r="B13" s="272" t="inlineStr">
        <is>
          <t>Отдел АСУП</t>
        </is>
      </c>
      <c r="C13" s="272" t="inlineStr">
        <is>
          <t>Начальник отдела</t>
        </is>
      </c>
      <c r="D13" s="272" t="inlineStr">
        <is>
          <t>12.01.2026</t>
        </is>
      </c>
      <c r="E13" s="272" t="inlineStr">
        <is>
          <t>24.02.2026</t>
        </is>
      </c>
      <c r="F13" s="270">
        <f>(E13-D13)/365</f>
        <v/>
      </c>
      <c r="G13" s="273" t="inlineStr">
        <is>
          <t>Инициатива работодателя - не устраивает качество работы, прогулы</t>
        </is>
      </c>
      <c r="H13" s="214" t="n">
        <v>4</v>
      </c>
    </row>
    <row r="14" ht="28.8" customHeight="1">
      <c r="A14" s="272" t="inlineStr">
        <is>
          <t>Гасанова Оксана Петровна</t>
        </is>
      </c>
      <c r="B14" s="272" t="inlineStr">
        <is>
          <t>Производственное подразделение №7</t>
        </is>
      </c>
      <c r="C14" s="272" t="inlineStr">
        <is>
          <t>Кладовщик</t>
        </is>
      </c>
      <c r="D14" s="272" t="inlineStr">
        <is>
          <t>02.09.2022</t>
        </is>
      </c>
      <c r="E14" s="272" t="inlineStr">
        <is>
          <t>25.02.2026</t>
        </is>
      </c>
      <c r="F14" s="270">
        <f>(E14-D14)/365</f>
        <v/>
      </c>
      <c r="G14" s="274" t="inlineStr">
        <is>
          <t>Инициатива работодателя - низкое качество работы, много ошибок</t>
        </is>
      </c>
      <c r="H14" s="213" t="n">
        <v>3</v>
      </c>
    </row>
    <row r="15" ht="43.2" customHeight="1">
      <c r="A15" s="272" t="inlineStr">
        <is>
          <t>Лозицкая Оксана Олеговна</t>
        </is>
      </c>
      <c r="B15" s="272" t="inlineStr">
        <is>
          <t>Производственное подразделение №8</t>
        </is>
      </c>
      <c r="C15" s="272" t="inlineStr">
        <is>
          <t>Диспетчер</t>
        </is>
      </c>
      <c r="D15" s="272" t="inlineStr">
        <is>
          <t>23.04.2025</t>
        </is>
      </c>
      <c r="E15" s="272" t="inlineStr">
        <is>
          <t>20.02.2026</t>
        </is>
      </c>
      <c r="F15" s="270">
        <f>(E15-D15)/365</f>
        <v/>
      </c>
      <c r="G15" s="273" t="inlineStr">
        <is>
          <t>Инициатива сотрудника - неудовлетворенность содержанием работы, размытых зон ответственности.</t>
        </is>
      </c>
      <c r="H15" s="212" t="n">
        <v>3</v>
      </c>
    </row>
    <row r="16" ht="43.2" customHeight="1">
      <c r="A16" s="272" t="inlineStr">
        <is>
          <t>Колчев Андрей Евгеньевич</t>
        </is>
      </c>
      <c r="B16" s="272" t="inlineStr">
        <is>
          <t>Производственное подразделение №9</t>
        </is>
      </c>
      <c r="C16" s="272" t="inlineStr">
        <is>
          <t>Мастер участка сборки интерьера</t>
        </is>
      </c>
      <c r="D16" s="272" t="inlineStr">
        <is>
          <t>14.05.2025</t>
        </is>
      </c>
      <c r="E16" s="272" t="inlineStr">
        <is>
          <t>10.03.2026</t>
        </is>
      </c>
      <c r="F16" s="270">
        <f>(E16-D16)/365</f>
        <v/>
      </c>
      <c r="G16" s="273" t="inlineStr">
        <is>
          <t>Перевод в АИ Воронеж, увольнялся по своей инициативе - не устраивает организация работы на производстве</t>
        </is>
      </c>
      <c r="H16" s="213" t="n">
        <v>4</v>
      </c>
    </row>
    <row r="17" ht="28.8" customHeight="1">
      <c r="A17" s="272" t="inlineStr">
        <is>
          <t>Беляев Денис Васильевич</t>
        </is>
      </c>
      <c r="B17" s="272" t="inlineStr">
        <is>
          <t>Обособленное подразделение Машково</t>
        </is>
      </c>
      <c r="C17" s="272" t="inlineStr">
        <is>
          <t>Механик - наладчик</t>
        </is>
      </c>
      <c r="D17" s="272" t="inlineStr">
        <is>
          <t>05.10.2022</t>
        </is>
      </c>
      <c r="E17" s="272" t="inlineStr">
        <is>
          <t>20.03.2026</t>
        </is>
      </c>
      <c r="F17" s="270">
        <f>(E17-D17)/365</f>
        <v/>
      </c>
      <c r="G17" s="273" t="inlineStr">
        <is>
          <t>Инициатива работодателя - "мертвая душа"</t>
        </is>
      </c>
      <c r="H17" s="213" t="n">
        <v>0</v>
      </c>
    </row>
    <row r="18" ht="28.8" customHeight="1">
      <c r="A18" s="272" t="inlineStr">
        <is>
          <t>Марченко Роман Артемович</t>
        </is>
      </c>
      <c r="B18" s="272" t="inlineStr">
        <is>
          <t>Обособленное подразделение Машково</t>
        </is>
      </c>
      <c r="C18" s="272" t="inlineStr">
        <is>
          <t>Инженер по эксплуатации</t>
        </is>
      </c>
      <c r="D18" s="272" t="inlineStr">
        <is>
          <t>03.10.2022</t>
        </is>
      </c>
      <c r="E18" s="272" t="inlineStr">
        <is>
          <t>24.03.2026</t>
        </is>
      </c>
      <c r="F18" s="270">
        <f>(E18-D18)/365</f>
        <v/>
      </c>
      <c r="G18" s="273" t="inlineStr">
        <is>
          <t>Инициатива работодателя - "мертвая душа"</t>
        </is>
      </c>
      <c r="H18" s="213" t="n">
        <v>0</v>
      </c>
    </row>
    <row r="19" ht="28.8" customHeight="1">
      <c r="A19" s="272" t="inlineStr">
        <is>
          <t>Ильичёва Елена Игоревна</t>
        </is>
      </c>
      <c r="B19" s="272" t="inlineStr">
        <is>
          <t>Отдел материально - технического снабжения</t>
        </is>
      </c>
      <c r="C19" s="272" t="inlineStr">
        <is>
          <t>Ведущий специалист</t>
        </is>
      </c>
      <c r="D19" s="272" t="inlineStr">
        <is>
          <t>19.01.2026</t>
        </is>
      </c>
      <c r="E19" s="272" t="inlineStr">
        <is>
          <t>02.02.2026</t>
        </is>
      </c>
      <c r="F19" s="270">
        <f>(E19-D19)/365</f>
        <v/>
      </c>
      <c r="G19" s="273" t="inlineStr">
        <is>
          <t>Инициатива работника - невыстроенные бизнес-процессы</t>
        </is>
      </c>
      <c r="H19" s="212" t="n">
        <v>2</v>
      </c>
    </row>
    <row r="20" ht="28.8" customHeight="1">
      <c r="A20" s="272" t="inlineStr">
        <is>
          <t>Глазов Андрей Николаевич</t>
        </is>
      </c>
      <c r="B20" s="272" t="inlineStr">
        <is>
          <t>Отдел материально - технического снабжения</t>
        </is>
      </c>
      <c r="C20" s="272" t="inlineStr">
        <is>
          <t>Специалист по закупкам</t>
        </is>
      </c>
      <c r="D20" s="272" t="inlineStr">
        <is>
          <t>01.12.2025</t>
        </is>
      </c>
      <c r="E20" s="272" t="inlineStr">
        <is>
          <t>06.03.2026</t>
        </is>
      </c>
      <c r="F20" s="270">
        <f>(E20-D20)/365</f>
        <v/>
      </c>
      <c r="G20" s="273" t="inlineStr">
        <is>
          <t>Техническое увольнение - перевод в группе компаний</t>
        </is>
      </c>
      <c r="H20" s="214" t="n">
        <v>0</v>
      </c>
    </row>
    <row r="21" ht="28.8" customHeight="1">
      <c r="A21" s="272" t="inlineStr">
        <is>
          <t>Грабчук Сергей Николаевич</t>
        </is>
      </c>
      <c r="B21" s="272" t="inlineStr">
        <is>
          <t>Отдел материально - технического снабжения</t>
        </is>
      </c>
      <c r="C21" s="272" t="inlineStr">
        <is>
          <t>Заместитель директора по закупкам</t>
        </is>
      </c>
      <c r="D21" s="272" t="inlineStr">
        <is>
          <t>17.10.2025</t>
        </is>
      </c>
      <c r="E21" s="272" t="inlineStr">
        <is>
          <t>06.03.2026</t>
        </is>
      </c>
      <c r="F21" s="270">
        <f>(E21-D21)/365</f>
        <v/>
      </c>
      <c r="G21" s="273" t="inlineStr">
        <is>
          <t>Техническое увольнение - перевод в группе компаний</t>
        </is>
      </c>
      <c r="H21" s="214" t="n">
        <v>1</v>
      </c>
    </row>
    <row r="22" ht="28.8" customHeight="1">
      <c r="A22" s="272" t="inlineStr">
        <is>
          <t>Руденко Денис Дмитриевич</t>
        </is>
      </c>
      <c r="B22" s="272" t="inlineStr">
        <is>
          <t>Планово-диспетчерский отдел</t>
        </is>
      </c>
      <c r="C22" s="272" t="inlineStr">
        <is>
          <t>Диспетчер</t>
        </is>
      </c>
      <c r="D22" s="272" t="inlineStr">
        <is>
          <t>26.09.2023</t>
        </is>
      </c>
      <c r="E22" s="272" t="inlineStr">
        <is>
          <t>27.02.2026</t>
        </is>
      </c>
      <c r="F22" s="270">
        <f>(E22-D22)/365</f>
        <v/>
      </c>
      <c r="G22" s="274" t="inlineStr">
        <is>
          <t>По обоюдному согласию - не устраивает качество работы, уровень задач</t>
        </is>
      </c>
      <c r="H22" s="213" t="n">
        <v>3</v>
      </c>
    </row>
    <row r="23" ht="115.2" customHeight="1">
      <c r="A23" s="272" t="inlineStr">
        <is>
          <t>Ахметшин Рустэм Габрашитович</t>
        </is>
      </c>
      <c r="B23" s="272" t="inlineStr">
        <is>
          <t>Участок РЭО</t>
        </is>
      </c>
      <c r="C23" s="272" t="inlineStr">
        <is>
          <t>Мастер участка</t>
        </is>
      </c>
      <c r="D23" s="272" t="inlineStr">
        <is>
          <t>26.05.2025</t>
        </is>
      </c>
      <c r="E23" s="272" t="inlineStr">
        <is>
          <t>20.02.2026</t>
        </is>
      </c>
      <c r="F23" s="270">
        <f>(E23-D23)/365</f>
        <v/>
      </c>
      <c r="G23" s="273" t="inlineStr">
        <is>
          <t>Инициатива сотрудника - неудовлетворенность уровнем зп, карьерными возможностями (хотел перевестись на вакантную позицию начальника участка, но руководство пр-ва было против). Нашел новое место на должность зам.начальника цеха с более высокой зп</t>
        </is>
      </c>
      <c r="H23" s="212" t="n">
        <v>4</v>
      </c>
    </row>
    <row r="24" ht="57.6" customHeight="1">
      <c r="A24" s="272" t="inlineStr">
        <is>
          <t>Хабалов Валерий Владимирович</t>
        </is>
      </c>
      <c r="B24" s="272" t="inlineStr">
        <is>
          <t>Мебельный участок</t>
        </is>
      </c>
      <c r="C24" s="272" t="inlineStr">
        <is>
          <t>Сборщик стеклопластиковых изделий 3 разряда</t>
        </is>
      </c>
      <c r="D24" s="272" t="inlineStr">
        <is>
          <t>03.09.2025</t>
        </is>
      </c>
      <c r="E24" s="272" t="inlineStr">
        <is>
          <t>03.03.2026</t>
        </is>
      </c>
      <c r="F24" s="270">
        <f>(E24-D24)/365</f>
        <v/>
      </c>
      <c r="G24" s="273" t="inlineStr">
        <is>
          <t>инициатива сотрудника - уходит на прежнее место работы, на бОльшую з/п (удерживать не стали, ранее аттестацию на повышение разряда не прошел)</t>
        </is>
      </c>
      <c r="H24" s="213" t="n">
        <v>3</v>
      </c>
    </row>
    <row r="25" ht="28.8" customHeight="1">
      <c r="A25" s="272" t="inlineStr">
        <is>
          <t>Липилин Павел Викторович</t>
        </is>
      </c>
      <c r="B25" s="272" t="inlineStr">
        <is>
          <t>Участок декоративной отделки</t>
        </is>
      </c>
      <c r="C25" s="272" t="inlineStr">
        <is>
          <t>Маляр 4 разряда</t>
        </is>
      </c>
      <c r="D25" s="272" t="inlineStr">
        <is>
          <t>24.06.2025</t>
        </is>
      </c>
      <c r="E25" s="272" t="inlineStr">
        <is>
          <t>19.01.2026</t>
        </is>
      </c>
      <c r="F25" s="270">
        <f>(E25-D25)/365</f>
        <v/>
      </c>
      <c r="G25" s="273" t="inlineStr">
        <is>
          <t>Инициатива сотрудника - по состоянию здоровья, нашел работу ближе к дому</t>
        </is>
      </c>
      <c r="H25" s="212" t="n">
        <v>4</v>
      </c>
    </row>
    <row r="26" ht="57.6" customFormat="1" customHeight="1" s="215">
      <c r="A26" s="272" t="inlineStr">
        <is>
          <t>Мосалов Александр Владиславович</t>
        </is>
      </c>
      <c r="B26" s="272" t="inlineStr">
        <is>
          <t>Участок декоративной отделки</t>
        </is>
      </c>
      <c r="C26" s="272" t="inlineStr">
        <is>
          <t>Маляр 3 разряда</t>
        </is>
      </c>
      <c r="D26" s="272" t="inlineStr">
        <is>
          <t>30.01.2026</t>
        </is>
      </c>
      <c r="E26" s="272" t="inlineStr">
        <is>
          <t>04.02.2026</t>
        </is>
      </c>
      <c r="F26" s="270">
        <f>(E26-D26)/365</f>
        <v/>
      </c>
      <c r="G26" s="273" t="inlineStr">
        <is>
          <t>Инициатива работника - не подошла специфика работы, при этом был готов перейти на участок сборки стеклопластиковых изделий</t>
        </is>
      </c>
      <c r="H26" s="212" t="n">
        <v>1</v>
      </c>
    </row>
    <row r="27" ht="28.8" customFormat="1" customHeight="1" s="215">
      <c r="A27" s="272" t="inlineStr">
        <is>
          <t>Царев Дмитрий Сергеевич</t>
        </is>
      </c>
      <c r="B27" s="272" t="inlineStr">
        <is>
          <t>Служба главного инженера</t>
        </is>
      </c>
      <c r="C27" s="272" t="inlineStr">
        <is>
          <t>Специалист</t>
        </is>
      </c>
      <c r="D27" s="272" t="inlineStr">
        <is>
          <t>28.12.2022</t>
        </is>
      </c>
      <c r="E27" s="272" t="inlineStr">
        <is>
          <t>20.03.2026</t>
        </is>
      </c>
      <c r="F27" s="270">
        <f>(E27-D27)/365</f>
        <v/>
      </c>
      <c r="G27" s="273" t="inlineStr">
        <is>
          <t>Инициатива работодателя - "мертвая душа"</t>
        </is>
      </c>
      <c r="H27" s="213" t="n">
        <v>0</v>
      </c>
    </row>
    <row r="28" ht="43.2" customFormat="1" customHeight="1" s="215">
      <c r="A28" s="272" t="inlineStr">
        <is>
          <t>Елагин Андрей Владимирович</t>
        </is>
      </c>
      <c r="B28" s="272" t="inlineStr">
        <is>
          <t>Служба главного инженера</t>
        </is>
      </c>
      <c r="C28" s="272" t="inlineStr">
        <is>
          <t>Рабочий по комплексному обслуживанию и ремонту зданий 3 разряда</t>
        </is>
      </c>
      <c r="D28" s="272" t="inlineStr">
        <is>
          <t>05.02.2026</t>
        </is>
      </c>
      <c r="E28" s="272" t="inlineStr">
        <is>
          <t>24.02.2026</t>
        </is>
      </c>
      <c r="F28" s="270">
        <f>(E28-D28)/365</f>
        <v/>
      </c>
      <c r="G28" s="273" t="inlineStr">
        <is>
          <t>Инициатива сотрудника - нашел работу ближе к дому</t>
        </is>
      </c>
      <c r="H28" s="213" t="n">
        <v>3</v>
      </c>
    </row>
    <row r="29" ht="43.2" customFormat="1" customHeight="1" s="215">
      <c r="A29" s="272" t="inlineStr">
        <is>
          <t>Смирнов Антон Алексеевич</t>
        </is>
      </c>
      <c r="B29" s="272" t="inlineStr">
        <is>
          <t>Служба главного инженера</t>
        </is>
      </c>
      <c r="C29" s="272" t="inlineStr">
        <is>
          <t>Главный механик</t>
        </is>
      </c>
      <c r="D29" s="272" t="inlineStr">
        <is>
          <t>19.12.2025</t>
        </is>
      </c>
      <c r="E29" s="272" t="inlineStr">
        <is>
          <t>10.03.2026</t>
        </is>
      </c>
      <c r="F29" s="270">
        <f>(E29-D29)/365</f>
        <v/>
      </c>
      <c r="G29" s="275" t="inlineStr">
        <is>
          <t>Инициатива рабоодателя - нашли замену (работал на совместительстве в отсутствие гл.механика в штате)</t>
        </is>
      </c>
      <c r="H29" s="213" t="n">
        <v>4</v>
      </c>
    </row>
    <row r="30" ht="43.2" customFormat="1" customHeight="1" s="215">
      <c r="A30" s="272" t="inlineStr">
        <is>
          <t>Осипкина Светлана Анатольевна</t>
        </is>
      </c>
      <c r="B30" s="272" t="inlineStr">
        <is>
          <t>Административно - хозяйственный отдел</t>
        </is>
      </c>
      <c r="C30" s="272" t="inlineStr">
        <is>
          <t>Уборщик производственных и служебных помещений</t>
        </is>
      </c>
      <c r="D30" s="272" t="inlineStr">
        <is>
          <t>26.11.2025</t>
        </is>
      </c>
      <c r="E30" s="272" t="inlineStr">
        <is>
          <t>26.01.2026</t>
        </is>
      </c>
      <c r="F30" s="270">
        <f>(E30-D30)/365</f>
        <v/>
      </c>
      <c r="G30" s="273" t="inlineStr">
        <is>
          <t>Инициатива сотрудника - поняла, что тяжело работать, предложить ничего другого не можем</t>
        </is>
      </c>
      <c r="H30" s="212" t="n">
        <v>1</v>
      </c>
    </row>
    <row r="31" ht="28.8" customFormat="1" customHeight="1" s="215">
      <c r="A31" s="272" t="inlineStr">
        <is>
          <t>Чеблаков Яков Александрович</t>
        </is>
      </c>
      <c r="B31" s="272" t="inlineStr">
        <is>
          <t>Административно - хозяйственный отдел</t>
        </is>
      </c>
      <c r="C31" s="272" t="inlineStr">
        <is>
          <t>Разнорабочий</t>
        </is>
      </c>
      <c r="D31" s="272" t="inlineStr">
        <is>
          <t>18.12.2025</t>
        </is>
      </c>
      <c r="E31" s="272" t="inlineStr">
        <is>
          <t>29.01.2026</t>
        </is>
      </c>
      <c r="F31" s="270">
        <f>(E31-D31)/365</f>
        <v/>
      </c>
      <c r="G31" s="273" t="inlineStr">
        <is>
          <t>Инициатива работодателя - постоянные опоздания, неисполнение задач</t>
        </is>
      </c>
      <c r="H31" s="212" t="n">
        <v>2</v>
      </c>
    </row>
    <row r="32" ht="43.2" customFormat="1" customHeight="1" s="215">
      <c r="A32" s="272" t="inlineStr">
        <is>
          <t>Кравцов Игорь Сергеевич</t>
        </is>
      </c>
      <c r="B32" s="272" t="inlineStr">
        <is>
          <t>Обособленное подразделение Казань</t>
        </is>
      </c>
      <c r="C32" s="272" t="inlineStr">
        <is>
          <t>Слесарь-сборщик</t>
        </is>
      </c>
      <c r="D32" s="272" t="inlineStr">
        <is>
          <t>02.10.2025</t>
        </is>
      </c>
      <c r="E32" s="272" t="inlineStr">
        <is>
          <t>19.03.2026</t>
        </is>
      </c>
      <c r="F32" s="270">
        <f>(E32-D32)/365</f>
        <v/>
      </c>
      <c r="G32" s="275" t="inlineStr">
        <is>
          <t>Инициатива работодателя - прогулы/невыполнение работы, отсутствие допуска к бортам</t>
        </is>
      </c>
      <c r="H32" s="213" t="n">
        <v>0</v>
      </c>
    </row>
    <row r="33" ht="43.2" customFormat="1" customHeight="1" s="215">
      <c r="A33" s="272" t="inlineStr">
        <is>
          <t>Яворский Александр Андреевич</t>
        </is>
      </c>
      <c r="B33" s="272" t="inlineStr">
        <is>
          <t>Обособленное подразделение Казань</t>
        </is>
      </c>
      <c r="C33" s="272" t="inlineStr">
        <is>
          <t>Слесарь-сборщик</t>
        </is>
      </c>
      <c r="D33" s="272" t="inlineStr">
        <is>
          <t>02.10.2025</t>
        </is>
      </c>
      <c r="E33" s="272" t="inlineStr">
        <is>
          <t>13.03.2026</t>
        </is>
      </c>
      <c r="F33" s="270">
        <f>(E33-D33)/365</f>
        <v/>
      </c>
      <c r="G33" s="275" t="inlineStr">
        <is>
          <t>Инициатива работодателя - прогулы/невыполнение работы, отсутствие допуска к бортам</t>
        </is>
      </c>
      <c r="H33" s="213" t="n">
        <v>0</v>
      </c>
    </row>
    <row r="34" ht="28.8" customFormat="1" customHeight="1" s="215">
      <c r="A34" s="277" t="inlineStr">
        <is>
          <t>Лигай Андрей Дмитриевич</t>
        </is>
      </c>
      <c r="B34" s="277" t="inlineStr">
        <is>
          <t>Обособленное подразделение Казань</t>
        </is>
      </c>
      <c r="C34" s="277" t="inlineStr">
        <is>
          <t>Электромонтажник</t>
        </is>
      </c>
      <c r="D34" s="277" t="inlineStr">
        <is>
          <t>27.10.2025</t>
        </is>
      </c>
      <c r="E34" s="277" t="inlineStr">
        <is>
          <t>22.01.2026</t>
        </is>
      </c>
      <c r="F34" s="278">
        <f>(E34-D34)/365</f>
        <v/>
      </c>
      <c r="G34" s="276" t="inlineStr">
        <is>
          <t>Инициатива работодателя - по состоянию здоровья</t>
        </is>
      </c>
      <c r="H34" s="279" t="n">
        <v>2</v>
      </c>
    </row>
    <row r="35" ht="28.8" customFormat="1" customHeight="1" s="215">
      <c r="A35" s="280" t="inlineStr">
        <is>
          <t>Торопов Роман Валерьевич</t>
        </is>
      </c>
      <c r="B35" s="280" t="inlineStr">
        <is>
          <t>Обособленное подразделение Жуковский</t>
        </is>
      </c>
      <c r="C35" s="280" t="inlineStr">
        <is>
          <t>Руководитель обособленного подразделения Жуковский</t>
        </is>
      </c>
      <c r="D35" s="280" t="inlineStr">
        <is>
          <t>01.08.2025</t>
        </is>
      </c>
      <c r="E35" s="280" t="inlineStr">
        <is>
          <t>05.02.2026</t>
        </is>
      </c>
      <c r="F35" s="281">
        <f>(E35-D35)/365</f>
        <v/>
      </c>
      <c r="G35" s="280" t="inlineStr">
        <is>
          <t>Техническое увольнение - перевод в группе компаний</t>
        </is>
      </c>
      <c r="H35" s="282" t="n">
        <v>1</v>
      </c>
    </row>
    <row r="36" ht="57.6" customFormat="1" customHeight="1" s="215">
      <c r="A36" s="280" t="inlineStr">
        <is>
          <t>Пимкин Андрей Владиславович</t>
        </is>
      </c>
      <c r="B36" s="280" t="inlineStr">
        <is>
          <t>Отдел интерьера</t>
        </is>
      </c>
      <c r="C36" s="280" t="inlineStr">
        <is>
          <t>Ведущий инженер - конструктор</t>
        </is>
      </c>
      <c r="D36" s="280" t="inlineStr">
        <is>
          <t>17.12.2025</t>
        </is>
      </c>
      <c r="E36" s="280" t="inlineStr">
        <is>
          <t>27.02.2026</t>
        </is>
      </c>
      <c r="F36" s="281">
        <f>(E36-D36)/365</f>
        <v/>
      </c>
      <c r="G36" s="280" t="inlineStr">
        <is>
          <t>Инициатива сотрудника - нашел другую работу в районе Сокола, с зп 230 тысяч на руки фикс  + премии (пытались удержать, но не удалось)</t>
        </is>
      </c>
      <c r="H36" s="283" t="n">
        <v>4</v>
      </c>
    </row>
    <row r="37" ht="28.8" customFormat="1" customHeight="1" s="215">
      <c r="A37" s="284" t="inlineStr">
        <is>
          <t>Давыдов Владимир Михайлович</t>
        </is>
      </c>
      <c r="B37" s="284" t="inlineStr">
        <is>
          <t>Управление</t>
        </is>
      </c>
      <c r="C37" s="284" t="inlineStr">
        <is>
          <t>Директор по безопасности</t>
        </is>
      </c>
      <c r="D37" s="285" t="n">
        <v>45587</v>
      </c>
      <c r="E37" s="285" t="n">
        <v>46115</v>
      </c>
      <c r="F37" s="286" t="n">
        <v>1.4</v>
      </c>
      <c r="G37" s="284" t="inlineStr">
        <is>
          <t>Техническое увольнение - перевод на ГД по ЗГТ</t>
        </is>
      </c>
      <c r="H37" s="283" t="n">
        <v>0</v>
      </c>
    </row>
    <row r="38" customFormat="1" s="215">
      <c r="A38" s="284" t="inlineStr">
        <is>
          <t>Жихарев Павел Александрович</t>
        </is>
      </c>
      <c r="B38" s="284" t="inlineStr">
        <is>
          <t>Руководство</t>
        </is>
      </c>
      <c r="C38" s="284" t="inlineStr">
        <is>
          <t>Генеральный директор</t>
        </is>
      </c>
      <c r="D38" s="285" t="n">
        <v>45589</v>
      </c>
      <c r="E38" s="285" t="n">
        <v>46119</v>
      </c>
      <c r="F38" s="286" t="n">
        <v>1.5</v>
      </c>
      <c r="G38" s="284" t="inlineStr">
        <is>
          <t>Инициатива работодателя</t>
        </is>
      </c>
      <c r="H38" s="283" t="n">
        <v>5</v>
      </c>
    </row>
    <row r="39" ht="43.2" customFormat="1" customHeight="1" s="215">
      <c r="A39" s="284" t="inlineStr">
        <is>
          <t>Полозов Георгий Борисович</t>
        </is>
      </c>
      <c r="B39" s="284" t="inlineStr">
        <is>
          <t>Мебельный участок</t>
        </is>
      </c>
      <c r="C39" s="284" t="inlineStr">
        <is>
          <t>Мастер участка</t>
        </is>
      </c>
      <c r="D39" s="285" t="n">
        <v>42303</v>
      </c>
      <c r="E39" s="285" t="n">
        <v>46122</v>
      </c>
      <c r="F39" s="286" t="n">
        <v>10.5</v>
      </c>
      <c r="G39" s="284" t="inlineStr">
        <is>
          <t>Инициатива работодателя - низкое качество работы, нелояльное отношение к работе</t>
        </is>
      </c>
      <c r="H39" s="283" t="n">
        <v>3</v>
      </c>
    </row>
    <row r="40" ht="28.8" customFormat="1" customHeight="1" s="215">
      <c r="A40" s="284" t="inlineStr">
        <is>
          <t>Жихарева Любовь Игоревна</t>
        </is>
      </c>
      <c r="B40" s="284" t="inlineStr">
        <is>
          <t>Отдел по оптимизации производственных процессов</t>
        </is>
      </c>
      <c r="C40" s="284" t="inlineStr">
        <is>
          <t>Начальник отдела</t>
        </is>
      </c>
      <c r="D40" s="285" t="n">
        <v>45796</v>
      </c>
      <c r="E40" s="285" t="n">
        <v>46125</v>
      </c>
      <c r="F40" s="286" t="n">
        <v>0.9</v>
      </c>
      <c r="G40" s="284" t="inlineStr">
        <is>
          <t>Инициатива работодателя</t>
        </is>
      </c>
      <c r="H40" s="283" t="n">
        <v>3</v>
      </c>
    </row>
    <row r="41" ht="28.8" customFormat="1" customHeight="1" s="215">
      <c r="A41" s="284" t="inlineStr">
        <is>
          <t>Мирошкин Александр Сергеевич</t>
        </is>
      </c>
      <c r="B41" s="284" t="inlineStr">
        <is>
          <t>Обособленное подразделение Машково</t>
        </is>
      </c>
      <c r="C41" s="284" t="inlineStr">
        <is>
          <t>Заместитель начальника производства</t>
        </is>
      </c>
      <c r="D41" s="285" t="n">
        <v>45558</v>
      </c>
      <c r="E41" s="285" t="n">
        <v>46126</v>
      </c>
      <c r="F41" s="286" t="n">
        <v>1.6</v>
      </c>
      <c r="G41" s="284" t="inlineStr">
        <is>
          <t>Инициатива работодателя</t>
        </is>
      </c>
      <c r="H41" s="283" t="n">
        <v>4</v>
      </c>
    </row>
    <row r="42" ht="28.8" customFormat="1" customHeight="1" s="215">
      <c r="A42" s="284" t="inlineStr">
        <is>
          <t>Метелкин Дмитрий Геннадиевич</t>
        </is>
      </c>
      <c r="B42" s="284" t="inlineStr">
        <is>
          <t>Участок декоративной отделки</t>
        </is>
      </c>
      <c r="C42" s="284" t="inlineStr">
        <is>
          <t>Мастер участка</t>
        </is>
      </c>
      <c r="D42" s="285" t="n">
        <v>45608</v>
      </c>
      <c r="E42" s="285" t="n">
        <v>46135</v>
      </c>
      <c r="F42" s="286" t="n">
        <v>1.4</v>
      </c>
      <c r="G42" s="284" t="inlineStr">
        <is>
          <t>Инициатива работодателя - низкое качество работы</t>
        </is>
      </c>
      <c r="H42" s="283" t="n">
        <v>3</v>
      </c>
    </row>
    <row r="43" ht="57.6" customFormat="1" customHeight="1" s="215">
      <c r="A43" s="284" t="inlineStr">
        <is>
          <t>Балюк Владислав Владимирович</t>
        </is>
      </c>
      <c r="B43" s="284" t="inlineStr">
        <is>
          <t>Отдел АСУП</t>
        </is>
      </c>
      <c r="C43" s="284" t="inlineStr">
        <is>
          <t>Ведущий специалист по сопровождению информационных систем жизненного цикла изделия</t>
        </is>
      </c>
      <c r="D43" s="285" t="n">
        <v>46140</v>
      </c>
      <c r="E43" s="285" t="n">
        <v>46142</v>
      </c>
      <c r="F43" s="286" t="n">
        <v>0</v>
      </c>
      <c r="G43" s="284" t="inlineStr">
        <is>
          <t xml:space="preserve">Инициатива работодателя - по причине проблем с СБ </t>
        </is>
      </c>
      <c r="H43" s="283" t="n">
        <v>3</v>
      </c>
    </row>
    <row r="44" ht="43.2" customFormat="1" customHeight="1" s="215">
      <c r="A44" s="284" t="inlineStr">
        <is>
          <t>Жданова Юлия Николаевна</t>
        </is>
      </c>
      <c r="B44" s="284" t="inlineStr">
        <is>
          <t>Отдел технического контроля</t>
        </is>
      </c>
      <c r="C44" s="284" t="inlineStr">
        <is>
          <t>Инженер 3 категории</t>
        </is>
      </c>
      <c r="D44" s="285" t="n">
        <v>45873</v>
      </c>
      <c r="E44" s="285" t="n">
        <v>46142</v>
      </c>
      <c r="F44" s="286" t="n">
        <v>0.7</v>
      </c>
      <c r="G44" s="284" t="inlineStr">
        <is>
          <t>Инициатива сотрудника - трудно добираться до работы, проблемы в коммуникациях в коллективе</t>
        </is>
      </c>
      <c r="H44" s="283" t="n">
        <v>2</v>
      </c>
    </row>
    <row r="45" customFormat="1" s="215">
      <c r="A45" s="284" t="inlineStr">
        <is>
          <t>Шатрова Виктория Игоревна</t>
        </is>
      </c>
      <c r="B45" s="284" t="inlineStr">
        <is>
          <t>Швейный участок</t>
        </is>
      </c>
      <c r="C45" s="284" t="inlineStr">
        <is>
          <t>Мастер участка</t>
        </is>
      </c>
      <c r="D45" s="285" t="n">
        <v>46051</v>
      </c>
      <c r="E45" s="285" t="n">
        <v>46142</v>
      </c>
      <c r="F45" s="286" t="n">
        <v>0.2</v>
      </c>
      <c r="G45" s="284" t="inlineStr">
        <is>
          <t>Инициатива работодателя - не прошла ИС</t>
        </is>
      </c>
      <c r="H45" s="283" t="n">
        <v>3</v>
      </c>
    </row>
    <row r="46" ht="57.6" customFormat="1" customHeight="1" s="215">
      <c r="A46" s="284" t="inlineStr">
        <is>
          <t>Пугаченко Евгений Александрович</t>
        </is>
      </c>
      <c r="B46" s="284" t="inlineStr">
        <is>
          <t>Группа инженеров-технологов</t>
        </is>
      </c>
      <c r="C46" s="284" t="inlineStr">
        <is>
          <t>Ведущий инженер-технолог</t>
        </is>
      </c>
      <c r="D46" s="285" t="n">
        <v>46034</v>
      </c>
      <c r="E46" s="285" t="n">
        <v>46146</v>
      </c>
      <c r="F46" s="286" t="n">
        <v>0.3</v>
      </c>
      <c r="G46" s="284" t="inlineStr">
        <is>
          <t>Инициатива работодателя - низкое качество работы, не соответствует заявленной квалификации, не выдерживает сроки задач</t>
        </is>
      </c>
      <c r="H46" s="283" t="n">
        <v>2</v>
      </c>
    </row>
    <row r="47" ht="28.8" customFormat="1" customHeight="1" s="215">
      <c r="A47" s="284" t="inlineStr">
        <is>
          <t>Мукин Кирилл Александрович</t>
        </is>
      </c>
      <c r="B47" s="284" t="inlineStr">
        <is>
          <t>Департамент управления производством</t>
        </is>
      </c>
      <c r="C47" s="284" t="inlineStr">
        <is>
          <t>Директор по производству</t>
        </is>
      </c>
      <c r="D47" s="285" t="n">
        <v>46100</v>
      </c>
      <c r="E47" s="285" t="n">
        <v>46154</v>
      </c>
      <c r="F47" s="286" t="n">
        <v>0.1</v>
      </c>
      <c r="G47" s="284" t="inlineStr">
        <is>
          <t>Техническое увольнение - перевод на основное на ЗГД по производству</t>
        </is>
      </c>
      <c r="H47" s="283" t="n">
        <v>0</v>
      </c>
    </row>
    <row r="48" ht="57.6" customFormat="1" customHeight="1" s="215">
      <c r="A48" s="284" t="inlineStr">
        <is>
          <t>Силантьева Вероника Васильевна</t>
        </is>
      </c>
      <c r="B48" s="284" t="inlineStr">
        <is>
          <t>Обособленное подразделение Казань</t>
        </is>
      </c>
      <c r="C48" s="284" t="inlineStr">
        <is>
          <t>Инженер - технолог 2 категории</t>
        </is>
      </c>
      <c r="D48" s="285" t="n">
        <v>45856</v>
      </c>
      <c r="E48" s="285" t="n">
        <v>46154</v>
      </c>
      <c r="F48" s="286" t="n">
        <v>0.8</v>
      </c>
      <c r="G48" s="284" t="inlineStr">
        <is>
          <t>Инициатива сотрудника - не устраивает содержание работы + семейные обстоятельства. В дальнейшем возможно рассмотрит вариант перехода в АИ Казань</t>
        </is>
      </c>
      <c r="H48" s="283" t="n">
        <v>3</v>
      </c>
    </row>
    <row r="49" ht="28.8" customFormat="1" customHeight="1" s="215">
      <c r="A49" s="284" t="inlineStr">
        <is>
          <t>Климов Олег Петрович</t>
        </is>
      </c>
      <c r="B49" s="284" t="inlineStr">
        <is>
          <t>Конструкторский отдел</t>
        </is>
      </c>
      <c r="C49" s="284" t="inlineStr">
        <is>
          <t>Инженер - конструктор 2 категории</t>
        </is>
      </c>
      <c r="D49" s="285" t="n">
        <v>45215</v>
      </c>
      <c r="E49" s="285" t="n">
        <v>46157</v>
      </c>
      <c r="F49" s="286" t="n">
        <v>2.6</v>
      </c>
      <c r="G49" s="284" t="inlineStr">
        <is>
          <t>Инициатива сотрудника - не устраивает должность, содержание задач</t>
        </is>
      </c>
      <c r="H49" s="283" t="n">
        <v>1</v>
      </c>
    </row>
    <row r="50" ht="28.8" customFormat="1" customHeight="1" s="215">
      <c r="A50" s="284" t="inlineStr">
        <is>
          <t>Бушуев Данила Андреевич</t>
        </is>
      </c>
      <c r="B50" s="284" t="inlineStr">
        <is>
          <t>Отдел подбора и развития персонала</t>
        </is>
      </c>
      <c r="C50" s="284" t="inlineStr">
        <is>
          <t>Менеджер по развитию корпоративной культуры</t>
        </is>
      </c>
      <c r="D50" s="285" t="n">
        <v>46078</v>
      </c>
      <c r="E50" s="285" t="n">
        <v>46163</v>
      </c>
      <c r="F50" s="286" t="n">
        <v>0.2</v>
      </c>
      <c r="G50" s="284" t="inlineStr">
        <is>
          <t>Инициатива работодателя - не прошел ИС</t>
        </is>
      </c>
      <c r="H50" s="283" t="n">
        <v>2</v>
      </c>
    </row>
    <row r="51" ht="28.8" customFormat="1" customHeight="1" s="215">
      <c r="A51" s="284" t="inlineStr">
        <is>
          <t>Юдина Анастасия Геннадьевна</t>
        </is>
      </c>
      <c r="B51" s="284" t="inlineStr">
        <is>
          <t>Отдел делопроизводства</t>
        </is>
      </c>
      <c r="C51" s="284" t="inlineStr">
        <is>
          <t>Начальник отдела</t>
        </is>
      </c>
      <c r="D51" s="285" t="n">
        <v>46160</v>
      </c>
      <c r="E51" s="285" t="n">
        <v>46164</v>
      </c>
      <c r="F51" s="286" t="n">
        <v>0</v>
      </c>
      <c r="G51" s="284" t="inlineStr">
        <is>
          <t>Инициатива сотрудника - не устроили бытовые условия</t>
        </is>
      </c>
      <c r="H51" s="283" t="n">
        <v>3</v>
      </c>
    </row>
    <row r="52" ht="43.2" customFormat="1" customHeight="1" s="215">
      <c r="A52" s="284" t="inlineStr">
        <is>
          <t>Белов Дмитрий Викторович</t>
        </is>
      </c>
      <c r="B52" s="284" t="inlineStr">
        <is>
          <t>Сборочный участок</t>
        </is>
      </c>
      <c r="C52" s="284" t="inlineStr">
        <is>
          <t>Слесарь-сборщик 3 разряда</t>
        </is>
      </c>
      <c r="D52" s="285" t="n">
        <v>45902</v>
      </c>
      <c r="E52" s="285" t="n">
        <v>46168</v>
      </c>
      <c r="F52" s="286" t="n">
        <v>0.7</v>
      </c>
      <c r="G52" s="284" t="inlineStr">
        <is>
          <t>Инициатива сотрудника - не удовлетворен уровнем зп, постоянными командировками</t>
        </is>
      </c>
      <c r="H52" s="283" t="n">
        <v>2</v>
      </c>
    </row>
    <row r="53" ht="28.8" customFormat="1" customHeight="1" s="215">
      <c r="A53" s="284" t="inlineStr">
        <is>
          <t>Матыцин Алексей Викторович</t>
        </is>
      </c>
      <c r="B53" s="284" t="inlineStr">
        <is>
          <t>Производственное подразделение №6</t>
        </is>
      </c>
      <c r="C53" s="284" t="inlineStr">
        <is>
          <t>Электромонтажник 4 разряда</t>
        </is>
      </c>
      <c r="D53" s="285" t="n">
        <v>45874</v>
      </c>
      <c r="E53" s="285" t="n">
        <v>46168</v>
      </c>
      <c r="F53" s="286" t="n">
        <v>0.8</v>
      </c>
      <c r="G53" s="284" t="inlineStr">
        <is>
          <t>Инициатива сотрудника - изменение графика с 2/2 на 5/2</t>
        </is>
      </c>
      <c r="H53" s="283" t="n">
        <v>3</v>
      </c>
    </row>
    <row r="54" ht="43.2" customHeight="1">
      <c r="A54" s="284" t="inlineStr">
        <is>
          <t>Балашова Ольга Михайловна</t>
        </is>
      </c>
      <c r="B54" s="284" t="inlineStr">
        <is>
          <t>Отдел охраны труда и промышленной безопасности</t>
        </is>
      </c>
      <c r="C54" s="284" t="inlineStr">
        <is>
          <t>Начальник отдела</t>
        </is>
      </c>
      <c r="D54" s="285" t="n">
        <v>46050</v>
      </c>
      <c r="E54" s="285" t="n">
        <v>46170</v>
      </c>
      <c r="F54" s="286" t="n">
        <v>0.3</v>
      </c>
      <c r="G54" s="284" t="inlineStr">
        <is>
          <t>Инициатива сотрудника - ушла на другое место с бОльшей зп (на 50% больше текущей)</t>
        </is>
      </c>
      <c r="H54" s="283" t="n">
        <v>4</v>
      </c>
    </row>
    <row r="55" ht="28.8" customHeight="1">
      <c r="A55" s="284" t="inlineStr">
        <is>
          <t>Захаров Алексей Валентинович</t>
        </is>
      </c>
      <c r="B55" s="284" t="inlineStr">
        <is>
          <t>Производственное подразделение №6</t>
        </is>
      </c>
      <c r="C55" s="284" t="inlineStr">
        <is>
          <t>Мастер участка электромонтажных работ</t>
        </is>
      </c>
      <c r="D55" s="285" t="n">
        <v>45826</v>
      </c>
      <c r="E55" s="285" t="n">
        <v>46174</v>
      </c>
      <c r="F55" s="286" t="n">
        <v>1</v>
      </c>
      <c r="G55" s="284" t="inlineStr">
        <is>
          <t>Инициатива сотрудника - изменение графика с 2/2 на 5/2</t>
        </is>
      </c>
      <c r="H55" s="283" t="n">
        <v>3</v>
      </c>
    </row>
    <row r="56" ht="72" customHeight="1">
      <c r="A56" s="284" t="inlineStr">
        <is>
          <t>Барабанщиков Олег Леонидович</t>
        </is>
      </c>
      <c r="B56" s="284" t="inlineStr">
        <is>
          <t>Склад</t>
        </is>
      </c>
      <c r="C56" s="284" t="inlineStr">
        <is>
          <t>Кладовщик-комплектовщик</t>
        </is>
      </c>
      <c r="D56" s="285" t="n">
        <v>46175</v>
      </c>
      <c r="E56" s="285" t="n">
        <v>46177</v>
      </c>
      <c r="F56" s="286" t="n">
        <v>0</v>
      </c>
      <c r="G56" s="284" t="inlineStr">
        <is>
          <t>Инициатива сотрудника - не устроили процессы (склад металл находится в открытом доступе на площадке Руднево, происходит не учтенное расходование материала рабочими)</t>
        </is>
      </c>
      <c r="H56" s="283" t="n">
        <v>1</v>
      </c>
    </row>
    <row r="57" ht="28.8" customHeight="1">
      <c r="A57" s="284" t="inlineStr">
        <is>
          <t>Литвинов Евгений Николаевич</t>
        </is>
      </c>
      <c r="B57" s="284" t="inlineStr">
        <is>
          <t>Производственное подразделение №6</t>
        </is>
      </c>
      <c r="C57" s="284" t="inlineStr">
        <is>
          <t>Электромонтажник 5 разряда</t>
        </is>
      </c>
      <c r="D57" s="285" t="n">
        <v>45784</v>
      </c>
      <c r="E57" s="285" t="n">
        <v>46184</v>
      </c>
      <c r="F57" s="286" t="n">
        <v>1.1</v>
      </c>
      <c r="G57" s="284" t="inlineStr">
        <is>
          <t>Инициатива сотрудника - изменение графика с 2/2 на 5/2</t>
        </is>
      </c>
      <c r="H57" s="283" t="n">
        <v>3</v>
      </c>
    </row>
    <row r="58" ht="28.8" customHeight="1">
      <c r="A58" s="284" t="inlineStr">
        <is>
          <t>Баскаков Дмитрий Александрович</t>
        </is>
      </c>
      <c r="B58" s="284" t="inlineStr">
        <is>
          <t>Конструкторский отдел</t>
        </is>
      </c>
      <c r="C58" s="284" t="inlineStr">
        <is>
          <t>Инженер - конструктор 2 категории</t>
        </is>
      </c>
      <c r="D58" s="285" t="n">
        <v>45369</v>
      </c>
      <c r="E58" s="285" t="n">
        <v>46189</v>
      </c>
      <c r="F58" s="286" t="n">
        <v>2.2</v>
      </c>
      <c r="G58" s="284" t="inlineStr">
        <is>
          <t>Инициатива работодателя - низкое качество работы</t>
        </is>
      </c>
      <c r="H58" s="283" t="n">
        <v>1</v>
      </c>
    </row>
    <row r="59" ht="28.8" customHeight="1">
      <c r="A59" s="284" t="inlineStr">
        <is>
          <t>Житников Александр Олегович</t>
        </is>
      </c>
      <c r="B59" s="284" t="inlineStr">
        <is>
          <t>Производственное подразделение №6</t>
        </is>
      </c>
      <c r="C59" s="284" t="inlineStr">
        <is>
          <t>Слесарь - сборщик 4 разряда</t>
        </is>
      </c>
      <c r="D59" s="285" t="n">
        <v>45987</v>
      </c>
      <c r="E59" s="285" t="n">
        <v>46189</v>
      </c>
      <c r="F59" s="286" t="n">
        <v>0.6</v>
      </c>
      <c r="G59" s="284" t="inlineStr">
        <is>
          <t>Инициатива работодателя - низкое качество работы</t>
        </is>
      </c>
      <c r="H59" s="282" t="n">
        <v>1</v>
      </c>
    </row>
    <row r="60" ht="28.8" customHeight="1">
      <c r="A60" s="284" t="inlineStr">
        <is>
          <t>Пищев Максим Валерьевич</t>
        </is>
      </c>
      <c r="B60" s="284" t="inlineStr">
        <is>
          <t>Производственное подразделение №6</t>
        </is>
      </c>
      <c r="C60" s="284" t="inlineStr">
        <is>
          <t>Слесарь - сборщик 4 разряда</t>
        </is>
      </c>
      <c r="D60" s="285" t="n">
        <v>45782</v>
      </c>
      <c r="E60" s="285" t="n">
        <v>46189</v>
      </c>
      <c r="F60" s="286" t="n">
        <v>1.1</v>
      </c>
      <c r="G60" s="284" t="inlineStr">
        <is>
          <t>Инициатива работодателя - низкое качество работы</t>
        </is>
      </c>
      <c r="H60" s="282" t="n">
        <v>1</v>
      </c>
    </row>
    <row r="61" ht="28.8" customHeight="1">
      <c r="A61" s="284" t="inlineStr">
        <is>
          <t>Кондаков Виталий Михайлович</t>
        </is>
      </c>
      <c r="B61" s="284" t="inlineStr">
        <is>
          <t>Производственное подразделение №6</t>
        </is>
      </c>
      <c r="C61" s="284" t="inlineStr">
        <is>
          <t>Слесарь - сборщик 4 разряда</t>
        </is>
      </c>
      <c r="D61" s="285" t="n">
        <v>46035</v>
      </c>
      <c r="E61" s="285" t="n">
        <v>46190</v>
      </c>
      <c r="F61" s="286" t="n">
        <v>0.4</v>
      </c>
      <c r="G61" s="284" t="inlineStr">
        <is>
          <t>Инициатива работодателя - низкое качество работы</t>
        </is>
      </c>
      <c r="H61" s="282" t="n">
        <v>1</v>
      </c>
    </row>
    <row r="62" ht="28.8" customHeight="1">
      <c r="A62" s="284" t="inlineStr">
        <is>
          <t>Мещеряков Вадим Алексеевич</t>
        </is>
      </c>
      <c r="B62" s="284" t="inlineStr">
        <is>
          <t>Производственное подразделение №6</t>
        </is>
      </c>
      <c r="C62" s="284" t="inlineStr">
        <is>
          <t>Слесарь - сборщик 4 разряда</t>
        </is>
      </c>
      <c r="D62" s="285" t="n">
        <v>45951</v>
      </c>
      <c r="E62" s="285" t="n">
        <v>46190</v>
      </c>
      <c r="F62" s="286" t="n">
        <v>0.7</v>
      </c>
      <c r="G62" s="284" t="inlineStr">
        <is>
          <t>Инициатива работодателя - низкое качество работы</t>
        </is>
      </c>
      <c r="H62" s="282" t="n">
        <v>1</v>
      </c>
    </row>
    <row r="63" ht="21.75" customHeight="1">
      <c r="A63" s="284" t="inlineStr">
        <is>
          <t>Петрушин Артем Алексеевич</t>
        </is>
      </c>
      <c r="B63" s="284" t="inlineStr">
        <is>
          <t>Производственное подразделение №6</t>
        </is>
      </c>
      <c r="C63" s="284" t="inlineStr">
        <is>
          <t>Слесарь - сборщик 4 разряда</t>
        </is>
      </c>
      <c r="D63" s="285" t="n">
        <v>46036</v>
      </c>
      <c r="E63" s="285" t="n">
        <v>46190</v>
      </c>
      <c r="F63" s="286" t="n">
        <v>0.4</v>
      </c>
      <c r="G63" s="284" t="inlineStr">
        <is>
          <t>Инициатива работодателя - низкое качество работы</t>
        </is>
      </c>
      <c r="H63" s="282" t="n">
        <v>1</v>
      </c>
    </row>
    <row r="64" ht="19.5" customHeight="1">
      <c r="A64" s="284" t="inlineStr">
        <is>
          <t>Берестнев Евгений Анатольевич</t>
        </is>
      </c>
      <c r="B64" s="284" t="inlineStr">
        <is>
          <t>Производственное подразделение №6</t>
        </is>
      </c>
      <c r="C64" s="284" t="inlineStr">
        <is>
          <t>Слесарь-сборщик 3 разряда</t>
        </is>
      </c>
      <c r="D64" s="285" t="n">
        <v>45933</v>
      </c>
      <c r="E64" s="285" t="n">
        <v>46190</v>
      </c>
      <c r="F64" s="286" t="n">
        <v>0.7</v>
      </c>
      <c r="G64" s="284" t="inlineStr">
        <is>
          <t>Инициатива работодателя - низкое качество работы</t>
        </is>
      </c>
      <c r="H64" s="282" t="n">
        <v>1</v>
      </c>
    </row>
    <row r="65" ht="28.8" customHeight="1">
      <c r="A65" s="284" t="inlineStr">
        <is>
          <t>Шишлов Евгений Геннадьевич</t>
        </is>
      </c>
      <c r="B65" s="284" t="inlineStr">
        <is>
          <t>Производственное подразделение №6</t>
        </is>
      </c>
      <c r="C65" s="284" t="inlineStr">
        <is>
          <t>Слесарь - сборщик 4 разряда</t>
        </is>
      </c>
      <c r="D65" s="285" t="n">
        <v>44411</v>
      </c>
      <c r="E65" s="285" t="n">
        <v>46190</v>
      </c>
      <c r="F65" s="286" t="n">
        <v>4.9</v>
      </c>
      <c r="G65" s="284" t="inlineStr">
        <is>
          <t>Инициатива работодателя - низкое качество работы</t>
        </is>
      </c>
      <c r="H65" s="282" t="n">
        <v>1</v>
      </c>
    </row>
    <row r="66" ht="28.8" customHeight="1">
      <c r="A66" s="284" t="inlineStr">
        <is>
          <t>Князев Дмитрий Александрович</t>
        </is>
      </c>
      <c r="B66" s="284" t="inlineStr">
        <is>
          <t>Производственное подразделение №6</t>
        </is>
      </c>
      <c r="C66" s="284" t="inlineStr">
        <is>
          <t>Электромонтажник 4 разряда</t>
        </is>
      </c>
      <c r="D66" s="285" t="n">
        <v>45789</v>
      </c>
      <c r="E66" s="285" t="n">
        <v>46190</v>
      </c>
      <c r="F66" s="286" t="n">
        <v>1.1</v>
      </c>
      <c r="G66" s="284" t="inlineStr">
        <is>
          <t>Инициатива работодателя - низкое качество работы</t>
        </is>
      </c>
      <c r="H66" s="282" t="n">
        <v>1</v>
      </c>
    </row>
    <row r="67">
      <c r="A67" s="284" t="inlineStr">
        <is>
          <t>Синева Дарья Сергеевна</t>
        </is>
      </c>
      <c r="B67" s="284" t="inlineStr">
        <is>
          <t>Отдел главного технолога</t>
        </is>
      </c>
      <c r="C67" s="284" t="inlineStr">
        <is>
          <t>Инженер - технолог 3 категории</t>
        </is>
      </c>
      <c r="D67" s="285" t="n">
        <v>45952</v>
      </c>
      <c r="E67" s="285" t="n">
        <v>46190</v>
      </c>
      <c r="F67" s="286" t="n">
        <v>0.7</v>
      </c>
      <c r="G67" s="284" t="inlineStr">
        <is>
          <t>Инициатива сотрудника - функционал, зп</t>
        </is>
      </c>
      <c r="H67" s="282" t="n">
        <v>3</v>
      </c>
    </row>
    <row r="68" ht="28.8" customHeight="1">
      <c r="A68" s="284" t="inlineStr">
        <is>
          <t>Алешина Елена Николаевна</t>
        </is>
      </c>
      <c r="B68" s="284" t="inlineStr">
        <is>
          <t>Отдел управления персоналом</t>
        </is>
      </c>
      <c r="C68" s="284" t="inlineStr">
        <is>
          <t>Ведущий менеджер по персоналу</t>
        </is>
      </c>
      <c r="D68" s="285" t="n">
        <v>46154</v>
      </c>
      <c r="E68" s="285" t="n">
        <v>46192</v>
      </c>
      <c r="F68" s="286" t="n">
        <v>0.1</v>
      </c>
      <c r="G68" s="284" t="inlineStr">
        <is>
          <t>Инициатива сотрудника - по состоянию здоровья, переезд в другую страну</t>
        </is>
      </c>
      <c r="H68" s="282" t="n">
        <v>3</v>
      </c>
    </row>
    <row r="69" ht="28.8" customHeight="1">
      <c r="A69" s="284" t="inlineStr">
        <is>
          <t>Зайцев Владимир Анатольевич</t>
        </is>
      </c>
      <c r="B69" s="284" t="inlineStr">
        <is>
          <t>Отдел информационных технологий</t>
        </is>
      </c>
      <c r="C69" s="284" t="inlineStr">
        <is>
          <t>Младший системный администратор</t>
        </is>
      </c>
      <c r="D69" s="285" t="n">
        <v>46139</v>
      </c>
      <c r="E69" s="285" t="n">
        <v>46196</v>
      </c>
      <c r="F69" s="286" t="n">
        <v>0.2</v>
      </c>
      <c r="G69" s="284" t="inlineStr">
        <is>
          <t>Инициатива сотрудника - не устраивает уровень задч, переезд в другую страну</t>
        </is>
      </c>
      <c r="H69" s="282" t="n">
        <v>2</v>
      </c>
    </row>
    <row r="70" ht="28.8" customHeight="1">
      <c r="A70" s="284" t="inlineStr">
        <is>
          <t>Юртаев Павел Анатольевич</t>
        </is>
      </c>
      <c r="B70" s="284" t="inlineStr">
        <is>
          <t>Планово-диспетческая группа</t>
        </is>
      </c>
      <c r="C70" s="284" t="inlineStr">
        <is>
          <t>Диспетчер</t>
        </is>
      </c>
      <c r="D70" s="285" t="n">
        <v>46114</v>
      </c>
      <c r="E70" s="285" t="n">
        <v>46199</v>
      </c>
      <c r="F70" s="286" t="n">
        <v>0.2</v>
      </c>
      <c r="G70" s="284" t="inlineStr">
        <is>
          <t>Инициатива сотрудника - уровень зп, конфликты с руководством</t>
        </is>
      </c>
      <c r="H70" s="282" t="n">
        <v>3</v>
      </c>
    </row>
    <row r="71" ht="43.2" customHeight="1">
      <c r="A71" s="284" t="inlineStr">
        <is>
          <t>Петрунин Алексей Викторович</t>
        </is>
      </c>
      <c r="B71" s="284" t="inlineStr">
        <is>
          <t>Участок декоративной отделки</t>
        </is>
      </c>
      <c r="C71" s="284" t="inlineStr">
        <is>
          <t>Маляр 4 разряда</t>
        </is>
      </c>
      <c r="D71" s="285" t="n">
        <v>45994</v>
      </c>
      <c r="E71" s="285" t="n">
        <v>46202</v>
      </c>
      <c r="F71" s="286" t="n">
        <v>0.6</v>
      </c>
      <c r="G71" s="284" t="inlineStr">
        <is>
          <t>Инициатива работодателя - по состоянию здоровья, не прошел периодический медосмотр</t>
        </is>
      </c>
      <c r="H71" s="282" t="n">
        <v>3</v>
      </c>
    </row>
    <row r="72" ht="86.40000000000001" customHeight="1">
      <c r="A72" s="374" t="inlineStr">
        <is>
          <t>Богачук Павел Николаевич</t>
        </is>
      </c>
      <c r="B72" s="390" t="inlineStr">
        <is>
          <t>Планово-диспетчерский отдел</t>
        </is>
      </c>
      <c r="C72" s="390" t="inlineStr">
        <is>
          <t xml:space="preserve">Заместитель начальника отдела </t>
        </is>
      </c>
      <c r="D72" s="375" t="n">
        <v>46113</v>
      </c>
      <c r="E72" s="285" t="n">
        <v>46204</v>
      </c>
      <c r="F72" s="416">
        <f>(E72-D72)/365</f>
        <v/>
      </c>
      <c r="G72" s="430" t="inlineStr">
        <is>
          <t>Инициатива сотрудника - нашел работу с бОльшей зп и должностью (РП с 250 net), пробовали удержать, но пока предложить нечего, разошлись позитивно, готов вернуться в случае появления подходящих позиций</t>
        </is>
      </c>
      <c r="H72" s="282" t="n">
        <v>3</v>
      </c>
    </row>
    <row r="73" ht="72" customHeight="1">
      <c r="A73" s="377" t="inlineStr">
        <is>
          <t>Пугачев Антон Александрович</t>
        </is>
      </c>
      <c r="B73" s="427" t="inlineStr">
        <is>
          <t>Механический участок</t>
        </is>
      </c>
      <c r="C73" s="427" t="inlineStr">
        <is>
          <t>Оператор-наладчик станков с ЧПУ</t>
        </is>
      </c>
      <c r="D73" s="378" t="n">
        <v>45481</v>
      </c>
      <c r="E73" s="285" t="n">
        <v>46210</v>
      </c>
      <c r="F73" s="416">
        <f>(E73-D73)/365</f>
        <v/>
      </c>
      <c r="G73" s="431" t="inlineStr">
        <is>
          <t xml:space="preserve"> Инициатива сотрудника - не сложились отношения с руководством. нашел другую работу с более интересным содержанием (хотя пытались перевести в Руднево). Ушел в ММЗ Скорость</t>
        </is>
      </c>
      <c r="H73" s="287" t="n">
        <v>3</v>
      </c>
    </row>
    <row r="74" ht="28.8" customHeight="1">
      <c r="A74" s="379" t="inlineStr">
        <is>
          <t>Сакулин Денис Валерьевич</t>
        </is>
      </c>
      <c r="B74" s="428" t="inlineStr">
        <is>
          <t>Производственное подразделение №6</t>
        </is>
      </c>
      <c r="C74" s="428" t="inlineStr">
        <is>
          <t>Электромонтажник 4 разряда</t>
        </is>
      </c>
      <c r="D74" s="380" t="n">
        <v>45852</v>
      </c>
      <c r="E74" s="285" t="n">
        <v>46211</v>
      </c>
      <c r="F74" s="416">
        <f>(E74-D74)/365</f>
        <v/>
      </c>
      <c r="G74" s="431" t="inlineStr">
        <is>
          <t>Инициатива работодателя - низкое качетво работы</t>
        </is>
      </c>
      <c r="H74" s="288" t="n">
        <v>1</v>
      </c>
    </row>
    <row r="75" ht="28.8" customHeight="1">
      <c r="A75" s="379" t="inlineStr">
        <is>
          <t>Коровин Никита Александрович</t>
        </is>
      </c>
      <c r="B75" s="428" t="inlineStr">
        <is>
          <t>Производственное подразделение №6</t>
        </is>
      </c>
      <c r="C75" s="428" t="inlineStr">
        <is>
          <t>Слесарь - сборщик 4  разряда</t>
        </is>
      </c>
      <c r="D75" s="380" t="n">
        <v>46127</v>
      </c>
      <c r="E75" s="285" t="n">
        <v>46211</v>
      </c>
      <c r="F75" s="416">
        <f>(E75-D75)/365</f>
        <v/>
      </c>
      <c r="G75" s="431" t="inlineStr">
        <is>
          <t>Инициатива работодателя - низкое качетво работы</t>
        </is>
      </c>
      <c r="H75" s="216" t="n">
        <v>1</v>
      </c>
    </row>
    <row r="76" ht="28.8" customHeight="1">
      <c r="A76" s="379" t="inlineStr">
        <is>
          <t>Ермаков Роман Николаевич</t>
        </is>
      </c>
      <c r="B76" s="428" t="inlineStr">
        <is>
          <t>Производственное подразделение №6</t>
        </is>
      </c>
      <c r="C76" s="428" t="inlineStr">
        <is>
          <t>Слесарь - сборщик 5 разряда</t>
        </is>
      </c>
      <c r="D76" s="380" t="n">
        <v>45866</v>
      </c>
      <c r="E76" s="285" t="n">
        <v>46211</v>
      </c>
      <c r="F76" s="416">
        <f>(E76-D76)/365</f>
        <v/>
      </c>
      <c r="G76" s="431" t="inlineStr">
        <is>
          <t>Инициатива работодателя - низкое качетво работы</t>
        </is>
      </c>
      <c r="H76" s="216" t="n">
        <v>1</v>
      </c>
    </row>
    <row r="77" ht="28.8" customHeight="1">
      <c r="A77" s="379" t="inlineStr">
        <is>
          <t>Гладченко Анатолий Анатольевич</t>
        </is>
      </c>
      <c r="B77" s="428" t="inlineStr">
        <is>
          <t>Производственное подразделение №6</t>
        </is>
      </c>
      <c r="C77" s="428" t="inlineStr">
        <is>
          <t>Слесарь - сборщик 4  разряда</t>
        </is>
      </c>
      <c r="D77" s="380" t="n">
        <v>45967</v>
      </c>
      <c r="E77" s="285" t="n">
        <v>46211</v>
      </c>
      <c r="F77" s="416">
        <f>(E77-D77)/365</f>
        <v/>
      </c>
      <c r="G77" s="431" t="inlineStr">
        <is>
          <t>Инициатива работодателя - низкое качетво работы</t>
        </is>
      </c>
      <c r="H77" s="217" t="n">
        <v>1</v>
      </c>
    </row>
    <row r="78" ht="28.8" customHeight="1">
      <c r="A78" s="379" t="inlineStr">
        <is>
          <t>Михалев Никита Алексеевич</t>
        </is>
      </c>
      <c r="B78" s="428" t="inlineStr">
        <is>
          <t>Производственное подразделение №6</t>
        </is>
      </c>
      <c r="C78" s="428" t="inlineStr">
        <is>
          <t>Слесарь - сборщик 4  разряда</t>
        </is>
      </c>
      <c r="D78" s="380" t="n">
        <v>45967</v>
      </c>
      <c r="E78" s="285" t="n">
        <v>46211</v>
      </c>
      <c r="F78" s="416">
        <f>(E78-D78)/365</f>
        <v/>
      </c>
      <c r="G78" s="431" t="inlineStr">
        <is>
          <t>Инициатива работодателя - низкое качетво работы</t>
        </is>
      </c>
      <c r="H78" s="217" t="n">
        <v>1</v>
      </c>
    </row>
    <row r="79" ht="28.8" customHeight="1">
      <c r="A79" s="379" t="inlineStr">
        <is>
          <t>Юрасов Михаил Александрович</t>
        </is>
      </c>
      <c r="B79" s="428" t="inlineStr">
        <is>
          <t>Производственное подразделение №6</t>
        </is>
      </c>
      <c r="C79" s="428" t="inlineStr">
        <is>
          <t>Электромонтажник 4 разряда</t>
        </is>
      </c>
      <c r="D79" s="381" t="n">
        <v>45831</v>
      </c>
      <c r="E79" s="285" t="n">
        <v>46211</v>
      </c>
      <c r="F79" s="416">
        <f>(E79-D79)/365</f>
        <v/>
      </c>
      <c r="G79" s="431" t="inlineStr">
        <is>
          <t>Инициатива работодателя - низкое качетво работы</t>
        </is>
      </c>
      <c r="H79" s="217" t="n">
        <v>1</v>
      </c>
    </row>
    <row r="80" ht="43.2" customHeight="1">
      <c r="A80" s="379" t="inlineStr">
        <is>
          <t>Балабаев Михаил Сергеевич</t>
        </is>
      </c>
      <c r="B80" s="428" t="inlineStr">
        <is>
          <t>Отдел информационных технологий</t>
        </is>
      </c>
      <c r="C80" s="428" t="inlineStr">
        <is>
          <t>Начальник отдела</t>
        </is>
      </c>
      <c r="D80" s="378" t="n">
        <v>46049</v>
      </c>
      <c r="E80" s="285" t="n">
        <v>46213</v>
      </c>
      <c r="F80" s="416">
        <f>(E80-D80)/365</f>
        <v/>
      </c>
      <c r="G80" s="431" t="inlineStr">
        <is>
          <t xml:space="preserve"> Инициатива сотрудника - объем задач, не сложились отношения  с руководством (ЗГД по ИТ)</t>
        </is>
      </c>
      <c r="H80" s="214" t="n">
        <v>4</v>
      </c>
    </row>
    <row r="81" ht="28.8" customHeight="1">
      <c r="A81" s="379" t="inlineStr">
        <is>
          <t>Антясова Татьяна Васильевна</t>
        </is>
      </c>
      <c r="B81" s="428" t="inlineStr">
        <is>
          <t>Планово-диспетчерский отдел</t>
        </is>
      </c>
      <c r="C81" s="428" t="inlineStr">
        <is>
          <t>Ведущий специалист по учету</t>
        </is>
      </c>
      <c r="D81" s="378" t="n">
        <v>45474</v>
      </c>
      <c r="E81" s="285" t="n">
        <v>46213</v>
      </c>
      <c r="F81" s="416">
        <f>(E81-D81)/365</f>
        <v/>
      </c>
      <c r="G81" s="431" t="inlineStr">
        <is>
          <t>Инициатива сотрудника - семейные обстоятельства</t>
        </is>
      </c>
      <c r="H81" s="214" t="n">
        <v>3</v>
      </c>
    </row>
    <row r="82" ht="28.8" customHeight="1">
      <c r="A82" s="379" t="inlineStr">
        <is>
          <t>Блощинский Антон Юрьевич</t>
        </is>
      </c>
      <c r="B82" s="428" t="inlineStr">
        <is>
          <t>Механический участок</t>
        </is>
      </c>
      <c r="C82" s="428" t="inlineStr">
        <is>
          <t>Слесарь механосборочных работ 6 разряда</t>
        </is>
      </c>
      <c r="D82" s="378" t="n">
        <v>45769</v>
      </c>
      <c r="E82" s="285" t="n">
        <v>46213</v>
      </c>
      <c r="F82" s="416">
        <f>(E82-D82)/365</f>
        <v/>
      </c>
      <c r="G82" s="431" t="inlineStr">
        <is>
          <t xml:space="preserve"> Иициатива сотрудника - не сложились отношения с руководством</t>
        </is>
      </c>
      <c r="H82" s="214" t="n">
        <v>3</v>
      </c>
    </row>
    <row r="83" ht="100.8" customHeight="1">
      <c r="A83" s="379" t="inlineStr">
        <is>
          <t>Жижин Денис Михайлович</t>
        </is>
      </c>
      <c r="B83" s="428" t="inlineStr">
        <is>
          <t>Механический участок</t>
        </is>
      </c>
      <c r="C83" s="428" t="inlineStr">
        <is>
          <t>Оператор-наладчик станков с ЧПУ</t>
        </is>
      </c>
      <c r="D83" s="378" t="n">
        <v>45966</v>
      </c>
      <c r="E83" s="285" t="n">
        <v>46216</v>
      </c>
      <c r="F83" s="416">
        <f>(E83-D83)/365</f>
        <v/>
      </c>
      <c r="G83" s="431" t="inlineStr">
        <is>
          <t xml:space="preserve"> Инициатива
  сотрудника - не сошлись во мнениях с руководством (по мнению сотрудника, его
  лишили премии за чужую ошибку. другого наладчика из-за чего были проблемы со
  станком)</t>
        </is>
      </c>
      <c r="H83" s="214" t="n">
        <v>3</v>
      </c>
    </row>
    <row r="84" ht="72" customHeight="1">
      <c r="A84" s="379" t="inlineStr">
        <is>
          <t>Выприцкий Евгений Александрович</t>
        </is>
      </c>
      <c r="B84" s="428" t="inlineStr">
        <is>
          <t>Мебельный участок</t>
        </is>
      </c>
      <c r="C84" s="428" t="inlineStr">
        <is>
          <t>Облицовщик деталей мебели 3 разряда</t>
        </is>
      </c>
      <c r="D84" s="378" t="n">
        <v>46120</v>
      </c>
      <c r="E84" s="285" t="n">
        <v>46217</v>
      </c>
      <c r="F84" s="416">
        <f>(E84-D84)/365</f>
        <v/>
      </c>
      <c r="G84" s="431" t="inlineStr">
        <is>
          <t xml:space="preserve"> Инициатива
  сотрудника - не интересное содержание работы, пытались удержать и предлагать
  другие специализации на производстве, не захотел оставаться</t>
        </is>
      </c>
      <c r="H84" s="214" t="n">
        <v>3</v>
      </c>
    </row>
    <row r="85" ht="28.8" customHeight="1">
      <c r="A85" s="379" t="inlineStr">
        <is>
          <t>Федоренко Сергей Владимирович</t>
        </is>
      </c>
      <c r="B85" s="428" t="inlineStr">
        <is>
          <t>Служба главного инженера</t>
        </is>
      </c>
      <c r="C85" s="428" t="inlineStr">
        <is>
          <t>Главный инженер</t>
        </is>
      </c>
      <c r="D85" s="378" t="n">
        <v>46146</v>
      </c>
      <c r="E85" s="285" t="n">
        <v>46218</v>
      </c>
      <c r="F85" s="416">
        <f>(E85-D85)/365</f>
        <v/>
      </c>
      <c r="G85" s="431" t="inlineStr">
        <is>
          <t>Техническое увольнение, перезаключение трудового договора на бессрочный</t>
        </is>
      </c>
      <c r="H85" s="214" t="n">
        <v>0</v>
      </c>
    </row>
    <row r="86" ht="72" customHeight="1">
      <c r="A86" s="379" t="inlineStr">
        <is>
          <t>Широких Виктор Владимирович</t>
        </is>
      </c>
      <c r="B86" s="428" t="inlineStr">
        <is>
          <t>Отдел главного технолога</t>
        </is>
      </c>
      <c r="C86" s="428" t="inlineStr">
        <is>
          <t>Ведущий инженер - технолог</t>
        </is>
      </c>
      <c r="D86" s="378" t="n">
        <v>45924</v>
      </c>
      <c r="E86" s="285" t="n">
        <v>46218</v>
      </c>
      <c r="F86" s="416">
        <f>(E86-D86)/365</f>
        <v/>
      </c>
      <c r="G86" s="431" t="inlineStr">
        <is>
          <t xml:space="preserve"> Иницитива
  сотрудника - не видит для себя профессионального развития. ранее были
  сомнения по качеству работы. Удерживать не стали.</t>
        </is>
      </c>
      <c r="H86" s="214" t="n">
        <v>2</v>
      </c>
    </row>
    <row r="87" ht="43.2" customHeight="1">
      <c r="A87" s="379" t="inlineStr">
        <is>
          <t>Куяшев Азат Ахатович</t>
        </is>
      </c>
      <c r="B87" s="428" t="inlineStr">
        <is>
          <t>Механический участок</t>
        </is>
      </c>
      <c r="C87" s="428" t="inlineStr">
        <is>
          <t xml:space="preserve">Мастер участка </t>
        </is>
      </c>
      <c r="D87" s="378" t="n">
        <v>45834</v>
      </c>
      <c r="E87" s="285" t="n">
        <v>46219</v>
      </c>
      <c r="F87" s="416">
        <f>(E87-D87)/365</f>
        <v/>
      </c>
      <c r="G87" s="431" t="inlineStr">
        <is>
          <t xml:space="preserve"> Инициатива
  сотрудника - нашел работу с бОльшей зп (200 тысяч).</t>
        </is>
      </c>
      <c r="H87" s="214" t="n">
        <v>3</v>
      </c>
    </row>
    <row r="88" ht="28.8" customHeight="1">
      <c r="A88" s="379" t="inlineStr">
        <is>
          <t>Лебедев Алексей Владиславович</t>
        </is>
      </c>
      <c r="B88" s="428" t="inlineStr">
        <is>
          <t>Производственное подразделение №6</t>
        </is>
      </c>
      <c r="C88" s="428" t="inlineStr">
        <is>
          <t>Слесарь - сборщик 4  разряда</t>
        </is>
      </c>
      <c r="D88" s="378" t="n">
        <v>45969</v>
      </c>
      <c r="E88" s="285" t="n">
        <v>46219</v>
      </c>
      <c r="F88" s="416">
        <f>(E88-D88)/365</f>
        <v/>
      </c>
      <c r="G88" s="431" t="inlineStr">
        <is>
          <t xml:space="preserve"> Инициатива
  сотрудника - ушел на СВО</t>
        </is>
      </c>
      <c r="H88" s="214" t="n">
        <v>3</v>
      </c>
    </row>
    <row r="89" ht="43.2" customHeight="1">
      <c r="A89" s="379" t="inlineStr">
        <is>
          <t>Боряев Александр Владимирович</t>
        </is>
      </c>
      <c r="B89" s="428" t="inlineStr">
        <is>
          <t>Служба главного инженера</t>
        </is>
      </c>
      <c r="C89" s="428" t="inlineStr">
        <is>
          <t>Слесарь-ремонтник 5 разряда</t>
        </is>
      </c>
      <c r="D89" s="378" t="n">
        <v>46056</v>
      </c>
      <c r="E89" s="285" t="n">
        <v>46220</v>
      </c>
      <c r="F89" s="416">
        <f>(E89-D89)/365</f>
        <v/>
      </c>
      <c r="G89" s="432" t="inlineStr">
        <is>
          <t xml:space="preserve"> Инициатива
  работодателя - вредные привычки (появлялся в нетрезвом виде)</t>
        </is>
      </c>
      <c r="H89" s="214" t="n">
        <v>2</v>
      </c>
    </row>
    <row r="90" ht="43.2" customHeight="1">
      <c r="A90" s="379" t="inlineStr">
        <is>
          <t>Бунин Денис Владимирович</t>
        </is>
      </c>
      <c r="B90" s="428" t="inlineStr">
        <is>
          <t>Производственное подразделение №6</t>
        </is>
      </c>
      <c r="C90" s="428" t="inlineStr">
        <is>
          <t>Слесарь - сборщик 4  разряда</t>
        </is>
      </c>
      <c r="D90" s="378" t="n">
        <v>45784</v>
      </c>
      <c r="E90" s="285" t="n">
        <v>46220</v>
      </c>
      <c r="F90" s="416">
        <f>(E90-D90)/365</f>
        <v/>
      </c>
      <c r="G90" s="432" t="inlineStr">
        <is>
          <t xml:space="preserve"> Инициатива
  сотрудника - по состоянию здоровья, больная спина.</t>
        </is>
      </c>
      <c r="H90" s="214" t="n">
        <v>3</v>
      </c>
    </row>
    <row r="91" ht="72" customHeight="1">
      <c r="A91" s="379" t="inlineStr">
        <is>
          <t>Сабуров Александр Григорьевич</t>
        </is>
      </c>
      <c r="B91" s="428" t="inlineStr">
        <is>
          <t>Обособленное подразделение Казань</t>
        </is>
      </c>
      <c r="C91" s="428" t="inlineStr">
        <is>
          <t>Электромонтажник</t>
        </is>
      </c>
      <c r="D91" s="378" t="n">
        <v>46058</v>
      </c>
      <c r="E91" s="285" t="n">
        <v>46226</v>
      </c>
      <c r="F91" s="416">
        <f>(E91-D91)/365</f>
        <v/>
      </c>
      <c r="G91" s="432" t="inlineStr">
        <is>
          <t xml:space="preserve"> По
  инициативе сотрудника - не устраивают условия и руководство (были
  недовольства сотрудником, конфликтность, удерживать не стали).</t>
        </is>
      </c>
      <c r="H91" s="214" t="n">
        <v>2</v>
      </c>
    </row>
    <row r="92" ht="28.8" customHeight="1">
      <c r="A92" s="379" t="inlineStr">
        <is>
          <t>Костыгина Анастасия Александровна</t>
        </is>
      </c>
      <c r="B92" s="428" t="inlineStr">
        <is>
          <t>Финансово-экономический отдел</t>
        </is>
      </c>
      <c r="C92" s="428" t="inlineStr">
        <is>
          <t>Начальник отдела</t>
        </is>
      </c>
      <c r="D92" s="378" t="n">
        <v>43070</v>
      </c>
      <c r="E92" s="285" t="n">
        <v>46250</v>
      </c>
      <c r="F92" s="416">
        <f>(E92-D92)/365</f>
        <v/>
      </c>
      <c r="G92" s="432" t="inlineStr">
        <is>
          <t xml:space="preserve"> Инициатива сотрудника - дорога до работы, отношени с руководством</t>
        </is>
      </c>
      <c r="H92" s="214" t="n">
        <v>4</v>
      </c>
    </row>
    <row r="93" ht="72" customHeight="1">
      <c r="A93" s="379" t="inlineStr">
        <is>
          <t>Шайдуллина Илмира Рахимжановна</t>
        </is>
      </c>
      <c r="B93" s="428" t="inlineStr">
        <is>
          <t>Административно - хозяйственный отдел</t>
        </is>
      </c>
      <c r="C93" s="428" t="inlineStr">
        <is>
          <t>Уборщик служебных помещений</t>
        </is>
      </c>
      <c r="D93" s="378" t="n">
        <v>45618</v>
      </c>
      <c r="E93" s="285" t="n">
        <v>46227</v>
      </c>
      <c r="F93" s="416">
        <f>(E93-D93)/365</f>
        <v/>
      </c>
      <c r="G93" s="433" t="inlineStr">
        <is>
          <t xml:space="preserve"> По
  инициативе сотрудника - уровень зарплаты и объем работы, нашла другое место с
  зп 90 тыс.руб.</t>
        </is>
      </c>
      <c r="H93" s="214" t="n">
        <v>2</v>
      </c>
    </row>
    <row r="94" ht="43.2" customHeight="1">
      <c r="A94" s="379" t="inlineStr">
        <is>
          <t>Бурцев Дмитрий Александрович</t>
        </is>
      </c>
      <c r="B94" s="428" t="inlineStr">
        <is>
          <t>Механический участок</t>
        </is>
      </c>
      <c r="C94" s="428" t="inlineStr">
        <is>
          <t>Оператор-наладчик станков с ЧПУ</t>
        </is>
      </c>
      <c r="D94" s="378" t="n">
        <v>45968</v>
      </c>
      <c r="E94" s="285" t="n">
        <v>46230</v>
      </c>
      <c r="F94" s="416">
        <f>(E94-D94)/365</f>
        <v/>
      </c>
      <c r="G94" s="433" t="inlineStr">
        <is>
          <t>Инициатив сотрудника - нашел работу с бОльшей зп, не сложились отношения с руководством</t>
        </is>
      </c>
      <c r="H94" s="214" t="n">
        <v>3</v>
      </c>
    </row>
    <row r="95" ht="43.2" customHeight="1">
      <c r="A95" s="379" t="inlineStr">
        <is>
          <t>Гирин Григорий Артурович</t>
        </is>
      </c>
      <c r="B95" s="428" t="inlineStr">
        <is>
          <t>Склад</t>
        </is>
      </c>
      <c r="C95" s="428" t="inlineStr">
        <is>
          <t>Кладовщик-комплектовщик</t>
        </is>
      </c>
      <c r="D95" s="378" t="n">
        <v>45962</v>
      </c>
      <c r="E95" s="285" t="n">
        <v>46230</v>
      </c>
      <c r="F95" s="416">
        <f>(E95-D95)/365</f>
        <v/>
      </c>
      <c r="G95" s="432" t="inlineStr">
        <is>
          <t>Инициатива сотрудника - объем задач, удеживать не стали (были претензи по работе)</t>
        </is>
      </c>
      <c r="H95" s="214" t="n">
        <v>1</v>
      </c>
    </row>
    <row r="96" ht="28.8" customHeight="1">
      <c r="A96" s="379" t="inlineStr">
        <is>
          <t>Заикина Олеся Николаевна</t>
        </is>
      </c>
      <c r="B96" s="428" t="inlineStr">
        <is>
          <t>Производственное подразделение №6</t>
        </is>
      </c>
      <c r="C96" s="428" t="inlineStr">
        <is>
          <t>Диспетчер 1 категории</t>
        </is>
      </c>
      <c r="D96" s="378" t="n">
        <v>45124</v>
      </c>
      <c r="E96" s="285" t="n">
        <v>46232</v>
      </c>
      <c r="F96" s="416">
        <f>(E96-D96)/365</f>
        <v/>
      </c>
      <c r="G96" s="433" t="inlineStr">
        <is>
          <t xml:space="preserve"> Инициатива сотрудника - ушла вслед за Заикиным А.</t>
        </is>
      </c>
      <c r="H96" s="434" t="n">
        <v>3</v>
      </c>
    </row>
    <row r="97" ht="43.2" customHeight="1">
      <c r="A97" s="379" t="inlineStr">
        <is>
          <t>Заикин Александр Владимирович</t>
        </is>
      </c>
      <c r="B97" s="428" t="inlineStr">
        <is>
          <t>Производственное подразделение №6</t>
        </is>
      </c>
      <c r="C97" s="428" t="inlineStr">
        <is>
          <t>Начальник производства</t>
        </is>
      </c>
      <c r="D97" s="378" t="n">
        <v>41122</v>
      </c>
      <c r="E97" s="285" t="n">
        <v>46232</v>
      </c>
      <c r="F97" s="416">
        <f>(E97-D97)/365</f>
        <v/>
      </c>
      <c r="G97" s="435" t="inlineStr">
        <is>
          <t xml:space="preserve"> Инициатива сотрудника - личные обстоятельства в связи с здоровьем, не слоижились отношени с руоводством</t>
        </is>
      </c>
      <c r="H97" s="436" t="n">
        <v>4</v>
      </c>
    </row>
    <row r="98" ht="57.6" customHeight="1">
      <c r="A98" s="379" t="inlineStr">
        <is>
          <t>Абрамов Сергей Васильевич</t>
        </is>
      </c>
      <c r="B98" s="428" t="inlineStr">
        <is>
          <t>Административно - хозяйственный отдел</t>
        </is>
      </c>
      <c r="C98" s="428" t="inlineStr">
        <is>
          <t>Разнорабочий</t>
        </is>
      </c>
      <c r="D98" s="378" t="n">
        <v>46010</v>
      </c>
      <c r="E98" s="285" t="n">
        <v>46233</v>
      </c>
      <c r="F98" s="416">
        <f>(E98-D98)/365</f>
        <v/>
      </c>
      <c r="G98" s="435" t="inlineStr">
        <is>
          <t>Инициатива сотрудника - не устраивает содержание работы, ъотел перевестись на пр-ную специализацию, но с его уровнем нечего было предложить</t>
        </is>
      </c>
      <c r="H98" s="436" t="n">
        <v>2</v>
      </c>
    </row>
    <row r="99" ht="28.8" customHeight="1">
      <c r="A99" s="379" t="inlineStr">
        <is>
          <t>Агапов Кирилл Сергеевич</t>
        </is>
      </c>
      <c r="B99" s="428" t="inlineStr">
        <is>
          <t>Отдел информационной безопасности</t>
        </is>
      </c>
      <c r="C99" s="428" t="inlineStr">
        <is>
          <t>Начальник отдела</t>
        </is>
      </c>
      <c r="D99" s="378" t="n">
        <v>45666</v>
      </c>
      <c r="E99" s="285" t="n">
        <v>46234</v>
      </c>
      <c r="F99" s="416">
        <f>(E99-D99)/365</f>
        <v/>
      </c>
      <c r="G99" s="435" t="inlineStr">
        <is>
          <t>Инициатива работодателя - низкое качество работы</t>
        </is>
      </c>
      <c r="H99" s="436" t="n">
        <v>4</v>
      </c>
    </row>
    <row r="100" ht="28.8" customHeight="1">
      <c r="A100" s="379" t="inlineStr">
        <is>
          <t>Свиридов Евгений Игоревич</t>
        </is>
      </c>
      <c r="B100" s="428" t="inlineStr">
        <is>
          <t>Производственное подразделение №6</t>
        </is>
      </c>
      <c r="C100" s="428" t="inlineStr">
        <is>
          <t>Заместитель начальника производства</t>
        </is>
      </c>
      <c r="D100" s="378" t="n">
        <v>46237</v>
      </c>
      <c r="E100" s="285" t="n">
        <v>46234</v>
      </c>
      <c r="F100" s="416" t="n">
        <v>0</v>
      </c>
      <c r="G100" s="437" t="inlineStr">
        <is>
          <t>Техническое увольнение</t>
        </is>
      </c>
      <c r="H100" s="436" t="n">
        <v>0</v>
      </c>
    </row>
    <row r="101" ht="28.8" customHeight="1">
      <c r="A101" s="379" t="inlineStr">
        <is>
          <t>Лайтер Алексей Александрович</t>
        </is>
      </c>
      <c r="B101" s="428" t="inlineStr">
        <is>
          <t>Обособленное подразделение Руднево</t>
        </is>
      </c>
      <c r="C101" s="428" t="inlineStr">
        <is>
          <t>Руководитель Обособленного подразделения Руднево</t>
        </is>
      </c>
      <c r="D101" s="382" t="n">
        <v>45691</v>
      </c>
      <c r="E101" s="285" t="n">
        <v>46234</v>
      </c>
      <c r="F101" s="416">
        <f>(E101-D101)/365</f>
        <v/>
      </c>
      <c r="G101" s="435" t="inlineStr">
        <is>
          <t>Инициатива работодателя - низкое качество работы</t>
        </is>
      </c>
      <c r="H101" s="436" t="n">
        <v>4</v>
      </c>
    </row>
    <row r="102" ht="57.6" customHeight="1">
      <c r="A102" s="377" t="inlineStr">
        <is>
          <t>Голубев Сергей Евгеньевич</t>
        </is>
      </c>
      <c r="B102" s="427" t="inlineStr">
        <is>
          <t>Обособленное подразделение Казань</t>
        </is>
      </c>
      <c r="C102" s="427" t="inlineStr">
        <is>
          <t>Слесарь - сборщик 4 разряда</t>
        </is>
      </c>
      <c r="D102" s="383" t="n">
        <v>45883</v>
      </c>
      <c r="E102" s="285" t="n">
        <v>46237</v>
      </c>
      <c r="F102" s="416">
        <f>(E102-D102)/365</f>
        <v/>
      </c>
      <c r="G102" s="435" t="inlineStr">
        <is>
          <t xml:space="preserve"> Инициатива
  сотрудника - не устраивали условия труда (на его взгляд много клепательных
  работ, вредности при этом нет)</t>
        </is>
      </c>
      <c r="H102" s="436" t="n">
        <v>3</v>
      </c>
    </row>
    <row r="103" ht="28.8" customHeight="1">
      <c r="A103" s="384" t="inlineStr">
        <is>
          <t>Новикова Юлия Алексеевна</t>
        </is>
      </c>
      <c r="B103" s="429" t="inlineStr">
        <is>
          <t>Отдел подбора и развития персонала</t>
        </is>
      </c>
      <c r="C103" s="429" t="inlineStr">
        <is>
          <t>Менеджер по подбору персонала</t>
        </is>
      </c>
      <c r="D103" s="385" t="n">
        <v>46064</v>
      </c>
      <c r="E103" s="285" t="n">
        <v>46237</v>
      </c>
      <c r="F103" s="416">
        <f>(E103-D103)/365</f>
        <v/>
      </c>
      <c r="G103" s="435" t="inlineStr">
        <is>
          <t>Техническое увольнение, перезаключение  трудового договора на новый срок</t>
        </is>
      </c>
      <c r="H103" s="436" t="n">
        <v>0</v>
      </c>
    </row>
    <row r="104" ht="43.2" customHeight="1">
      <c r="A104" s="384" t="inlineStr">
        <is>
          <t>Марцулевич Валерия Александровна</t>
        </is>
      </c>
      <c r="B104" s="429" t="inlineStr">
        <is>
          <t>Отдел управления персоналом</t>
        </is>
      </c>
      <c r="C104" s="429" t="inlineStr">
        <is>
          <t>Младший специалист</t>
        </is>
      </c>
      <c r="D104" s="386" t="n">
        <v>46041</v>
      </c>
      <c r="E104" s="285" t="n">
        <v>46251</v>
      </c>
      <c r="F104" s="416">
        <f>(E104-D104)/365</f>
        <v/>
      </c>
      <c r="G104" s="438" t="inlineStr">
        <is>
          <t xml:space="preserve"> Инициатива
  сотрудника - интенсивный темп работы, объем задач, содержание</t>
        </is>
      </c>
      <c r="H104" s="439" t="n">
        <v>2</v>
      </c>
    </row>
    <row r="105" ht="43.2" customHeight="1">
      <c r="A105" s="384" t="inlineStr">
        <is>
          <t>Пудовкин Алексей Владимирович</t>
        </is>
      </c>
      <c r="B105" s="429" t="inlineStr">
        <is>
          <t>Механический участок</t>
        </is>
      </c>
      <c r="C105" s="429" t="inlineStr">
        <is>
          <t>Оператор-наладчик станков с ЧПУ</t>
        </is>
      </c>
      <c r="D105" s="386" t="n">
        <v>45910</v>
      </c>
      <c r="E105" s="285" t="n">
        <v>46252</v>
      </c>
      <c r="F105" s="416">
        <f>(E105-D105)/365</f>
        <v/>
      </c>
      <c r="G105" s="438" t="inlineStr">
        <is>
          <t xml:space="preserve"> Инициатива
  сотрудника - не сошлись с руководством, уходит к знакомым</t>
        </is>
      </c>
      <c r="H105" s="439" t="n">
        <v>3</v>
      </c>
    </row>
    <row r="106" ht="28.8" customHeight="1">
      <c r="A106" s="384" t="inlineStr">
        <is>
          <t>Кузнецов Павел Вячеславович</t>
        </is>
      </c>
      <c r="B106" s="429" t="inlineStr">
        <is>
          <t>Отдел АСУП</t>
        </is>
      </c>
      <c r="C106" s="429" t="inlineStr">
        <is>
          <t>Программист 1С</t>
        </is>
      </c>
      <c r="D106" s="386" t="n">
        <v>46195</v>
      </c>
      <c r="E106" s="285" t="n">
        <v>46255</v>
      </c>
      <c r="F106" s="416">
        <f>(E106-D106)/365</f>
        <v/>
      </c>
      <c r="G106" s="438" t="inlineStr">
        <is>
          <t>Техническое увольнение, перезаключение  трудового договора на новый срок</t>
        </is>
      </c>
      <c r="H106" s="439" t="n">
        <v>0</v>
      </c>
    </row>
    <row r="107" ht="28.8" customHeight="1">
      <c r="A107" s="384" t="inlineStr">
        <is>
          <t>Грисли Иляна Викторовна</t>
        </is>
      </c>
      <c r="B107" s="429" t="inlineStr">
        <is>
          <t>Отдел охраны труда и промышленной безопасности</t>
        </is>
      </c>
      <c r="C107" s="429" t="inlineStr">
        <is>
          <t>Специалист по охране труда</t>
        </is>
      </c>
      <c r="D107" s="386" t="n">
        <v>46161</v>
      </c>
      <c r="E107" s="285" t="n">
        <v>46255</v>
      </c>
      <c r="F107" s="416">
        <f>(E107-D107)/365</f>
        <v/>
      </c>
      <c r="G107" s="438" t="inlineStr">
        <is>
          <t>Инициатива сотрудника -  объем и содержание задач</t>
        </is>
      </c>
      <c r="H107" s="439" t="n">
        <v>2</v>
      </c>
    </row>
    <row r="108" ht="57.6" customHeight="1">
      <c r="A108" s="384" t="inlineStr">
        <is>
          <t>Агапова Алла Сергеевна</t>
        </is>
      </c>
      <c r="B108" s="429" t="inlineStr">
        <is>
          <t>Производственное подразделение №6</t>
        </is>
      </c>
      <c r="C108" s="429" t="inlineStr">
        <is>
          <t>Диспетчер</t>
        </is>
      </c>
      <c r="D108" s="386" t="n">
        <v>46055</v>
      </c>
      <c r="E108" s="285" t="n">
        <v>46258</v>
      </c>
      <c r="F108" s="416">
        <f>(E108-D108)/365</f>
        <v/>
      </c>
      <c r="G108" s="438" t="inlineStr">
        <is>
          <t xml:space="preserve"> Инициатива
  сотрудника - ушла вслед за бывшим руководителем площадки, удерживать не стали</t>
        </is>
      </c>
      <c r="H108" s="439" t="n">
        <v>2</v>
      </c>
    </row>
    <row r="109" ht="86.40000000000001" customHeight="1">
      <c r="A109" s="384" t="inlineStr">
        <is>
          <t>Булатов Даниил Олегович</t>
        </is>
      </c>
      <c r="B109" s="429" t="inlineStr">
        <is>
          <t>Отдел главного технолога</t>
        </is>
      </c>
      <c r="C109" s="429" t="inlineStr">
        <is>
          <t>Инженер - технолог 2 категории</t>
        </is>
      </c>
      <c r="D109" s="386" t="n">
        <v>45881</v>
      </c>
      <c r="E109" s="285" t="n">
        <v>46258</v>
      </c>
      <c r="F109" s="416">
        <f>(E109-D109)/365</f>
        <v/>
      </c>
      <c r="G109" s="438" t="inlineStr">
        <is>
          <t xml:space="preserve"> Инициатива
  сотрудника - не сложились отношения с руководством. Но отметили неадекватное
  поведение с его стороны (какие-то ментальные расстройства), удерживать не
  стали.</t>
        </is>
      </c>
      <c r="H109" s="439" t="n">
        <v>3</v>
      </c>
    </row>
    <row r="110" ht="43.2" customHeight="1">
      <c r="A110" s="384" t="inlineStr">
        <is>
          <t>Тищенко Александр Валентинович</t>
        </is>
      </c>
      <c r="B110" s="429" t="inlineStr">
        <is>
          <t>Производственное подразделение №6</t>
        </is>
      </c>
      <c r="C110" s="429" t="inlineStr">
        <is>
          <t xml:space="preserve"> Инженер по пожарной безопасности и ГО ЧС</t>
        </is>
      </c>
      <c r="D110" s="386" t="n">
        <v>45721</v>
      </c>
      <c r="E110" s="285" t="n">
        <v>46259</v>
      </c>
      <c r="F110" s="416">
        <f>(E110-D110)/365</f>
        <v/>
      </c>
      <c r="G110" s="438" t="inlineStr">
        <is>
          <t xml:space="preserve"> Техническое
  увольнение - с совместительства (остается на основной ставке АИ Воронеж)</t>
        </is>
      </c>
      <c r="H110" s="439" t="n">
        <v>0</v>
      </c>
    </row>
    <row r="111" ht="57.6" customHeight="1">
      <c r="A111" s="384" t="inlineStr">
        <is>
          <t>Кикоть Максим Борисович</t>
        </is>
      </c>
      <c r="B111" s="429" t="inlineStr">
        <is>
          <t>Отдел сертификации авиационной техники</t>
        </is>
      </c>
      <c r="C111" s="429" t="inlineStr">
        <is>
          <t>Специалист по сертификации</t>
        </is>
      </c>
      <c r="D111" s="386" t="n">
        <v>45621</v>
      </c>
      <c r="E111" s="285" t="n">
        <v>46260</v>
      </c>
      <c r="F111" s="416">
        <f>(E111-D111)/365</f>
        <v/>
      </c>
      <c r="G111" s="438" t="inlineStr">
        <is>
          <t xml:space="preserve"> Инициатива
  работодателя - низкое качество работы, был на части ставки. Нашли замену на
  полную ставку.</t>
        </is>
      </c>
      <c r="H111" s="439" t="n">
        <v>1</v>
      </c>
    </row>
    <row r="112" ht="43.2" customHeight="1">
      <c r="A112" s="384" t="inlineStr">
        <is>
          <t>Сафонов Никита Романович</t>
        </is>
      </c>
      <c r="B112" s="429" t="inlineStr">
        <is>
          <t>Участок сборки</t>
        </is>
      </c>
      <c r="C112" s="429" t="inlineStr">
        <is>
          <t>Слесарь-сборщик 4 разряда</t>
        </is>
      </c>
      <c r="D112" s="386" t="n">
        <v>45006</v>
      </c>
      <c r="E112" s="285" t="n">
        <v>46262</v>
      </c>
      <c r="F112" s="416">
        <f>(E112-D112)/365</f>
        <v/>
      </c>
      <c r="G112" s="438" t="inlineStr">
        <is>
          <t xml:space="preserve"> Инициатива
  сотрудника - переезд в другой город, семейные обстоятельства</t>
        </is>
      </c>
      <c r="H112" s="439" t="n">
        <v>3</v>
      </c>
    </row>
    <row r="113" ht="57.6" customHeight="1">
      <c r="A113" s="384" t="inlineStr">
        <is>
          <t>Оськин Илья Владимирович</t>
        </is>
      </c>
      <c r="B113" s="429" t="inlineStr">
        <is>
          <t>Планово-диспетчерский отдел</t>
        </is>
      </c>
      <c r="C113" s="429" t="inlineStr">
        <is>
          <t>Начальник отдела</t>
        </is>
      </c>
      <c r="D113" s="386" t="n">
        <v>45999</v>
      </c>
      <c r="E113" s="285" t="n">
        <v>46265</v>
      </c>
      <c r="F113" s="416">
        <f>(E113-D113)/365</f>
        <v/>
      </c>
      <c r="G113" s="438" t="inlineStr">
        <is>
          <t xml:space="preserve"> Инициатива
  работодателя - низкое качество работы. Пробовали перевести внутри АИ СН, но
  там так же не показал качество.</t>
        </is>
      </c>
      <c r="H113" s="439" t="n">
        <v>3</v>
      </c>
    </row>
    <row r="114" ht="57.6" customHeight="1">
      <c r="A114" s="384" t="inlineStr">
        <is>
          <t>Толкачева Ирина Анатольевна</t>
        </is>
      </c>
      <c r="B114" s="429" t="inlineStr">
        <is>
          <t>Планово-диспетчерский отдел</t>
        </is>
      </c>
      <c r="C114" s="429" t="inlineStr">
        <is>
          <t>Ведущий диспетчер</t>
        </is>
      </c>
      <c r="D114" s="386" t="n">
        <v>46035</v>
      </c>
      <c r="E114" s="285" t="n">
        <v>46265</v>
      </c>
      <c r="F114" s="416">
        <f>(E114-D114)/365</f>
        <v/>
      </c>
      <c r="G114" s="438" t="inlineStr">
        <is>
          <t xml:space="preserve"> Инициатива
  работодателя - низкое качество работы. Пробовали перевести внутри АИ СН, но
  там так же не показала качество.</t>
        </is>
      </c>
      <c r="H114" s="439" t="n">
        <v>2</v>
      </c>
    </row>
    <row r="115" ht="43.2" customHeight="1">
      <c r="A115" s="384" t="inlineStr">
        <is>
          <t>Игнатьева Юлия Фанисовна</t>
        </is>
      </c>
      <c r="B115" s="429" t="inlineStr">
        <is>
          <t>Конструкторский отдел 1</t>
        </is>
      </c>
      <c r="C115" s="429" t="inlineStr">
        <is>
          <t>Инженер-конструктор 2 категории (Казань)</t>
        </is>
      </c>
      <c r="D115" s="386" t="n">
        <v>45901</v>
      </c>
      <c r="E115" s="285" t="n">
        <v>46265</v>
      </c>
      <c r="F115" s="416">
        <f>(E115-D115)/365</f>
        <v/>
      </c>
      <c r="G115" s="438" t="inlineStr">
        <is>
          <t xml:space="preserve"> Техническое
  увольнение - перевод в ГК на основную ставку в АИ Казань</t>
        </is>
      </c>
      <c r="H115" s="439" t="n">
        <v>0</v>
      </c>
    </row>
    <row r="116" ht="57.6" customHeight="1">
      <c r="A116" s="384" t="inlineStr">
        <is>
          <t>Каранкевич Юрий Леонидович</t>
        </is>
      </c>
      <c r="B116" s="429" t="inlineStr">
        <is>
          <t>Отдел бортового электрооборудования</t>
        </is>
      </c>
      <c r="C116" s="429" t="inlineStr">
        <is>
          <t>Заместитель начальника отдела</t>
        </is>
      </c>
      <c r="D116" s="386" t="n">
        <v>40091</v>
      </c>
      <c r="E116" s="285" t="n">
        <v>46265</v>
      </c>
      <c r="F116" s="416">
        <f>(E116-D116)/365</f>
        <v/>
      </c>
      <c r="G116" s="438" t="inlineStr">
        <is>
          <t xml:space="preserve"> Инициатива
  сотрудника - семейные обстоятельства, нашел работу близко к дому (последние
  1.5 года работал удаленно)</t>
        </is>
      </c>
      <c r="H116" s="439" t="n">
        <v>4</v>
      </c>
    </row>
    <row r="117" ht="43.2" customHeight="1">
      <c r="A117" s="384" t="inlineStr">
        <is>
          <t>Кудрин Кирилл Андреевич</t>
        </is>
      </c>
      <c r="B117" s="429" t="inlineStr">
        <is>
          <t>Мебельный участок</t>
        </is>
      </c>
      <c r="C117" s="429" t="inlineStr">
        <is>
          <t>Мастер участка</t>
        </is>
      </c>
      <c r="D117" s="386" t="n">
        <v>45474</v>
      </c>
      <c r="E117" s="285" t="n">
        <v>46265</v>
      </c>
      <c r="F117" s="416">
        <f>(E117-D117)/365</f>
        <v/>
      </c>
      <c r="G117" s="438" t="inlineStr">
        <is>
          <t xml:space="preserve"> Инициатива
  сотрудника - уровень зп, нашел другую работу с зп 170 тысяч net</t>
        </is>
      </c>
      <c r="H117" s="439" t="n">
        <v>3</v>
      </c>
    </row>
    <row r="118" ht="28.8" customHeight="1">
      <c r="A118" s="384" t="inlineStr">
        <is>
          <t>Кузнецова Оксана Николаевна</t>
        </is>
      </c>
      <c r="B118" s="429" t="inlineStr">
        <is>
          <t>Отдел управления персоналом</t>
        </is>
      </c>
      <c r="C118" s="429" t="inlineStr">
        <is>
          <t>Заместитель начальника отдела</t>
        </is>
      </c>
      <c r="D118" s="386" t="n">
        <v>45614</v>
      </c>
      <c r="E118" s="285" t="n">
        <v>46265</v>
      </c>
      <c r="F118" s="416">
        <f>(E118-D118)/365</f>
        <v/>
      </c>
      <c r="G118" s="438" t="inlineStr">
        <is>
          <t xml:space="preserve"> Техническое
  увольнение с совместительства в СН</t>
        </is>
      </c>
      <c r="H118" s="439" t="n">
        <v>0</v>
      </c>
    </row>
    <row r="119" ht="28.8" customHeight="1">
      <c r="A119" s="384" t="inlineStr">
        <is>
          <t>Стобровский Андрей Вадимович</t>
        </is>
      </c>
      <c r="B119" s="429" t="inlineStr">
        <is>
          <t>Отдел информационных технологий</t>
        </is>
      </c>
      <c r="C119" s="429" t="inlineStr">
        <is>
          <t>Заместитель начальника отдела</t>
        </is>
      </c>
      <c r="D119" s="386" t="n">
        <v>38869</v>
      </c>
      <c r="E119" s="285" t="n">
        <v>46266</v>
      </c>
      <c r="F119" s="416">
        <f>(E119-D119)/365</f>
        <v/>
      </c>
      <c r="G119" s="438" t="inlineStr">
        <is>
          <t>Увольнение в связи со смертью работника</t>
        </is>
      </c>
      <c r="H119" s="439" t="n">
        <v>4</v>
      </c>
    </row>
    <row r="120" ht="43.2" customHeight="1">
      <c r="A120" s="384" t="inlineStr">
        <is>
          <t>Мялкина Ирина Александровна</t>
        </is>
      </c>
      <c r="B120" s="429" t="inlineStr">
        <is>
          <t>Отдел материально-технического снабжения МШ</t>
        </is>
      </c>
      <c r="C120" s="429" t="inlineStr">
        <is>
          <t>Главный специалист</t>
        </is>
      </c>
      <c r="D120" s="386" t="n">
        <v>40119</v>
      </c>
      <c r="E120" s="285" t="n">
        <v>46276</v>
      </c>
      <c r="F120" s="416">
        <f>(E120-D120)/365</f>
        <v/>
      </c>
      <c r="G120" s="438" t="inlineStr">
        <is>
          <t xml:space="preserve"> Инициатива
  сотрудника - состояние здоровья, объем работы</t>
        </is>
      </c>
      <c r="H120" s="439" t="n">
        <v>3</v>
      </c>
    </row>
    <row r="121" ht="28.8" customHeight="1">
      <c r="A121" s="384" t="inlineStr">
        <is>
          <t>Лукина Ксения Алексеевна</t>
        </is>
      </c>
      <c r="B121" s="429" t="inlineStr">
        <is>
          <t>Отдел главного технолога</t>
        </is>
      </c>
      <c r="C121" s="429" t="inlineStr">
        <is>
          <t>Заместитель главного технолога</t>
        </is>
      </c>
      <c r="D121" s="386" t="n">
        <v>46093</v>
      </c>
      <c r="E121" s="285" t="n">
        <v>46276</v>
      </c>
      <c r="F121" s="416">
        <f>(E121-D121)/365</f>
        <v/>
      </c>
      <c r="G121" s="438" t="inlineStr">
        <is>
          <t xml:space="preserve"> Окончание
  СТД</t>
        </is>
      </c>
      <c r="H121" s="439" t="n">
        <v>0</v>
      </c>
    </row>
    <row r="122" ht="57.6" customHeight="1">
      <c r="A122" s="384" t="inlineStr">
        <is>
          <t>Макарцова Инна Михайловна</t>
        </is>
      </c>
      <c r="B122" s="429" t="inlineStr">
        <is>
          <t>Производственное подразделение №6</t>
        </is>
      </c>
      <c r="C122" s="429" t="inlineStr">
        <is>
          <t>Кладовщик</t>
        </is>
      </c>
      <c r="D122" s="386" t="n">
        <v>45770</v>
      </c>
      <c r="E122" s="285" t="n">
        <v>46279</v>
      </c>
      <c r="F122" s="416">
        <f>(E122-D122)/365</f>
        <v/>
      </c>
      <c r="G122" s="438" t="inlineStr">
        <is>
          <t xml:space="preserve"> Инициатива
  сотрудника - уходит вслед за бывшим руководителем, удерживать не стали
  (низкая лояльность и качество работы)</t>
        </is>
      </c>
      <c r="H122" s="439" t="n">
        <v>2</v>
      </c>
    </row>
    <row r="123" ht="86.40000000000001" customHeight="1">
      <c r="A123" s="384" t="inlineStr">
        <is>
          <t>Федотов Кирилл Сергеевич</t>
        </is>
      </c>
      <c r="B123" s="429" t="inlineStr">
        <is>
          <t>Механический участок</t>
        </is>
      </c>
      <c r="C123" s="429" t="inlineStr">
        <is>
          <t>Оператор станка с ЧПУ 4 разряда</t>
        </is>
      </c>
      <c r="D123" s="386" t="n">
        <v>46140</v>
      </c>
      <c r="E123" s="285" t="n">
        <v>46279</v>
      </c>
      <c r="F123" s="416">
        <f>(E123-D123)/365</f>
        <v/>
      </c>
      <c r="G123" s="438" t="inlineStr">
        <is>
          <t xml:space="preserve"> Инициатива
  сотрудника - уходит в ММЗ Скорость (увольнение подписано до соглашения о не
  переманивании), якобы больше зп и разряд</t>
        </is>
      </c>
      <c r="H123" s="439" t="n">
        <v>3</v>
      </c>
    </row>
    <row r="124" ht="72" customHeight="1">
      <c r="A124" s="384" t="inlineStr">
        <is>
          <t>Бакланов Виктор Георгиевич</t>
        </is>
      </c>
      <c r="B124" s="429" t="inlineStr">
        <is>
          <t>Планово-диспетчерский отдел</t>
        </is>
      </c>
      <c r="C124" s="429" t="inlineStr">
        <is>
          <t>Ведущий диспетчер</t>
        </is>
      </c>
      <c r="D124" s="386" t="n">
        <v>46139</v>
      </c>
      <c r="E124" s="285" t="n">
        <v>46281</v>
      </c>
      <c r="F124" s="416">
        <f>(E124-D124)/365</f>
        <v/>
      </c>
      <c r="G124" s="438" t="inlineStr">
        <is>
          <t xml:space="preserve"> Инициатива
  сотрудника, удерживать не стали (низкое качество работы, скорее всего в
  ближайшее время сами инициировали бы увольнение).</t>
        </is>
      </c>
      <c r="H124" s="439" t="n">
        <v>1</v>
      </c>
    </row>
    <row r="125" ht="43.2" customHeight="1">
      <c r="A125" s="384" t="inlineStr">
        <is>
          <t>Коромыслов Роман Сергеевич</t>
        </is>
      </c>
      <c r="B125" s="429" t="inlineStr">
        <is>
          <t>Отдел дизайна</t>
        </is>
      </c>
      <c r="C125" s="429" t="inlineStr">
        <is>
          <t>Промышленный дизайнер</t>
        </is>
      </c>
      <c r="D125" s="386" t="n">
        <v>45831</v>
      </c>
      <c r="E125" s="285" t="n">
        <v>46282</v>
      </c>
      <c r="F125" s="416">
        <f>(E125-D125)/365</f>
        <v/>
      </c>
      <c r="G125" s="438" t="inlineStr">
        <is>
          <t xml:space="preserve"> Инициатива
  сотрудника - переезд в другой город (Калининград) с семьей, бОльшая зп</t>
        </is>
      </c>
      <c r="H125" s="439" t="n">
        <v>3</v>
      </c>
    </row>
    <row r="126" ht="86.40000000000001" customHeight="1">
      <c r="A126" s="384" t="inlineStr">
        <is>
          <t>Ткаченко Лолита Вячеславовна</t>
        </is>
      </c>
      <c r="B126" s="429" t="inlineStr">
        <is>
          <t>Технологический отдел производства кресел</t>
        </is>
      </c>
      <c r="C126" s="429" t="inlineStr">
        <is>
          <t>Инженер-технолог 2 категории</t>
        </is>
      </c>
      <c r="D126" s="386" t="n">
        <v>45558</v>
      </c>
      <c r="E126" s="285" t="n">
        <v>46283</v>
      </c>
      <c r="F126" s="416">
        <f>(E126-D126)/365</f>
        <v/>
      </c>
      <c r="G126" s="438" t="inlineStr">
        <is>
          <t xml:space="preserve"> Инициатива
  сотрудника - нашла место с бОльшей зп; так же нехватка ОС от
  непосредственного руководителя. Пытались удержать. Работу с рук-лем провели</t>
        </is>
      </c>
      <c r="H126" s="439" t="n">
        <v>3</v>
      </c>
    </row>
    <row r="127" ht="72" customHeight="1">
      <c r="A127" s="384" t="inlineStr">
        <is>
          <t>Марченко Ирина Алексеевна</t>
        </is>
      </c>
      <c r="B127" s="429" t="inlineStr">
        <is>
          <t>Административно-хозяйственный отдел</t>
        </is>
      </c>
      <c r="C127" s="429" t="inlineStr">
        <is>
          <t>Офис-менеджер</t>
        </is>
      </c>
      <c r="D127" s="386" t="n">
        <v>45544</v>
      </c>
      <c r="E127" s="285" t="n">
        <v>46283</v>
      </c>
      <c r="F127" s="416">
        <f>(E127-D127)/365</f>
        <v/>
      </c>
      <c r="G127" s="438" t="inlineStr">
        <is>
          <t xml:space="preserve"> Инициатива
  сотрудника - объем и содержание задач. Удерживать на позиции не стали,
  предлагали рассмотеть др.варианты внутри компании.</t>
        </is>
      </c>
      <c r="H127" s="439" t="n">
        <v>2</v>
      </c>
    </row>
    <row r="128" ht="43.2" customHeight="1">
      <c r="A128" s="384" t="inlineStr">
        <is>
          <t>Лихачев Максим Васильевич</t>
        </is>
      </c>
      <c r="B128" s="429" t="inlineStr">
        <is>
          <t>Отдел АСУП</t>
        </is>
      </c>
      <c r="C128" s="429" t="inlineStr">
        <is>
          <t>Руководитель проектов по внедрению систем автоматизации</t>
        </is>
      </c>
      <c r="D128" s="386" t="n">
        <v>46069</v>
      </c>
      <c r="E128" s="285" t="n">
        <v>46283</v>
      </c>
      <c r="F128" s="416">
        <f>(E128-D128)/365</f>
        <v/>
      </c>
      <c r="G128" s="438" t="inlineStr">
        <is>
          <t xml:space="preserve"> Инициатива
  работодателя - низкое качество работы</t>
        </is>
      </c>
      <c r="H128" s="439" t="n">
        <v>2</v>
      </c>
    </row>
    <row r="129" ht="28.8" customHeight="1">
      <c r="A129" s="384" t="inlineStr">
        <is>
          <t>Рассохин Сергей Иванович</t>
        </is>
      </c>
      <c r="B129" s="429" t="inlineStr">
        <is>
          <t>Отдел АСУП</t>
        </is>
      </c>
      <c r="C129" s="429" t="inlineStr">
        <is>
          <t>Руководитель группы нормативно-справочной информации</t>
        </is>
      </c>
      <c r="D129" s="386" t="n">
        <v>46139</v>
      </c>
      <c r="E129" s="285" t="n">
        <v>46283</v>
      </c>
      <c r="F129" s="416">
        <f>(E129-D129)/365</f>
        <v/>
      </c>
      <c r="G129" s="438" t="inlineStr">
        <is>
          <t xml:space="preserve"> Инициатива
  работодателя - низкое качество работы</t>
        </is>
      </c>
      <c r="H129" s="439" t="n">
        <v>2</v>
      </c>
    </row>
    <row r="130" ht="43.2" customHeight="1">
      <c r="A130" s="384" t="inlineStr">
        <is>
          <t>Пилюта Артём Михайлович</t>
        </is>
      </c>
      <c r="B130" s="429" t="inlineStr">
        <is>
          <t>Слесарный участок</t>
        </is>
      </c>
      <c r="C130" s="429" t="inlineStr">
        <is>
          <t>Слесарь механосборочных работ 2 разряда</t>
        </is>
      </c>
      <c r="D130" s="386" t="n">
        <v>46156</v>
      </c>
      <c r="E130" s="285" t="n">
        <v>46283</v>
      </c>
      <c r="F130" s="416">
        <f>(E130-D130)/365</f>
        <v/>
      </c>
      <c r="G130" s="438" t="inlineStr">
        <is>
          <t xml:space="preserve"> Инициатива
  сотрудника - невозможность совмещать работу с учебой.</t>
        </is>
      </c>
      <c r="H130" s="439" t="n">
        <v>3</v>
      </c>
    </row>
    <row r="131" ht="43.2" customHeight="1">
      <c r="A131" s="384" t="inlineStr">
        <is>
          <t>Лотоненко Александр Юрьевич</t>
        </is>
      </c>
      <c r="B131" s="429" t="inlineStr">
        <is>
          <t>Слесарный участок</t>
        </is>
      </c>
      <c r="C131" s="429" t="inlineStr">
        <is>
          <t>Слесарь-сборщик 5 разряда</t>
        </is>
      </c>
      <c r="D131" s="386" t="n">
        <v>45950</v>
      </c>
      <c r="E131" s="285" t="n">
        <v>46283</v>
      </c>
      <c r="F131" s="416">
        <f>(E131-D131)/365</f>
        <v/>
      </c>
      <c r="G131" s="438" t="inlineStr">
        <is>
          <t xml:space="preserve"> Инициатива сотрудника - нашел работу ближе к дому (ездит из мытищ в Люберцы), с разрядом выше</t>
        </is>
      </c>
      <c r="H131" s="439" t="n">
        <v>3</v>
      </c>
    </row>
    <row r="132" ht="57.6" customHeight="1">
      <c r="A132" s="384" t="inlineStr">
        <is>
          <t>Плевако Антон Владимирович</t>
        </is>
      </c>
      <c r="B132" s="429" t="inlineStr">
        <is>
          <t>Отдел материально-технического снабжения МШ</t>
        </is>
      </c>
      <c r="C132" s="429" t="inlineStr">
        <is>
          <t>Специалист по закупкам</t>
        </is>
      </c>
      <c r="D132" s="386" t="n">
        <v>45866</v>
      </c>
      <c r="E132" s="285" t="n">
        <v>46290</v>
      </c>
      <c r="F132" s="416">
        <f>(E132-D132)/365</f>
        <v/>
      </c>
      <c r="G132" s="438" t="inlineStr">
        <is>
          <t xml:space="preserve"> По
  обоюдному согласию - нас не устраивает качество и темп работы, сотрудник
  нашел другую работу</t>
        </is>
      </c>
      <c r="H132" s="439" t="n">
        <v>1</v>
      </c>
    </row>
    <row r="133" ht="28.8" customHeight="1">
      <c r="A133" s="384" t="inlineStr">
        <is>
          <t>Костюкович Наталия Алексеевна</t>
        </is>
      </c>
      <c r="B133" s="429" t="inlineStr">
        <is>
          <t>Отдел разработки кресел авиационных</t>
        </is>
      </c>
      <c r="C133" s="429" t="inlineStr">
        <is>
          <t>Инженер - конструктор 2 категории</t>
        </is>
      </c>
      <c r="D133" s="386" t="n">
        <v>45397</v>
      </c>
      <c r="E133" s="285" t="n">
        <v>46295</v>
      </c>
      <c r="F133" s="416">
        <f>(E133-D133)/365</f>
        <v/>
      </c>
      <c r="G133" s="438" t="inlineStr">
        <is>
          <t xml:space="preserve"> Инициатива сотрудника - нашла работу с удаленко и бОльшей зп</t>
        </is>
      </c>
      <c r="H133" s="439" t="n">
        <v>3</v>
      </c>
    </row>
  </sheetData>
  <autoFilter ref="A1:H133"/>
  <mergeCells count="1">
    <mergeCell ref="J2:L2"/>
  </mergeCells>
  <pageMargins left="0.7" right="0.7" top="0.75" bottom="0.75" header="0.3" footer="0.3"/>
  <pageSetup orientation="portrait" paperSize="2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87"/>
  <sheetViews>
    <sheetView zoomScale="80" workbookViewId="0">
      <selection activeCell="F42" sqref="F42"/>
    </sheetView>
  </sheetViews>
  <sheetFormatPr baseColWidth="8" defaultColWidth="10" defaultRowHeight="14.4"/>
  <cols>
    <col width="27.33203125" customWidth="1" min="1" max="1"/>
    <col width="18.6640625" customWidth="1" min="2" max="2"/>
    <col width="26.88671875" customWidth="1" min="3" max="3"/>
    <col width="22" customWidth="1" min="4" max="4"/>
    <col width="3.6640625" customWidth="1" min="5" max="5"/>
    <col width="28.33203125" customWidth="1" min="6" max="6"/>
    <col width="8" customWidth="1" min="7" max="7"/>
    <col width="9.44140625" customWidth="1" min="8" max="8"/>
    <col width="6.44140625" customWidth="1" min="9" max="9"/>
    <col width="8" customWidth="1" min="10" max="10"/>
    <col width="5.88671875" customWidth="1" min="11" max="11"/>
    <col width="6.109375" customWidth="1" min="12" max="12"/>
    <col width="6.5546875" customWidth="1" min="13" max="13"/>
    <col width="7.33203125" customWidth="1" min="14" max="14"/>
    <col width="9.44140625" customWidth="1" min="15" max="15"/>
    <col width="8.44140625" customWidth="1" min="16" max="16"/>
    <col width="7.6640625" customWidth="1" min="17" max="17"/>
    <col width="11.109375" customWidth="1" min="19" max="19"/>
    <col width="13.33203125" customWidth="1" min="20" max="20"/>
  </cols>
  <sheetData>
    <row r="1" ht="41.4" customHeight="1">
      <c r="A1" s="847" t="inlineStr">
        <is>
          <t>ТЕКУЧЕСТЬ ПЕРСОНАЛА 
(нормальный показатель на производстве 10-15 %)
(нормальный показатель для высокотехнологичных компаний 18%)</t>
        </is>
      </c>
      <c r="B1" s="805" t="n"/>
      <c r="C1" s="805" t="n"/>
      <c r="D1" s="747" t="n"/>
      <c r="E1" s="218" t="n"/>
      <c r="F1" s="517" t="inlineStr">
        <is>
          <t>ТЕКУЧЕСТЬ ПО СРОКУ РАБОТЫ</t>
        </is>
      </c>
    </row>
    <row r="2">
      <c r="A2" s="848" t="inlineStr">
        <is>
          <t>1 кв 2026</t>
        </is>
      </c>
      <c r="B2" s="747" t="n"/>
      <c r="C2" s="849" t="inlineStr">
        <is>
          <t>2 кв 2026</t>
        </is>
      </c>
      <c r="D2" s="747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</row>
    <row r="3" ht="30" customHeight="1">
      <c r="A3" s="220" t="n"/>
      <c r="B3" s="221" t="inlineStr">
        <is>
          <t>По штатному расписанию</t>
        </is>
      </c>
      <c r="C3" s="220" t="n"/>
      <c r="D3" s="221" t="inlineStr">
        <is>
          <t>По штатному расписанию</t>
        </is>
      </c>
      <c r="F3" s="850" t="inlineStr">
        <is>
          <t xml:space="preserve">Количество уволенных по сроку работы </t>
        </is>
      </c>
      <c r="G3" s="805" t="n"/>
      <c r="H3" s="805" t="n"/>
      <c r="I3" s="805" t="n"/>
      <c r="J3" s="805" t="n"/>
      <c r="K3" s="805" t="n"/>
      <c r="L3" s="805" t="n"/>
      <c r="M3" s="805" t="n"/>
      <c r="N3" s="805" t="n"/>
      <c r="O3" s="805" t="n"/>
      <c r="P3" s="805" t="n"/>
      <c r="Q3" s="805" t="n"/>
      <c r="R3" s="747" t="n"/>
      <c r="S3" s="851" t="inlineStr">
        <is>
          <t>Численность сотрудников</t>
        </is>
      </c>
      <c r="T3" s="852" t="inlineStr">
        <is>
          <t>Текучесть по сроку работы</t>
        </is>
      </c>
    </row>
    <row r="4" ht="29.4" customHeight="1">
      <c r="A4" s="222" t="inlineStr">
        <is>
          <t>Численность сотрудников на 1 января 2026</t>
        </is>
      </c>
      <c r="B4" s="223" t="n">
        <v>648</v>
      </c>
      <c r="C4" s="222" t="inlineStr">
        <is>
          <t>Численность сотрудников на 1 января 2026</t>
        </is>
      </c>
      <c r="D4" s="223" t="n">
        <v>648</v>
      </c>
      <c r="F4" s="224" t="inlineStr">
        <is>
          <t xml:space="preserve">Срок работы сотрудника на момент увольнения </t>
        </is>
      </c>
      <c r="G4" s="225" t="inlineStr">
        <is>
          <t>январь</t>
        </is>
      </c>
      <c r="H4" s="225" t="inlineStr">
        <is>
          <t>февраль</t>
        </is>
      </c>
      <c r="I4" s="225" t="inlineStr">
        <is>
          <t>март</t>
        </is>
      </c>
      <c r="J4" s="225" t="inlineStr">
        <is>
          <t>апрель</t>
        </is>
      </c>
      <c r="K4" s="225" t="inlineStr">
        <is>
          <t>май</t>
        </is>
      </c>
      <c r="L4" s="225" t="inlineStr">
        <is>
          <t>июнь</t>
        </is>
      </c>
      <c r="M4" s="225" t="inlineStr">
        <is>
          <t>июль</t>
        </is>
      </c>
      <c r="N4" s="225" t="inlineStr">
        <is>
          <t>август</t>
        </is>
      </c>
      <c r="O4" s="225" t="inlineStr">
        <is>
          <t>сентябрь</t>
        </is>
      </c>
      <c r="P4" s="225" t="inlineStr">
        <is>
          <t>октябрь</t>
        </is>
      </c>
      <c r="Q4" s="225" t="inlineStr">
        <is>
          <t>ноябрь</t>
        </is>
      </c>
      <c r="R4" s="225" t="inlineStr">
        <is>
          <t>декабрь</t>
        </is>
      </c>
      <c r="S4" s="753" t="n"/>
      <c r="T4" s="753" t="n"/>
    </row>
    <row r="5" ht="28.95" customHeight="1">
      <c r="A5" s="222" t="inlineStr">
        <is>
          <t>Численность сотрудников на 31 марта 2026</t>
        </is>
      </c>
      <c r="B5" s="226" t="n">
        <v>708</v>
      </c>
      <c r="C5" s="222" t="inlineStr">
        <is>
          <t>Численность сотрудников на 30 июня 2026</t>
        </is>
      </c>
      <c r="D5" s="227" t="n">
        <v>744</v>
      </c>
      <c r="F5" s="228" t="inlineStr">
        <is>
          <t>0-3 мес</t>
        </is>
      </c>
      <c r="G5" s="229" t="n"/>
      <c r="H5" s="230" t="n">
        <v>4</v>
      </c>
      <c r="I5" s="231" t="n">
        <v>1</v>
      </c>
      <c r="J5" s="297" t="n">
        <v>1</v>
      </c>
      <c r="K5" s="297" t="n">
        <v>3</v>
      </c>
      <c r="L5" s="297" t="n">
        <v>4</v>
      </c>
      <c r="M5" s="420" t="n">
        <v>4</v>
      </c>
      <c r="N5" s="420" t="n">
        <v>1</v>
      </c>
      <c r="O5" s="420" t="inlineStr">
        <is>
          <t> </t>
        </is>
      </c>
      <c r="P5" s="299" t="inlineStr">
        <is>
          <t> </t>
        </is>
      </c>
      <c r="Q5" s="298" t="inlineStr">
        <is>
          <t> </t>
        </is>
      </c>
      <c r="R5" s="298" t="inlineStr">
        <is>
          <t> </t>
        </is>
      </c>
      <c r="S5" s="233" t="n">
        <v>40</v>
      </c>
      <c r="T5" s="234">
        <f>SUM(G5:R5)/S5*100%</f>
        <v/>
      </c>
    </row>
    <row r="6" ht="29.4" customHeight="1">
      <c r="A6" s="222" t="inlineStr">
        <is>
          <t>Среднесписочная численность на 31 марта  2026</t>
        </is>
      </c>
      <c r="B6" s="235" t="n">
        <v>640.9</v>
      </c>
      <c r="C6" s="222" t="inlineStr">
        <is>
          <t>Среднесписочная численность на 30 июня 2026</t>
        </is>
      </c>
      <c r="D6" s="236" t="n">
        <v>694.3</v>
      </c>
      <c r="F6" s="228" t="inlineStr">
        <is>
          <t>3-12 мес</t>
        </is>
      </c>
      <c r="G6" s="237" t="n">
        <v>5</v>
      </c>
      <c r="H6" s="238" t="n">
        <v>5</v>
      </c>
      <c r="I6" s="238" t="n">
        <v>8</v>
      </c>
      <c r="J6" s="297" t="n">
        <v>3</v>
      </c>
      <c r="K6" s="297" t="n">
        <v>5</v>
      </c>
      <c r="L6" s="297" t="n">
        <v>8</v>
      </c>
      <c r="M6" s="420" t="n">
        <v>15</v>
      </c>
      <c r="N6" s="420" t="n">
        <v>10</v>
      </c>
      <c r="O6" s="420" t="n">
        <v>7</v>
      </c>
      <c r="P6" s="299" t="inlineStr">
        <is>
          <t> </t>
        </is>
      </c>
      <c r="Q6" s="298" t="inlineStr">
        <is>
          <t> </t>
        </is>
      </c>
      <c r="R6" s="298" t="inlineStr">
        <is>
          <t> </t>
        </is>
      </c>
      <c r="S6" s="233" t="n">
        <v>96</v>
      </c>
      <c r="T6" s="234">
        <f>SUM(G6:R6)/S6*100%</f>
        <v/>
      </c>
    </row>
    <row r="7">
      <c r="A7" s="222" t="inlineStr">
        <is>
          <t>Принято  за квартал</t>
        </is>
      </c>
      <c r="B7" s="226" t="n">
        <v>95</v>
      </c>
      <c r="C7" s="222" t="inlineStr">
        <is>
          <t>Принято  за квартал</t>
        </is>
      </c>
      <c r="D7" s="239" t="n">
        <v>71</v>
      </c>
      <c r="F7" s="228" t="inlineStr">
        <is>
          <t>1-3 года</t>
        </is>
      </c>
      <c r="G7" s="237" t="n">
        <v>1</v>
      </c>
      <c r="H7" s="238" t="n">
        <v>1</v>
      </c>
      <c r="I7" s="238" t="n">
        <v>4</v>
      </c>
      <c r="J7" s="297" t="n">
        <v>4</v>
      </c>
      <c r="K7" s="297" t="n">
        <v>1</v>
      </c>
      <c r="L7" s="297" t="n">
        <v>4</v>
      </c>
      <c r="M7" s="420" t="n">
        <v>9</v>
      </c>
      <c r="N7" s="420" t="n">
        <v>4</v>
      </c>
      <c r="O7" s="420" t="n">
        <v>6</v>
      </c>
      <c r="P7" s="299" t="inlineStr">
        <is>
          <t> </t>
        </is>
      </c>
      <c r="Q7" s="298" t="inlineStr">
        <is>
          <t> </t>
        </is>
      </c>
      <c r="R7" s="298" t="inlineStr">
        <is>
          <t> </t>
        </is>
      </c>
      <c r="S7" s="233" t="n">
        <v>100</v>
      </c>
      <c r="T7" s="234">
        <f>SUM(G7:R7)/S7*100%</f>
        <v/>
      </c>
    </row>
    <row r="8" ht="27.6" customHeight="1">
      <c r="A8" s="222" t="inlineStr">
        <is>
          <t>Принято в рамках перевода по ГК</t>
        </is>
      </c>
      <c r="B8" s="226" t="n">
        <v>3</v>
      </c>
      <c r="C8" s="240" t="inlineStr">
        <is>
          <t>Принято в рамках перевода по ГК</t>
        </is>
      </c>
      <c r="D8" s="235" t="n">
        <v>2</v>
      </c>
      <c r="F8" s="228" t="inlineStr">
        <is>
          <t>3-7 лет</t>
        </is>
      </c>
      <c r="G8" s="237" t="n"/>
      <c r="H8" s="238" t="n">
        <v>1</v>
      </c>
      <c r="I8" s="238" t="n">
        <v>4</v>
      </c>
      <c r="J8" s="297" t="inlineStr">
        <is>
          <t> </t>
        </is>
      </c>
      <c r="K8" s="297" t="inlineStr">
        <is>
          <t> </t>
        </is>
      </c>
      <c r="L8" s="297" t="n">
        <v>1</v>
      </c>
      <c r="M8" s="420" t="inlineStr">
        <is>
          <t> </t>
        </is>
      </c>
      <c r="N8" s="420" t="n">
        <v>1</v>
      </c>
      <c r="O8" s="420" t="inlineStr">
        <is>
          <t> </t>
        </is>
      </c>
      <c r="P8" s="299" t="inlineStr">
        <is>
          <t> </t>
        </is>
      </c>
      <c r="Q8" s="298" t="inlineStr">
        <is>
          <t> </t>
        </is>
      </c>
      <c r="R8" s="298" t="inlineStr">
        <is>
          <t> </t>
        </is>
      </c>
      <c r="S8" s="233" t="n">
        <v>48</v>
      </c>
      <c r="T8" s="234">
        <f>SUM(G8:R8)/S8*100%</f>
        <v/>
      </c>
    </row>
    <row r="9">
      <c r="A9" s="222" t="inlineStr">
        <is>
          <t>Уволено за квартал</t>
        </is>
      </c>
      <c r="B9" s="226" t="n">
        <v>35</v>
      </c>
      <c r="C9" s="222" t="inlineStr">
        <is>
          <t>Уволено за квартал</t>
        </is>
      </c>
      <c r="D9" s="235" t="n">
        <v>35</v>
      </c>
      <c r="F9" s="228" t="inlineStr">
        <is>
          <t>7 лет+</t>
        </is>
      </c>
      <c r="G9" s="229" t="n">
        <v>1</v>
      </c>
      <c r="H9" s="229" t="n"/>
      <c r="I9" s="232" t="n"/>
      <c r="J9" s="297" t="n">
        <v>1</v>
      </c>
      <c r="K9" s="297" t="inlineStr">
        <is>
          <t> </t>
        </is>
      </c>
      <c r="L9" s="297" t="inlineStr">
        <is>
          <t> </t>
        </is>
      </c>
      <c r="M9" s="420" t="n">
        <v>1</v>
      </c>
      <c r="N9" s="420" t="n">
        <v>2</v>
      </c>
      <c r="O9" s="420" t="n">
        <v>2</v>
      </c>
      <c r="P9" s="299" t="inlineStr">
        <is>
          <t> </t>
        </is>
      </c>
      <c r="Q9" s="299" t="inlineStr">
        <is>
          <t> </t>
        </is>
      </c>
      <c r="R9" s="299" t="inlineStr">
        <is>
          <t> </t>
        </is>
      </c>
      <c r="S9" s="233" t="n">
        <v>140</v>
      </c>
      <c r="T9" s="234">
        <f>SUM(G9:R9)/S9*100%</f>
        <v/>
      </c>
    </row>
    <row r="10" ht="27.6" customHeight="1">
      <c r="A10" s="222" t="inlineStr">
        <is>
          <t>Уволено в рамках перевода по ГК</t>
        </is>
      </c>
      <c r="B10" s="226" t="n">
        <v>5</v>
      </c>
      <c r="C10" s="240" t="inlineStr">
        <is>
          <t>Уволено в рамках перевода по ГК</t>
        </is>
      </c>
      <c r="D10" s="235" t="n">
        <v>2</v>
      </c>
      <c r="F10" s="241" t="inlineStr">
        <is>
          <t>Всего уволенных</t>
        </is>
      </c>
      <c r="G10" s="241">
        <f>SUM(G5:R9)</f>
        <v/>
      </c>
      <c r="H10" s="228" t="n"/>
      <c r="I10" s="228" t="n"/>
      <c r="J10" s="299" t="n"/>
      <c r="K10" s="300" t="inlineStr">
        <is>
          <t> </t>
        </is>
      </c>
      <c r="L10" s="300" t="inlineStr">
        <is>
          <t> </t>
        </is>
      </c>
      <c r="M10" s="299" t="n"/>
      <c r="N10" s="301" t="inlineStr">
        <is>
          <t> </t>
        </is>
      </c>
      <c r="O10" s="301" t="inlineStr">
        <is>
          <t> </t>
        </is>
      </c>
      <c r="P10" s="299" t="n"/>
      <c r="Q10" s="300" t="inlineStr">
        <is>
          <t> </t>
        </is>
      </c>
      <c r="R10" s="300" t="inlineStr">
        <is>
          <t> </t>
        </is>
      </c>
      <c r="S10" s="242" t="n"/>
      <c r="T10" s="243" t="n"/>
    </row>
    <row r="11">
      <c r="A11" s="244" t="inlineStr">
        <is>
          <t>Показатель текучести</t>
        </is>
      </c>
      <c r="B11" s="245">
        <f>B9/B6</f>
        <v/>
      </c>
      <c r="C11" s="244" t="inlineStr">
        <is>
          <t>Показатель текучести</t>
        </is>
      </c>
      <c r="D11" s="245">
        <f>D9/D6</f>
        <v/>
      </c>
      <c r="F11" s="246" t="n"/>
      <c r="G11" s="246" t="n"/>
      <c r="H11" s="247" t="n"/>
      <c r="I11" s="246" t="n"/>
      <c r="J11" s="246" t="n"/>
    </row>
    <row r="12">
      <c r="A12" s="849" t="inlineStr">
        <is>
          <t>3 кв 2026</t>
        </is>
      </c>
      <c r="B12" s="747" t="n"/>
      <c r="C12" s="849" t="inlineStr">
        <is>
          <t>4 кв 2026</t>
        </is>
      </c>
      <c r="D12" s="747" t="n"/>
      <c r="E12" s="247" t="n"/>
    </row>
    <row r="13" ht="28.8" customHeight="1">
      <c r="A13" s="220" t="n"/>
      <c r="B13" s="221" t="inlineStr">
        <is>
          <t>По штатному расписанию</t>
        </is>
      </c>
      <c r="C13" s="220" t="n"/>
      <c r="D13" s="221" t="inlineStr">
        <is>
          <t>По штатному расписанию</t>
        </is>
      </c>
      <c r="E13" s="247" t="n"/>
      <c r="F13" s="853" t="inlineStr">
        <is>
          <t>ТЕКУЧЕСТЬ ПО ДЕПАРТАМЕНТАМ</t>
        </is>
      </c>
      <c r="G13" s="854" t="n"/>
      <c r="H13" s="854" t="n"/>
      <c r="I13" s="854" t="n"/>
      <c r="J13" s="854" t="n"/>
      <c r="K13" s="854" t="n"/>
      <c r="L13" s="854" t="n"/>
      <c r="M13" s="854" t="n"/>
      <c r="N13" s="854" t="n"/>
      <c r="O13" s="854" t="n"/>
      <c r="P13" s="854" t="n"/>
      <c r="Q13" s="854" t="n"/>
      <c r="R13" s="854" t="n"/>
      <c r="S13" s="854" t="n"/>
      <c r="T13" s="855" t="n"/>
    </row>
    <row r="14" ht="27.6" customHeight="1">
      <c r="A14" s="222" t="inlineStr">
        <is>
          <t>Численность сотрудников на 1 января 2026</t>
        </is>
      </c>
      <c r="B14" s="248" t="n">
        <v>648</v>
      </c>
      <c r="C14" s="222" t="inlineStr">
        <is>
          <t>Численность сотрудников на 1 января 2026</t>
        </is>
      </c>
      <c r="D14" s="248" t="n">
        <v>648</v>
      </c>
      <c r="E14" s="247" t="n"/>
      <c r="F14" s="856" t="inlineStr">
        <is>
          <t xml:space="preserve">Количество уволенных по департаментам </t>
        </is>
      </c>
      <c r="G14" s="857" t="n"/>
      <c r="H14" s="857" t="n"/>
      <c r="I14" s="857" t="n"/>
      <c r="J14" s="857" t="n"/>
      <c r="K14" s="857" t="n"/>
      <c r="L14" s="857" t="n"/>
      <c r="M14" s="857" t="n"/>
      <c r="N14" s="857" t="n"/>
      <c r="O14" s="857" t="n"/>
      <c r="P14" s="857" t="n"/>
      <c r="Q14" s="857" t="n"/>
      <c r="R14" s="857" t="n"/>
      <c r="S14" s="857" t="n"/>
      <c r="T14" s="858" t="n"/>
    </row>
    <row r="15" ht="58.2" customHeight="1">
      <c r="A15" s="222" t="inlineStr">
        <is>
          <t>Численность сотрудников на 30 сентября 2026</t>
        </is>
      </c>
      <c r="B15" s="248" t="n">
        <v>737</v>
      </c>
      <c r="C15" s="222" t="inlineStr">
        <is>
          <t>Численность сотрудников на 31 декабря 2026</t>
        </is>
      </c>
      <c r="D15" s="248" t="n">
        <v>0</v>
      </c>
      <c r="E15" s="247" t="n"/>
      <c r="F15" s="302" t="inlineStr">
        <is>
          <t>Подразделение, из которого уволили сотрудников</t>
        </is>
      </c>
      <c r="G15" s="303" t="inlineStr">
        <is>
          <t>январь</t>
        </is>
      </c>
      <c r="H15" s="303" t="inlineStr">
        <is>
          <t>февраль</t>
        </is>
      </c>
      <c r="I15" s="303" t="inlineStr">
        <is>
          <t>март</t>
        </is>
      </c>
      <c r="J15" s="303" t="inlineStr">
        <is>
          <t>апрель</t>
        </is>
      </c>
      <c r="K15" s="303" t="inlineStr">
        <is>
          <t>май</t>
        </is>
      </c>
      <c r="L15" s="303" t="inlineStr">
        <is>
          <t>июнь</t>
        </is>
      </c>
      <c r="M15" s="303" t="inlineStr">
        <is>
          <t>июль</t>
        </is>
      </c>
      <c r="N15" s="303" t="inlineStr">
        <is>
          <t>август</t>
        </is>
      </c>
      <c r="O15" s="303" t="inlineStr">
        <is>
          <t>сентябрь</t>
        </is>
      </c>
      <c r="P15" s="303" t="inlineStr">
        <is>
          <t>октябрь</t>
        </is>
      </c>
      <c r="Q15" s="303" t="inlineStr">
        <is>
          <t>ноябрь</t>
        </is>
      </c>
      <c r="R15" s="303" t="inlineStr">
        <is>
          <t>декабрь</t>
        </is>
      </c>
      <c r="S15" s="302" t="inlineStr">
        <is>
          <t>Среднесписочная численность</t>
        </is>
      </c>
      <c r="T15" s="304" t="inlineStr">
        <is>
          <t>Текучесть по подразде
лениям</t>
        </is>
      </c>
    </row>
    <row r="16" ht="27.6" customHeight="1">
      <c r="A16" s="222" t="inlineStr">
        <is>
          <t>Среднесписочная численность на 30 сентября 2026</t>
        </is>
      </c>
      <c r="B16" s="249" t="n">
        <v>691.9</v>
      </c>
      <c r="C16" s="222" t="inlineStr">
        <is>
          <t>Среднесписочная численность на 31 декабря 2026</t>
        </is>
      </c>
      <c r="D16" s="249" t="n">
        <v>0</v>
      </c>
      <c r="E16" s="247" t="n"/>
      <c r="F16" s="305" t="inlineStr">
        <is>
          <t>Руководство</t>
        </is>
      </c>
      <c r="G16" s="299" t="inlineStr">
        <is>
          <t> </t>
        </is>
      </c>
      <c r="H16" s="299" t="inlineStr">
        <is>
          <t> </t>
        </is>
      </c>
      <c r="I16" s="299" t="inlineStr">
        <is>
          <t> </t>
        </is>
      </c>
      <c r="J16" s="297" t="n">
        <v>1</v>
      </c>
      <c r="K16" s="297" t="inlineStr">
        <is>
          <t> </t>
        </is>
      </c>
      <c r="L16" s="297" t="inlineStr">
        <is>
          <t> </t>
        </is>
      </c>
      <c r="M16" s="420" t="inlineStr">
        <is>
          <t> </t>
        </is>
      </c>
      <c r="N16" s="420" t="inlineStr">
        <is>
          <t> </t>
        </is>
      </c>
      <c r="O16" s="420" t="inlineStr">
        <is>
          <t> </t>
        </is>
      </c>
      <c r="P16" s="299" t="inlineStr">
        <is>
          <t> </t>
        </is>
      </c>
      <c r="Q16" s="299" t="inlineStr">
        <is>
          <t> </t>
        </is>
      </c>
      <c r="R16" s="299" t="inlineStr">
        <is>
          <t> </t>
        </is>
      </c>
      <c r="S16" s="306" t="n">
        <v>1</v>
      </c>
      <c r="T16" s="307" t="n">
        <v>1</v>
      </c>
    </row>
    <row r="17">
      <c r="A17" s="222" t="inlineStr">
        <is>
          <t>Принято  за квартал</t>
        </is>
      </c>
      <c r="B17" s="250" t="n">
        <v>55</v>
      </c>
      <c r="C17" s="222" t="inlineStr">
        <is>
          <t>Принято  за квартал</t>
        </is>
      </c>
      <c r="D17" s="250" t="n">
        <v>0</v>
      </c>
      <c r="E17" s="247" t="n"/>
      <c r="F17" s="305" t="inlineStr">
        <is>
          <t>Управление</t>
        </is>
      </c>
      <c r="G17" s="299" t="inlineStr">
        <is>
          <t> </t>
        </is>
      </c>
      <c r="H17" s="299" t="inlineStr">
        <is>
          <t> </t>
        </is>
      </c>
      <c r="I17" s="299" t="n">
        <v>1</v>
      </c>
      <c r="J17" s="297" t="n">
        <v>1</v>
      </c>
      <c r="K17" s="297" t="n">
        <v>1</v>
      </c>
      <c r="L17" s="297" t="inlineStr">
        <is>
          <t> </t>
        </is>
      </c>
      <c r="M17" s="420" t="inlineStr">
        <is>
          <t> </t>
        </is>
      </c>
      <c r="N17" s="420" t="inlineStr">
        <is>
          <t> </t>
        </is>
      </c>
      <c r="O17" s="420" t="inlineStr">
        <is>
          <t> </t>
        </is>
      </c>
      <c r="P17" s="299" t="inlineStr">
        <is>
          <t> </t>
        </is>
      </c>
      <c r="Q17" s="299" t="inlineStr">
        <is>
          <t> </t>
        </is>
      </c>
      <c r="R17" s="299" t="inlineStr">
        <is>
          <t> </t>
        </is>
      </c>
      <c r="S17" s="306" t="n">
        <v>11.5</v>
      </c>
      <c r="T17" s="308" t="n">
        <v>0.2609</v>
      </c>
    </row>
    <row r="18" ht="27.6" customHeight="1">
      <c r="A18" s="222" t="inlineStr">
        <is>
          <t>Принято в рамках перевода по ГК</t>
        </is>
      </c>
      <c r="B18" s="250" t="n">
        <v>4</v>
      </c>
      <c r="C18" s="240" t="inlineStr">
        <is>
          <t>Принято в рамках перевода по ГК</t>
        </is>
      </c>
      <c r="D18" s="250" t="n">
        <v>0</v>
      </c>
      <c r="E18" s="247" t="n"/>
      <c r="F18" s="305" t="inlineStr">
        <is>
          <t>ОГК</t>
        </is>
      </c>
      <c r="G18" s="299" t="inlineStr">
        <is>
          <t> </t>
        </is>
      </c>
      <c r="H18" s="299" t="inlineStr">
        <is>
          <t> </t>
        </is>
      </c>
      <c r="I18" s="299" t="n">
        <v>1</v>
      </c>
      <c r="J18" s="297" t="inlineStr">
        <is>
          <t> </t>
        </is>
      </c>
      <c r="K18" s="297" t="inlineStr">
        <is>
          <t> </t>
        </is>
      </c>
      <c r="L18" s="297" t="inlineStr">
        <is>
          <t> </t>
        </is>
      </c>
      <c r="M18" s="420" t="inlineStr">
        <is>
          <t> </t>
        </is>
      </c>
      <c r="N18" s="420" t="inlineStr">
        <is>
          <t> </t>
        </is>
      </c>
      <c r="O18" s="420" t="inlineStr">
        <is>
          <t> </t>
        </is>
      </c>
      <c r="P18" s="299" t="inlineStr">
        <is>
          <t> </t>
        </is>
      </c>
      <c r="Q18" s="299" t="inlineStr">
        <is>
          <t> </t>
        </is>
      </c>
      <c r="R18" s="299" t="inlineStr">
        <is>
          <t> </t>
        </is>
      </c>
      <c r="S18" s="306" t="n">
        <v>17.5</v>
      </c>
      <c r="T18" s="308" t="n">
        <v>0.0571</v>
      </c>
    </row>
    <row r="19">
      <c r="A19" s="222" t="inlineStr">
        <is>
          <t>Уволено за квартал</t>
        </is>
      </c>
      <c r="B19" s="250" t="n">
        <v>62</v>
      </c>
      <c r="C19" s="222" t="inlineStr">
        <is>
          <t>Уволено за квартал</t>
        </is>
      </c>
      <c r="D19" s="250" t="n">
        <v>0</v>
      </c>
      <c r="E19" s="247" t="n"/>
      <c r="F19" s="305" t="inlineStr">
        <is>
          <t>КБ</t>
        </is>
      </c>
      <c r="G19" s="299" t="inlineStr">
        <is>
          <t> </t>
        </is>
      </c>
      <c r="H19" s="299" t="n">
        <v>1</v>
      </c>
      <c r="I19" s="299" t="inlineStr">
        <is>
          <t> </t>
        </is>
      </c>
      <c r="J19" s="297" t="inlineStr">
        <is>
          <t> </t>
        </is>
      </c>
      <c r="K19" s="297" t="n">
        <v>1</v>
      </c>
      <c r="L19" s="297" t="n">
        <v>1</v>
      </c>
      <c r="M19" s="420" t="inlineStr">
        <is>
          <t> </t>
        </is>
      </c>
      <c r="N19" s="420" t="n">
        <v>2</v>
      </c>
      <c r="O19" s="420" t="n">
        <v>1</v>
      </c>
      <c r="P19" s="299" t="inlineStr">
        <is>
          <t> </t>
        </is>
      </c>
      <c r="Q19" s="299" t="inlineStr">
        <is>
          <t> </t>
        </is>
      </c>
      <c r="R19" s="299" t="inlineStr">
        <is>
          <t> </t>
        </is>
      </c>
      <c r="S19" s="306" t="n">
        <v>91.59999999999999</v>
      </c>
      <c r="T19" s="308" t="n">
        <v>0.0334</v>
      </c>
    </row>
    <row r="20" ht="27.6" customHeight="1">
      <c r="A20" s="222" t="inlineStr">
        <is>
          <t>Уволено в рамках перевода по ГК</t>
        </is>
      </c>
      <c r="B20" s="250" t="n">
        <v>0</v>
      </c>
      <c r="C20" s="240" t="inlineStr">
        <is>
          <t>Уволено в рамках перевода по ГК</t>
        </is>
      </c>
      <c r="D20" s="250" t="n">
        <v>0</v>
      </c>
      <c r="E20" s="247" t="n"/>
      <c r="F20" s="305" t="inlineStr">
        <is>
          <t>ОГТ</t>
        </is>
      </c>
      <c r="G20" s="299" t="n">
        <v>1</v>
      </c>
      <c r="H20" s="299" t="inlineStr">
        <is>
          <t> </t>
        </is>
      </c>
      <c r="I20" s="299" t="inlineStr">
        <is>
          <t> </t>
        </is>
      </c>
      <c r="J20" s="297" t="inlineStr">
        <is>
          <t> </t>
        </is>
      </c>
      <c r="K20" s="297" t="n">
        <v>1</v>
      </c>
      <c r="L20" s="297" t="n">
        <v>1</v>
      </c>
      <c r="M20" s="420" t="n">
        <v>1</v>
      </c>
      <c r="N20" s="420" t="n">
        <v>1</v>
      </c>
      <c r="O20" s="420" t="n">
        <v>2</v>
      </c>
      <c r="P20" s="299" t="inlineStr">
        <is>
          <t> </t>
        </is>
      </c>
      <c r="Q20" s="299" t="inlineStr">
        <is>
          <t> </t>
        </is>
      </c>
      <c r="R20" s="299" t="inlineStr">
        <is>
          <t> </t>
        </is>
      </c>
      <c r="S20" s="306" t="n">
        <v>42</v>
      </c>
      <c r="T20" s="308" t="n">
        <v>0.07870000000000001</v>
      </c>
    </row>
    <row r="21">
      <c r="A21" s="244" t="inlineStr">
        <is>
          <t>Показатель текучести</t>
        </is>
      </c>
      <c r="B21" s="251">
        <f>(B19/B16)</f>
        <v/>
      </c>
      <c r="C21" s="244" t="inlineStr">
        <is>
          <t>Показатель текучести</t>
        </is>
      </c>
      <c r="D21" s="245">
        <f>(D19/D16)</f>
        <v/>
      </c>
      <c r="E21" s="247" t="n"/>
      <c r="F21" s="305" t="inlineStr">
        <is>
          <t>ОМТС</t>
        </is>
      </c>
      <c r="G21" s="299" t="inlineStr">
        <is>
          <t> </t>
        </is>
      </c>
      <c r="H21" s="299" t="n">
        <v>1</v>
      </c>
      <c r="I21" s="299" t="n">
        <v>2</v>
      </c>
      <c r="J21" s="297" t="inlineStr">
        <is>
          <t> </t>
        </is>
      </c>
      <c r="K21" s="309" t="inlineStr">
        <is>
          <t> </t>
        </is>
      </c>
      <c r="L21" s="297" t="inlineStr">
        <is>
          <t> </t>
        </is>
      </c>
      <c r="M21" s="420" t="inlineStr">
        <is>
          <t> </t>
        </is>
      </c>
      <c r="N21" s="420" t="inlineStr">
        <is>
          <t> </t>
        </is>
      </c>
      <c r="O21" s="420" t="n">
        <v>2</v>
      </c>
      <c r="P21" s="299" t="inlineStr">
        <is>
          <t> </t>
        </is>
      </c>
      <c r="Q21" s="299" t="inlineStr">
        <is>
          <t> </t>
        </is>
      </c>
      <c r="R21" s="299" t="inlineStr">
        <is>
          <t> </t>
        </is>
      </c>
      <c r="S21" s="306" t="n">
        <v>18</v>
      </c>
      <c r="T21" s="308" t="n">
        <v>0.1667</v>
      </c>
    </row>
    <row r="22">
      <c r="A22" s="247" t="n"/>
      <c r="B22" s="246" t="n"/>
      <c r="C22" s="247" t="n"/>
      <c r="D22" s="246" t="n"/>
      <c r="E22" s="247" t="n"/>
      <c r="F22" s="305" t="inlineStr">
        <is>
          <t>Склад</t>
        </is>
      </c>
      <c r="G22" s="299" t="inlineStr">
        <is>
          <t> </t>
        </is>
      </c>
      <c r="H22" s="299" t="inlineStr">
        <is>
          <t> </t>
        </is>
      </c>
      <c r="I22" s="299" t="inlineStr">
        <is>
          <t> </t>
        </is>
      </c>
      <c r="J22" s="297" t="inlineStr">
        <is>
          <t> </t>
        </is>
      </c>
      <c r="K22" s="297" t="inlineStr">
        <is>
          <t> </t>
        </is>
      </c>
      <c r="L22" s="297" t="n">
        <v>1</v>
      </c>
      <c r="M22" s="420" t="n">
        <v>1</v>
      </c>
      <c r="N22" s="420" t="inlineStr">
        <is>
          <t> </t>
        </is>
      </c>
      <c r="O22" s="420" t="inlineStr">
        <is>
          <t> </t>
        </is>
      </c>
      <c r="P22" s="299" t="inlineStr">
        <is>
          <t> </t>
        </is>
      </c>
      <c r="Q22" s="299" t="inlineStr">
        <is>
          <t> </t>
        </is>
      </c>
      <c r="R22" s="299" t="inlineStr">
        <is>
          <t> </t>
        </is>
      </c>
      <c r="S22" s="306" t="n">
        <v>23.1</v>
      </c>
      <c r="T22" s="308" t="n">
        <v>0.0433</v>
      </c>
    </row>
    <row r="23">
      <c r="A23" s="859" t="inlineStr">
        <is>
          <t>СТРУКТУРА УВОЛЬНЕНИЙ ПО ПРИЧИНАМ 2026</t>
        </is>
      </c>
      <c r="D23" s="246" t="n"/>
      <c r="E23" s="247" t="n"/>
      <c r="F23" s="311" t="inlineStr">
        <is>
          <t>Транспортный отдел</t>
        </is>
      </c>
      <c r="G23" s="312" t="inlineStr">
        <is>
          <t> </t>
        </is>
      </c>
      <c r="H23" s="312" t="inlineStr">
        <is>
          <t> </t>
        </is>
      </c>
      <c r="I23" s="312" t="inlineStr">
        <is>
          <t> </t>
        </is>
      </c>
      <c r="J23" s="312" t="inlineStr">
        <is>
          <t> </t>
        </is>
      </c>
      <c r="K23" s="312" t="inlineStr">
        <is>
          <t> </t>
        </is>
      </c>
      <c r="L23" s="312" t="inlineStr">
        <is>
          <t> </t>
        </is>
      </c>
      <c r="M23" s="312" t="inlineStr">
        <is>
          <t> </t>
        </is>
      </c>
      <c r="N23" s="312" t="inlineStr">
        <is>
          <t> </t>
        </is>
      </c>
      <c r="O23" s="312" t="inlineStr">
        <is>
          <t> </t>
        </is>
      </c>
      <c r="P23" s="312" t="inlineStr">
        <is>
          <t> </t>
        </is>
      </c>
      <c r="Q23" s="312" t="inlineStr">
        <is>
          <t> </t>
        </is>
      </c>
      <c r="R23" s="312" t="inlineStr">
        <is>
          <t> </t>
        </is>
      </c>
      <c r="S23" s="312" t="inlineStr">
        <is>
          <t> </t>
        </is>
      </c>
      <c r="T23" s="313" t="inlineStr">
        <is>
          <t> </t>
        </is>
      </c>
    </row>
    <row r="24" ht="43.2" customHeight="1">
      <c r="A24" s="252" t="inlineStr">
        <is>
          <t>Причина увольнения</t>
        </is>
      </c>
      <c r="B24" s="253" t="inlineStr">
        <is>
          <t>Количество уволенных по причине</t>
        </is>
      </c>
      <c r="C24" s="254" t="inlineStr">
        <is>
          <t>%</t>
        </is>
      </c>
      <c r="D24" s="246" t="inlineStr">
        <is>
          <t> </t>
        </is>
      </c>
      <c r="E24" s="247" t="n"/>
      <c r="F24" s="305" t="inlineStr">
        <is>
          <t>СМК</t>
        </is>
      </c>
      <c r="G24" s="299" t="n">
        <v>1</v>
      </c>
      <c r="H24" s="299" t="inlineStr">
        <is>
          <t> </t>
        </is>
      </c>
      <c r="I24" s="299" t="inlineStr">
        <is>
          <t> </t>
        </is>
      </c>
      <c r="J24" s="297" t="n">
        <v>1</v>
      </c>
      <c r="K24" s="297" t="inlineStr">
        <is>
          <t> </t>
        </is>
      </c>
      <c r="L24" s="297" t="inlineStr">
        <is>
          <t> </t>
        </is>
      </c>
      <c r="M24" s="420" t="inlineStr">
        <is>
          <t> </t>
        </is>
      </c>
      <c r="N24" s="420" t="n">
        <v>1</v>
      </c>
      <c r="O24" s="420" t="inlineStr">
        <is>
          <t> </t>
        </is>
      </c>
      <c r="P24" s="299" t="inlineStr">
        <is>
          <t> </t>
        </is>
      </c>
      <c r="Q24" s="299" t="inlineStr">
        <is>
          <t> </t>
        </is>
      </c>
      <c r="R24" s="299" t="inlineStr">
        <is>
          <t> </t>
        </is>
      </c>
      <c r="S24" s="306" t="n">
        <v>21.3</v>
      </c>
      <c r="T24" s="308" t="n">
        <v>0.0939</v>
      </c>
    </row>
    <row r="25">
      <c r="A25" s="255" t="inlineStr">
        <is>
          <t>Инициатива работодателя:</t>
        </is>
      </c>
      <c r="B25" s="256" t="n"/>
      <c r="C25" s="257" t="n"/>
      <c r="D25" s="246" t="n"/>
      <c r="E25" s="247" t="n"/>
      <c r="F25" s="305" t="inlineStr">
        <is>
          <t>ОУП</t>
        </is>
      </c>
      <c r="G25" s="299" t="inlineStr">
        <is>
          <t> </t>
        </is>
      </c>
      <c r="H25" s="299" t="inlineStr">
        <is>
          <t> </t>
        </is>
      </c>
      <c r="I25" s="299" t="n">
        <v>2</v>
      </c>
      <c r="J25" s="297" t="inlineStr">
        <is>
          <t> </t>
        </is>
      </c>
      <c r="K25" s="297" t="inlineStr">
        <is>
          <t> </t>
        </is>
      </c>
      <c r="L25" s="297" t="n">
        <v>1</v>
      </c>
      <c r="M25" s="420" t="inlineStr">
        <is>
          <t> </t>
        </is>
      </c>
      <c r="N25" s="420" t="n">
        <v>2</v>
      </c>
      <c r="O25" s="420" t="inlineStr">
        <is>
          <t> </t>
        </is>
      </c>
      <c r="P25" s="299" t="inlineStr">
        <is>
          <t> </t>
        </is>
      </c>
      <c r="Q25" s="299" t="inlineStr">
        <is>
          <t> </t>
        </is>
      </c>
      <c r="R25" s="299" t="inlineStr">
        <is>
          <t> </t>
        </is>
      </c>
      <c r="S25" s="306" t="n">
        <v>68</v>
      </c>
      <c r="T25" s="308" t="n">
        <v>0.0441</v>
      </c>
    </row>
    <row r="26" ht="29.25" customHeight="1">
      <c r="A26" s="258" t="inlineStr">
        <is>
          <t>Не прошел ИС (низкое качество работы)</t>
        </is>
      </c>
      <c r="B26" s="256" t="n">
        <v>4</v>
      </c>
      <c r="C26" s="257">
        <f>B26/$B$53</f>
        <v/>
      </c>
      <c r="F26" s="305" t="inlineStr">
        <is>
          <t>ОПиРП</t>
        </is>
      </c>
      <c r="G26" s="299" t="inlineStr">
        <is>
          <t> </t>
        </is>
      </c>
      <c r="H26" s="299" t="n">
        <v>1</v>
      </c>
      <c r="I26" s="299" t="inlineStr">
        <is>
          <t> </t>
        </is>
      </c>
      <c r="J26" s="297" t="inlineStr">
        <is>
          <t> </t>
        </is>
      </c>
      <c r="K26" s="297" t="n">
        <v>1</v>
      </c>
      <c r="L26" s="297" t="inlineStr">
        <is>
          <t> </t>
        </is>
      </c>
      <c r="M26" s="420" t="inlineStr">
        <is>
          <t> </t>
        </is>
      </c>
      <c r="N26" s="420" t="n">
        <v>1</v>
      </c>
      <c r="O26" s="420" t="inlineStr">
        <is>
          <t> </t>
        </is>
      </c>
      <c r="P26" s="299" t="inlineStr">
        <is>
          <t> </t>
        </is>
      </c>
      <c r="Q26" s="299" t="inlineStr">
        <is>
          <t> </t>
        </is>
      </c>
      <c r="R26" s="299" t="inlineStr">
        <is>
          <t> </t>
        </is>
      </c>
      <c r="S26" s="306" t="n">
        <v>6.6</v>
      </c>
      <c r="T26" s="308" t="n">
        <v>0.303</v>
      </c>
    </row>
    <row r="27" ht="28.8" customHeight="1">
      <c r="A27" s="258" t="inlineStr">
        <is>
          <t>Низкое качество работы, не выполнение функционала.</t>
        </is>
      </c>
      <c r="B27" s="256" t="n">
        <v>34</v>
      </c>
      <c r="C27" s="257">
        <f>B27/$B$53</f>
        <v/>
      </c>
      <c r="F27" s="305" t="inlineStr">
        <is>
          <t>Охрана труда</t>
        </is>
      </c>
      <c r="G27" s="299" t="inlineStr">
        <is>
          <t> </t>
        </is>
      </c>
      <c r="H27" s="299" t="inlineStr">
        <is>
          <t> </t>
        </is>
      </c>
      <c r="I27" s="299" t="inlineStr">
        <is>
          <t> </t>
        </is>
      </c>
      <c r="J27" s="297" t="inlineStr">
        <is>
          <t> </t>
        </is>
      </c>
      <c r="K27" s="297" t="n">
        <v>1</v>
      </c>
      <c r="L27" s="297" t="inlineStr">
        <is>
          <t> </t>
        </is>
      </c>
      <c r="M27" s="420" t="inlineStr">
        <is>
          <t> </t>
        </is>
      </c>
      <c r="N27" s="420" t="n">
        <v>1</v>
      </c>
      <c r="O27" s="420" t="inlineStr">
        <is>
          <t> </t>
        </is>
      </c>
      <c r="P27" s="299" t="inlineStr">
        <is>
          <t> </t>
        </is>
      </c>
      <c r="Q27" s="299" t="inlineStr">
        <is>
          <t> </t>
        </is>
      </c>
      <c r="R27" s="299" t="inlineStr">
        <is>
          <t> </t>
        </is>
      </c>
      <c r="S27" s="306" t="n">
        <v>2.1</v>
      </c>
      <c r="T27" s="308" t="n">
        <v>0.476199999999999</v>
      </c>
    </row>
    <row r="28" ht="43.2" customHeight="1">
      <c r="A28" s="258" t="inlineStr">
        <is>
          <t>Вредные привычки, прогулы и нарушение трудовой дисциплины</t>
        </is>
      </c>
      <c r="B28" s="256" t="n">
        <v>4</v>
      </c>
      <c r="C28" s="257">
        <f>B28/$B$53</f>
        <v/>
      </c>
      <c r="F28" s="311" t="inlineStr">
        <is>
          <t>Бухгалтерия</t>
        </is>
      </c>
      <c r="G28" s="312" t="inlineStr">
        <is>
          <t> </t>
        </is>
      </c>
      <c r="H28" s="312" t="inlineStr">
        <is>
          <t> </t>
        </is>
      </c>
      <c r="I28" s="312" t="inlineStr">
        <is>
          <t> </t>
        </is>
      </c>
      <c r="J28" s="312" t="inlineStr">
        <is>
          <t> </t>
        </is>
      </c>
      <c r="K28" s="312" t="inlineStr">
        <is>
          <t> </t>
        </is>
      </c>
      <c r="L28" s="312" t="inlineStr">
        <is>
          <t> </t>
        </is>
      </c>
      <c r="M28" s="312" t="inlineStr">
        <is>
          <t> </t>
        </is>
      </c>
      <c r="N28" s="312" t="inlineStr">
        <is>
          <t> </t>
        </is>
      </c>
      <c r="O28" s="312" t="inlineStr">
        <is>
          <t> </t>
        </is>
      </c>
      <c r="P28" s="312" t="inlineStr">
        <is>
          <t> </t>
        </is>
      </c>
      <c r="Q28" s="312" t="inlineStr">
        <is>
          <t> </t>
        </is>
      </c>
      <c r="R28" s="312" t="inlineStr">
        <is>
          <t> </t>
        </is>
      </c>
      <c r="S28" s="312" t="inlineStr">
        <is>
          <t> </t>
        </is>
      </c>
      <c r="T28" s="313" t="inlineStr">
        <is>
          <t> </t>
        </is>
      </c>
    </row>
    <row r="29" ht="40.95" customHeight="1">
      <c r="A29" s="258" t="inlineStr">
        <is>
          <t>Перевод в рамках ГК АИ</t>
        </is>
      </c>
      <c r="B29" s="256" t="n">
        <v>9</v>
      </c>
      <c r="C29" s="257">
        <f>B29/$B$53</f>
        <v/>
      </c>
      <c r="F29" s="305" t="inlineStr">
        <is>
          <t>Отдел дизайна</t>
        </is>
      </c>
      <c r="G29" s="299" t="inlineStr">
        <is>
          <t> </t>
        </is>
      </c>
      <c r="H29" s="299" t="inlineStr">
        <is>
          <t> </t>
        </is>
      </c>
      <c r="I29" s="299" t="inlineStr">
        <is>
          <t> </t>
        </is>
      </c>
      <c r="J29" s="297" t="inlineStr">
        <is>
          <t> </t>
        </is>
      </c>
      <c r="K29" s="297" t="inlineStr">
        <is>
          <t> </t>
        </is>
      </c>
      <c r="L29" s="297" t="inlineStr">
        <is>
          <t> </t>
        </is>
      </c>
      <c r="M29" s="420" t="inlineStr">
        <is>
          <t> </t>
        </is>
      </c>
      <c r="N29" s="420" t="inlineStr">
        <is>
          <t> </t>
        </is>
      </c>
      <c r="O29" s="420" t="n">
        <v>1</v>
      </c>
      <c r="P29" s="299" t="inlineStr">
        <is>
          <t> </t>
        </is>
      </c>
      <c r="Q29" s="299" t="inlineStr">
        <is>
          <t> </t>
        </is>
      </c>
      <c r="R29" s="299" t="inlineStr">
        <is>
          <t> </t>
        </is>
      </c>
      <c r="S29" s="312" t="n">
        <v>9.199999999999999</v>
      </c>
      <c r="T29" s="308" t="n">
        <v>0.476199999999999</v>
      </c>
    </row>
    <row r="30">
      <c r="A30" s="258" t="inlineStr">
        <is>
          <t>Истечение срока ТД</t>
        </is>
      </c>
      <c r="B30" s="256" t="n">
        <v>4</v>
      </c>
      <c r="C30" s="257">
        <f>B30/$B$53</f>
        <v/>
      </c>
      <c r="F30" s="305" t="inlineStr">
        <is>
          <t>ФЭО</t>
        </is>
      </c>
      <c r="G30" s="299" t="inlineStr">
        <is>
          <t> </t>
        </is>
      </c>
      <c r="H30" s="299" t="inlineStr">
        <is>
          <t> </t>
        </is>
      </c>
      <c r="I30" s="299" t="inlineStr">
        <is>
          <t> </t>
        </is>
      </c>
      <c r="J30" s="297" t="inlineStr">
        <is>
          <t> </t>
        </is>
      </c>
      <c r="K30" s="297" t="inlineStr">
        <is>
          <t> </t>
        </is>
      </c>
      <c r="L30" s="297" t="inlineStr">
        <is>
          <t> </t>
        </is>
      </c>
      <c r="M30" s="420" t="inlineStr">
        <is>
          <t> </t>
        </is>
      </c>
      <c r="N30" s="420" t="n">
        <v>1</v>
      </c>
      <c r="O30" s="420" t="inlineStr">
        <is>
          <t> </t>
        </is>
      </c>
      <c r="P30" s="299" t="inlineStr">
        <is>
          <t> </t>
        </is>
      </c>
      <c r="Q30" s="299" t="inlineStr">
        <is>
          <t> </t>
        </is>
      </c>
      <c r="R30" s="299" t="inlineStr">
        <is>
          <t> </t>
        </is>
      </c>
      <c r="S30" s="312" t="n">
        <v>18.5</v>
      </c>
      <c r="T30" s="308" t="n">
        <v>0.476199999999999</v>
      </c>
    </row>
    <row r="31" ht="28.8" customHeight="1">
      <c r="A31" s="258" t="inlineStr">
        <is>
          <t>Другие причины (проблемы с СБ и т.д.)</t>
        </is>
      </c>
      <c r="B31" s="256" t="n">
        <v>3</v>
      </c>
      <c r="C31" s="257">
        <f>B31/$B$53</f>
        <v/>
      </c>
      <c r="F31" s="305" t="inlineStr">
        <is>
          <t>ПЦ Машково</t>
        </is>
      </c>
      <c r="G31" s="299" t="n">
        <v>1</v>
      </c>
      <c r="H31" s="299" t="n">
        <v>2</v>
      </c>
      <c r="I31" s="299" t="n">
        <v>3</v>
      </c>
      <c r="J31" s="297" t="n">
        <v>4</v>
      </c>
      <c r="K31" s="297" t="inlineStr">
        <is>
          <t> </t>
        </is>
      </c>
      <c r="L31" s="297" t="n">
        <v>1</v>
      </c>
      <c r="M31" s="420" t="n">
        <v>6</v>
      </c>
      <c r="N31" s="420" t="n">
        <v>2</v>
      </c>
      <c r="O31" s="420" t="inlineStr">
        <is>
          <t> </t>
        </is>
      </c>
      <c r="P31" s="299" t="inlineStr">
        <is>
          <t> </t>
        </is>
      </c>
      <c r="Q31" s="299" t="inlineStr">
        <is>
          <t> </t>
        </is>
      </c>
      <c r="R31" s="299" t="inlineStr">
        <is>
          <t> </t>
        </is>
      </c>
      <c r="S31" s="306" t="n">
        <v>213.1</v>
      </c>
      <c r="T31" s="308" t="n">
        <v>0.0516</v>
      </c>
    </row>
    <row r="32">
      <c r="A32" s="255" t="inlineStr">
        <is>
          <t>Инициатива сотрудника:</t>
        </is>
      </c>
      <c r="B32" s="256" t="n"/>
      <c r="C32" s="257" t="n"/>
      <c r="F32" s="305" t="inlineStr">
        <is>
          <t>ПЦ Руднево</t>
        </is>
      </c>
      <c r="G32" s="299" t="inlineStr">
        <is>
          <t> </t>
        </is>
      </c>
      <c r="H32" s="299" t="inlineStr">
        <is>
          <t> </t>
        </is>
      </c>
      <c r="I32" s="299" t="inlineStr">
        <is>
          <t> </t>
        </is>
      </c>
      <c r="J32" s="297" t="n">
        <v>1</v>
      </c>
      <c r="K32" s="297" t="inlineStr">
        <is>
          <t> </t>
        </is>
      </c>
      <c r="L32" s="297" t="inlineStr">
        <is>
          <t> </t>
        </is>
      </c>
      <c r="M32" s="420" t="n">
        <v>1</v>
      </c>
      <c r="N32" s="420" t="n">
        <v>1</v>
      </c>
      <c r="O32" s="420" t="n">
        <v>3</v>
      </c>
      <c r="P32" s="299" t="inlineStr">
        <is>
          <t> </t>
        </is>
      </c>
      <c r="Q32" s="299" t="inlineStr">
        <is>
          <t> </t>
        </is>
      </c>
      <c r="R32" s="299" t="inlineStr">
        <is>
          <t> </t>
        </is>
      </c>
      <c r="S32" s="306" t="n">
        <v>47.6</v>
      </c>
      <c r="T32" s="308" t="n">
        <v>0.021</v>
      </c>
    </row>
    <row r="33" ht="43.2" customHeight="1">
      <c r="A33" s="259" t="inlineStr">
        <is>
          <t>Во время ИС не захотел работать у нас по любой причине</t>
        </is>
      </c>
      <c r="B33" s="256" t="n">
        <v>6</v>
      </c>
      <c r="C33" s="257">
        <f>B33/$B$53</f>
        <v/>
      </c>
      <c r="F33" s="305" t="inlineStr">
        <is>
          <t>ОП Воронеж (ПП6)</t>
        </is>
      </c>
      <c r="G33" s="299" t="inlineStr">
        <is>
          <t> </t>
        </is>
      </c>
      <c r="H33" s="299" t="n">
        <v>2</v>
      </c>
      <c r="I33" s="299" t="n">
        <v>1</v>
      </c>
      <c r="J33" s="297" t="inlineStr">
        <is>
          <t> </t>
        </is>
      </c>
      <c r="K33" s="297" t="n">
        <v>1</v>
      </c>
      <c r="L33" s="297" t="n">
        <v>10</v>
      </c>
      <c r="M33" s="420" t="n">
        <v>11</v>
      </c>
      <c r="N33" s="420" t="n">
        <v>2</v>
      </c>
      <c r="O33" s="420" t="n">
        <v>1</v>
      </c>
      <c r="P33" s="299" t="inlineStr">
        <is>
          <t> </t>
        </is>
      </c>
      <c r="Q33" s="299" t="inlineStr">
        <is>
          <t> </t>
        </is>
      </c>
      <c r="R33" s="299" t="inlineStr">
        <is>
          <t> </t>
        </is>
      </c>
      <c r="S33" s="306" t="n">
        <v>79</v>
      </c>
      <c r="T33" s="308" t="n">
        <v>0.1772</v>
      </c>
    </row>
    <row r="34" ht="72" customHeight="1">
      <c r="A34" s="259" t="inlineStr">
        <is>
          <t>Неудовлетворенность заработной платой: не соответствует объему работы, не устраивает уровень в целом</t>
        </is>
      </c>
      <c r="B34" s="256" t="n">
        <v>18</v>
      </c>
      <c r="C34" s="257">
        <f>B34/$B$53</f>
        <v/>
      </c>
      <c r="F34" s="305" t="inlineStr">
        <is>
          <t>ПП Казань</t>
        </is>
      </c>
      <c r="G34" s="299" t="n">
        <v>1</v>
      </c>
      <c r="H34" s="299" t="inlineStr">
        <is>
          <t> </t>
        </is>
      </c>
      <c r="I34" s="299" t="n">
        <v>2</v>
      </c>
      <c r="J34" s="297" t="inlineStr">
        <is>
          <t> </t>
        </is>
      </c>
      <c r="K34" s="297" t="n">
        <v>1</v>
      </c>
      <c r="L34" s="297" t="inlineStr">
        <is>
          <t> </t>
        </is>
      </c>
      <c r="M34" s="420" t="n">
        <v>1</v>
      </c>
      <c r="N34" s="420" t="n">
        <v>1</v>
      </c>
      <c r="O34" s="420" t="inlineStr">
        <is>
          <t> </t>
        </is>
      </c>
      <c r="P34" s="299" t="inlineStr">
        <is>
          <t> </t>
        </is>
      </c>
      <c r="Q34" s="299" t="inlineStr">
        <is>
          <t> </t>
        </is>
      </c>
      <c r="R34" s="299" t="inlineStr">
        <is>
          <t> </t>
        </is>
      </c>
      <c r="S34" s="306" t="n">
        <v>18.6</v>
      </c>
      <c r="T34" s="308" t="n">
        <v>0.2151</v>
      </c>
    </row>
    <row r="35" ht="37.5" customHeight="1">
      <c r="A35" s="259" t="inlineStr">
        <is>
          <t>Не устраивает система премирования</t>
        </is>
      </c>
      <c r="B35" s="256" t="n">
        <v>0</v>
      </c>
      <c r="C35" s="257">
        <f>B35/$B$53</f>
        <v/>
      </c>
      <c r="F35" s="305" t="inlineStr">
        <is>
          <t>ПП Ульяноск</t>
        </is>
      </c>
      <c r="G35" s="299" t="inlineStr">
        <is>
          <t> </t>
        </is>
      </c>
      <c r="H35" s="299" t="inlineStr">
        <is>
          <t> </t>
        </is>
      </c>
      <c r="I35" s="299" t="inlineStr">
        <is>
          <t> </t>
        </is>
      </c>
      <c r="J35" s="297" t="inlineStr">
        <is>
          <t> </t>
        </is>
      </c>
      <c r="K35" s="297" t="n">
        <v>1</v>
      </c>
      <c r="L35" s="297" t="inlineStr">
        <is>
          <t> </t>
        </is>
      </c>
      <c r="M35" s="420" t="inlineStr">
        <is>
          <t> </t>
        </is>
      </c>
      <c r="N35" s="420" t="inlineStr">
        <is>
          <t> </t>
        </is>
      </c>
      <c r="O35" s="420" t="inlineStr">
        <is>
          <t> </t>
        </is>
      </c>
      <c r="P35" s="299" t="inlineStr">
        <is>
          <t> </t>
        </is>
      </c>
      <c r="Q35" s="299" t="inlineStr">
        <is>
          <t> </t>
        </is>
      </c>
      <c r="R35" s="299" t="inlineStr">
        <is>
          <t> </t>
        </is>
      </c>
      <c r="S35" s="306" t="n">
        <v>18</v>
      </c>
      <c r="T35" s="308" t="n">
        <v>0.0556</v>
      </c>
    </row>
    <row r="36" ht="28.8" customHeight="1">
      <c r="A36" s="259" t="inlineStr">
        <is>
          <t>Неудовлетворенность соц.пакетом</t>
        </is>
      </c>
      <c r="B36" s="256" t="n">
        <v>1</v>
      </c>
      <c r="C36" s="257">
        <f>B36/$B$53</f>
        <v/>
      </c>
      <c r="F36" s="305" t="inlineStr">
        <is>
          <t>ОП Жуковский</t>
        </is>
      </c>
      <c r="G36" s="314" t="inlineStr">
        <is>
          <t> </t>
        </is>
      </c>
      <c r="H36" s="299" t="n">
        <v>1</v>
      </c>
      <c r="I36" s="300" t="inlineStr">
        <is>
          <t> </t>
        </is>
      </c>
      <c r="J36" s="309" t="inlineStr">
        <is>
          <t> </t>
        </is>
      </c>
      <c r="K36" s="309" t="inlineStr">
        <is>
          <t> </t>
        </is>
      </c>
      <c r="L36" s="309" t="inlineStr">
        <is>
          <t> </t>
        </is>
      </c>
      <c r="M36" s="421" t="inlineStr">
        <is>
          <t> </t>
        </is>
      </c>
      <c r="N36" s="421" t="inlineStr">
        <is>
          <t> </t>
        </is>
      </c>
      <c r="O36" s="421" t="inlineStr">
        <is>
          <t> </t>
        </is>
      </c>
      <c r="P36" s="300" t="inlineStr">
        <is>
          <t> </t>
        </is>
      </c>
      <c r="Q36" s="300" t="inlineStr">
        <is>
          <t> </t>
        </is>
      </c>
      <c r="R36" s="300" t="inlineStr">
        <is>
          <t> </t>
        </is>
      </c>
      <c r="S36" s="310" t="n">
        <v>17</v>
      </c>
      <c r="T36" s="308" t="n">
        <v>0.0588</v>
      </c>
    </row>
    <row r="37" ht="43.2" customHeight="1">
      <c r="A37" s="259" t="inlineStr">
        <is>
          <t>Неудовлетворенность содержанием работы, уровнем решаемых задач</t>
        </is>
      </c>
      <c r="B37" s="256" t="n">
        <v>12</v>
      </c>
      <c r="C37" s="257">
        <f>B37/$B$53</f>
        <v/>
      </c>
      <c r="F37" s="305" t="inlineStr">
        <is>
          <t>ОИБ</t>
        </is>
      </c>
      <c r="G37" s="314" t="inlineStr">
        <is>
          <t> </t>
        </is>
      </c>
      <c r="H37" s="299" t="inlineStr">
        <is>
          <t> </t>
        </is>
      </c>
      <c r="I37" s="300" t="inlineStr">
        <is>
          <t> </t>
        </is>
      </c>
      <c r="J37" s="309" t="inlineStr">
        <is>
          <t> </t>
        </is>
      </c>
      <c r="K37" s="309" t="inlineStr">
        <is>
          <t> </t>
        </is>
      </c>
      <c r="L37" s="309" t="inlineStr">
        <is>
          <t> </t>
        </is>
      </c>
      <c r="M37" s="421" t="n">
        <v>1</v>
      </c>
      <c r="N37" s="421" t="inlineStr">
        <is>
          <t> </t>
        </is>
      </c>
      <c r="O37" s="421" t="inlineStr">
        <is>
          <t> </t>
        </is>
      </c>
      <c r="P37" s="300" t="inlineStr">
        <is>
          <t> </t>
        </is>
      </c>
      <c r="Q37" s="300" t="inlineStr">
        <is>
          <t> </t>
        </is>
      </c>
      <c r="R37" s="300" t="inlineStr">
        <is>
          <t> </t>
        </is>
      </c>
      <c r="S37" s="306" t="n">
        <v>2.7</v>
      </c>
      <c r="T37" s="308" t="n">
        <v>0.0588</v>
      </c>
    </row>
    <row r="38" ht="28.8" customHeight="1">
      <c r="A38" s="259" t="inlineStr">
        <is>
          <t>Желание сменить специализацию</t>
        </is>
      </c>
      <c r="B38" s="256" t="n">
        <v>1</v>
      </c>
      <c r="C38" s="257">
        <f>B38/$B$53</f>
        <v/>
      </c>
      <c r="F38" s="305" t="inlineStr">
        <is>
          <t>СГИ</t>
        </is>
      </c>
      <c r="G38" s="315" t="inlineStr">
        <is>
          <t> </t>
        </is>
      </c>
      <c r="H38" s="316" t="n">
        <v>1</v>
      </c>
      <c r="I38" s="316" t="n">
        <v>2</v>
      </c>
      <c r="J38" s="309" t="inlineStr">
        <is>
          <t> </t>
        </is>
      </c>
      <c r="K38" s="309" t="inlineStr">
        <is>
          <t> </t>
        </is>
      </c>
      <c r="L38" s="309" t="inlineStr">
        <is>
          <t> </t>
        </is>
      </c>
      <c r="M38" s="422" t="n">
        <v>2</v>
      </c>
      <c r="N38" s="422" t="inlineStr">
        <is>
          <t> </t>
        </is>
      </c>
      <c r="O38" s="422" t="inlineStr">
        <is>
          <t> </t>
        </is>
      </c>
      <c r="P38" s="315" t="inlineStr">
        <is>
          <t> </t>
        </is>
      </c>
      <c r="Q38" s="315" t="inlineStr">
        <is>
          <t> </t>
        </is>
      </c>
      <c r="R38" s="315" t="inlineStr">
        <is>
          <t> </t>
        </is>
      </c>
      <c r="S38" s="310" t="n">
        <v>21</v>
      </c>
      <c r="T38" s="308" t="n">
        <v>0.1429</v>
      </c>
    </row>
    <row r="39" ht="43.2" customHeight="1">
      <c r="A39" s="259" t="inlineStr">
        <is>
          <t>Отсутствие возможности повышения квалификации (нет перспектив проф.роста)</t>
        </is>
      </c>
      <c r="B39" s="256" t="n">
        <v>1</v>
      </c>
      <c r="C39" s="257">
        <f>B39/$B$53</f>
        <v/>
      </c>
      <c r="F39" s="305" t="inlineStr">
        <is>
          <t>АХО</t>
        </is>
      </c>
      <c r="G39" s="316" t="n">
        <v>2</v>
      </c>
      <c r="H39" s="315" t="inlineStr">
        <is>
          <t> </t>
        </is>
      </c>
      <c r="I39" s="315" t="inlineStr">
        <is>
          <t> </t>
        </is>
      </c>
      <c r="J39" s="309" t="inlineStr">
        <is>
          <t> </t>
        </is>
      </c>
      <c r="K39" s="309" t="inlineStr">
        <is>
          <t> </t>
        </is>
      </c>
      <c r="L39" s="297" t="inlineStr">
        <is>
          <t> </t>
        </is>
      </c>
      <c r="M39" s="422" t="n">
        <v>2</v>
      </c>
      <c r="N39" s="422" t="inlineStr">
        <is>
          <t> </t>
        </is>
      </c>
      <c r="O39" s="422" t="n">
        <v>1</v>
      </c>
      <c r="P39" s="315" t="inlineStr">
        <is>
          <t> </t>
        </is>
      </c>
      <c r="Q39" s="315" t="inlineStr">
        <is>
          <t> </t>
        </is>
      </c>
      <c r="R39" s="315" t="inlineStr">
        <is>
          <t> </t>
        </is>
      </c>
      <c r="S39" s="310" t="n">
        <v>10</v>
      </c>
      <c r="T39" s="307" t="n">
        <v>0.2</v>
      </c>
    </row>
    <row r="40" ht="43.2" customHeight="1">
      <c r="A40" s="259" t="inlineStr">
        <is>
          <t>Отсутствие системы карьерного роста (нет продвижения по службе)</t>
        </is>
      </c>
      <c r="B40" s="256" t="n">
        <v>6</v>
      </c>
      <c r="C40" s="257">
        <f>B40/$B$53</f>
        <v/>
      </c>
      <c r="F40" s="305" t="inlineStr">
        <is>
          <t>Отдел режима</t>
        </is>
      </c>
      <c r="G40" s="316" t="n">
        <v>1</v>
      </c>
      <c r="H40" s="315" t="inlineStr">
        <is>
          <t> </t>
        </is>
      </c>
      <c r="I40" s="315" t="inlineStr">
        <is>
          <t> </t>
        </is>
      </c>
      <c r="J40" s="297" t="inlineStr">
        <is>
          <t> </t>
        </is>
      </c>
      <c r="K40" s="309" t="inlineStr">
        <is>
          <t> </t>
        </is>
      </c>
      <c r="L40" s="309" t="inlineStr">
        <is>
          <t> </t>
        </is>
      </c>
      <c r="M40" s="422" t="inlineStr">
        <is>
          <t> </t>
        </is>
      </c>
      <c r="N40" s="422" t="inlineStr">
        <is>
          <t> </t>
        </is>
      </c>
      <c r="O40" s="422" t="inlineStr">
        <is>
          <t> </t>
        </is>
      </c>
      <c r="P40" s="315" t="inlineStr">
        <is>
          <t> </t>
        </is>
      </c>
      <c r="Q40" s="315" t="inlineStr">
        <is>
          <t> </t>
        </is>
      </c>
      <c r="R40" s="315" t="inlineStr">
        <is>
          <t> </t>
        </is>
      </c>
      <c r="S40" s="310" t="n">
        <v>5</v>
      </c>
      <c r="T40" s="307" t="n">
        <v>0.2</v>
      </c>
    </row>
    <row r="41" ht="28.8" customHeight="1">
      <c r="A41" s="259" t="inlineStr">
        <is>
          <t>Чрезмерная нагрузка, интенсивные условия труда</t>
        </is>
      </c>
      <c r="B41" s="256" t="n">
        <v>9</v>
      </c>
      <c r="C41" s="257">
        <f>B41/$B$53</f>
        <v/>
      </c>
      <c r="F41" s="305" t="inlineStr">
        <is>
          <t>ОАСУП</t>
        </is>
      </c>
      <c r="G41" s="315" t="inlineStr">
        <is>
          <t> </t>
        </is>
      </c>
      <c r="H41" s="316" t="n">
        <v>1</v>
      </c>
      <c r="I41" s="315" t="inlineStr">
        <is>
          <t> </t>
        </is>
      </c>
      <c r="J41" s="309" t="n">
        <v>1</v>
      </c>
      <c r="K41" s="309" t="inlineStr">
        <is>
          <t> </t>
        </is>
      </c>
      <c r="L41" s="309" t="inlineStr">
        <is>
          <t> </t>
        </is>
      </c>
      <c r="M41" s="422" t="inlineStr">
        <is>
          <t> </t>
        </is>
      </c>
      <c r="N41" s="422" t="n">
        <v>1</v>
      </c>
      <c r="O41" s="422" t="n">
        <v>2</v>
      </c>
      <c r="P41" s="315" t="inlineStr">
        <is>
          <t> </t>
        </is>
      </c>
      <c r="Q41" s="315" t="inlineStr">
        <is>
          <t> </t>
        </is>
      </c>
      <c r="R41" s="315" t="inlineStr">
        <is>
          <t> </t>
        </is>
      </c>
      <c r="S41" s="306" t="n">
        <v>5.2</v>
      </c>
      <c r="T41" s="308" t="n">
        <v>0.3846</v>
      </c>
    </row>
    <row r="42" ht="28.8" customHeight="1">
      <c r="A42" s="259" t="inlineStr">
        <is>
          <t>Не сложились отношения с руководством</t>
        </is>
      </c>
      <c r="B42" s="256" t="n">
        <v>12</v>
      </c>
      <c r="C42" s="257">
        <f>B42/$B$53</f>
        <v/>
      </c>
      <c r="F42" s="305" t="inlineStr">
        <is>
          <t>ОИТ</t>
        </is>
      </c>
      <c r="G42" s="317" t="inlineStr">
        <is>
          <t> </t>
        </is>
      </c>
      <c r="H42" s="315" t="inlineStr">
        <is>
          <t> </t>
        </is>
      </c>
      <c r="I42" s="315" t="inlineStr">
        <is>
          <t> </t>
        </is>
      </c>
      <c r="J42" s="309" t="inlineStr">
        <is>
          <t> </t>
        </is>
      </c>
      <c r="K42" s="309" t="inlineStr">
        <is>
          <t> </t>
        </is>
      </c>
      <c r="L42" s="309" t="n">
        <v>1</v>
      </c>
      <c r="M42" s="422" t="n">
        <v>1</v>
      </c>
      <c r="N42" s="422" t="inlineStr">
        <is>
          <t> </t>
        </is>
      </c>
      <c r="O42" s="422" t="n">
        <v>1</v>
      </c>
      <c r="P42" s="315" t="inlineStr">
        <is>
          <t> </t>
        </is>
      </c>
      <c r="Q42" s="315" t="inlineStr">
        <is>
          <t> </t>
        </is>
      </c>
      <c r="R42" s="315" t="inlineStr">
        <is>
          <t> </t>
        </is>
      </c>
      <c r="S42" s="306" t="n">
        <v>7.3</v>
      </c>
      <c r="T42" s="308" t="n">
        <v>0.136999999999999</v>
      </c>
    </row>
    <row r="43" ht="43.2" customHeight="1">
      <c r="A43" s="259" t="inlineStr">
        <is>
          <t>Неудовлетворенность общим трудовым климатом, конфликты в коллективе</t>
        </is>
      </c>
      <c r="B43" s="256" t="n">
        <v>3</v>
      </c>
      <c r="C43" s="257">
        <f>B43/$B$53</f>
        <v/>
      </c>
      <c r="F43" s="305" t="inlineStr">
        <is>
          <t>ПДО</t>
        </is>
      </c>
      <c r="G43" s="317" t="inlineStr">
        <is>
          <t> </t>
        </is>
      </c>
      <c r="H43" s="316" t="n">
        <v>1</v>
      </c>
      <c r="I43" s="315" t="inlineStr">
        <is>
          <t> </t>
        </is>
      </c>
      <c r="J43" s="309" t="inlineStr">
        <is>
          <t> </t>
        </is>
      </c>
      <c r="K43" s="309" t="inlineStr">
        <is>
          <t> </t>
        </is>
      </c>
      <c r="L43" s="309" t="n">
        <v>1</v>
      </c>
      <c r="M43" s="422" t="n">
        <v>2</v>
      </c>
      <c r="N43" s="422" t="n">
        <v>2</v>
      </c>
      <c r="O43" s="422" t="n">
        <v>1</v>
      </c>
      <c r="P43" s="315" t="inlineStr">
        <is>
          <t> </t>
        </is>
      </c>
      <c r="Q43" s="315" t="inlineStr">
        <is>
          <t> </t>
        </is>
      </c>
      <c r="R43" s="315" t="inlineStr">
        <is>
          <t> </t>
        </is>
      </c>
      <c r="S43" s="306" t="n">
        <v>22.7</v>
      </c>
      <c r="T43" s="308" t="n">
        <v>0.0881</v>
      </c>
    </row>
    <row r="44" ht="28.8" customHeight="1">
      <c r="A44" s="259" t="inlineStr">
        <is>
          <t>Желание работать удаленно или в гибридном формате</t>
        </is>
      </c>
      <c r="B44" s="256" t="n">
        <v>1</v>
      </c>
      <c r="C44" s="257">
        <f>B44/$B$53</f>
        <v/>
      </c>
      <c r="F44" s="305" t="inlineStr">
        <is>
          <t>Дирекция программ</t>
        </is>
      </c>
      <c r="G44" s="317" t="inlineStr">
        <is>
          <t> </t>
        </is>
      </c>
      <c r="H44" s="315" t="inlineStr">
        <is>
          <t> </t>
        </is>
      </c>
      <c r="I44" s="316" t="n">
        <v>3</v>
      </c>
      <c r="J44" s="309" t="inlineStr">
        <is>
          <t> </t>
        </is>
      </c>
      <c r="K44" s="309" t="inlineStr">
        <is>
          <t> </t>
        </is>
      </c>
      <c r="L44" s="309" t="inlineStr">
        <is>
          <t> </t>
        </is>
      </c>
      <c r="M44" s="422" t="inlineStr">
        <is>
          <t> </t>
        </is>
      </c>
      <c r="N44" s="422" t="inlineStr">
        <is>
          <t> </t>
        </is>
      </c>
      <c r="O44" s="422" t="inlineStr">
        <is>
          <t> </t>
        </is>
      </c>
      <c r="P44" s="315" t="inlineStr">
        <is>
          <t> </t>
        </is>
      </c>
      <c r="Q44" s="315" t="inlineStr">
        <is>
          <t> </t>
        </is>
      </c>
      <c r="R44" s="315" t="inlineStr">
        <is>
          <t> </t>
        </is>
      </c>
      <c r="S44" s="310" t="n">
        <v>1</v>
      </c>
      <c r="T44" s="307" t="n">
        <v>3</v>
      </c>
    </row>
    <row r="45" ht="43.2" customHeight="1">
      <c r="A45" s="259" t="inlineStr">
        <is>
          <t>Другие причины (все другие причины, при увольнении по собственному желанию)</t>
        </is>
      </c>
      <c r="B45" s="256" t="n">
        <v>10</v>
      </c>
      <c r="C45" s="257">
        <f>B45/$B$53</f>
        <v/>
      </c>
      <c r="F45" s="305" t="inlineStr">
        <is>
          <t>Делопроизводство</t>
        </is>
      </c>
      <c r="G45" s="317" t="inlineStr">
        <is>
          <t> </t>
        </is>
      </c>
      <c r="H45" s="315" t="inlineStr">
        <is>
          <t> </t>
        </is>
      </c>
      <c r="I45" s="315" t="inlineStr">
        <is>
          <t> </t>
        </is>
      </c>
      <c r="J45" s="309" t="inlineStr">
        <is>
          <t> </t>
        </is>
      </c>
      <c r="K45" s="309" t="n">
        <v>1</v>
      </c>
      <c r="L45" s="309" t="inlineStr">
        <is>
          <t> </t>
        </is>
      </c>
      <c r="M45" s="422" t="inlineStr">
        <is>
          <t> </t>
        </is>
      </c>
      <c r="N45" s="422" t="inlineStr">
        <is>
          <t> </t>
        </is>
      </c>
      <c r="O45" s="422" t="inlineStr">
        <is>
          <t> </t>
        </is>
      </c>
      <c r="P45" s="315" t="inlineStr">
        <is>
          <t> </t>
        </is>
      </c>
      <c r="Q45" s="315" t="inlineStr">
        <is>
          <t> </t>
        </is>
      </c>
      <c r="R45" s="315" t="inlineStr">
        <is>
          <t> </t>
        </is>
      </c>
      <c r="S45" s="310" t="n">
        <v>1</v>
      </c>
      <c r="T45" s="307" t="n">
        <v>1</v>
      </c>
    </row>
    <row r="46">
      <c r="A46" s="259" t="inlineStr">
        <is>
          <t>Выход на пенсию</t>
        </is>
      </c>
      <c r="B46" s="256" t="n">
        <v>1</v>
      </c>
      <c r="C46" s="257">
        <f>B46/$B$53</f>
        <v/>
      </c>
      <c r="F46" s="267" t="inlineStr">
        <is>
          <t>Всего уволенных</t>
        </is>
      </c>
      <c r="G46" s="268">
        <f>SUM(G16:R45)</f>
        <v/>
      </c>
      <c r="H46" s="266" t="inlineStr">
        <is>
          <t> </t>
        </is>
      </c>
      <c r="I46" s="266" t="inlineStr">
        <is>
          <t> </t>
        </is>
      </c>
      <c r="J46" s="268" t="n"/>
      <c r="K46" s="266" t="inlineStr">
        <is>
          <t> </t>
        </is>
      </c>
      <c r="L46" s="266" t="inlineStr">
        <is>
          <t> </t>
        </is>
      </c>
      <c r="M46" s="268" t="n"/>
      <c r="N46" s="266" t="inlineStr">
        <is>
          <t> </t>
        </is>
      </c>
      <c r="O46" s="266" t="inlineStr">
        <is>
          <t> </t>
        </is>
      </c>
      <c r="P46" s="268" t="n"/>
      <c r="Q46" s="266" t="inlineStr">
        <is>
          <t> </t>
        </is>
      </c>
      <c r="R46" s="266" t="inlineStr">
        <is>
          <t> </t>
        </is>
      </c>
      <c r="S46" s="269" t="inlineStr">
        <is>
          <t> </t>
        </is>
      </c>
      <c r="T46" s="266" t="inlineStr">
        <is>
          <t> </t>
        </is>
      </c>
    </row>
    <row r="47">
      <c r="A47" s="259" t="inlineStr">
        <is>
          <t>Неудобный график</t>
        </is>
      </c>
      <c r="B47" s="256" t="n">
        <v>3</v>
      </c>
      <c r="C47" s="257">
        <f>B47/$B$53</f>
        <v/>
      </c>
    </row>
    <row r="48" ht="28.8" customHeight="1">
      <c r="A48" s="258" t="inlineStr">
        <is>
          <t>Переезд на другое место жительства</t>
        </is>
      </c>
      <c r="B48" s="256" t="n">
        <v>4</v>
      </c>
      <c r="C48" s="257">
        <f>B48/$B$53</f>
        <v/>
      </c>
    </row>
    <row r="49" ht="28.8" customHeight="1">
      <c r="A49" s="258" t="inlineStr">
        <is>
          <t>Трудно добираться до места работы</t>
        </is>
      </c>
      <c r="B49" s="256" t="n">
        <v>5</v>
      </c>
      <c r="C49" s="257">
        <f>B49/$B$53</f>
        <v/>
      </c>
    </row>
    <row r="50" ht="28.8" customHeight="1">
      <c r="A50" s="258" t="inlineStr">
        <is>
          <t>Невозможно совмещать работу и учебу</t>
        </is>
      </c>
      <c r="B50" s="256" t="n">
        <v>1</v>
      </c>
      <c r="C50" s="257">
        <f>B50/$B$53</f>
        <v/>
      </c>
    </row>
    <row r="51">
      <c r="A51" s="36" t="inlineStr">
        <is>
          <t>Состояние здоровья</t>
        </is>
      </c>
      <c r="B51" s="256" t="n">
        <v>7</v>
      </c>
      <c r="C51" s="257">
        <f>B51/$B$53</f>
        <v/>
      </c>
    </row>
    <row r="52">
      <c r="A52" s="36" t="inlineStr">
        <is>
          <t>Армия/мобилизация</t>
        </is>
      </c>
      <c r="B52" s="256" t="n">
        <v>1</v>
      </c>
      <c r="C52" s="257">
        <f>B52/$B$53</f>
        <v/>
      </c>
    </row>
    <row r="53">
      <c r="A53" s="260" t="inlineStr">
        <is>
          <t>Итого</t>
        </is>
      </c>
      <c r="B53" s="261">
        <f>SUM(B25:B52)</f>
        <v/>
      </c>
      <c r="C53" s="262">
        <f>SUM(C25:C52)</f>
        <v/>
      </c>
    </row>
    <row r="64">
      <c r="E64" s="263" t="n"/>
    </row>
    <row r="65">
      <c r="E65" s="264" t="n"/>
    </row>
    <row r="66">
      <c r="E66" s="264" t="n"/>
    </row>
    <row r="67">
      <c r="E67" s="265" t="n"/>
    </row>
    <row r="68">
      <c r="E68" s="265" t="n"/>
    </row>
    <row r="69">
      <c r="E69" s="265" t="n"/>
    </row>
    <row r="70">
      <c r="E70" s="265" t="n"/>
    </row>
    <row r="71">
      <c r="E71" s="265" t="n"/>
    </row>
    <row r="72">
      <c r="E72" s="265" t="n"/>
    </row>
    <row r="73">
      <c r="E73" s="265" t="n"/>
    </row>
    <row r="74">
      <c r="E74" s="265" t="n"/>
    </row>
    <row r="75">
      <c r="E75" s="265" t="n"/>
    </row>
    <row r="76">
      <c r="E76" s="265" t="n"/>
    </row>
    <row r="77">
      <c r="E77" s="265" t="n"/>
    </row>
    <row r="78">
      <c r="E78" s="265" t="n"/>
    </row>
    <row r="79" ht="27" customHeight="1">
      <c r="E79" s="265" t="n"/>
    </row>
    <row r="80">
      <c r="E80" s="265" t="n"/>
    </row>
    <row r="81">
      <c r="E81" s="265" t="n"/>
    </row>
    <row r="82">
      <c r="E82" s="265" t="n"/>
    </row>
    <row r="83">
      <c r="E83" s="265" t="n"/>
    </row>
    <row r="84">
      <c r="E84" s="265" t="n"/>
    </row>
    <row r="85">
      <c r="E85" s="265" t="n"/>
    </row>
    <row r="86">
      <c r="E86" s="264" t="n"/>
    </row>
    <row r="87">
      <c r="E87" s="264" t="n"/>
    </row>
  </sheetData>
  <mergeCells count="12">
    <mergeCell ref="A1:D1"/>
    <mergeCell ref="C12:D12"/>
    <mergeCell ref="A2:B2"/>
    <mergeCell ref="C2:D2"/>
    <mergeCell ref="A23:B23"/>
    <mergeCell ref="F14:T14"/>
    <mergeCell ref="F13:T13"/>
    <mergeCell ref="S3:S4"/>
    <mergeCell ref="T3:T4"/>
    <mergeCell ref="F1:T1"/>
    <mergeCell ref="F3:R3"/>
    <mergeCell ref="A12:B12"/>
  </mergeCells>
  <pageMargins left="0.701" right="0.701" top="0.752" bottom="0.752" header="0.3" footer="0.3"/>
  <pageSetup orientation="portrait" paperSize="9" scale="37" useFirstPageNumber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Аншакова Ирина Сергеевна</dc:creator>
  <dcterms:created xsi:type="dcterms:W3CDTF">2024-07-09T09:31:17Z</dcterms:created>
  <dcterms:modified xsi:type="dcterms:W3CDTF">2026-09-30T06:22:06Z</dcterms:modified>
  <cp:lastModifiedBy>Айкешева Айгуль Кайргалиевна</cp:lastModifiedBy>
  <cp:revision>175</cp:revision>
</cp:coreProperties>
</file>