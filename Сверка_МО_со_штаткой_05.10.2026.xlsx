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1. Уволены" sheetId="2" state="visible" r:id="rId4"/>
    <sheet name="2. Новые — подлежат МО" sheetId="3" state="visible" r:id="rId5"/>
    <sheet name="3. Смена должности" sheetId="4" state="visible" r:id="rId6"/>
    <sheet name="4. Вне перечня — на решение" sheetId="5" state="visible" r:id="rId7"/>
  </sheets>
  <definedNames>
    <definedName function="false" hidden="true" localSheetId="1" name="_xlnm._FilterDatabase" vbProcedure="false">'1. Уволены'!$A$1:$I$7</definedName>
    <definedName function="false" hidden="true" localSheetId="2" name="_xlnm._FilterDatabase" vbProcedure="false">'2. Новые — подлежат МО'!$A$1:$L$11</definedName>
    <definedName function="false" hidden="true" localSheetId="3" name="_xlnm._FilterDatabase" vbProcedure="false">'3. Смена должности'!$A$1:$N$53</definedName>
    <definedName function="false" hidden="true" localSheetId="4" name="_xlnm._FilterDatabase" vbProcedure="false">'4. Вне перечня — на решение'!$A$2:$I$14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<sst xmlns="http://schemas.openxmlformats.org/spreadsheetml/2006/main" count="740" uniqueCount="258">
  <si>
    <t xml:space="preserve">Сверка списка медосмотров со штатным расписанием</t>
  </si>
  <si>
    <t xml:space="preserve">ООО «Авиационные интерьеры-СН». Файл МО (Приказ №43 от 03.04.2026, штатка на 04.09.2026) ↔ штатка 1С на 05.10.2026. Дата сверки: 15.10.2026</t>
  </si>
  <si>
    <t xml:space="preserve">Показатель</t>
  </si>
  <si>
    <t xml:space="preserve">Кол-во, чел.</t>
  </si>
  <si>
    <t xml:space="preserve">Сотрудников в файле МО (лист «Учёт медосмотров»)</t>
  </si>
  <si>
    <t xml:space="preserve">Сотрудников в штатке 05.10.2026 (строк)</t>
  </si>
  <si>
    <t xml:space="preserve">Уволены — исключить из списка МО</t>
  </si>
  <si>
    <t xml:space="preserve">Новые, подлежат МО по Приказу №43 — добавить</t>
  </si>
  <si>
    <t xml:space="preserve">Сменили должность (в т.ч. переименование), остаются в перечне</t>
  </si>
  <si>
    <t xml:space="preserve">Сменили должность, новая должность вне перечня Приказа №43 — требуется решение</t>
  </si>
  <si>
    <t xml:space="preserve">Вне перечня, рекомендуется оценить по СОУТ (лист 4)</t>
  </si>
  <si>
    <t xml:space="preserve">Численность в списке МО после обновления (без учёта решения по листам 3–4)</t>
  </si>
  <si>
    <t xml:space="preserve">Ключевые выводы</t>
  </si>
  <si>
    <t xml:space="preserve">1. Уволены 6 чел. (Воронеж 1, Машково 1, Руднево 4). У 4 из них в файле стоит дата предварительного МО — исторические данные можно сохранить в архиве, из действующего списка исключить.</t>
  </si>
  <si>
    <t xml:space="preserve">2. Принято 10 чел. на должности из перечня (08.09–02.10.2026). Даты предварительного МО по ним в файле нет — проверить, что осмотр пройден ДО допуска к работе (ст. 214, 220 ТК РФ). Власова О.В. (электромонтажник, п.20) — дополнительно психиатрическое освидетельствование. У Иванова Ю.С. в штатке не указано фактическое место работы.</t>
  </si>
  <si>
    <t xml:space="preserve">3. Главный риск: 33 чел. мебельного участка и участка декоративной отделки (Машково) в штатке переименованы — «Столяр», «Столяр-краснодеревщик» → «Техник-сборщик»; «Маляр» → «Техник»; «Оператор-наладчик станков с ЧПУ» → «Инженер-программист станков с ЧПУ». Этих наименований нет в Приказе №43. Обязанность МО определяется вредными факторами и видами работ (Приказ №29н, ст. 220 ТК РФ), а не названием должности: работа с ЛКМ, древесной пылью, шумом сохраняется. Исключать их из списка нельзя — нужно внести изменения в Приказ №43 и уточнить у кадровой службы основание переименования.</t>
  </si>
  <si>
    <t xml:space="preserve">4. Монтажники электрооборудования ЛА (4 чел., Машково) переведены в «Электромонтажник» (п.20) — у них появляется обязанность психиатрического освидетельствования (п.20 = «Да»).</t>
  </si>
  <si>
    <t xml:space="preserve">5. «Оператор станков с ЧПУ» (штатка) vs «Оператор станка с ЧПУ» (Приказ №43, п.30) — разночтение в написании. Отнесены к п.30; в Приказе №43 при следующей редакции привести формулировку к штатке. В лист «Соответствие» добавить ключ «оператор станков с чпу» → 30.</t>
  </si>
  <si>
    <t xml:space="preserve">6. Смены должностей внутри перечня (бригадиры, облицовщики, слесари МСР, мастера участка) — обновить наименование и пункт в файле МО; периодичность у всех 12 мес., не меняется.</t>
  </si>
  <si>
    <t xml:space="preserve">7. Цвет в листе 3: красный — вне перечня, жёлтый — меняется пункт/статус психиатр. освидетельствования, зелёный — только наименование.</t>
  </si>
  <si>
    <t xml:space="preserve">Слабые места сверки и исходных данных (самопроверка 15.10.2026)</t>
  </si>
  <si>
    <t xml:space="preserve">1. Сопоставление — по ФИО (СНИЛС в файле МО нет). Для всех 359 совпавших дата приёма в обоих файлах одинакова, однофамильцев и дублей нет — идентификация надёжна. Уволенные проверены дополнительно по фамилии и дате приёма: «двойников» (смена фамилии, опечатки) не найдено.</t>
  </si>
  <si>
    <t xml:space="preserve">2. Штатка — на 05.10.2026. Приёмы и увольнения с 06.10 по текущую дату в сверку не попали.</t>
  </si>
  <si>
    <t xml:space="preserve">3. Смена пункта Перечня меняет объём осмотра. У части работников при переходе выпадают химические и иные факторы (столбец N листа 3). Пример: монтажники ЭО ЛА (п.37: 1.8.4, 1.12, 1.15, 1.25, 1.27, 1.44, 4.6) → электромонтажник (п.20). Бывшие маляры (п.36: ЛКМ, растворители) → облицовщики/бригадиры. Если фактическая работа не изменилась, объём осмотра определяется картой СОУТ, а не новым наименованием — направлять по старому набору факторов до уточнения.</t>
  </si>
  <si>
    <t xml:space="preserve">4. Не установлено, когда и каким документом проведены переименования (Столяр/Маляр → Техник-сборщик/Техник). Файл МО заявлен как собранный из штатки на 04.09.2026, но содержит старые наименования. Нужна выписка из кадров: дата и основание (переименование штатной единицы или перевод).</t>
  </si>
  <si>
    <t xml:space="preserve">5. Психиатрическое освидетельствование: столбец «Да/Нет» и цикл «1 раз в 5 лет» унаследованы из файла МО, я их не перепроверяла. По разъяснениям ГАРАНТ и Онлайнинспекции, Порядок по Приказу №342н не предусматривает периодичности 1 раз в 5 лет — освидетельствование проводится в установленных случаях, в т.ч. при приёме на работу. Кроме того, с 01.03.2026 действует редакция приложений №1 и №2 к 342н (Приказ Минздрава №392н от 02.07.2025). Столбец психиатрии и дату «очередного освидетельствования» в файле МО нужно сверить с действующей редакцией. Статус «Да» для электромонтажников (Власова О.В. и 4 переведённых) — под этой же оговоркой.</t>
  </si>
  <si>
    <t xml:space="preserve">6. «Оператор станков с ЧПУ» отнесён к п.30 («Оператор станка с ЧПУ») по смыслу. Это допущение до внесения изменений в Приказ №43.</t>
  </si>
  <si>
    <t xml:space="preserve">7. Лист 4 («Вне перечня — на решение») — экспертная выборка, а не требование норм. Ведущие и главные специалисты (18 + 4 чел.) не включены, хотя п.12 «Специалист» в файле МО применён ко всем «Специалистам», включая бухгалтерию и делопроизводство. Это несогласованность исходного файла: проверить, кого Приказ №43 имел в виду под п.12.</t>
  </si>
  <si>
    <t xml:space="preserve">8. Исходный файл МО: в «Инструкции» указано 363 чел., на листе — 365. 5 человек остаются с датой предварительного МО позже даты приёма (Зеленов М.В., Ковалёв А.А., Солмин А.Ю., Галактионов А.А., Павлов А.С.). Дата предварительного МО есть у 67 из 365.</t>
  </si>
  <si>
    <t xml:space="preserve">9. Анисимов И.В. (сборщик стеклопластиковых изделий) — 20,9 года. Периодичность 12 мес. совпадает с правилом для лиц моложе 21 года, отдельных действий не требуется.</t>
  </si>
  <si>
    <t xml:space="preserve">№</t>
  </si>
  <si>
    <t xml:space="preserve">Строка в файле МО</t>
  </si>
  <si>
    <t xml:space="preserve">ФИО</t>
  </si>
  <si>
    <t xml:space="preserve">Должность</t>
  </si>
  <si>
    <t xml:space="preserve">Подразделение</t>
  </si>
  <si>
    <t xml:space="preserve">Площадка</t>
  </si>
  <si>
    <t xml:space="preserve">Дата приёма</t>
  </si>
  <si>
    <t xml:space="preserve">Дата предв. МО (из файла МО)</t>
  </si>
  <si>
    <t xml:space="preserve">Действие</t>
  </si>
  <si>
    <t xml:space="preserve">Макарцова Инна Михайловна</t>
  </si>
  <si>
    <t xml:space="preserve">Кладовщик</t>
  </si>
  <si>
    <t xml:space="preserve">Производственное подразделение №6</t>
  </si>
  <si>
    <t xml:space="preserve">Воронеж</t>
  </si>
  <si>
    <t xml:space="preserve">Исключить из списка МО (нет в штатке 05.10.2026)</t>
  </si>
  <si>
    <t xml:space="preserve">Бакланов Виктор Георгиевич</t>
  </si>
  <si>
    <t xml:space="preserve">Ведущий диспетчер</t>
  </si>
  <si>
    <t xml:space="preserve">Планово-диспетчерский отдел</t>
  </si>
  <si>
    <t xml:space="preserve">Машково</t>
  </si>
  <si>
    <t xml:space="preserve">Федотов Кирилл Сергеевич</t>
  </si>
  <si>
    <t xml:space="preserve">Оператор станка с ЧПУ 4 разряда</t>
  </si>
  <si>
    <t xml:space="preserve">Механический участок</t>
  </si>
  <si>
    <t xml:space="preserve">Руднево</t>
  </si>
  <si>
    <t xml:space="preserve">Щербинин Вадим Сергеевич</t>
  </si>
  <si>
    <t xml:space="preserve">Мастер участка</t>
  </si>
  <si>
    <t xml:space="preserve">Лотоненко Александр Юрьевич</t>
  </si>
  <si>
    <t xml:space="preserve">Слесарь-сборщик 5 разряда</t>
  </si>
  <si>
    <t xml:space="preserve">Пилюта Артём Михайлович</t>
  </si>
  <si>
    <t xml:space="preserve">Слесарь механосборочных работ 2 разряда</t>
  </si>
  <si>
    <t xml:space="preserve">Должность (штатка)</t>
  </si>
  <si>
    <t xml:space="preserve">№ п/п Перечня</t>
  </si>
  <si>
    <t xml:space="preserve">Позиция Перечня (Приказ №43)</t>
  </si>
  <si>
    <t xml:space="preserve">Психиатр. освид. (342н)</t>
  </si>
  <si>
    <t xml:space="preserve">Примечание</t>
  </si>
  <si>
    <t xml:space="preserve">Дата предв. МО (внести)</t>
  </si>
  <si>
    <t xml:space="preserve">Дата психиатр. освид. (внести)</t>
  </si>
  <si>
    <t xml:space="preserve">Иванов Юрий Сергеевич</t>
  </si>
  <si>
    <t xml:space="preserve">Оператор станков с ЧПУ 4 разряда</t>
  </si>
  <si>
    <t xml:space="preserve">Механический участок МШ</t>
  </si>
  <si>
    <t xml:space="preserve">— (не указана в штатке)</t>
  </si>
  <si>
    <t xml:space="preserve">Оператор станка с ЧПУ</t>
  </si>
  <si>
    <t xml:space="preserve">Нет</t>
  </si>
  <si>
    <t xml:space="preserve">Разночтение: в Приказе №43 «Оператор станка с ЧПУ» (п.30)</t>
  </si>
  <si>
    <t xml:space="preserve">Канавец Михаил Сергеевич</t>
  </si>
  <si>
    <t xml:space="preserve">Склад В</t>
  </si>
  <si>
    <t xml:space="preserve">Старший кладовщик, кладовщик, кладовщик-комплектовщик</t>
  </si>
  <si>
    <t xml:space="preserve">Проглядов Евгений Александрович</t>
  </si>
  <si>
    <t xml:space="preserve">Участок сборки В</t>
  </si>
  <si>
    <t xml:space="preserve">Слесарь-сборщик, слесарь-сборщик (бригадир)</t>
  </si>
  <si>
    <t xml:space="preserve">Власова Ольга Вячеславовна</t>
  </si>
  <si>
    <t xml:space="preserve">Электромонтажник 3 разряда</t>
  </si>
  <si>
    <t xml:space="preserve">Участок РЭО В</t>
  </si>
  <si>
    <t xml:space="preserve">Электромонтажник</t>
  </si>
  <si>
    <t xml:space="preserve">Да</t>
  </si>
  <si>
    <t xml:space="preserve">Ефременко Роман Вадимович</t>
  </si>
  <si>
    <t xml:space="preserve">Картузов Павел Борисович</t>
  </si>
  <si>
    <t xml:space="preserve">Сборщик стеклопластиковых изделий 3 разряда</t>
  </si>
  <si>
    <t xml:space="preserve">Мебельный участок МШ</t>
  </si>
  <si>
    <t xml:space="preserve">Сборщик стеклопластиковых изделий</t>
  </si>
  <si>
    <t xml:space="preserve">Дубинкин Александр Сергеевич</t>
  </si>
  <si>
    <t xml:space="preserve">Мастер участка, бригадир</t>
  </si>
  <si>
    <t xml:space="preserve">Серебреников Артем Андреевич</t>
  </si>
  <si>
    <t xml:space="preserve">Оператор станков с ЧПУ 3 разряда</t>
  </si>
  <si>
    <t xml:space="preserve">Тверитин Сергей Алексеевич</t>
  </si>
  <si>
    <t xml:space="preserve">Инженер-механик</t>
  </si>
  <si>
    <t xml:space="preserve">Служба главного инженера Р</t>
  </si>
  <si>
    <t xml:space="preserve">Инженер-механик, механик-наладчик</t>
  </si>
  <si>
    <t xml:space="preserve">Коровин Сергей Юрьевич</t>
  </si>
  <si>
    <t xml:space="preserve">Склад Р</t>
  </si>
  <si>
    <t xml:space="preserve">Подразделение (штатка)</t>
  </si>
  <si>
    <t xml:space="preserve">Должность в файле МО</t>
  </si>
  <si>
    <t xml:space="preserve">Должность в штатке 05.10.2026</t>
  </si>
  <si>
    <t xml:space="preserve">П. Перечня было</t>
  </si>
  <si>
    <t xml:space="preserve">П. Перечня стало</t>
  </si>
  <si>
    <t xml:space="preserve">Психиатр. было</t>
  </si>
  <si>
    <t xml:space="preserve">Психиатр. стало</t>
  </si>
  <si>
    <t xml:space="preserve">Дата предв. МО</t>
  </si>
  <si>
    <t xml:space="preserve">Статус / действие</t>
  </si>
  <si>
    <t xml:space="preserve">Пункты 988н/29н, которые выпадают при новом пункте Перечня (объём осмотра сокращается)</t>
  </si>
  <si>
    <t xml:space="preserve">Бабенко Олег Анатольевич</t>
  </si>
  <si>
    <t xml:space="preserve">Столяр 6 разряда</t>
  </si>
  <si>
    <t xml:space="preserve">Техник-сборщик 5 разряда</t>
  </si>
  <si>
    <t xml:space="preserve">—</t>
  </si>
  <si>
    <t xml:space="preserve">ВНЕ ПЕРЕЧНЯ — требуется решение</t>
  </si>
  <si>
    <t xml:space="preserve">все пункты п.21</t>
  </si>
  <si>
    <t xml:space="preserve">Макарский Станислав Иванович</t>
  </si>
  <si>
    <t xml:space="preserve">Мураев Вадим Викторович</t>
  </si>
  <si>
    <t xml:space="preserve">Мебельный участок (МШ н/д)</t>
  </si>
  <si>
    <t xml:space="preserve">Алманов Вячеслав Михайлович</t>
  </si>
  <si>
    <t xml:space="preserve">Столяр 4 разряда</t>
  </si>
  <si>
    <t xml:space="preserve">Техник-сборщик 3 разряда</t>
  </si>
  <si>
    <t xml:space="preserve">Семенов Александр Александрович</t>
  </si>
  <si>
    <t xml:space="preserve">Анненков Олег Викторович</t>
  </si>
  <si>
    <t xml:space="preserve">Столяр - краснодеревщик</t>
  </si>
  <si>
    <t xml:space="preserve">Техник-сборщик 6 разряда</t>
  </si>
  <si>
    <t xml:space="preserve">все пункты п.24</t>
  </si>
  <si>
    <t xml:space="preserve">Захаров Юрий Викторович</t>
  </si>
  <si>
    <t xml:space="preserve">Малышкин Сергей Константинович</t>
  </si>
  <si>
    <t xml:space="preserve">Маркарян Роман Рубикович</t>
  </si>
  <si>
    <t xml:space="preserve">Савельев Станислав Юрьевич</t>
  </si>
  <si>
    <t xml:space="preserve">Селиванов Алексей Алексеевич</t>
  </si>
  <si>
    <t xml:space="preserve">Трушков Сергей Викторович</t>
  </si>
  <si>
    <t xml:space="preserve">Черносвитов Дмитрий Львович</t>
  </si>
  <si>
    <t xml:space="preserve">Кукушкин Дмитрий Вячеславович</t>
  </si>
  <si>
    <t xml:space="preserve">Столяр 5 разряда</t>
  </si>
  <si>
    <t xml:space="preserve">Техник-сборщик 4 разряда</t>
  </si>
  <si>
    <t xml:space="preserve">Михиенков Валерий Евгеньевич</t>
  </si>
  <si>
    <t xml:space="preserve">Петушков Дмитрий Сергеевич</t>
  </si>
  <si>
    <t xml:space="preserve">Полудкин Роман Владимирович</t>
  </si>
  <si>
    <t xml:space="preserve">Рыжков Олег Николаевич</t>
  </si>
  <si>
    <t xml:space="preserve">Степанов Валентин Владимирович</t>
  </si>
  <si>
    <t xml:space="preserve">Шеин Андрей Геннадьевич</t>
  </si>
  <si>
    <t xml:space="preserve">Максимов Юрий Анатольевич</t>
  </si>
  <si>
    <t xml:space="preserve">Оператор-наладчик станков с ЧПУ</t>
  </si>
  <si>
    <t xml:space="preserve">Инженер-программист станков с ЧПУ 2 категории</t>
  </si>
  <si>
    <t xml:space="preserve">все пункты п.25</t>
  </si>
  <si>
    <t xml:space="preserve">Чусов Иван Леонидович</t>
  </si>
  <si>
    <t xml:space="preserve">Столяр 3 разряда</t>
  </si>
  <si>
    <t xml:space="preserve">Техник-сборщик 2 разряда</t>
  </si>
  <si>
    <t xml:space="preserve">Первушин Максим Александрович</t>
  </si>
  <si>
    <t xml:space="preserve">Участок декоративной отделки (МШ н/д)</t>
  </si>
  <si>
    <t xml:space="preserve">Маляр 6 разряда</t>
  </si>
  <si>
    <t xml:space="preserve">Техник 6 разряда</t>
  </si>
  <si>
    <t xml:space="preserve">все пункты п.36</t>
  </si>
  <si>
    <t xml:space="preserve">Тимохин Александр Владимирович</t>
  </si>
  <si>
    <t xml:space="preserve">Маляр 4 разряда</t>
  </si>
  <si>
    <t xml:space="preserve">Техник 4 разряда</t>
  </si>
  <si>
    <t xml:space="preserve">Караваев Игорь Александрович</t>
  </si>
  <si>
    <t xml:space="preserve">Участок декоративной отделки МШ</t>
  </si>
  <si>
    <t xml:space="preserve">Маляр 5 разряда</t>
  </si>
  <si>
    <t xml:space="preserve">Лисовский Александр Валерьевич</t>
  </si>
  <si>
    <t xml:space="preserve">Лысенко Анатолий Алексеевич</t>
  </si>
  <si>
    <t xml:space="preserve">Никитин Марат Николаевич</t>
  </si>
  <si>
    <t xml:space="preserve">Техник 5 разряда</t>
  </si>
  <si>
    <t xml:space="preserve">Ожерельев Сергей Николаевич</t>
  </si>
  <si>
    <t xml:space="preserve">Гимадиев Евгений Искандерович</t>
  </si>
  <si>
    <t xml:space="preserve">Маляр 3 разряда</t>
  </si>
  <si>
    <t xml:space="preserve">Техник 3 разряда</t>
  </si>
  <si>
    <t xml:space="preserve">Китов Алексей Геннадьевич</t>
  </si>
  <si>
    <t xml:space="preserve">Тишин Алексей Владимирович</t>
  </si>
  <si>
    <t xml:space="preserve">Пухова Жанна Аслановна</t>
  </si>
  <si>
    <t xml:space="preserve">Маляр 2 разряда</t>
  </si>
  <si>
    <t xml:space="preserve">Техник 2 разряда</t>
  </si>
  <si>
    <t xml:space="preserve">Бысенко Юрий Павлович</t>
  </si>
  <si>
    <t xml:space="preserve">Мастер участка сборки интерьера</t>
  </si>
  <si>
    <t xml:space="preserve">Тот же пункт — обновить наименование</t>
  </si>
  <si>
    <t xml:space="preserve">Деревянченко Андрей Павлович</t>
  </si>
  <si>
    <t xml:space="preserve">Студеникин Михаил Вячеславович</t>
  </si>
  <si>
    <t xml:space="preserve">Богданов Александр Викторович</t>
  </si>
  <si>
    <t xml:space="preserve">Участок РЭО (МШ н/д)</t>
  </si>
  <si>
    <t xml:space="preserve">Монтажник электрооборудования летательных аппаратов 5 разряда</t>
  </si>
  <si>
    <t xml:space="preserve">Электромонтажник 5 разряда</t>
  </si>
  <si>
    <t xml:space="preserve">Другой пункт — обновить должность и пункт; меняется статус психиатр. освид.</t>
  </si>
  <si>
    <t xml:space="preserve">п.1.8.4, п.1.12, п.1.15, п.1.25, п.1.27, п.1.44, п.4.6</t>
  </si>
  <si>
    <t xml:space="preserve">Озорнов Игорь Валерьевич</t>
  </si>
  <si>
    <t xml:space="preserve">Романов Дмитрий Евгеньевич</t>
  </si>
  <si>
    <t xml:space="preserve">Участок РЭО МШ</t>
  </si>
  <si>
    <t xml:space="preserve">Шабалин Александр Сергеевич</t>
  </si>
  <si>
    <t xml:space="preserve">Морозов Олег Валерьевич</t>
  </si>
  <si>
    <t xml:space="preserve">Разночтение в наименовании (п.30) — обновить наименование</t>
  </si>
  <si>
    <t xml:space="preserve">Бутузов Вадим Владимирович</t>
  </si>
  <si>
    <t xml:space="preserve">Оператор станка с ЧПУ 5 разряда</t>
  </si>
  <si>
    <t xml:space="preserve">Оператор станков с ЧПУ 5 разряда</t>
  </si>
  <si>
    <t xml:space="preserve">Цибин Николай Дмитриевич</t>
  </si>
  <si>
    <t xml:space="preserve">Бригадир</t>
  </si>
  <si>
    <t xml:space="preserve">Другой пункт — обновить должность и пункт</t>
  </si>
  <si>
    <t xml:space="preserve">п.1.49.2, п.1.49.14, п.4.3.1, п.4.3.2, п.15</t>
  </si>
  <si>
    <t xml:space="preserve">Матухно Константин Викторович</t>
  </si>
  <si>
    <t xml:space="preserve">Сборщик стеклопластиковых изделий 6 разряда</t>
  </si>
  <si>
    <t xml:space="preserve">п.1.37.1, п.3.1.8.3, п.4.3.1, п.15</t>
  </si>
  <si>
    <t xml:space="preserve">Зайцев Андрей Александрович</t>
  </si>
  <si>
    <t xml:space="preserve">Сборщик стеклопластиковых изделий 4 разряда</t>
  </si>
  <si>
    <t xml:space="preserve">Облицовщик деталей мебели 3 разряда</t>
  </si>
  <si>
    <t xml:space="preserve">п.1.37.1, п.3.1.8.3</t>
  </si>
  <si>
    <t xml:space="preserve">Габбасов Евгений Рафисович</t>
  </si>
  <si>
    <t xml:space="preserve">п.1.14.2, п.1.36, п.1.37.1, п.1.45.1, п.1.45.2, п.1.50, п.4.3.1, п.17</t>
  </si>
  <si>
    <t xml:space="preserve">Калинкин Анатолий Сергеевич</t>
  </si>
  <si>
    <t xml:space="preserve">Морев Александр Михайлович</t>
  </si>
  <si>
    <t xml:space="preserve">Облицовщик деталей мебели 6 разряда</t>
  </si>
  <si>
    <t xml:space="preserve">п.1.14.2, п.1.36, п.1.37.1, п.1.45.1, п.1.45.2, п.1.50, п.17</t>
  </si>
  <si>
    <t xml:space="preserve">Морев Владимир Александрович</t>
  </si>
  <si>
    <t xml:space="preserve">Алманова Дойна Виореловна</t>
  </si>
  <si>
    <t xml:space="preserve">Облицовщик деталей мебели 4 разряда</t>
  </si>
  <si>
    <t xml:space="preserve">Федышен Валерий Васильевич</t>
  </si>
  <si>
    <t xml:space="preserve">Механический участок Р</t>
  </si>
  <si>
    <t xml:space="preserve">Оператор термопластавтомата 3 разряда</t>
  </si>
  <si>
    <t xml:space="preserve">Слесарь механосборочных работ 5 разряда</t>
  </si>
  <si>
    <t xml:space="preserve">п.4.8, п.5.2</t>
  </si>
  <si>
    <t xml:space="preserve">Козлов Алексей Викторович</t>
  </si>
  <si>
    <t xml:space="preserve">Оператор термопластавтомата 5 разряда</t>
  </si>
  <si>
    <t xml:space="preserve">Слесарь механосборочных работ 6 разряда</t>
  </si>
  <si>
    <t xml:space="preserve">Должности отсутствуют в Приказе №43 и формально МО не подлежат. Список — экспертная выборка производственных/складских руководителей и работников участков, где у остальных персонала есть вредные факторы. Основание для включения — карта СОУТ и виды работ по Приказу №29н, а не наименование должности.</t>
  </si>
  <si>
    <t xml:space="preserve">Почему обратить внимание</t>
  </si>
  <si>
    <t xml:space="preserve">Рекомендация</t>
  </si>
  <si>
    <t xml:space="preserve">Решение (внести)</t>
  </si>
  <si>
    <t xml:space="preserve">Каретников Роман Григорьевич</t>
  </si>
  <si>
    <t xml:space="preserve">Техник на участке декоративной отделки (там же, где бывшие маляры); принят 02.09.2026, в списке МО отсутствует</t>
  </si>
  <si>
    <t xml:space="preserve">Проверить карту СОУТ: при наличии вредных факторов / работ по 29н — включить в Приказ №43</t>
  </si>
  <si>
    <t xml:space="preserve">Кляцкин Антон Борисович</t>
  </si>
  <si>
    <t xml:space="preserve">Техник-сборщик мебельного участка; ранее исключён как «вне перечня» — решение пересмотреть вместе с группой техников-сборщиков</t>
  </si>
  <si>
    <t xml:space="preserve">Семанин Артем Владимирович</t>
  </si>
  <si>
    <t xml:space="preserve">Инженер-программист станков с ЧПУ 3 категории</t>
  </si>
  <si>
    <t xml:space="preserve">Инженер-программист станков с ЧПУ на мебельном участке; аналог — Максимов Ю.А. (в списке МО)</t>
  </si>
  <si>
    <t xml:space="preserve">Хромов Антон Павлович</t>
  </si>
  <si>
    <t xml:space="preserve">Начальник участка</t>
  </si>
  <si>
    <t xml:space="preserve">Начальник участка (мебельный) — постоянное нахождение в цехе</t>
  </si>
  <si>
    <t xml:space="preserve">Корянов Олег Владимирович</t>
  </si>
  <si>
    <t xml:space="preserve">Начальник участка декоративной отделки — постоянное нахождение в цехе (ЛКМ)</t>
  </si>
  <si>
    <t xml:space="preserve">Ерошин Владимир Григорьевич</t>
  </si>
  <si>
    <t xml:space="preserve">Слесарный участок МШ</t>
  </si>
  <si>
    <t xml:space="preserve">Начальник участка (слесарный), принят 21.09.2026</t>
  </si>
  <si>
    <t xml:space="preserve">Пушкин Сергей Олегович</t>
  </si>
  <si>
    <t xml:space="preserve">Участок сборки Р</t>
  </si>
  <si>
    <t xml:space="preserve">Начальник участка сборки; ранее исключён как переведённый вне перечня</t>
  </si>
  <si>
    <t xml:space="preserve">Куликова Юлия Борисовна</t>
  </si>
  <si>
    <t xml:space="preserve">Руководитель производственного цеха</t>
  </si>
  <si>
    <t xml:space="preserve">Производственный цех Руднево</t>
  </si>
  <si>
    <t xml:space="preserve">Руководитель производственного цеха (принята 03.08.2026)</t>
  </si>
  <si>
    <t xml:space="preserve">Евсеев Дмитрий Андреевич</t>
  </si>
  <si>
    <t xml:space="preserve">Заместитель руководителя производственного цеха</t>
  </si>
  <si>
    <t xml:space="preserve">Заместитель руководителя производственного цеха (принят 21.09.2026)</t>
  </si>
  <si>
    <t xml:space="preserve">Бунина Екатерина Владимировна</t>
  </si>
  <si>
    <t xml:space="preserve">Заведующий складом </t>
  </si>
  <si>
    <t xml:space="preserve">Склад МШ</t>
  </si>
  <si>
    <t xml:space="preserve">Заведующий складом; кладовщики склада в перечне (п.14)</t>
  </si>
  <si>
    <t xml:space="preserve">Коровина Марина Андреевна</t>
  </si>
  <si>
    <t xml:space="preserve">Заместитель заведующего складом</t>
  </si>
  <si>
    <t xml:space="preserve">Заместитель заведующего складом; кладовщики склада в перечне (п.14)</t>
  </si>
  <si>
    <t xml:space="preserve">Романова Марина Викторовна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</si>
</sst>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22"/>
  </cols>
  <sheetData>
    <row r="1" customFormat="false" ht="15.75" hidden="false" customHeight="true" outlineLevel="0" collapsed="false">
      <c r="A1" s="2" t="s">
        <v>0</v>
      </c>
      <c r="B1" s="3"/>
    </row>
    <row r="2" customFormat="false" ht="30" hidden="false" customHeight="true" outlineLevel="0" collapsed="false">
      <c r="A2" s="4" t="s">
        <v>1</v>
      </c>
      <c r="B2" s="4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5" t="s">
        <v>2</v>
      </c>
      <c r="B4" s="5" t="s">
        <v>3</v>
      </c>
    </row>
    <row r="5" customFormat="false" ht="15" hidden="false" customHeight="true" outlineLevel="0" collapsed="false">
      <c r="A5" s="6" t="s">
        <v>4</v>
      </c>
      <c r="B5" s="6" t="n">
        <v>365</v>
      </c>
    </row>
    <row r="6" customFormat="false" ht="15" hidden="false" customHeight="true" outlineLevel="0" collapsed="false">
      <c r="A6" s="6" t="s">
        <v>5</v>
      </c>
      <c r="B6" s="6" t="n">
        <v>737</v>
      </c>
    </row>
    <row r="7" customFormat="false" ht="15" hidden="false" customHeight="true" outlineLevel="0" collapsed="false">
      <c r="A7" s="6" t="s">
        <v>6</v>
      </c>
      <c r="B7" s="6" t="n">
        <f aca="false">COUNTA('1. Уволены'!C2:C100)</f>
        <v>6</v>
      </c>
    </row>
    <row r="8" customFormat="false" ht="15" hidden="false" customHeight="true" outlineLevel="0" collapsed="false">
      <c r="A8" s="6" t="s">
        <v>7</v>
      </c>
      <c r="B8" s="6" t="n">
        <f aca="false">COUNTA('2. Новые — подлежат МО'!B2:B100)</f>
        <v>10</v>
      </c>
    </row>
    <row r="9" customFormat="false" ht="15" hidden="false" customHeight="true" outlineLevel="0" collapsed="false">
      <c r="A9" s="6" t="s">
        <v>8</v>
      </c>
      <c r="B9" s="6" t="n">
        <v>19</v>
      </c>
    </row>
    <row r="10" customFormat="false" ht="15" hidden="false" customHeight="true" outlineLevel="0" collapsed="false">
      <c r="A10" s="6" t="s">
        <v>9</v>
      </c>
      <c r="B10" s="6" t="n">
        <v>33</v>
      </c>
    </row>
    <row r="11" customFormat="false" ht="15" hidden="false" customHeight="true" outlineLevel="0" collapsed="false">
      <c r="A11" s="6" t="s">
        <v>10</v>
      </c>
      <c r="B11" s="6" t="n">
        <f aca="false">COUNTA('4. Вне перечня — на решение'!B3:B100)</f>
        <v>12</v>
      </c>
    </row>
    <row r="12" customFormat="false" ht="15" hidden="false" customHeight="true" outlineLevel="0" collapsed="false">
      <c r="A12" s="6" t="s">
        <v>11</v>
      </c>
      <c r="B12" s="6" t="n">
        <f aca="false">B5-B7+B8</f>
        <v>369</v>
      </c>
    </row>
    <row r="13" customFormat="false" ht="15" hidden="false" customHeight="true" outlineLevel="0" collapsed="false">
      <c r="A13" s="3"/>
      <c r="B13" s="3"/>
    </row>
    <row r="14" customFormat="false" ht="15" hidden="false" customHeight="true" outlineLevel="0" collapsed="false">
      <c r="A14" s="7" t="s">
        <v>12</v>
      </c>
      <c r="B14" s="3"/>
    </row>
    <row r="15" customFormat="false" ht="30" hidden="false" customHeight="true" outlineLevel="0" collapsed="false">
      <c r="A15" s="4" t="s">
        <v>13</v>
      </c>
      <c r="B15" s="4"/>
    </row>
    <row r="16" customFormat="false" ht="60" hidden="false" customHeight="true" outlineLevel="0" collapsed="false">
      <c r="A16" s="4" t="s">
        <v>14</v>
      </c>
      <c r="B16" s="4"/>
    </row>
    <row r="17" customFormat="false" ht="105" hidden="false" customHeight="true" outlineLevel="0" collapsed="false">
      <c r="A17" s="4" t="s">
        <v>15</v>
      </c>
      <c r="B17" s="4"/>
    </row>
    <row r="18" customFormat="false" ht="30" hidden="false" customHeight="true" outlineLevel="0" collapsed="false">
      <c r="A18" s="4" t="s">
        <v>16</v>
      </c>
      <c r="B18" s="4"/>
    </row>
    <row r="19" customFormat="false" ht="45" hidden="false" customHeight="true" outlineLevel="0" collapsed="false">
      <c r="A19" s="4" t="s">
        <v>17</v>
      </c>
      <c r="B19" s="4"/>
    </row>
    <row r="20" customFormat="false" ht="30" hidden="false" customHeight="true" outlineLevel="0" collapsed="false">
      <c r="A20" s="4" t="s">
        <v>18</v>
      </c>
      <c r="B20" s="4"/>
    </row>
    <row r="21" customFormat="false" ht="30" hidden="false" customHeight="true" outlineLevel="0" collapsed="false">
      <c r="A21" s="4" t="s">
        <v>19</v>
      </c>
      <c r="B21" s="4"/>
    </row>
    <row r="23" customFormat="false" ht="15" hidden="false" customHeight="false" outlineLevel="0" collapsed="false">
      <c r="A23" s="8" t="s">
        <v>20</v>
      </c>
    </row>
    <row r="24" customFormat="false" ht="60" hidden="false" customHeight="true" outlineLevel="0" collapsed="false">
      <c r="A24" s="4" t="s">
        <v>21</v>
      </c>
      <c r="B24" s="4"/>
    </row>
    <row r="25" customFormat="false" ht="30" hidden="false" customHeight="true" outlineLevel="0" collapsed="false">
      <c r="A25" s="4" t="s">
        <v>22</v>
      </c>
      <c r="B25" s="4"/>
    </row>
    <row r="26" customFormat="false" ht="90" hidden="false" customHeight="true" outlineLevel="0" collapsed="false">
      <c r="A26" s="4" t="s">
        <v>23</v>
      </c>
      <c r="B26" s="4"/>
    </row>
    <row r="27" customFormat="false" ht="60" hidden="false" customHeight="true" outlineLevel="0" collapsed="false">
      <c r="A27" s="4" t="s">
        <v>24</v>
      </c>
      <c r="B27" s="4"/>
    </row>
    <row r="28" customFormat="false" ht="120" hidden="false" customHeight="true" outlineLevel="0" collapsed="false">
      <c r="A28" s="4" t="s">
        <v>25</v>
      </c>
      <c r="B28" s="4"/>
    </row>
    <row r="29" customFormat="false" ht="45" hidden="false" customHeight="true" outlineLevel="0" collapsed="false">
      <c r="A29" s="4" t="s">
        <v>26</v>
      </c>
      <c r="B29" s="4"/>
    </row>
    <row r="30" customFormat="false" ht="75" hidden="false" customHeight="true" outlineLevel="0" collapsed="false">
      <c r="A30" s="4" t="s">
        <v>27</v>
      </c>
      <c r="B30" s="4"/>
    </row>
    <row r="31" customFormat="false" ht="60" hidden="false" customHeight="true" outlineLevel="0" collapsed="false">
      <c r="A31" s="4" t="s">
        <v>28</v>
      </c>
      <c r="B31" s="4"/>
    </row>
    <row r="32" customFormat="false" ht="45" hidden="false" customHeight="true" outlineLevel="0" collapsed="false">
      <c r="A32" s="4" t="s">
        <v>29</v>
      </c>
      <c r="B32" s="4"/>
    </row>
  </sheetData>
  <mergeCells count="17">
    <mergeCell ref="A2:B2"/>
    <mergeCell ref="A15:B15"/>
    <mergeCell ref="A16:B16"/>
    <mergeCell ref="A17:B17"/>
    <mergeCell ref="A18:B18"/>
    <mergeCell ref="A19:B19"/>
    <mergeCell ref="A20:B20"/>
    <mergeCell ref="A21:B21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36"/>
  </cols>
  <sheetData>
    <row r="1" customFormat="false" ht="42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customFormat="false" ht="23.25" hidden="false" customHeight="true" outlineLevel="0" collapsed="false">
      <c r="A2" s="6" t="n">
        <v>1</v>
      </c>
      <c r="B2" s="6" t="n">
        <v>53</v>
      </c>
      <c r="C2" s="6" t="s">
        <v>39</v>
      </c>
      <c r="D2" s="6" t="s">
        <v>40</v>
      </c>
      <c r="E2" s="6" t="s">
        <v>41</v>
      </c>
      <c r="F2" s="6" t="s">
        <v>42</v>
      </c>
      <c r="G2" s="10" t="n">
        <v>45770</v>
      </c>
      <c r="H2" s="6"/>
      <c r="I2" s="11" t="s">
        <v>43</v>
      </c>
    </row>
    <row r="3" customFormat="false" ht="23.25" hidden="false" customHeight="true" outlineLevel="0" collapsed="false">
      <c r="A3" s="6" t="n">
        <v>2</v>
      </c>
      <c r="B3" s="6" t="n">
        <v>99</v>
      </c>
      <c r="C3" s="6" t="s">
        <v>44</v>
      </c>
      <c r="D3" s="6" t="s">
        <v>45</v>
      </c>
      <c r="E3" s="6" t="s">
        <v>46</v>
      </c>
      <c r="F3" s="6" t="s">
        <v>47</v>
      </c>
      <c r="G3" s="10" t="n">
        <v>46139</v>
      </c>
      <c r="H3" s="10" t="n">
        <v>46127</v>
      </c>
      <c r="I3" s="11" t="s">
        <v>43</v>
      </c>
    </row>
    <row r="4" customFormat="false" ht="23.25" hidden="false" customHeight="true" outlineLevel="0" collapsed="false">
      <c r="A4" s="6" t="n">
        <v>3</v>
      </c>
      <c r="B4" s="6" t="n">
        <v>303</v>
      </c>
      <c r="C4" s="6" t="s">
        <v>48</v>
      </c>
      <c r="D4" s="6" t="s">
        <v>49</v>
      </c>
      <c r="E4" s="6" t="s">
        <v>50</v>
      </c>
      <c r="F4" s="6" t="s">
        <v>51</v>
      </c>
      <c r="G4" s="10" t="n">
        <v>46140</v>
      </c>
      <c r="H4" s="10" t="n">
        <v>46134</v>
      </c>
      <c r="I4" s="11" t="s">
        <v>43</v>
      </c>
    </row>
    <row r="5" customFormat="false" ht="23.25" hidden="false" customHeight="true" outlineLevel="0" collapsed="false">
      <c r="A5" s="6" t="n">
        <v>4</v>
      </c>
      <c r="B5" s="6" t="n">
        <v>305</v>
      </c>
      <c r="C5" s="6" t="s">
        <v>52</v>
      </c>
      <c r="D5" s="6" t="s">
        <v>53</v>
      </c>
      <c r="E5" s="6" t="s">
        <v>50</v>
      </c>
      <c r="F5" s="6" t="s">
        <v>51</v>
      </c>
      <c r="G5" s="10" t="n">
        <v>46036</v>
      </c>
      <c r="H5" s="6"/>
      <c r="I5" s="11" t="s">
        <v>43</v>
      </c>
    </row>
    <row r="6" customFormat="false" ht="23.25" hidden="false" customHeight="true" outlineLevel="0" collapsed="false">
      <c r="A6" s="6" t="n">
        <v>5</v>
      </c>
      <c r="B6" s="6" t="n">
        <v>319</v>
      </c>
      <c r="C6" s="6" t="s">
        <v>54</v>
      </c>
      <c r="D6" s="6" t="s">
        <v>55</v>
      </c>
      <c r="E6" s="6" t="s">
        <v>50</v>
      </c>
      <c r="F6" s="6" t="s">
        <v>51</v>
      </c>
      <c r="G6" s="10" t="n">
        <v>45950</v>
      </c>
      <c r="H6" s="10" t="n">
        <v>45941</v>
      </c>
      <c r="I6" s="11" t="s">
        <v>43</v>
      </c>
    </row>
    <row r="7" customFormat="false" ht="23.25" hidden="false" customHeight="true" outlineLevel="0" collapsed="false">
      <c r="A7" s="6" t="n">
        <v>6</v>
      </c>
      <c r="B7" s="6" t="n">
        <v>323</v>
      </c>
      <c r="C7" s="6" t="s">
        <v>56</v>
      </c>
      <c r="D7" s="6" t="s">
        <v>57</v>
      </c>
      <c r="E7" s="6" t="s">
        <v>50</v>
      </c>
      <c r="F7" s="6" t="s">
        <v>51</v>
      </c>
      <c r="G7" s="10" t="n">
        <v>46156</v>
      </c>
      <c r="H7" s="10" t="n">
        <v>46147</v>
      </c>
      <c r="I7" s="11" t="s">
        <v>43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32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34"/>
    <col collapsed="false" customWidth="true" hidden="false" outlineLevel="0" max="9" min="9" style="1" width="11"/>
    <col collapsed="false" customWidth="true" hidden="false" outlineLevel="0" max="10" min="10" style="1" width="30"/>
    <col collapsed="false" customWidth="true" hidden="false" outlineLevel="0" max="12" min="11" style="1" width="14"/>
  </cols>
  <sheetData>
    <row r="1" customFormat="false" ht="42" hidden="false" customHeight="true" outlineLevel="0" collapsed="false">
      <c r="A1" s="9" t="s">
        <v>30</v>
      </c>
      <c r="B1" s="9" t="s">
        <v>32</v>
      </c>
      <c r="C1" s="9" t="s">
        <v>58</v>
      </c>
      <c r="D1" s="9" t="s">
        <v>34</v>
      </c>
      <c r="E1" s="9" t="s">
        <v>35</v>
      </c>
      <c r="F1" s="9" t="s">
        <v>36</v>
      </c>
      <c r="G1" s="9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</row>
    <row r="2" customFormat="false" ht="23.25" hidden="false" customHeight="true" outlineLevel="0" collapsed="false">
      <c r="A2" s="6" t="n">
        <v>1</v>
      </c>
      <c r="B2" s="6" t="s">
        <v>65</v>
      </c>
      <c r="C2" s="6" t="s">
        <v>66</v>
      </c>
      <c r="D2" s="6" t="s">
        <v>67</v>
      </c>
      <c r="E2" s="6" t="s">
        <v>68</v>
      </c>
      <c r="F2" s="10" t="n">
        <v>46286</v>
      </c>
      <c r="G2" s="6" t="n">
        <v>30</v>
      </c>
      <c r="H2" s="6" t="s">
        <v>69</v>
      </c>
      <c r="I2" s="6" t="s">
        <v>70</v>
      </c>
      <c r="J2" s="6" t="s">
        <v>71</v>
      </c>
      <c r="K2" s="12"/>
      <c r="L2" s="12"/>
    </row>
    <row r="3" customFormat="false" ht="23.25" hidden="false" customHeight="true" outlineLevel="0" collapsed="false">
      <c r="A3" s="6" t="n">
        <v>2</v>
      </c>
      <c r="B3" s="6" t="s">
        <v>72</v>
      </c>
      <c r="C3" s="6" t="s">
        <v>40</v>
      </c>
      <c r="D3" s="6" t="s">
        <v>73</v>
      </c>
      <c r="E3" s="6" t="s">
        <v>42</v>
      </c>
      <c r="F3" s="10" t="n">
        <v>46269</v>
      </c>
      <c r="G3" s="6" t="n">
        <v>14</v>
      </c>
      <c r="H3" s="6" t="s">
        <v>74</v>
      </c>
      <c r="I3" s="6" t="s">
        <v>70</v>
      </c>
      <c r="J3" s="6"/>
      <c r="K3" s="12"/>
      <c r="L3" s="12"/>
    </row>
    <row r="4" customFormat="false" ht="23.25" hidden="false" customHeight="true" outlineLevel="0" collapsed="false">
      <c r="A4" s="6" t="n">
        <v>3</v>
      </c>
      <c r="B4" s="6" t="s">
        <v>75</v>
      </c>
      <c r="C4" s="6" t="s">
        <v>55</v>
      </c>
      <c r="D4" s="6" t="s">
        <v>76</v>
      </c>
      <c r="E4" s="6" t="s">
        <v>42</v>
      </c>
      <c r="F4" s="10" t="n">
        <v>46286</v>
      </c>
      <c r="G4" s="6" t="n">
        <v>19</v>
      </c>
      <c r="H4" s="6" t="s">
        <v>77</v>
      </c>
      <c r="I4" s="6" t="s">
        <v>70</v>
      </c>
      <c r="J4" s="6"/>
      <c r="K4" s="12"/>
      <c r="L4" s="12"/>
    </row>
    <row r="5" customFormat="false" ht="15" hidden="false" customHeight="true" outlineLevel="0" collapsed="false">
      <c r="A5" s="6" t="n">
        <v>4</v>
      </c>
      <c r="B5" s="6" t="s">
        <v>78</v>
      </c>
      <c r="C5" s="6" t="s">
        <v>79</v>
      </c>
      <c r="D5" s="6" t="s">
        <v>80</v>
      </c>
      <c r="E5" s="6" t="s">
        <v>42</v>
      </c>
      <c r="F5" s="10" t="n">
        <v>46293</v>
      </c>
      <c r="G5" s="6" t="n">
        <v>20</v>
      </c>
      <c r="H5" s="6" t="s">
        <v>81</v>
      </c>
      <c r="I5" s="6" t="s">
        <v>82</v>
      </c>
      <c r="J5" s="6"/>
      <c r="K5" s="12"/>
      <c r="L5" s="12"/>
    </row>
    <row r="6" customFormat="false" ht="23.25" hidden="false" customHeight="true" outlineLevel="0" collapsed="false">
      <c r="A6" s="6" t="n">
        <v>5</v>
      </c>
      <c r="B6" s="6" t="s">
        <v>83</v>
      </c>
      <c r="C6" s="6" t="s">
        <v>55</v>
      </c>
      <c r="D6" s="6" t="s">
        <v>76</v>
      </c>
      <c r="E6" s="6" t="s">
        <v>42</v>
      </c>
      <c r="F6" s="10" t="n">
        <v>46296</v>
      </c>
      <c r="G6" s="6" t="n">
        <v>19</v>
      </c>
      <c r="H6" s="6" t="s">
        <v>77</v>
      </c>
      <c r="I6" s="6" t="s">
        <v>70</v>
      </c>
      <c r="J6" s="6"/>
      <c r="K6" s="12"/>
      <c r="L6" s="12"/>
    </row>
    <row r="7" customFormat="false" ht="23.25" hidden="false" customHeight="true" outlineLevel="0" collapsed="false">
      <c r="A7" s="6" t="n">
        <v>6</v>
      </c>
      <c r="B7" s="6" t="s">
        <v>84</v>
      </c>
      <c r="C7" s="6" t="s">
        <v>85</v>
      </c>
      <c r="D7" s="6" t="s">
        <v>86</v>
      </c>
      <c r="E7" s="6" t="s">
        <v>47</v>
      </c>
      <c r="F7" s="10" t="n">
        <v>46286</v>
      </c>
      <c r="G7" s="6" t="n">
        <v>26</v>
      </c>
      <c r="H7" s="6" t="s">
        <v>87</v>
      </c>
      <c r="I7" s="6" t="s">
        <v>70</v>
      </c>
      <c r="J7" s="6"/>
      <c r="K7" s="12"/>
      <c r="L7" s="12"/>
    </row>
    <row r="8" customFormat="false" ht="15" hidden="false" customHeight="true" outlineLevel="0" collapsed="false">
      <c r="A8" s="6" t="n">
        <v>7</v>
      </c>
      <c r="B8" s="6" t="s">
        <v>88</v>
      </c>
      <c r="C8" s="6" t="s">
        <v>53</v>
      </c>
      <c r="D8" s="6" t="s">
        <v>67</v>
      </c>
      <c r="E8" s="6" t="s">
        <v>47</v>
      </c>
      <c r="F8" s="10" t="n">
        <v>46290</v>
      </c>
      <c r="G8" s="6" t="n">
        <v>18</v>
      </c>
      <c r="H8" s="6" t="s">
        <v>89</v>
      </c>
      <c r="I8" s="6" t="s">
        <v>70</v>
      </c>
      <c r="J8" s="6"/>
      <c r="K8" s="12"/>
      <c r="L8" s="12"/>
    </row>
    <row r="9" customFormat="false" ht="23.25" hidden="false" customHeight="true" outlineLevel="0" collapsed="false">
      <c r="A9" s="6" t="n">
        <v>8</v>
      </c>
      <c r="B9" s="6" t="s">
        <v>90</v>
      </c>
      <c r="C9" s="6" t="s">
        <v>91</v>
      </c>
      <c r="D9" s="6" t="s">
        <v>67</v>
      </c>
      <c r="E9" s="6" t="s">
        <v>47</v>
      </c>
      <c r="F9" s="10" t="n">
        <v>46296</v>
      </c>
      <c r="G9" s="6" t="n">
        <v>30</v>
      </c>
      <c r="H9" s="6" t="s">
        <v>69</v>
      </c>
      <c r="I9" s="6" t="s">
        <v>70</v>
      </c>
      <c r="J9" s="6" t="s">
        <v>71</v>
      </c>
      <c r="K9" s="12"/>
      <c r="L9" s="12"/>
    </row>
    <row r="10" customFormat="false" ht="15" hidden="false" customHeight="true" outlineLevel="0" collapsed="false">
      <c r="A10" s="6" t="n">
        <v>9</v>
      </c>
      <c r="B10" s="6" t="s">
        <v>92</v>
      </c>
      <c r="C10" s="6" t="s">
        <v>93</v>
      </c>
      <c r="D10" s="6" t="s">
        <v>94</v>
      </c>
      <c r="E10" s="6" t="s">
        <v>51</v>
      </c>
      <c r="F10" s="10" t="n">
        <v>46296</v>
      </c>
      <c r="G10" s="6" t="n">
        <v>11</v>
      </c>
      <c r="H10" s="6" t="s">
        <v>95</v>
      </c>
      <c r="I10" s="6" t="s">
        <v>70</v>
      </c>
      <c r="J10" s="6"/>
      <c r="K10" s="12"/>
      <c r="L10" s="12"/>
    </row>
    <row r="11" customFormat="false" ht="23.25" hidden="false" customHeight="true" outlineLevel="0" collapsed="false">
      <c r="A11" s="6" t="n">
        <v>10</v>
      </c>
      <c r="B11" s="6" t="s">
        <v>96</v>
      </c>
      <c r="C11" s="6" t="s">
        <v>40</v>
      </c>
      <c r="D11" s="6" t="s">
        <v>97</v>
      </c>
      <c r="E11" s="6" t="s">
        <v>51</v>
      </c>
      <c r="F11" s="10" t="n">
        <v>46297</v>
      </c>
      <c r="G11" s="6" t="n">
        <v>14</v>
      </c>
      <c r="H11" s="6" t="s">
        <v>74</v>
      </c>
      <c r="I11" s="6" t="s">
        <v>70</v>
      </c>
      <c r="J11" s="6"/>
      <c r="K11" s="12"/>
      <c r="L11" s="12"/>
    </row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7" min="6" style="1" width="30"/>
    <col collapsed="false" customWidth="true" hidden="false" outlineLevel="0" max="9" min="8" style="1" width="8"/>
    <col collapsed="false" customWidth="true" hidden="false" outlineLevel="0" max="11" min="10" style="1" width="9"/>
    <col collapsed="false" customWidth="true" hidden="false" outlineLevel="0" max="12" min="12" style="1" width="12"/>
    <col collapsed="false" customWidth="true" hidden="false" outlineLevel="0" max="13" min="13" style="1" width="40"/>
    <col collapsed="false" customWidth="true" hidden="false" outlineLevel="0" max="14" min="14" style="0" width="34"/>
  </cols>
  <sheetData>
    <row r="1" customFormat="false" ht="42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35</v>
      </c>
      <c r="E1" s="9" t="s">
        <v>98</v>
      </c>
      <c r="F1" s="9" t="s">
        <v>99</v>
      </c>
      <c r="G1" s="9" t="s">
        <v>100</v>
      </c>
      <c r="H1" s="9" t="s">
        <v>101</v>
      </c>
      <c r="I1" s="9" t="s">
        <v>102</v>
      </c>
      <c r="J1" s="9" t="s">
        <v>103</v>
      </c>
      <c r="K1" s="9" t="s">
        <v>104</v>
      </c>
      <c r="L1" s="9" t="s">
        <v>105</v>
      </c>
      <c r="M1" s="9" t="s">
        <v>106</v>
      </c>
      <c r="N1" s="9" t="s">
        <v>107</v>
      </c>
    </row>
    <row r="2" customFormat="false" ht="15" hidden="false" customHeight="true" outlineLevel="0" collapsed="false">
      <c r="A2" s="6" t="n">
        <v>1</v>
      </c>
      <c r="B2" s="6" t="n">
        <v>137</v>
      </c>
      <c r="C2" s="6" t="s">
        <v>108</v>
      </c>
      <c r="D2" s="6" t="s">
        <v>47</v>
      </c>
      <c r="E2" s="6" t="s">
        <v>86</v>
      </c>
      <c r="F2" s="6" t="s">
        <v>109</v>
      </c>
      <c r="G2" s="6" t="s">
        <v>110</v>
      </c>
      <c r="H2" s="6" t="n">
        <v>21</v>
      </c>
      <c r="I2" s="6" t="s">
        <v>111</v>
      </c>
      <c r="J2" s="6" t="s">
        <v>70</v>
      </c>
      <c r="K2" s="6" t="s">
        <v>111</v>
      </c>
      <c r="L2" s="6"/>
      <c r="M2" s="11" t="s">
        <v>112</v>
      </c>
      <c r="N2" s="11" t="s">
        <v>113</v>
      </c>
    </row>
    <row r="3" customFormat="false" ht="15" hidden="false" customHeight="true" outlineLevel="0" collapsed="false">
      <c r="A3" s="6" t="n">
        <v>2</v>
      </c>
      <c r="B3" s="6" t="n">
        <v>138</v>
      </c>
      <c r="C3" s="6" t="s">
        <v>114</v>
      </c>
      <c r="D3" s="6" t="s">
        <v>47</v>
      </c>
      <c r="E3" s="6" t="s">
        <v>86</v>
      </c>
      <c r="F3" s="6" t="s">
        <v>109</v>
      </c>
      <c r="G3" s="6" t="s">
        <v>110</v>
      </c>
      <c r="H3" s="6" t="n">
        <v>21</v>
      </c>
      <c r="I3" s="6" t="s">
        <v>111</v>
      </c>
      <c r="J3" s="6" t="s">
        <v>70</v>
      </c>
      <c r="K3" s="6" t="s">
        <v>111</v>
      </c>
      <c r="L3" s="6"/>
      <c r="M3" s="11" t="s">
        <v>112</v>
      </c>
      <c r="N3" s="11" t="s">
        <v>113</v>
      </c>
    </row>
    <row r="4" customFormat="false" ht="15" hidden="false" customHeight="true" outlineLevel="0" collapsed="false">
      <c r="A4" s="6" t="n">
        <v>3</v>
      </c>
      <c r="B4" s="6" t="n">
        <v>139</v>
      </c>
      <c r="C4" s="6" t="s">
        <v>115</v>
      </c>
      <c r="D4" s="6" t="s">
        <v>47</v>
      </c>
      <c r="E4" s="6" t="s">
        <v>116</v>
      </c>
      <c r="F4" s="6" t="s">
        <v>109</v>
      </c>
      <c r="G4" s="6" t="s">
        <v>110</v>
      </c>
      <c r="H4" s="6" t="n">
        <v>21</v>
      </c>
      <c r="I4" s="6" t="s">
        <v>111</v>
      </c>
      <c r="J4" s="6" t="s">
        <v>70</v>
      </c>
      <c r="K4" s="6" t="s">
        <v>111</v>
      </c>
      <c r="L4" s="6"/>
      <c r="M4" s="11" t="s">
        <v>112</v>
      </c>
      <c r="N4" s="11" t="s">
        <v>113</v>
      </c>
    </row>
    <row r="5" customFormat="false" ht="15" hidden="false" customHeight="true" outlineLevel="0" collapsed="false">
      <c r="A5" s="6" t="n">
        <v>4</v>
      </c>
      <c r="B5" s="6" t="n">
        <v>140</v>
      </c>
      <c r="C5" s="6" t="s">
        <v>117</v>
      </c>
      <c r="D5" s="6" t="s">
        <v>47</v>
      </c>
      <c r="E5" s="6" t="s">
        <v>86</v>
      </c>
      <c r="F5" s="6" t="s">
        <v>118</v>
      </c>
      <c r="G5" s="6" t="s">
        <v>119</v>
      </c>
      <c r="H5" s="6" t="n">
        <v>21</v>
      </c>
      <c r="I5" s="6" t="s">
        <v>111</v>
      </c>
      <c r="J5" s="6" t="s">
        <v>70</v>
      </c>
      <c r="K5" s="6" t="s">
        <v>111</v>
      </c>
      <c r="L5" s="6"/>
      <c r="M5" s="11" t="s">
        <v>112</v>
      </c>
      <c r="N5" s="11" t="s">
        <v>113</v>
      </c>
    </row>
    <row r="6" customFormat="false" ht="23.25" hidden="false" customHeight="true" outlineLevel="0" collapsed="false">
      <c r="A6" s="6" t="n">
        <v>5</v>
      </c>
      <c r="B6" s="6" t="n">
        <v>142</v>
      </c>
      <c r="C6" s="6" t="s">
        <v>120</v>
      </c>
      <c r="D6" s="6" t="s">
        <v>47</v>
      </c>
      <c r="E6" s="6" t="s">
        <v>116</v>
      </c>
      <c r="F6" s="6" t="s">
        <v>118</v>
      </c>
      <c r="G6" s="6" t="s">
        <v>119</v>
      </c>
      <c r="H6" s="6" t="n">
        <v>21</v>
      </c>
      <c r="I6" s="6" t="s">
        <v>111</v>
      </c>
      <c r="J6" s="6" t="s">
        <v>70</v>
      </c>
      <c r="K6" s="6" t="s">
        <v>111</v>
      </c>
      <c r="L6" s="6"/>
      <c r="M6" s="11" t="s">
        <v>112</v>
      </c>
      <c r="N6" s="11" t="s">
        <v>113</v>
      </c>
    </row>
    <row r="7" customFormat="false" ht="15" hidden="false" customHeight="true" outlineLevel="0" collapsed="false">
      <c r="A7" s="6" t="n">
        <v>6</v>
      </c>
      <c r="B7" s="6" t="n">
        <v>147</v>
      </c>
      <c r="C7" s="6" t="s">
        <v>121</v>
      </c>
      <c r="D7" s="6" t="s">
        <v>47</v>
      </c>
      <c r="E7" s="6" t="s">
        <v>86</v>
      </c>
      <c r="F7" s="6" t="s">
        <v>122</v>
      </c>
      <c r="G7" s="6" t="s">
        <v>123</v>
      </c>
      <c r="H7" s="6" t="n">
        <v>24</v>
      </c>
      <c r="I7" s="6" t="s">
        <v>111</v>
      </c>
      <c r="J7" s="6" t="s">
        <v>70</v>
      </c>
      <c r="K7" s="6" t="s">
        <v>111</v>
      </c>
      <c r="L7" s="6"/>
      <c r="M7" s="11" t="s">
        <v>112</v>
      </c>
      <c r="N7" s="11" t="s">
        <v>124</v>
      </c>
    </row>
    <row r="8" customFormat="false" ht="15" hidden="false" customHeight="true" outlineLevel="0" collapsed="false">
      <c r="A8" s="6" t="n">
        <v>7</v>
      </c>
      <c r="B8" s="6" t="n">
        <v>148</v>
      </c>
      <c r="C8" s="6" t="s">
        <v>125</v>
      </c>
      <c r="D8" s="6" t="s">
        <v>47</v>
      </c>
      <c r="E8" s="6" t="s">
        <v>116</v>
      </c>
      <c r="F8" s="6" t="s">
        <v>122</v>
      </c>
      <c r="G8" s="6" t="s">
        <v>123</v>
      </c>
      <c r="H8" s="6" t="n">
        <v>24</v>
      </c>
      <c r="I8" s="6" t="s">
        <v>111</v>
      </c>
      <c r="J8" s="6" t="s">
        <v>70</v>
      </c>
      <c r="K8" s="6" t="s">
        <v>111</v>
      </c>
      <c r="L8" s="6"/>
      <c r="M8" s="11" t="s">
        <v>112</v>
      </c>
      <c r="N8" s="11" t="s">
        <v>124</v>
      </c>
    </row>
    <row r="9" customFormat="false" ht="23.25" hidden="false" customHeight="true" outlineLevel="0" collapsed="false">
      <c r="A9" s="6" t="n">
        <v>8</v>
      </c>
      <c r="B9" s="6" t="n">
        <v>149</v>
      </c>
      <c r="C9" s="6" t="s">
        <v>126</v>
      </c>
      <c r="D9" s="6" t="s">
        <v>47</v>
      </c>
      <c r="E9" s="6" t="s">
        <v>86</v>
      </c>
      <c r="F9" s="6" t="s">
        <v>122</v>
      </c>
      <c r="G9" s="6" t="s">
        <v>123</v>
      </c>
      <c r="H9" s="6" t="n">
        <v>24</v>
      </c>
      <c r="I9" s="6" t="s">
        <v>111</v>
      </c>
      <c r="J9" s="6" t="s">
        <v>70</v>
      </c>
      <c r="K9" s="6" t="s">
        <v>111</v>
      </c>
      <c r="L9" s="6"/>
      <c r="M9" s="11" t="s">
        <v>112</v>
      </c>
      <c r="N9" s="11" t="s">
        <v>124</v>
      </c>
    </row>
    <row r="10" customFormat="false" ht="15" hidden="false" customHeight="true" outlineLevel="0" collapsed="false">
      <c r="A10" s="6" t="n">
        <v>9</v>
      </c>
      <c r="B10" s="6" t="n">
        <v>150</v>
      </c>
      <c r="C10" s="6" t="s">
        <v>127</v>
      </c>
      <c r="D10" s="6" t="s">
        <v>47</v>
      </c>
      <c r="E10" s="6" t="s">
        <v>116</v>
      </c>
      <c r="F10" s="6" t="s">
        <v>122</v>
      </c>
      <c r="G10" s="6" t="s">
        <v>123</v>
      </c>
      <c r="H10" s="6" t="n">
        <v>24</v>
      </c>
      <c r="I10" s="6" t="s">
        <v>111</v>
      </c>
      <c r="J10" s="6" t="s">
        <v>70</v>
      </c>
      <c r="K10" s="6" t="s">
        <v>111</v>
      </c>
      <c r="L10" s="6"/>
      <c r="M10" s="11" t="s">
        <v>112</v>
      </c>
      <c r="N10" s="11" t="s">
        <v>124</v>
      </c>
    </row>
    <row r="11" customFormat="false" ht="15" hidden="false" customHeight="true" outlineLevel="0" collapsed="false">
      <c r="A11" s="6" t="n">
        <v>10</v>
      </c>
      <c r="B11" s="6" t="n">
        <v>151</v>
      </c>
      <c r="C11" s="6" t="s">
        <v>128</v>
      </c>
      <c r="D11" s="6" t="s">
        <v>47</v>
      </c>
      <c r="E11" s="6" t="s">
        <v>86</v>
      </c>
      <c r="F11" s="6" t="s">
        <v>122</v>
      </c>
      <c r="G11" s="6" t="s">
        <v>123</v>
      </c>
      <c r="H11" s="6" t="n">
        <v>24</v>
      </c>
      <c r="I11" s="6" t="s">
        <v>111</v>
      </c>
      <c r="J11" s="6" t="s">
        <v>70</v>
      </c>
      <c r="K11" s="6" t="s">
        <v>111</v>
      </c>
      <c r="L11" s="6"/>
      <c r="M11" s="11" t="s">
        <v>112</v>
      </c>
      <c r="N11" s="11" t="s">
        <v>124</v>
      </c>
    </row>
    <row r="12" customFormat="false" ht="15" hidden="false" customHeight="true" outlineLevel="0" collapsed="false">
      <c r="A12" s="6" t="n">
        <v>11</v>
      </c>
      <c r="B12" s="6" t="n">
        <v>152</v>
      </c>
      <c r="C12" s="6" t="s">
        <v>129</v>
      </c>
      <c r="D12" s="6" t="s">
        <v>47</v>
      </c>
      <c r="E12" s="6" t="s">
        <v>86</v>
      </c>
      <c r="F12" s="6" t="s">
        <v>122</v>
      </c>
      <c r="G12" s="6" t="s">
        <v>123</v>
      </c>
      <c r="H12" s="6" t="n">
        <v>24</v>
      </c>
      <c r="I12" s="6" t="s">
        <v>111</v>
      </c>
      <c r="J12" s="6" t="s">
        <v>70</v>
      </c>
      <c r="K12" s="6" t="s">
        <v>111</v>
      </c>
      <c r="L12" s="6"/>
      <c r="M12" s="11" t="s">
        <v>112</v>
      </c>
      <c r="N12" s="11" t="s">
        <v>124</v>
      </c>
    </row>
    <row r="13" customFormat="false" ht="15" hidden="false" customHeight="true" outlineLevel="0" collapsed="false">
      <c r="A13" s="6" t="n">
        <v>12</v>
      </c>
      <c r="B13" s="6" t="n">
        <v>153</v>
      </c>
      <c r="C13" s="6" t="s">
        <v>130</v>
      </c>
      <c r="D13" s="6" t="s">
        <v>47</v>
      </c>
      <c r="E13" s="6" t="s">
        <v>86</v>
      </c>
      <c r="F13" s="6" t="s">
        <v>122</v>
      </c>
      <c r="G13" s="6" t="s">
        <v>123</v>
      </c>
      <c r="H13" s="6" t="n">
        <v>24</v>
      </c>
      <c r="I13" s="6" t="s">
        <v>111</v>
      </c>
      <c r="J13" s="6" t="s">
        <v>70</v>
      </c>
      <c r="K13" s="6" t="s">
        <v>111</v>
      </c>
      <c r="L13" s="6"/>
      <c r="M13" s="11" t="s">
        <v>112</v>
      </c>
      <c r="N13" s="11" t="s">
        <v>124</v>
      </c>
    </row>
    <row r="14" customFormat="false" ht="15" hidden="false" customHeight="true" outlineLevel="0" collapsed="false">
      <c r="A14" s="6" t="n">
        <v>13</v>
      </c>
      <c r="B14" s="6" t="n">
        <v>154</v>
      </c>
      <c r="C14" s="6" t="s">
        <v>131</v>
      </c>
      <c r="D14" s="6" t="s">
        <v>47</v>
      </c>
      <c r="E14" s="6" t="s">
        <v>86</v>
      </c>
      <c r="F14" s="6" t="s">
        <v>122</v>
      </c>
      <c r="G14" s="6" t="s">
        <v>123</v>
      </c>
      <c r="H14" s="6" t="n">
        <v>24</v>
      </c>
      <c r="I14" s="6" t="s">
        <v>111</v>
      </c>
      <c r="J14" s="6" t="s">
        <v>70</v>
      </c>
      <c r="K14" s="6" t="s">
        <v>111</v>
      </c>
      <c r="L14" s="6"/>
      <c r="M14" s="11" t="s">
        <v>112</v>
      </c>
      <c r="N14" s="11" t="s">
        <v>124</v>
      </c>
    </row>
    <row r="15" customFormat="false" ht="15" hidden="false" customHeight="true" outlineLevel="0" collapsed="false">
      <c r="A15" s="6" t="n">
        <v>14</v>
      </c>
      <c r="B15" s="6" t="n">
        <v>155</v>
      </c>
      <c r="C15" s="6" t="s">
        <v>132</v>
      </c>
      <c r="D15" s="6" t="s">
        <v>47</v>
      </c>
      <c r="E15" s="6" t="s">
        <v>86</v>
      </c>
      <c r="F15" s="6" t="s">
        <v>133</v>
      </c>
      <c r="G15" s="6" t="s">
        <v>134</v>
      </c>
      <c r="H15" s="6" t="n">
        <v>21</v>
      </c>
      <c r="I15" s="6" t="s">
        <v>111</v>
      </c>
      <c r="J15" s="6" t="s">
        <v>70</v>
      </c>
      <c r="K15" s="6" t="s">
        <v>111</v>
      </c>
      <c r="L15" s="6"/>
      <c r="M15" s="11" t="s">
        <v>112</v>
      </c>
      <c r="N15" s="11" t="s">
        <v>113</v>
      </c>
    </row>
    <row r="16" customFormat="false" ht="15" hidden="false" customHeight="true" outlineLevel="0" collapsed="false">
      <c r="A16" s="6" t="n">
        <v>15</v>
      </c>
      <c r="B16" s="6" t="n">
        <v>156</v>
      </c>
      <c r="C16" s="6" t="s">
        <v>135</v>
      </c>
      <c r="D16" s="6" t="s">
        <v>47</v>
      </c>
      <c r="E16" s="6" t="s">
        <v>86</v>
      </c>
      <c r="F16" s="6" t="s">
        <v>133</v>
      </c>
      <c r="G16" s="6" t="s">
        <v>134</v>
      </c>
      <c r="H16" s="6" t="n">
        <v>21</v>
      </c>
      <c r="I16" s="6" t="s">
        <v>111</v>
      </c>
      <c r="J16" s="6" t="s">
        <v>70</v>
      </c>
      <c r="K16" s="6" t="s">
        <v>111</v>
      </c>
      <c r="L16" s="6"/>
      <c r="M16" s="11" t="s">
        <v>112</v>
      </c>
      <c r="N16" s="11" t="s">
        <v>113</v>
      </c>
    </row>
    <row r="17" customFormat="false" ht="15" hidden="false" customHeight="true" outlineLevel="0" collapsed="false">
      <c r="A17" s="6" t="n">
        <v>16</v>
      </c>
      <c r="B17" s="6" t="n">
        <v>157</v>
      </c>
      <c r="C17" s="6" t="s">
        <v>136</v>
      </c>
      <c r="D17" s="6" t="s">
        <v>47</v>
      </c>
      <c r="E17" s="6" t="s">
        <v>86</v>
      </c>
      <c r="F17" s="6" t="s">
        <v>133</v>
      </c>
      <c r="G17" s="6" t="s">
        <v>134</v>
      </c>
      <c r="H17" s="6" t="n">
        <v>21</v>
      </c>
      <c r="I17" s="6" t="s">
        <v>111</v>
      </c>
      <c r="J17" s="6" t="s">
        <v>70</v>
      </c>
      <c r="K17" s="6" t="s">
        <v>111</v>
      </c>
      <c r="L17" s="6"/>
      <c r="M17" s="11" t="s">
        <v>112</v>
      </c>
      <c r="N17" s="11" t="s">
        <v>113</v>
      </c>
    </row>
    <row r="18" customFormat="false" ht="15" hidden="false" customHeight="true" outlineLevel="0" collapsed="false">
      <c r="A18" s="6" t="n">
        <v>17</v>
      </c>
      <c r="B18" s="6" t="n">
        <v>158</v>
      </c>
      <c r="C18" s="6" t="s">
        <v>137</v>
      </c>
      <c r="D18" s="6" t="s">
        <v>47</v>
      </c>
      <c r="E18" s="6" t="s">
        <v>116</v>
      </c>
      <c r="F18" s="6" t="s">
        <v>133</v>
      </c>
      <c r="G18" s="6" t="s">
        <v>134</v>
      </c>
      <c r="H18" s="6" t="n">
        <v>21</v>
      </c>
      <c r="I18" s="6" t="s">
        <v>111</v>
      </c>
      <c r="J18" s="6" t="s">
        <v>70</v>
      </c>
      <c r="K18" s="6" t="s">
        <v>111</v>
      </c>
      <c r="L18" s="6"/>
      <c r="M18" s="11" t="s">
        <v>112</v>
      </c>
      <c r="N18" s="11" t="s">
        <v>113</v>
      </c>
    </row>
    <row r="19" customFormat="false" ht="15" hidden="false" customHeight="true" outlineLevel="0" collapsed="false">
      <c r="A19" s="6" t="n">
        <v>18</v>
      </c>
      <c r="B19" s="6" t="n">
        <v>159</v>
      </c>
      <c r="C19" s="6" t="s">
        <v>138</v>
      </c>
      <c r="D19" s="6" t="s">
        <v>47</v>
      </c>
      <c r="E19" s="6" t="s">
        <v>86</v>
      </c>
      <c r="F19" s="6" t="s">
        <v>133</v>
      </c>
      <c r="G19" s="6" t="s">
        <v>134</v>
      </c>
      <c r="H19" s="6" t="n">
        <v>21</v>
      </c>
      <c r="I19" s="6" t="s">
        <v>111</v>
      </c>
      <c r="J19" s="6" t="s">
        <v>70</v>
      </c>
      <c r="K19" s="6" t="s">
        <v>111</v>
      </c>
      <c r="L19" s="6"/>
      <c r="M19" s="11" t="s">
        <v>112</v>
      </c>
      <c r="N19" s="11" t="s">
        <v>113</v>
      </c>
    </row>
    <row r="20" customFormat="false" ht="23.25" hidden="false" customHeight="true" outlineLevel="0" collapsed="false">
      <c r="A20" s="6" t="n">
        <v>19</v>
      </c>
      <c r="B20" s="6" t="n">
        <v>160</v>
      </c>
      <c r="C20" s="6" t="s">
        <v>139</v>
      </c>
      <c r="D20" s="6" t="s">
        <v>47</v>
      </c>
      <c r="E20" s="6" t="s">
        <v>116</v>
      </c>
      <c r="F20" s="6" t="s">
        <v>133</v>
      </c>
      <c r="G20" s="6" t="s">
        <v>134</v>
      </c>
      <c r="H20" s="6" t="n">
        <v>21</v>
      </c>
      <c r="I20" s="6" t="s">
        <v>111</v>
      </c>
      <c r="J20" s="6" t="s">
        <v>70</v>
      </c>
      <c r="K20" s="6" t="s">
        <v>111</v>
      </c>
      <c r="L20" s="6"/>
      <c r="M20" s="11" t="s">
        <v>112</v>
      </c>
      <c r="N20" s="11" t="s">
        <v>113</v>
      </c>
    </row>
    <row r="21" customFormat="false" ht="15" hidden="false" customHeight="true" outlineLevel="0" collapsed="false">
      <c r="A21" s="6" t="n">
        <v>20</v>
      </c>
      <c r="B21" s="6" t="n">
        <v>162</v>
      </c>
      <c r="C21" s="6" t="s">
        <v>140</v>
      </c>
      <c r="D21" s="6" t="s">
        <v>47</v>
      </c>
      <c r="E21" s="6" t="s">
        <v>86</v>
      </c>
      <c r="F21" s="6" t="s">
        <v>133</v>
      </c>
      <c r="G21" s="6" t="s">
        <v>134</v>
      </c>
      <c r="H21" s="6" t="n">
        <v>21</v>
      </c>
      <c r="I21" s="6" t="s">
        <v>111</v>
      </c>
      <c r="J21" s="6" t="s">
        <v>70</v>
      </c>
      <c r="K21" s="6" t="s">
        <v>111</v>
      </c>
      <c r="L21" s="6"/>
      <c r="M21" s="11" t="s">
        <v>112</v>
      </c>
      <c r="N21" s="11" t="s">
        <v>113</v>
      </c>
    </row>
    <row r="22" customFormat="false" ht="23.25" hidden="false" customHeight="true" outlineLevel="0" collapsed="false">
      <c r="A22" s="6" t="n">
        <v>21</v>
      </c>
      <c r="B22" s="6" t="n">
        <v>171</v>
      </c>
      <c r="C22" s="6" t="s">
        <v>141</v>
      </c>
      <c r="D22" s="6" t="s">
        <v>47</v>
      </c>
      <c r="E22" s="6" t="s">
        <v>86</v>
      </c>
      <c r="F22" s="6" t="s">
        <v>142</v>
      </c>
      <c r="G22" s="6" t="s">
        <v>143</v>
      </c>
      <c r="H22" s="6" t="n">
        <v>25</v>
      </c>
      <c r="I22" s="6" t="s">
        <v>111</v>
      </c>
      <c r="J22" s="6" t="s">
        <v>70</v>
      </c>
      <c r="K22" s="6" t="s">
        <v>111</v>
      </c>
      <c r="L22" s="6"/>
      <c r="M22" s="11" t="s">
        <v>112</v>
      </c>
      <c r="N22" s="11" t="s">
        <v>144</v>
      </c>
    </row>
    <row r="23" customFormat="false" ht="15" hidden="false" customHeight="true" outlineLevel="0" collapsed="false">
      <c r="A23" s="6" t="n">
        <v>22</v>
      </c>
      <c r="B23" s="6" t="n">
        <v>177</v>
      </c>
      <c r="C23" s="6" t="s">
        <v>145</v>
      </c>
      <c r="D23" s="6" t="s">
        <v>47</v>
      </c>
      <c r="E23" s="6" t="s">
        <v>116</v>
      </c>
      <c r="F23" s="6" t="s">
        <v>146</v>
      </c>
      <c r="G23" s="6" t="s">
        <v>147</v>
      </c>
      <c r="H23" s="6" t="n">
        <v>21</v>
      </c>
      <c r="I23" s="6" t="s">
        <v>111</v>
      </c>
      <c r="J23" s="6" t="s">
        <v>70</v>
      </c>
      <c r="K23" s="6" t="s">
        <v>111</v>
      </c>
      <c r="L23" s="10" t="n">
        <v>46171</v>
      </c>
      <c r="M23" s="11" t="s">
        <v>112</v>
      </c>
      <c r="N23" s="11" t="s">
        <v>113</v>
      </c>
    </row>
    <row r="24" customFormat="false" ht="23.25" hidden="false" customHeight="true" outlineLevel="0" collapsed="false">
      <c r="A24" s="6" t="n">
        <v>23</v>
      </c>
      <c r="B24" s="6" t="n">
        <v>183</v>
      </c>
      <c r="C24" s="6" t="s">
        <v>148</v>
      </c>
      <c r="D24" s="6" t="s">
        <v>47</v>
      </c>
      <c r="E24" s="6" t="s">
        <v>149</v>
      </c>
      <c r="F24" s="6" t="s">
        <v>150</v>
      </c>
      <c r="G24" s="6" t="s">
        <v>151</v>
      </c>
      <c r="H24" s="6" t="n">
        <v>36</v>
      </c>
      <c r="I24" s="6" t="s">
        <v>111</v>
      </c>
      <c r="J24" s="6" t="s">
        <v>70</v>
      </c>
      <c r="K24" s="6" t="s">
        <v>111</v>
      </c>
      <c r="L24" s="6"/>
      <c r="M24" s="11" t="s">
        <v>112</v>
      </c>
      <c r="N24" s="11" t="s">
        <v>152</v>
      </c>
    </row>
    <row r="25" customFormat="false" ht="23.25" hidden="false" customHeight="true" outlineLevel="0" collapsed="false">
      <c r="A25" s="6" t="n">
        <v>24</v>
      </c>
      <c r="B25" s="6" t="n">
        <v>188</v>
      </c>
      <c r="C25" s="6" t="s">
        <v>153</v>
      </c>
      <c r="D25" s="6" t="s">
        <v>47</v>
      </c>
      <c r="E25" s="6" t="s">
        <v>149</v>
      </c>
      <c r="F25" s="6" t="s">
        <v>154</v>
      </c>
      <c r="G25" s="6" t="s">
        <v>155</v>
      </c>
      <c r="H25" s="6" t="n">
        <v>36</v>
      </c>
      <c r="I25" s="6" t="s">
        <v>111</v>
      </c>
      <c r="J25" s="6" t="s">
        <v>70</v>
      </c>
      <c r="K25" s="6" t="s">
        <v>111</v>
      </c>
      <c r="L25" s="6"/>
      <c r="M25" s="11" t="s">
        <v>112</v>
      </c>
      <c r="N25" s="11" t="s">
        <v>152</v>
      </c>
    </row>
    <row r="26" customFormat="false" ht="23.25" hidden="false" customHeight="true" outlineLevel="0" collapsed="false">
      <c r="A26" s="6" t="n">
        <v>25</v>
      </c>
      <c r="B26" s="6" t="n">
        <v>189</v>
      </c>
      <c r="C26" s="6" t="s">
        <v>156</v>
      </c>
      <c r="D26" s="6" t="s">
        <v>47</v>
      </c>
      <c r="E26" s="6" t="s">
        <v>157</v>
      </c>
      <c r="F26" s="6" t="s">
        <v>158</v>
      </c>
      <c r="G26" s="6" t="s">
        <v>151</v>
      </c>
      <c r="H26" s="6" t="n">
        <v>36</v>
      </c>
      <c r="I26" s="6" t="s">
        <v>111</v>
      </c>
      <c r="J26" s="6" t="s">
        <v>70</v>
      </c>
      <c r="K26" s="6" t="s">
        <v>111</v>
      </c>
      <c r="L26" s="6"/>
      <c r="M26" s="11" t="s">
        <v>112</v>
      </c>
      <c r="N26" s="11" t="s">
        <v>152</v>
      </c>
    </row>
    <row r="27" customFormat="false" ht="23.25" hidden="false" customHeight="true" outlineLevel="0" collapsed="false">
      <c r="A27" s="6" t="n">
        <v>26</v>
      </c>
      <c r="B27" s="6" t="n">
        <v>190</v>
      </c>
      <c r="C27" s="6" t="s">
        <v>159</v>
      </c>
      <c r="D27" s="6" t="s">
        <v>47</v>
      </c>
      <c r="E27" s="6" t="s">
        <v>157</v>
      </c>
      <c r="F27" s="6" t="s">
        <v>158</v>
      </c>
      <c r="G27" s="6" t="s">
        <v>151</v>
      </c>
      <c r="H27" s="6" t="n">
        <v>36</v>
      </c>
      <c r="I27" s="6" t="s">
        <v>111</v>
      </c>
      <c r="J27" s="6" t="s">
        <v>70</v>
      </c>
      <c r="K27" s="6" t="s">
        <v>111</v>
      </c>
      <c r="L27" s="6"/>
      <c r="M27" s="11" t="s">
        <v>112</v>
      </c>
      <c r="N27" s="11" t="s">
        <v>152</v>
      </c>
    </row>
    <row r="28" customFormat="false" ht="23.25" hidden="false" customHeight="true" outlineLevel="0" collapsed="false">
      <c r="A28" s="6" t="n">
        <v>27</v>
      </c>
      <c r="B28" s="6" t="n">
        <v>191</v>
      </c>
      <c r="C28" s="6" t="s">
        <v>160</v>
      </c>
      <c r="D28" s="6" t="s">
        <v>47</v>
      </c>
      <c r="E28" s="6" t="s">
        <v>157</v>
      </c>
      <c r="F28" s="6" t="s">
        <v>158</v>
      </c>
      <c r="G28" s="6" t="s">
        <v>151</v>
      </c>
      <c r="H28" s="6" t="n">
        <v>36</v>
      </c>
      <c r="I28" s="6" t="s">
        <v>111</v>
      </c>
      <c r="J28" s="6" t="s">
        <v>70</v>
      </c>
      <c r="K28" s="6" t="s">
        <v>111</v>
      </c>
      <c r="L28" s="6"/>
      <c r="M28" s="11" t="s">
        <v>112</v>
      </c>
      <c r="N28" s="11" t="s">
        <v>152</v>
      </c>
    </row>
    <row r="29" customFormat="false" ht="23.25" hidden="false" customHeight="true" outlineLevel="0" collapsed="false">
      <c r="A29" s="6" t="n">
        <v>28</v>
      </c>
      <c r="B29" s="6" t="n">
        <v>192</v>
      </c>
      <c r="C29" s="6" t="s">
        <v>161</v>
      </c>
      <c r="D29" s="6" t="s">
        <v>47</v>
      </c>
      <c r="E29" s="6" t="s">
        <v>149</v>
      </c>
      <c r="F29" s="6" t="s">
        <v>158</v>
      </c>
      <c r="G29" s="6" t="s">
        <v>162</v>
      </c>
      <c r="H29" s="6" t="n">
        <v>36</v>
      </c>
      <c r="I29" s="6" t="s">
        <v>111</v>
      </c>
      <c r="J29" s="6" t="s">
        <v>70</v>
      </c>
      <c r="K29" s="6" t="s">
        <v>111</v>
      </c>
      <c r="L29" s="6"/>
      <c r="M29" s="11" t="s">
        <v>112</v>
      </c>
      <c r="N29" s="11" t="s">
        <v>152</v>
      </c>
    </row>
    <row r="30" customFormat="false" ht="23.25" hidden="false" customHeight="true" outlineLevel="0" collapsed="false">
      <c r="A30" s="6" t="n">
        <v>29</v>
      </c>
      <c r="B30" s="6" t="n">
        <v>193</v>
      </c>
      <c r="C30" s="6" t="s">
        <v>163</v>
      </c>
      <c r="D30" s="6" t="s">
        <v>47</v>
      </c>
      <c r="E30" s="6" t="s">
        <v>149</v>
      </c>
      <c r="F30" s="6" t="s">
        <v>158</v>
      </c>
      <c r="G30" s="6" t="s">
        <v>162</v>
      </c>
      <c r="H30" s="6" t="n">
        <v>36</v>
      </c>
      <c r="I30" s="6" t="s">
        <v>111</v>
      </c>
      <c r="J30" s="6" t="s">
        <v>70</v>
      </c>
      <c r="K30" s="6" t="s">
        <v>111</v>
      </c>
      <c r="L30" s="6"/>
      <c r="M30" s="11" t="s">
        <v>112</v>
      </c>
      <c r="N30" s="11" t="s">
        <v>152</v>
      </c>
    </row>
    <row r="31" customFormat="false" ht="23.25" hidden="false" customHeight="true" outlineLevel="0" collapsed="false">
      <c r="A31" s="6" t="n">
        <v>30</v>
      </c>
      <c r="B31" s="6" t="n">
        <v>194</v>
      </c>
      <c r="C31" s="6" t="s">
        <v>164</v>
      </c>
      <c r="D31" s="6" t="s">
        <v>47</v>
      </c>
      <c r="E31" s="6" t="s">
        <v>149</v>
      </c>
      <c r="F31" s="6" t="s">
        <v>165</v>
      </c>
      <c r="G31" s="6" t="s">
        <v>166</v>
      </c>
      <c r="H31" s="6" t="n">
        <v>36</v>
      </c>
      <c r="I31" s="6" t="s">
        <v>111</v>
      </c>
      <c r="J31" s="6" t="s">
        <v>70</v>
      </c>
      <c r="K31" s="6" t="s">
        <v>111</v>
      </c>
      <c r="L31" s="10" t="n">
        <v>46157</v>
      </c>
      <c r="M31" s="11" t="s">
        <v>112</v>
      </c>
      <c r="N31" s="11" t="s">
        <v>152</v>
      </c>
    </row>
    <row r="32" customFormat="false" ht="23.25" hidden="false" customHeight="true" outlineLevel="0" collapsed="false">
      <c r="A32" s="6" t="n">
        <v>31</v>
      </c>
      <c r="B32" s="6" t="n">
        <v>195</v>
      </c>
      <c r="C32" s="6" t="s">
        <v>167</v>
      </c>
      <c r="D32" s="6" t="s">
        <v>47</v>
      </c>
      <c r="E32" s="6" t="s">
        <v>149</v>
      </c>
      <c r="F32" s="6" t="s">
        <v>165</v>
      </c>
      <c r="G32" s="6" t="s">
        <v>166</v>
      </c>
      <c r="H32" s="6" t="n">
        <v>36</v>
      </c>
      <c r="I32" s="6" t="s">
        <v>111</v>
      </c>
      <c r="J32" s="6" t="s">
        <v>70</v>
      </c>
      <c r="K32" s="6" t="s">
        <v>111</v>
      </c>
      <c r="L32" s="6"/>
      <c r="M32" s="11" t="s">
        <v>112</v>
      </c>
      <c r="N32" s="11" t="s">
        <v>152</v>
      </c>
    </row>
    <row r="33" customFormat="false" ht="23.25" hidden="false" customHeight="true" outlineLevel="0" collapsed="false">
      <c r="A33" s="6" t="n">
        <v>32</v>
      </c>
      <c r="B33" s="6" t="n">
        <v>196</v>
      </c>
      <c r="C33" s="6" t="s">
        <v>168</v>
      </c>
      <c r="D33" s="6" t="s">
        <v>47</v>
      </c>
      <c r="E33" s="6" t="s">
        <v>149</v>
      </c>
      <c r="F33" s="6" t="s">
        <v>165</v>
      </c>
      <c r="G33" s="6" t="s">
        <v>166</v>
      </c>
      <c r="H33" s="6" t="n">
        <v>36</v>
      </c>
      <c r="I33" s="6" t="s">
        <v>111</v>
      </c>
      <c r="J33" s="6" t="s">
        <v>70</v>
      </c>
      <c r="K33" s="6" t="s">
        <v>111</v>
      </c>
      <c r="L33" s="10" t="n">
        <v>46220</v>
      </c>
      <c r="M33" s="11" t="s">
        <v>112</v>
      </c>
      <c r="N33" s="11" t="s">
        <v>152</v>
      </c>
    </row>
    <row r="34" customFormat="false" ht="23.25" hidden="false" customHeight="true" outlineLevel="0" collapsed="false">
      <c r="A34" s="6" t="n">
        <v>33</v>
      </c>
      <c r="B34" s="6" t="n">
        <v>197</v>
      </c>
      <c r="C34" s="6" t="s">
        <v>169</v>
      </c>
      <c r="D34" s="6" t="s">
        <v>47</v>
      </c>
      <c r="E34" s="6" t="s">
        <v>157</v>
      </c>
      <c r="F34" s="6" t="s">
        <v>170</v>
      </c>
      <c r="G34" s="6" t="s">
        <v>171</v>
      </c>
      <c r="H34" s="6" t="n">
        <v>36</v>
      </c>
      <c r="I34" s="6" t="s">
        <v>111</v>
      </c>
      <c r="J34" s="6" t="s">
        <v>70</v>
      </c>
      <c r="K34" s="6" t="s">
        <v>111</v>
      </c>
      <c r="L34" s="6"/>
      <c r="M34" s="11" t="s">
        <v>112</v>
      </c>
      <c r="N34" s="11" t="s">
        <v>152</v>
      </c>
    </row>
    <row r="35" customFormat="false" ht="15" hidden="false" customHeight="true" outlineLevel="0" collapsed="false">
      <c r="A35" s="6" t="n">
        <v>34</v>
      </c>
      <c r="B35" s="6" t="n">
        <v>84</v>
      </c>
      <c r="C35" s="6" t="s">
        <v>172</v>
      </c>
      <c r="D35" s="6" t="s">
        <v>42</v>
      </c>
      <c r="E35" s="6" t="s">
        <v>76</v>
      </c>
      <c r="F35" s="6" t="s">
        <v>173</v>
      </c>
      <c r="G35" s="6" t="s">
        <v>53</v>
      </c>
      <c r="H35" s="6" t="n">
        <v>18</v>
      </c>
      <c r="I35" s="6" t="n">
        <v>18</v>
      </c>
      <c r="J35" s="6" t="s">
        <v>70</v>
      </c>
      <c r="K35" s="6" t="s">
        <v>70</v>
      </c>
      <c r="L35" s="6"/>
      <c r="M35" s="13" t="s">
        <v>174</v>
      </c>
      <c r="N35" s="6" t="s">
        <v>111</v>
      </c>
    </row>
    <row r="36" customFormat="false" ht="15" hidden="false" customHeight="true" outlineLevel="0" collapsed="false">
      <c r="A36" s="6" t="n">
        <v>35</v>
      </c>
      <c r="B36" s="6" t="n">
        <v>85</v>
      </c>
      <c r="C36" s="6" t="s">
        <v>175</v>
      </c>
      <c r="D36" s="6" t="s">
        <v>42</v>
      </c>
      <c r="E36" s="6" t="s">
        <v>76</v>
      </c>
      <c r="F36" s="6" t="s">
        <v>173</v>
      </c>
      <c r="G36" s="6" t="s">
        <v>53</v>
      </c>
      <c r="H36" s="6" t="n">
        <v>18</v>
      </c>
      <c r="I36" s="6" t="n">
        <v>18</v>
      </c>
      <c r="J36" s="6" t="s">
        <v>70</v>
      </c>
      <c r="K36" s="6" t="s">
        <v>70</v>
      </c>
      <c r="L36" s="10" t="n">
        <v>45825</v>
      </c>
      <c r="M36" s="13" t="s">
        <v>174</v>
      </c>
      <c r="N36" s="6" t="s">
        <v>111</v>
      </c>
    </row>
    <row r="37" customFormat="false" ht="15" hidden="false" customHeight="true" outlineLevel="0" collapsed="false">
      <c r="A37" s="6" t="n">
        <v>36</v>
      </c>
      <c r="B37" s="6" t="n">
        <v>86</v>
      </c>
      <c r="C37" s="6" t="s">
        <v>176</v>
      </c>
      <c r="D37" s="6" t="s">
        <v>42</v>
      </c>
      <c r="E37" s="6" t="s">
        <v>76</v>
      </c>
      <c r="F37" s="6" t="s">
        <v>173</v>
      </c>
      <c r="G37" s="6" t="s">
        <v>53</v>
      </c>
      <c r="H37" s="6" t="n">
        <v>18</v>
      </c>
      <c r="I37" s="6" t="n">
        <v>18</v>
      </c>
      <c r="J37" s="6" t="s">
        <v>70</v>
      </c>
      <c r="K37" s="6" t="s">
        <v>70</v>
      </c>
      <c r="L37" s="6"/>
      <c r="M37" s="13" t="s">
        <v>174</v>
      </c>
      <c r="N37" s="6" t="s">
        <v>111</v>
      </c>
    </row>
    <row r="38" customFormat="false" ht="23.25" hidden="false" customHeight="true" outlineLevel="0" collapsed="false">
      <c r="A38" s="6" t="n">
        <v>37</v>
      </c>
      <c r="B38" s="6" t="n">
        <v>133</v>
      </c>
      <c r="C38" s="6" t="s">
        <v>177</v>
      </c>
      <c r="D38" s="6" t="s">
        <v>47</v>
      </c>
      <c r="E38" s="6" t="s">
        <v>178</v>
      </c>
      <c r="F38" s="6" t="s">
        <v>179</v>
      </c>
      <c r="G38" s="6" t="s">
        <v>180</v>
      </c>
      <c r="H38" s="6" t="n">
        <v>37</v>
      </c>
      <c r="I38" s="6" t="n">
        <v>20</v>
      </c>
      <c r="J38" s="6" t="s">
        <v>70</v>
      </c>
      <c r="K38" s="6" t="s">
        <v>82</v>
      </c>
      <c r="L38" s="10" t="n">
        <v>45840</v>
      </c>
      <c r="M38" s="12" t="s">
        <v>181</v>
      </c>
      <c r="N38" s="11" t="s">
        <v>182</v>
      </c>
    </row>
    <row r="39" customFormat="false" ht="23.25" hidden="false" customHeight="true" outlineLevel="0" collapsed="false">
      <c r="A39" s="6" t="n">
        <v>38</v>
      </c>
      <c r="B39" s="6" t="n">
        <v>134</v>
      </c>
      <c r="C39" s="6" t="s">
        <v>183</v>
      </c>
      <c r="D39" s="6" t="s">
        <v>47</v>
      </c>
      <c r="E39" s="6" t="s">
        <v>178</v>
      </c>
      <c r="F39" s="6" t="s">
        <v>179</v>
      </c>
      <c r="G39" s="6" t="s">
        <v>180</v>
      </c>
      <c r="H39" s="6" t="n">
        <v>37</v>
      </c>
      <c r="I39" s="6" t="n">
        <v>20</v>
      </c>
      <c r="J39" s="6" t="s">
        <v>70</v>
      </c>
      <c r="K39" s="6" t="s">
        <v>82</v>
      </c>
      <c r="L39" s="6"/>
      <c r="M39" s="12" t="s">
        <v>181</v>
      </c>
      <c r="N39" s="11" t="s">
        <v>182</v>
      </c>
    </row>
    <row r="40" customFormat="false" ht="23.25" hidden="false" customHeight="true" outlineLevel="0" collapsed="false">
      <c r="A40" s="6" t="n">
        <v>39</v>
      </c>
      <c r="B40" s="6" t="n">
        <v>135</v>
      </c>
      <c r="C40" s="6" t="s">
        <v>184</v>
      </c>
      <c r="D40" s="6" t="s">
        <v>47</v>
      </c>
      <c r="E40" s="6" t="s">
        <v>185</v>
      </c>
      <c r="F40" s="6" t="s">
        <v>179</v>
      </c>
      <c r="G40" s="6" t="s">
        <v>180</v>
      </c>
      <c r="H40" s="6" t="n">
        <v>37</v>
      </c>
      <c r="I40" s="6" t="n">
        <v>20</v>
      </c>
      <c r="J40" s="6" t="s">
        <v>70</v>
      </c>
      <c r="K40" s="6" t="s">
        <v>82</v>
      </c>
      <c r="L40" s="6"/>
      <c r="M40" s="12" t="s">
        <v>181</v>
      </c>
      <c r="N40" s="11" t="s">
        <v>182</v>
      </c>
    </row>
    <row r="41" customFormat="false" ht="23.25" hidden="false" customHeight="true" outlineLevel="0" collapsed="false">
      <c r="A41" s="6" t="n">
        <v>40</v>
      </c>
      <c r="B41" s="6" t="n">
        <v>136</v>
      </c>
      <c r="C41" s="6" t="s">
        <v>186</v>
      </c>
      <c r="D41" s="6" t="s">
        <v>47</v>
      </c>
      <c r="E41" s="6" t="s">
        <v>185</v>
      </c>
      <c r="F41" s="6" t="s">
        <v>179</v>
      </c>
      <c r="G41" s="6" t="s">
        <v>180</v>
      </c>
      <c r="H41" s="6" t="n">
        <v>37</v>
      </c>
      <c r="I41" s="6" t="n">
        <v>20</v>
      </c>
      <c r="J41" s="6" t="s">
        <v>70</v>
      </c>
      <c r="K41" s="6" t="s">
        <v>82</v>
      </c>
      <c r="L41" s="6"/>
      <c r="M41" s="12" t="s">
        <v>181</v>
      </c>
      <c r="N41" s="11" t="s">
        <v>182</v>
      </c>
    </row>
    <row r="42" customFormat="false" ht="23.25" hidden="false" customHeight="true" outlineLevel="0" collapsed="false">
      <c r="A42" s="6" t="n">
        <v>41</v>
      </c>
      <c r="B42" s="6" t="n">
        <v>143</v>
      </c>
      <c r="C42" s="6" t="s">
        <v>187</v>
      </c>
      <c r="D42" s="6" t="s">
        <v>47</v>
      </c>
      <c r="E42" s="6" t="s">
        <v>86</v>
      </c>
      <c r="F42" s="6" t="s">
        <v>49</v>
      </c>
      <c r="G42" s="6" t="s">
        <v>66</v>
      </c>
      <c r="H42" s="6" t="n">
        <v>30</v>
      </c>
      <c r="I42" s="6" t="n">
        <v>30</v>
      </c>
      <c r="J42" s="6" t="s">
        <v>70</v>
      </c>
      <c r="K42" s="6" t="s">
        <v>70</v>
      </c>
      <c r="L42" s="6"/>
      <c r="M42" s="13" t="s">
        <v>188</v>
      </c>
      <c r="N42" s="6" t="s">
        <v>111</v>
      </c>
    </row>
    <row r="43" customFormat="false" ht="23.25" hidden="false" customHeight="true" outlineLevel="0" collapsed="false">
      <c r="A43" s="6" t="n">
        <v>42</v>
      </c>
      <c r="B43" s="6" t="n">
        <v>146</v>
      </c>
      <c r="C43" s="6" t="s">
        <v>189</v>
      </c>
      <c r="D43" s="6" t="s">
        <v>47</v>
      </c>
      <c r="E43" s="6" t="s">
        <v>86</v>
      </c>
      <c r="F43" s="6" t="s">
        <v>190</v>
      </c>
      <c r="G43" s="6" t="s">
        <v>191</v>
      </c>
      <c r="H43" s="6" t="n">
        <v>30</v>
      </c>
      <c r="I43" s="6" t="n">
        <v>30</v>
      </c>
      <c r="J43" s="6" t="s">
        <v>70</v>
      </c>
      <c r="K43" s="6" t="s">
        <v>70</v>
      </c>
      <c r="L43" s="6"/>
      <c r="M43" s="13" t="s">
        <v>188</v>
      </c>
      <c r="N43" s="6" t="s">
        <v>111</v>
      </c>
    </row>
    <row r="44" customFormat="false" ht="15" hidden="false" customHeight="true" outlineLevel="0" collapsed="false">
      <c r="A44" s="6" t="n">
        <v>43</v>
      </c>
      <c r="B44" s="6" t="n">
        <v>161</v>
      </c>
      <c r="C44" s="6" t="s">
        <v>192</v>
      </c>
      <c r="D44" s="6" t="s">
        <v>47</v>
      </c>
      <c r="E44" s="6" t="s">
        <v>116</v>
      </c>
      <c r="F44" s="6" t="s">
        <v>133</v>
      </c>
      <c r="G44" s="6" t="s">
        <v>193</v>
      </c>
      <c r="H44" s="6" t="n">
        <v>21</v>
      </c>
      <c r="I44" s="6" t="n">
        <v>18</v>
      </c>
      <c r="J44" s="6" t="s">
        <v>70</v>
      </c>
      <c r="K44" s="6" t="s">
        <v>70</v>
      </c>
      <c r="L44" s="6"/>
      <c r="M44" s="12" t="s">
        <v>194</v>
      </c>
      <c r="N44" s="11" t="s">
        <v>195</v>
      </c>
    </row>
    <row r="45" customFormat="false" ht="23.25" hidden="false" customHeight="true" outlineLevel="0" collapsed="false">
      <c r="A45" s="6" t="n">
        <v>44</v>
      </c>
      <c r="B45" s="6" t="n">
        <v>164</v>
      </c>
      <c r="C45" s="6" t="s">
        <v>196</v>
      </c>
      <c r="D45" s="6" t="s">
        <v>47</v>
      </c>
      <c r="E45" s="6" t="s">
        <v>116</v>
      </c>
      <c r="F45" s="6" t="s">
        <v>197</v>
      </c>
      <c r="G45" s="6" t="s">
        <v>193</v>
      </c>
      <c r="H45" s="6" t="n">
        <v>26</v>
      </c>
      <c r="I45" s="6" t="n">
        <v>18</v>
      </c>
      <c r="J45" s="6" t="s">
        <v>70</v>
      </c>
      <c r="K45" s="6" t="s">
        <v>70</v>
      </c>
      <c r="L45" s="6"/>
      <c r="M45" s="12" t="s">
        <v>194</v>
      </c>
      <c r="N45" s="11" t="s">
        <v>198</v>
      </c>
    </row>
    <row r="46" customFormat="false" ht="23.25" hidden="false" customHeight="true" outlineLevel="0" collapsed="false">
      <c r="A46" s="6" t="n">
        <v>45</v>
      </c>
      <c r="B46" s="6" t="n">
        <v>174</v>
      </c>
      <c r="C46" s="6" t="s">
        <v>199</v>
      </c>
      <c r="D46" s="6" t="s">
        <v>47</v>
      </c>
      <c r="E46" s="6" t="s">
        <v>116</v>
      </c>
      <c r="F46" s="6" t="s">
        <v>200</v>
      </c>
      <c r="G46" s="6" t="s">
        <v>201</v>
      </c>
      <c r="H46" s="6" t="n">
        <v>26</v>
      </c>
      <c r="I46" s="6" t="n">
        <v>23</v>
      </c>
      <c r="J46" s="6" t="s">
        <v>70</v>
      </c>
      <c r="K46" s="6" t="s">
        <v>70</v>
      </c>
      <c r="L46" s="6"/>
      <c r="M46" s="12" t="s">
        <v>194</v>
      </c>
      <c r="N46" s="11" t="s">
        <v>202</v>
      </c>
    </row>
    <row r="47" customFormat="false" ht="23.25" hidden="false" customHeight="true" outlineLevel="0" collapsed="false">
      <c r="A47" s="6" t="n">
        <v>46</v>
      </c>
      <c r="B47" s="6" t="n">
        <v>179</v>
      </c>
      <c r="C47" s="6" t="s">
        <v>203</v>
      </c>
      <c r="D47" s="6" t="s">
        <v>47</v>
      </c>
      <c r="E47" s="6" t="s">
        <v>149</v>
      </c>
      <c r="F47" s="6" t="s">
        <v>150</v>
      </c>
      <c r="G47" s="6" t="s">
        <v>193</v>
      </c>
      <c r="H47" s="6" t="n">
        <v>36</v>
      </c>
      <c r="I47" s="6" t="n">
        <v>18</v>
      </c>
      <c r="J47" s="6" t="s">
        <v>70</v>
      </c>
      <c r="K47" s="6" t="s">
        <v>70</v>
      </c>
      <c r="L47" s="6"/>
      <c r="M47" s="12" t="s">
        <v>194</v>
      </c>
      <c r="N47" s="11" t="s">
        <v>204</v>
      </c>
    </row>
    <row r="48" customFormat="false" ht="23.25" hidden="false" customHeight="true" outlineLevel="0" collapsed="false">
      <c r="A48" s="6" t="n">
        <v>47</v>
      </c>
      <c r="B48" s="6" t="n">
        <v>180</v>
      </c>
      <c r="C48" s="6" t="s">
        <v>205</v>
      </c>
      <c r="D48" s="6" t="s">
        <v>47</v>
      </c>
      <c r="E48" s="6" t="s">
        <v>149</v>
      </c>
      <c r="F48" s="6" t="s">
        <v>150</v>
      </c>
      <c r="G48" s="6" t="s">
        <v>193</v>
      </c>
      <c r="H48" s="6" t="n">
        <v>36</v>
      </c>
      <c r="I48" s="6" t="n">
        <v>18</v>
      </c>
      <c r="J48" s="6" t="s">
        <v>70</v>
      </c>
      <c r="K48" s="6" t="s">
        <v>70</v>
      </c>
      <c r="L48" s="6"/>
      <c r="M48" s="12" t="s">
        <v>194</v>
      </c>
      <c r="N48" s="11" t="s">
        <v>204</v>
      </c>
    </row>
    <row r="49" customFormat="false" ht="23.25" hidden="false" customHeight="true" outlineLevel="0" collapsed="false">
      <c r="A49" s="6" t="n">
        <v>48</v>
      </c>
      <c r="B49" s="6" t="n">
        <v>181</v>
      </c>
      <c r="C49" s="6" t="s">
        <v>206</v>
      </c>
      <c r="D49" s="6" t="s">
        <v>47</v>
      </c>
      <c r="E49" s="6" t="s">
        <v>157</v>
      </c>
      <c r="F49" s="6" t="s">
        <v>150</v>
      </c>
      <c r="G49" s="6" t="s">
        <v>207</v>
      </c>
      <c r="H49" s="6" t="n">
        <v>36</v>
      </c>
      <c r="I49" s="6" t="n">
        <v>23</v>
      </c>
      <c r="J49" s="6" t="s">
        <v>70</v>
      </c>
      <c r="K49" s="6" t="s">
        <v>70</v>
      </c>
      <c r="L49" s="6"/>
      <c r="M49" s="12" t="s">
        <v>194</v>
      </c>
      <c r="N49" s="11" t="s">
        <v>208</v>
      </c>
    </row>
    <row r="50" customFormat="false" ht="23.25" hidden="false" customHeight="true" outlineLevel="0" collapsed="false">
      <c r="A50" s="6" t="n">
        <v>49</v>
      </c>
      <c r="B50" s="6" t="n">
        <v>182</v>
      </c>
      <c r="C50" s="6" t="s">
        <v>209</v>
      </c>
      <c r="D50" s="6" t="s">
        <v>47</v>
      </c>
      <c r="E50" s="6" t="s">
        <v>149</v>
      </c>
      <c r="F50" s="6" t="s">
        <v>150</v>
      </c>
      <c r="G50" s="6" t="s">
        <v>207</v>
      </c>
      <c r="H50" s="6" t="n">
        <v>36</v>
      </c>
      <c r="I50" s="6" t="n">
        <v>23</v>
      </c>
      <c r="J50" s="6" t="s">
        <v>70</v>
      </c>
      <c r="K50" s="6" t="s">
        <v>70</v>
      </c>
      <c r="L50" s="6"/>
      <c r="M50" s="12" t="s">
        <v>194</v>
      </c>
      <c r="N50" s="11" t="s">
        <v>208</v>
      </c>
    </row>
    <row r="51" customFormat="false" ht="23.25" hidden="false" customHeight="true" outlineLevel="0" collapsed="false">
      <c r="A51" s="6" t="n">
        <v>50</v>
      </c>
      <c r="B51" s="6" t="n">
        <v>185</v>
      </c>
      <c r="C51" s="6" t="s">
        <v>210</v>
      </c>
      <c r="D51" s="6" t="s">
        <v>47</v>
      </c>
      <c r="E51" s="6" t="s">
        <v>157</v>
      </c>
      <c r="F51" s="6" t="s">
        <v>154</v>
      </c>
      <c r="G51" s="6" t="s">
        <v>211</v>
      </c>
      <c r="H51" s="6" t="n">
        <v>36</v>
      </c>
      <c r="I51" s="6" t="n">
        <v>23</v>
      </c>
      <c r="J51" s="6" t="s">
        <v>70</v>
      </c>
      <c r="K51" s="6" t="s">
        <v>70</v>
      </c>
      <c r="L51" s="6"/>
      <c r="M51" s="12" t="s">
        <v>194</v>
      </c>
      <c r="N51" s="11" t="s">
        <v>208</v>
      </c>
    </row>
    <row r="52" customFormat="false" ht="23.25" hidden="false" customHeight="true" outlineLevel="0" collapsed="false">
      <c r="A52" s="6" t="n">
        <v>51</v>
      </c>
      <c r="B52" s="6" t="n">
        <v>321</v>
      </c>
      <c r="C52" s="6" t="s">
        <v>212</v>
      </c>
      <c r="D52" s="6" t="s">
        <v>51</v>
      </c>
      <c r="E52" s="6" t="s">
        <v>213</v>
      </c>
      <c r="F52" s="6" t="s">
        <v>214</v>
      </c>
      <c r="G52" s="6" t="s">
        <v>215</v>
      </c>
      <c r="H52" s="6" t="n">
        <v>43</v>
      </c>
      <c r="I52" s="6" t="n">
        <v>32</v>
      </c>
      <c r="J52" s="6" t="s">
        <v>70</v>
      </c>
      <c r="K52" s="6" t="s">
        <v>70</v>
      </c>
      <c r="L52" s="10" t="n">
        <v>45922</v>
      </c>
      <c r="M52" s="12" t="s">
        <v>194</v>
      </c>
      <c r="N52" s="11" t="s">
        <v>216</v>
      </c>
    </row>
    <row r="53" customFormat="false" ht="23.25" hidden="false" customHeight="true" outlineLevel="0" collapsed="false">
      <c r="A53" s="6" t="n">
        <v>52</v>
      </c>
      <c r="B53" s="6" t="n">
        <v>322</v>
      </c>
      <c r="C53" s="6" t="s">
        <v>217</v>
      </c>
      <c r="D53" s="6" t="s">
        <v>51</v>
      </c>
      <c r="E53" s="6" t="s">
        <v>213</v>
      </c>
      <c r="F53" s="6" t="s">
        <v>218</v>
      </c>
      <c r="G53" s="6" t="s">
        <v>219</v>
      </c>
      <c r="H53" s="6" t="n">
        <v>43</v>
      </c>
      <c r="I53" s="6" t="n">
        <v>32</v>
      </c>
      <c r="J53" s="6" t="s">
        <v>70</v>
      </c>
      <c r="K53" s="6" t="s">
        <v>70</v>
      </c>
      <c r="L53" s="10" t="n">
        <v>45926</v>
      </c>
      <c r="M53" s="12" t="s">
        <v>194</v>
      </c>
      <c r="N53" s="11" t="s">
        <v>216</v>
      </c>
    </row>
  </sheetData>
  <autoFilter ref="A1:N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30"/>
    <col collapsed="false" customWidth="true" hidden="false" outlineLevel="0" max="4" min="4" style="1" width="28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45"/>
    <col collapsed="false" customWidth="true" hidden="false" outlineLevel="0" max="8" min="8" style="1" width="40"/>
    <col collapsed="false" customWidth="true" hidden="false" outlineLevel="0" max="9" min="9" style="1" width="18"/>
  </cols>
  <sheetData>
    <row r="1" customFormat="false" ht="45" hidden="false" customHeight="true" outlineLevel="0" collapsed="false">
      <c r="A1" s="14" t="s">
        <v>220</v>
      </c>
      <c r="B1" s="14"/>
      <c r="C1" s="14"/>
      <c r="D1" s="14"/>
      <c r="E1" s="14"/>
      <c r="F1" s="14"/>
      <c r="G1" s="14"/>
      <c r="H1" s="14"/>
      <c r="I1" s="14"/>
    </row>
    <row r="2" customFormat="false" ht="42" hidden="false" customHeight="true" outlineLevel="0" collapsed="false">
      <c r="A2" s="9" t="s">
        <v>30</v>
      </c>
      <c r="B2" s="9" t="s">
        <v>32</v>
      </c>
      <c r="C2" s="9" t="s">
        <v>58</v>
      </c>
      <c r="D2" s="9" t="s">
        <v>34</v>
      </c>
      <c r="E2" s="9" t="s">
        <v>35</v>
      </c>
      <c r="F2" s="9" t="s">
        <v>36</v>
      </c>
      <c r="G2" s="9" t="s">
        <v>221</v>
      </c>
      <c r="H2" s="9" t="s">
        <v>222</v>
      </c>
      <c r="I2" s="9" t="s">
        <v>223</v>
      </c>
    </row>
    <row r="3" customFormat="false" ht="34.5" hidden="false" customHeight="true" outlineLevel="0" collapsed="false">
      <c r="A3" s="6" t="n">
        <v>1</v>
      </c>
      <c r="B3" s="6" t="s">
        <v>224</v>
      </c>
      <c r="C3" s="6" t="s">
        <v>166</v>
      </c>
      <c r="D3" s="6" t="s">
        <v>157</v>
      </c>
      <c r="E3" s="6" t="s">
        <v>47</v>
      </c>
      <c r="F3" s="10" t="n">
        <v>46267</v>
      </c>
      <c r="G3" s="6" t="s">
        <v>225</v>
      </c>
      <c r="H3" s="6" t="s">
        <v>226</v>
      </c>
      <c r="I3" s="12"/>
    </row>
    <row r="4" customFormat="false" ht="34.5" hidden="false" customHeight="true" outlineLevel="0" collapsed="false">
      <c r="A4" s="6" t="n">
        <v>2</v>
      </c>
      <c r="B4" s="6" t="s">
        <v>227</v>
      </c>
      <c r="C4" s="6" t="s">
        <v>119</v>
      </c>
      <c r="D4" s="6" t="s">
        <v>86</v>
      </c>
      <c r="E4" s="6" t="s">
        <v>47</v>
      </c>
      <c r="F4" s="10" t="n">
        <v>46163</v>
      </c>
      <c r="G4" s="6" t="s">
        <v>228</v>
      </c>
      <c r="H4" s="6" t="s">
        <v>226</v>
      </c>
      <c r="I4" s="12"/>
    </row>
    <row r="5" customFormat="false" ht="34.5" hidden="false" customHeight="true" outlineLevel="0" collapsed="false">
      <c r="A5" s="6" t="n">
        <v>3</v>
      </c>
      <c r="B5" s="6" t="s">
        <v>229</v>
      </c>
      <c r="C5" s="6" t="s">
        <v>230</v>
      </c>
      <c r="D5" s="6" t="s">
        <v>116</v>
      </c>
      <c r="E5" s="6" t="s">
        <v>47</v>
      </c>
      <c r="F5" s="10" t="n">
        <v>40210</v>
      </c>
      <c r="G5" s="6" t="s">
        <v>231</v>
      </c>
      <c r="H5" s="6" t="s">
        <v>226</v>
      </c>
      <c r="I5" s="12"/>
    </row>
    <row r="6" customFormat="false" ht="34.5" hidden="false" customHeight="true" outlineLevel="0" collapsed="false">
      <c r="A6" s="6" t="n">
        <v>4</v>
      </c>
      <c r="B6" s="6" t="s">
        <v>232</v>
      </c>
      <c r="C6" s="6" t="s">
        <v>233</v>
      </c>
      <c r="D6" s="6" t="s">
        <v>116</v>
      </c>
      <c r="E6" s="6" t="s">
        <v>47</v>
      </c>
      <c r="F6" s="10" t="n">
        <v>44258</v>
      </c>
      <c r="G6" s="6" t="s">
        <v>234</v>
      </c>
      <c r="H6" s="6" t="s">
        <v>226</v>
      </c>
      <c r="I6" s="12"/>
    </row>
    <row r="7" customFormat="false" ht="34.5" hidden="false" customHeight="true" outlineLevel="0" collapsed="false">
      <c r="A7" s="6" t="n">
        <v>5</v>
      </c>
      <c r="B7" s="6" t="s">
        <v>235</v>
      </c>
      <c r="C7" s="6" t="s">
        <v>233</v>
      </c>
      <c r="D7" s="6" t="s">
        <v>149</v>
      </c>
      <c r="E7" s="6" t="s">
        <v>47</v>
      </c>
      <c r="F7" s="10" t="n">
        <v>40878</v>
      </c>
      <c r="G7" s="6" t="s">
        <v>236</v>
      </c>
      <c r="H7" s="6" t="s">
        <v>226</v>
      </c>
      <c r="I7" s="12"/>
    </row>
    <row r="8" customFormat="false" ht="34.5" hidden="false" customHeight="true" outlineLevel="0" collapsed="false">
      <c r="A8" s="6" t="n">
        <v>6</v>
      </c>
      <c r="B8" s="6" t="s">
        <v>237</v>
      </c>
      <c r="C8" s="6" t="s">
        <v>233</v>
      </c>
      <c r="D8" s="6" t="s">
        <v>238</v>
      </c>
      <c r="E8" s="6" t="s">
        <v>47</v>
      </c>
      <c r="F8" s="10" t="n">
        <v>46286</v>
      </c>
      <c r="G8" s="6" t="s">
        <v>239</v>
      </c>
      <c r="H8" s="6" t="s">
        <v>226</v>
      </c>
      <c r="I8" s="12"/>
    </row>
    <row r="9" customFormat="false" ht="34.5" hidden="false" customHeight="true" outlineLevel="0" collapsed="false">
      <c r="A9" s="6" t="n">
        <v>7</v>
      </c>
      <c r="B9" s="6" t="s">
        <v>240</v>
      </c>
      <c r="C9" s="6" t="s">
        <v>233</v>
      </c>
      <c r="D9" s="6" t="s">
        <v>241</v>
      </c>
      <c r="E9" s="6" t="s">
        <v>51</v>
      </c>
      <c r="F9" s="10" t="n">
        <v>45028</v>
      </c>
      <c r="G9" s="6" t="s">
        <v>242</v>
      </c>
      <c r="H9" s="6" t="s">
        <v>226</v>
      </c>
      <c r="I9" s="12"/>
    </row>
    <row r="10" customFormat="false" ht="34.5" hidden="false" customHeight="true" outlineLevel="0" collapsed="false">
      <c r="A10" s="6" t="n">
        <v>8</v>
      </c>
      <c r="B10" s="6" t="s">
        <v>243</v>
      </c>
      <c r="C10" s="6" t="s">
        <v>244</v>
      </c>
      <c r="D10" s="6" t="s">
        <v>245</v>
      </c>
      <c r="E10" s="6" t="s">
        <v>51</v>
      </c>
      <c r="F10" s="10" t="n">
        <v>46237</v>
      </c>
      <c r="G10" s="6" t="s">
        <v>246</v>
      </c>
      <c r="H10" s="6" t="s">
        <v>226</v>
      </c>
      <c r="I10" s="12"/>
    </row>
    <row r="11" customFormat="false" ht="34.5" hidden="false" customHeight="true" outlineLevel="0" collapsed="false">
      <c r="A11" s="6" t="n">
        <v>9</v>
      </c>
      <c r="B11" s="6" t="s">
        <v>247</v>
      </c>
      <c r="C11" s="6" t="s">
        <v>248</v>
      </c>
      <c r="D11" s="6" t="s">
        <v>245</v>
      </c>
      <c r="E11" s="6" t="s">
        <v>51</v>
      </c>
      <c r="F11" s="10" t="n">
        <v>46286</v>
      </c>
      <c r="G11" s="6" t="s">
        <v>249</v>
      </c>
      <c r="H11" s="6" t="s">
        <v>226</v>
      </c>
      <c r="I11" s="12"/>
    </row>
    <row r="12" customFormat="false" ht="34.5" hidden="false" customHeight="true" outlineLevel="0" collapsed="false">
      <c r="A12" s="6" t="n">
        <v>10</v>
      </c>
      <c r="B12" s="6" t="s">
        <v>250</v>
      </c>
      <c r="C12" s="6" t="s">
        <v>251</v>
      </c>
      <c r="D12" s="6" t="s">
        <v>252</v>
      </c>
      <c r="E12" s="6" t="s">
        <v>47</v>
      </c>
      <c r="F12" s="10" t="n">
        <v>42461</v>
      </c>
      <c r="G12" s="6" t="s">
        <v>253</v>
      </c>
      <c r="H12" s="6" t="s">
        <v>226</v>
      </c>
      <c r="I12" s="12"/>
    </row>
    <row r="13" customFormat="false" ht="34.5" hidden="false" customHeight="true" outlineLevel="0" collapsed="false">
      <c r="A13" s="6" t="n">
        <v>11</v>
      </c>
      <c r="B13" s="6" t="s">
        <v>254</v>
      </c>
      <c r="C13" s="6" t="s">
        <v>255</v>
      </c>
      <c r="D13" s="6" t="s">
        <v>252</v>
      </c>
      <c r="E13" s="6" t="s">
        <v>47</v>
      </c>
      <c r="F13" s="10" t="n">
        <v>45180</v>
      </c>
      <c r="G13" s="6" t="s">
        <v>256</v>
      </c>
      <c r="H13" s="6" t="s">
        <v>226</v>
      </c>
      <c r="I13" s="12"/>
    </row>
    <row r="14" customFormat="false" ht="34.5" hidden="false" customHeight="true" outlineLevel="0" collapsed="false">
      <c r="A14" s="6" t="n">
        <v>12</v>
      </c>
      <c r="B14" s="6" t="s">
        <v>257</v>
      </c>
      <c r="C14" s="6" t="s">
        <v>255</v>
      </c>
      <c r="D14" s="6" t="s">
        <v>252</v>
      </c>
      <c r="E14" s="6" t="s">
        <v>47</v>
      </c>
      <c r="F14" s="10" t="n">
        <v>40030</v>
      </c>
      <c r="G14" s="6" t="s">
        <v>256</v>
      </c>
      <c r="H14" s="6" t="s">
        <v>226</v>
      </c>
      <c r="I14" s="12"/>
    </row>
  </sheetData>
  <autoFilter ref="A2:I1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2026-10-15T08:16:57Z</dcterms:created>
  <dc:creator>openpyxl</dc:creator>
  <dc:description/>
  <dc:language>en-US</dc:language>
  <cp:lastModifiedBy/>
  <dcterms:modified xsi:type="dcterms:W3CDTF">2026-10-15T08:19:46Z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