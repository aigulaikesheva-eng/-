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definedNames>
    <definedName function="false" hidden="true" localSheetId="0" name="_xlnm._FilterDatabase" vbProcedure="false">Смета!$A$4:$L$47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<sst xmlns="http://schemas.openxmlformats.org/spreadsheetml/2006/main" count="345" uniqueCount="161">
  <si>
    <t xml:space="preserve">Смета оснащения учебного класса по охране труда</t>
  </si>
  <si>
    <t xml:space="preserve">Цены: средние рыночные (розница РФ с НДС, проверка по интернет-магазинам, сентябрь 2026). Статус и источник по каждой позиции в колонках K-L. Вариант: Б = базовый, О = оптимальный, Р = расширенный</t>
  </si>
  <si>
    <t xml:space="preserve">№</t>
  </si>
  <si>
    <t xml:space="preserve">Раздел</t>
  </si>
  <si>
    <t xml:space="preserve">Наименование</t>
  </si>
  <si>
    <t xml:space="preserve">Ед.</t>
  </si>
  <si>
    <t xml:space="preserve">Кол-во</t>
  </si>
  <si>
    <t xml:space="preserve">Цена, ₽</t>
  </si>
  <si>
    <t xml:space="preserve">Сумма, ₽</t>
  </si>
  <si>
    <t xml:space="preserve">Вариант</t>
  </si>
  <si>
    <t xml:space="preserve">Обоснование / источник</t>
  </si>
  <si>
    <t xml:space="preserve">Цена в прежней редакции, ₽</t>
  </si>
  <si>
    <t xml:space="preserve">Статус проверки цены</t>
  </si>
  <si>
    <t xml:space="preserve">Источник рыночной цены</t>
  </si>
  <si>
    <t xml:space="preserve">1. Мебель и обустройство</t>
  </si>
  <si>
    <t xml:space="preserve">Шкаф застеклённый для НПА и документации</t>
  </si>
  <si>
    <t xml:space="preserve">шт</t>
  </si>
  <si>
    <t xml:space="preserve">Б</t>
  </si>
  <si>
    <t xml:space="preserve">Хранение НПА в застеклённых шкафах (материал PDF)</t>
  </si>
  <si>
    <t xml:space="preserve">Подтверждено поиском</t>
  </si>
  <si>
    <t xml:space="preserve">Офисные шкафы со стеклом 2000 мм: 12 767-14 400 ₽ (orgmebel.ru, defo.ru)</t>
  </si>
  <si>
    <t xml:space="preserve">Витрина для демонстрации СИЗ</t>
  </si>
  <si>
    <t xml:space="preserve">Натурные образцы (п. 24 Приказа 894)</t>
  </si>
  <si>
    <t xml:space="preserve">Напольная стеклянная витрина 800x400x1870: 31 153 ₽ (sp-oborudovanie.ru)</t>
  </si>
  <si>
    <t xml:space="preserve">Шкаф для верхней одежды</t>
  </si>
  <si>
    <t xml:space="preserve">Места для личных вещей (trudohrana.ru)</t>
  </si>
  <si>
    <t xml:space="preserve">Экспертная оценка (в поиске цен нет)</t>
  </si>
  <si>
    <t xml:space="preserve">Офисный гардеробный шкаф ЛДСП 10-15 тыс. ₽</t>
  </si>
  <si>
    <t xml:space="preserve">Шкаф металлический запираемый для протоколов и журналов (персональные данные)</t>
  </si>
  <si>
    <t xml:space="preserve">Хранение протоколов проверки знаний (152-ФЗ)</t>
  </si>
  <si>
    <t xml:space="preserve">Частично (есть данные по аналогам)</t>
  </si>
  <si>
    <t xml:space="preserve">Бухгалтерские шкафы от 4 090 ₽; высота 1500 мм 10-15 тыс. ₽ (steeloff.ru)</t>
  </si>
  <si>
    <t xml:space="preserve">Зеркало ростовое для примерки СИЗ</t>
  </si>
  <si>
    <t xml:space="preserve">Отработка надевания СИЗ (п. 39 ПП 2464)</t>
  </si>
  <si>
    <t xml:space="preserve">Напольное зеркало в раме 6-10 тыс. ₽</t>
  </si>
  <si>
    <t xml:space="preserve">Коврик для отработки СЛР</t>
  </si>
  <si>
    <t xml:space="preserve">Практика первой помощи на полу</t>
  </si>
  <si>
    <t xml:space="preserve">Гимнастический мат/коврик 1,5-2,5 тыс. ₽</t>
  </si>
  <si>
    <t xml:space="preserve">2. Технические средства обучения и IT</t>
  </si>
  <si>
    <t xml:space="preserve">Лазерный проектор + моторизованный экран</t>
  </si>
  <si>
    <t xml:space="preserve">компл</t>
  </si>
  <si>
    <t xml:space="preserve">Основной экран лекционной зоны</t>
  </si>
  <si>
    <t xml:space="preserve">Лазерный проектор 5000 лм от 141 000 ₽ (indikotrade.ru), экран 120" 40 280-47 700 ₽ (rekam.moscow)</t>
  </si>
  <si>
    <t xml:space="preserve">Маркерная доска мобильная двусторонняя</t>
  </si>
  <si>
    <t xml:space="preserve">trudohrana.ru, материал PDF</t>
  </si>
  <si>
    <t xml:space="preserve">Двусторонняя мобильная 100x150: 15 108-27 985 ₽, типично 17 990 ₽ (boardsys.ru)</t>
  </si>
  <si>
    <t xml:space="preserve">Флипчарт</t>
  </si>
  <si>
    <t xml:space="preserve">Работа в малых группах</t>
  </si>
  <si>
    <t xml:space="preserve">Флипчарт на треноге/колёсах 5-12 тыс. ₽</t>
  </si>
  <si>
    <t xml:space="preserve">ТВ</t>
  </si>
  <si>
    <t xml:space="preserve">О</t>
  </si>
  <si>
    <t xml:space="preserve">Показ видеоинструкций во время практики</t>
  </si>
  <si>
    <t xml:space="preserve">ТВ 65" 4K 60-80 тыс. ₽ (оценка) + мобильная стойка от 4 390 ₽ (vseinstrumenti.ru)</t>
  </si>
  <si>
    <t xml:space="preserve">4. Первая помощь (практика)</t>
  </si>
  <si>
    <t xml:space="preserve">Тренажёр-манекен взрослого полноростовой для СЛР с контролем правильности</t>
  </si>
  <si>
    <t xml:space="preserve">П. 36 ПП 2464, голосовое (Роснефть)</t>
  </si>
  <si>
    <t xml:space="preserve">Александр М-06 с контроллером 70 035-92 000 ₽, М-08 с табло 102 500 ₽ (dealmed.ru, feba.ru)</t>
  </si>
  <si>
    <t xml:space="preserve">Торс-тренажёр СЛР с индикацией</t>
  </si>
  <si>
    <t xml:space="preserve">Одновременная практика 3 чел.</t>
  </si>
  <si>
    <t xml:space="preserve">Торс взрослого СЛР со световым контроллером 54 890 ₽ (dealmed.ru)</t>
  </si>
  <si>
    <t xml:space="preserve">Набор имитаторов травм и кровотечений (накладки)</t>
  </si>
  <si>
    <t xml:space="preserve">Отработка остановки кровотечения</t>
  </si>
  <si>
    <t xml:space="preserve">Имитаторы ранений и поражений, 18 ран: 18 800 ₽ (zarnitza.ru, kvazar-ufa.com)</t>
  </si>
  <si>
    <t xml:space="preserve">Тренажёр-конечность для наложения жгута</t>
  </si>
  <si>
    <t xml:space="preserve">Отработка наложения жгута</t>
  </si>
  <si>
    <t xml:space="preserve">Цены в поиске не найдены; электрифицированный стенд «Остановка кровотечения» 124 267 ₽ (fgoskomplekt.ru)</t>
  </si>
  <si>
    <t xml:space="preserve">Комплект шин (лестничных/вакуумных) и шейных воротников</t>
  </si>
  <si>
    <t xml:space="preserve">Голосовое (Роснефть)</t>
  </si>
  <si>
    <t xml:space="preserve">Шина Крамера (рука+нога) 1 100-1 350 ₽/компл. (medfregat.ru); 3 компл. + воротники + вакуумная шина</t>
  </si>
  <si>
    <t xml:space="preserve">Носилки бескаркасные мягкие</t>
  </si>
  <si>
    <t xml:space="preserve">Носилки бескаркасные «Плащ» 4 940 ₽ (medplant.ru)</t>
  </si>
  <si>
    <t xml:space="preserve">Носилки жёсткие (щит спинальный с ремнями)</t>
  </si>
  <si>
    <t xml:space="preserve">Щит спинальный с ремнями 24 100-36 700 ₽ (sunmed.ru, dealmed.ru)</t>
  </si>
  <si>
    <t xml:space="preserve">Аптечка для оказания первой помощи работникам (учебная)</t>
  </si>
  <si>
    <t xml:space="preserve">Приказ Минздрава 262н, голосовое</t>
  </si>
  <si>
    <t xml:space="preserve">Аптечка по 262н 907-2 436 ₽ (apteka.ru, sunmed.ru, gosgroup.ru)</t>
  </si>
  <si>
    <t xml:space="preserve">Расходные материалы (маски-клапаны, салфетки, перчатки, бинты, жгуты)</t>
  </si>
  <si>
    <t xml:space="preserve">Гигиена при практике, голосовое</t>
  </si>
  <si>
    <t xml:space="preserve">Маски-клапаны, салфетки, перчатки, бинты на 1-й год ~200 обучаемых</t>
  </si>
  <si>
    <t xml:space="preserve">Тренажёр для отработки удаления инородного тела из ВДП</t>
  </si>
  <si>
    <t xml:space="preserve">Раздел программы ПП</t>
  </si>
  <si>
    <t xml:space="preserve">Андрей-02: 41 250 ₽; аналоги 42 810-65 940 ₽ (kvazar-ufa.com, go-zaschita.ru)</t>
  </si>
  <si>
    <t xml:space="preserve">5. СИЗ (демонстрационный комплект)</t>
  </si>
  <si>
    <t xml:space="preserve">Манекен полноростовой для демонстрации СИЗ</t>
  </si>
  <si>
    <t xml:space="preserve">Мужской манекен в полный рост 8 000-28 000 ₽ (torg-retail.ru, manekenrus.ru)</t>
  </si>
  <si>
    <t xml:space="preserve">Спецодежда летняя и зимняя, обувь с защитным подноском (по 1 компл.)</t>
  </si>
  <si>
    <t xml:space="preserve">По нормам выдачи предприятия (Приказ 767н)</t>
  </si>
  <si>
    <t xml:space="preserve">Летний костюм 3-5 тыс., зимний 8-15 тыс., обувь летняя/зимняя 3-8 тыс. ₽</t>
  </si>
  <si>
    <t xml:space="preserve">Одноразовые комбинезоны для окрасочных работ, фартуки, нарукавники</t>
  </si>
  <si>
    <t xml:space="preserve">Окрасочные камеры</t>
  </si>
  <si>
    <t xml:space="preserve">Комбинезон тип 5/6 300-800 ₽, фартуки, нарукавники</t>
  </si>
  <si>
    <t xml:space="preserve">СИЗОД: полумаски FFP2/FFP3, полумаски с фильтрами A/P, полнолицевая маска</t>
  </si>
  <si>
    <t xml:space="preserve">Окрасочные работы, пыль при обработке; голосовое</t>
  </si>
  <si>
    <t xml:space="preserve">Полнолицевая маска 3M 6800 13 529 ₽ (vseinstrumenti.ru) + полумаски, фильтры, FFP2/FFP3</t>
  </si>
  <si>
    <t xml:space="preserve">СИЗ глаз и лица (очки открытые и закрытые, щиток)</t>
  </si>
  <si>
    <t xml:space="preserve">Станки, ЧПУ, химия</t>
  </si>
  <si>
    <t xml:space="preserve">Очки открытые/закрытые 300-1 500 ₽, щиток 1-2 тыс. ₽</t>
  </si>
  <si>
    <t xml:space="preserve">СИЗ органа слуха (вкладыши, наушники)</t>
  </si>
  <si>
    <t xml:space="preserve">Шум станков, компрессоров</t>
  </si>
  <si>
    <t xml:space="preserve">Вкладыши, наушники 1-3 тыс. ₽</t>
  </si>
  <si>
    <t xml:space="preserve">СИЗ рук по видам (порезостойкие, химстойкие, от ОПЗ)</t>
  </si>
  <si>
    <t xml:space="preserve">Демонстрация + запрет перчаток у вращающихся частей</t>
  </si>
  <si>
    <t xml:space="preserve">Образцы перчаток по видам 200-1 500 ₽/пара</t>
  </si>
  <si>
    <t xml:space="preserve">Каски/каскетки (с подбородочным ремнём)</t>
  </si>
  <si>
    <t xml:space="preserve">Каска с подбородочным ремнём 1,5-3 тыс., каскетка 0,5-1 тыс. ₽</t>
  </si>
  <si>
    <t xml:space="preserve">Основные и дополнительные электрозащитные средства (диэлектр. перчатки, боты, коврик, указатель напряжения)</t>
  </si>
  <si>
    <t xml:space="preserve">Для электротехнического персонала; голосовое</t>
  </si>
  <si>
    <t xml:space="preserve">Диэлектрические перчатки от 790 ₽, боты от 1 024 ₽, указатель от 503 ₽ (nfcom.ru); + коврик</t>
  </si>
  <si>
    <t xml:space="preserve">Памятки по уходу за спецодеждой и СИЗ (печать)</t>
  </si>
  <si>
    <t xml:space="preserve">Печать памяток тиражом ~500 шт.</t>
  </si>
  <si>
    <t xml:space="preserve">СИЗОД с принудительной подачей воздуха (для окрасочных камер)</t>
  </si>
  <si>
    <t xml:space="preserve">Нужен, если в паспортах безопасности ЛКМ есть изоцианаты (уточнить)</t>
  </si>
  <si>
    <t xml:space="preserve">Сертифицированные комплекты (3M Versaflo и аналоги) 90-160 тыс. ₽; дешёвые от 10 731 ₽ для производства не подходят</t>
  </si>
  <si>
    <t xml:space="preserve">Комплект СИЗ от падения с высоты: удерживающая и страховочная системы, стропы с амортизатором, СЗС ползункового типа, анкерные ленты</t>
  </si>
  <si>
    <t xml:space="preserve">Правила по ОТ при работе на высоте (Приказ Минтруда 782н); голосовое</t>
  </si>
  <si>
    <t xml:space="preserve">Страховочная привязь со стропом-амортизатором 10-20 тыс., СЗС ползункового типа 8-15 тыс., анкерные ленты (vostok.ru, vseinstrumenti.ru)</t>
  </si>
  <si>
    <t xml:space="preserve">6. Специфика производства и наглядность</t>
  </si>
  <si>
    <t xml:space="preserve">Огнетушители учебные (порошковый, углекислотный)</t>
  </si>
  <si>
    <t xml:space="preserve">Учебный/демонстрационный огнетушитель 4-8 тыс. ₽</t>
  </si>
  <si>
    <t xml:space="preserve">Знаки безопасности ГОСТ 12.4.026-2015, сигнальные ленты, переносное ограждение</t>
  </si>
  <si>
    <t xml:space="preserve">Набор знаков, ленты, переносное ограждение</t>
  </si>
  <si>
    <t xml:space="preserve">Информационные стенды (общий раздел, СУОТ, права работника, ПП, СИЗ, ПБ, ГО и ЧС, экология и отходы)</t>
  </si>
  <si>
    <t xml:space="preserve">П. 23 Приказа 894</t>
  </si>
  <si>
    <t xml:space="preserve">Стенды ОТ 1000x1200: 2 200-12 019 ₽ (fzashity.ru, amsnab.ru); с содержанием предприятия ближе к верхней границе</t>
  </si>
  <si>
    <t xml:space="preserve">Комплекты плакатов по видам работ</t>
  </si>
  <si>
    <t xml:space="preserve">П. 9 Приказа 894</t>
  </si>
  <si>
    <t xml:space="preserve">Плакат ~1 000 ₽ (holt-trade.ru); комплекты по видам работ</t>
  </si>
  <si>
    <t xml:space="preserve">Стенд-макет по электробезопасности</t>
  </si>
  <si>
    <t xml:space="preserve">Электротехнический персонал (Правила по ОТ при эксплуатации электроустановок, Приказ Минтруда 903н)</t>
  </si>
  <si>
    <t xml:space="preserve">Плоский стенд ЭБ с карманами 4 000 ₽ (amsnab.ru); стенд-макет с реальными приборами дороже. Цена пользователя оставлена</t>
  </si>
  <si>
    <t xml:space="preserve">Уголки ОТ на производственных участках (стенд + карман для документов), 6 участков</t>
  </si>
  <si>
    <t xml:space="preserve">П. 16, 22 Приказа 894: уголки в структурных подразделениях</t>
  </si>
  <si>
    <t xml:space="preserve">Стенд ОТ с карманами 3 554-12 019 ₽ (amsnab.ru, fzashity.ru)</t>
  </si>
  <si>
    <t xml:space="preserve">Стол для совещаний модульный на 16-20 человек (около 6,0 x 1,2 м, 3-4 секции)</t>
  </si>
  <si>
    <t xml:space="preserve">Добавлено по запросу</t>
  </si>
  <si>
    <t xml:space="preserve">Столы на 20 чел.: от 31 640 до 376 550 ₽; средний сегмент 80-150 тыс. ₽ (nice-office.ru, do-24.ru)</t>
  </si>
  <si>
    <t xml:space="preserve">Стул офисный на металлокаркасе с мягким сиденьем и спинкой</t>
  </si>
  <si>
    <t xml:space="preserve">Добавлено по запросу: 15-20 мест за столом</t>
  </si>
  <si>
    <t xml:space="preserve">Стул ИЗО с мягким сиденьем 2 080-3 015 ₽ (shatura.com)</t>
  </si>
  <si>
    <t xml:space="preserve">Вешалка напольная для верхней одежды</t>
  </si>
  <si>
    <t xml:space="preserve">Добавлено по запросу. На 20 человек 2 вешалки</t>
  </si>
  <si>
    <t xml:space="preserve">Офисная напольная вешалка 3-7 тыс. ₽</t>
  </si>
  <si>
    <t xml:space="preserve">Ноутбук для подключения к ТВ/проектору (с кабелем HDMI и беспроводным презентером)</t>
  </si>
  <si>
    <t xml:space="preserve">Добавлено по запросу: показ презентаций и видео</t>
  </si>
  <si>
    <t xml:space="preserve">Ноутбук 15,6" Core i5/16 ГБ/512 ГБ 75 999-84 999 ₽ (eldorado.ru)</t>
  </si>
  <si>
    <t xml:space="preserve">ИТОГО по всем позициям</t>
  </si>
  <si>
    <t xml:space="preserve">ДОПОЛНИТЕЛЬНО, НА ВЫБОР: компьютеры для тестирования (в ИТОГО не включены)</t>
  </si>
  <si>
    <t xml:space="preserve">Минимум по п. 97 ПП РФ № 2464: 5 мест обучения на 500 работников. Тест занимает 20-40 мин, поэтому 10 ноутбуков позволяют протестировать группу 20 чел. в 2 захода.</t>
  </si>
  <si>
    <t xml:space="preserve">Вариант А (рекомендуемый): 10 мест</t>
  </si>
  <si>
    <t xml:space="preserve">Ноутбук для прохождения тестов (офисный, 15,6")</t>
  </si>
  <si>
    <t xml:space="preserve">Опц.</t>
  </si>
  <si>
    <t xml:space="preserve">Для тестов в СДО/ЕИСОТ</t>
  </si>
  <si>
    <t xml:space="preserve">Для тестов достаточно Core i3/8 ГБ: 40-55 тыс. ₽; Core i5/16 ГБ 76-85 тыс. ₽ (eldorado.ru)</t>
  </si>
  <si>
    <t xml:space="preserve">Шкаф-тележка для хранения и зарядки ноутбуков на 10 мест</t>
  </si>
  <si>
    <t xml:space="preserve">Хранение и зарядка, защита от хищения</t>
  </si>
  <si>
    <t xml:space="preserve">Цены в поиске не найдены (n-72.ru, mobilecharge.ru: по запросу)</t>
  </si>
  <si>
    <t xml:space="preserve">Итого по варианту</t>
  </si>
  <si>
    <t xml:space="preserve">Вариант Б: 20 мест (каждому за столом)</t>
  </si>
  <si>
    <t xml:space="preserve">Шкаф-тележка для хранения и зарядки ноутбуков на 20 мест</t>
  </si>
  <si>
    <t xml:space="preserve">ИТОГО со сметой, Вариант А</t>
  </si>
  <si>
    <t xml:space="preserve">ИТОГО со сметой, Вариант 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</si>
</sst>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;\(#,##0&quot; ₽)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41" activePane="bottomLeft" state="frozen"/>
      <selection pane="topLeft" activeCell="A1" activeCellId="0" sqref="A1"/>
      <selection pane="bottomLeft" activeCell="C54" activeCellId="0" sqref="C5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54"/>
    <col collapsed="false" customWidth="true" hidden="false" outlineLevel="0" max="4" min="4" style="1" width="7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52"/>
    <col collapsed="false" customWidth="true" hidden="false" outlineLevel="0" max="10" min="10" style="1" width="14"/>
    <col collapsed="false" customWidth="true" hidden="false" outlineLevel="0" max="11" min="11" style="1" width="22"/>
    <col collapsed="false" customWidth="true" hidden="false" outlineLevel="0" max="12" min="12" style="1" width="60"/>
  </cols>
  <sheetData>
    <row r="1" customFormat="false" ht="16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4.2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4.2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</row>
    <row r="5" customFormat="false" ht="14.25" hidden="false" customHeight="true" outlineLevel="0" collapsed="false">
      <c r="A5" s="6" t="n">
        <v>5</v>
      </c>
      <c r="B5" s="6" t="s">
        <v>14</v>
      </c>
      <c r="C5" s="6" t="s">
        <v>15</v>
      </c>
      <c r="D5" s="6" t="s">
        <v>16</v>
      </c>
      <c r="E5" s="7" t="n">
        <v>4</v>
      </c>
      <c r="F5" s="8" t="n">
        <v>14000</v>
      </c>
      <c r="G5" s="9" t="n">
        <f aca="false">E5*F5</f>
        <v>56000</v>
      </c>
      <c r="H5" s="10" t="s">
        <v>17</v>
      </c>
      <c r="I5" s="6" t="s">
        <v>18</v>
      </c>
      <c r="J5" s="11" t="n">
        <v>28000</v>
      </c>
      <c r="K5" s="12" t="s">
        <v>19</v>
      </c>
      <c r="L5" s="12" t="s">
        <v>20</v>
      </c>
    </row>
    <row r="6" customFormat="false" ht="14.25" hidden="false" customHeight="true" outlineLevel="0" collapsed="false">
      <c r="A6" s="6" t="n">
        <v>6</v>
      </c>
      <c r="B6" s="6" t="s">
        <v>14</v>
      </c>
      <c r="C6" s="6" t="s">
        <v>21</v>
      </c>
      <c r="D6" s="6" t="s">
        <v>16</v>
      </c>
      <c r="E6" s="7" t="n">
        <v>3</v>
      </c>
      <c r="F6" s="8" t="n">
        <v>32000</v>
      </c>
      <c r="G6" s="9" t="n">
        <f aca="false">E6*F6</f>
        <v>96000</v>
      </c>
      <c r="H6" s="10" t="s">
        <v>17</v>
      </c>
      <c r="I6" s="6" t="s">
        <v>22</v>
      </c>
      <c r="J6" s="11" t="n">
        <v>45000</v>
      </c>
      <c r="K6" s="12" t="s">
        <v>19</v>
      </c>
      <c r="L6" s="12" t="s">
        <v>23</v>
      </c>
    </row>
    <row r="7" customFormat="false" ht="14.25" hidden="false" customHeight="true" outlineLevel="0" collapsed="false">
      <c r="A7" s="6" t="n">
        <v>8</v>
      </c>
      <c r="B7" s="6" t="s">
        <v>14</v>
      </c>
      <c r="C7" s="6" t="s">
        <v>24</v>
      </c>
      <c r="D7" s="6" t="s">
        <v>16</v>
      </c>
      <c r="E7" s="7" t="n">
        <v>2</v>
      </c>
      <c r="F7" s="8" t="n">
        <v>12000</v>
      </c>
      <c r="G7" s="9" t="n">
        <f aca="false">E7*F7</f>
        <v>24000</v>
      </c>
      <c r="H7" s="10" t="s">
        <v>17</v>
      </c>
      <c r="I7" s="6" t="s">
        <v>25</v>
      </c>
      <c r="J7" s="11" t="n">
        <v>22000</v>
      </c>
      <c r="K7" s="12" t="s">
        <v>26</v>
      </c>
      <c r="L7" s="12" t="s">
        <v>27</v>
      </c>
    </row>
    <row r="8" customFormat="false" ht="26.25" hidden="false" customHeight="true" outlineLevel="0" collapsed="false">
      <c r="A8" s="6" t="n">
        <v>10</v>
      </c>
      <c r="B8" s="6" t="s">
        <v>14</v>
      </c>
      <c r="C8" s="6" t="s">
        <v>28</v>
      </c>
      <c r="D8" s="6" t="s">
        <v>16</v>
      </c>
      <c r="E8" s="7" t="n">
        <v>1</v>
      </c>
      <c r="F8" s="8" t="n">
        <v>12000</v>
      </c>
      <c r="G8" s="9" t="n">
        <f aca="false">E8*F8</f>
        <v>12000</v>
      </c>
      <c r="H8" s="10" t="s">
        <v>17</v>
      </c>
      <c r="I8" s="6" t="s">
        <v>29</v>
      </c>
      <c r="J8" s="11" t="n">
        <v>20000</v>
      </c>
      <c r="K8" s="12" t="s">
        <v>30</v>
      </c>
      <c r="L8" s="12" t="s">
        <v>31</v>
      </c>
    </row>
    <row r="9" customFormat="false" ht="14.25" hidden="false" customHeight="true" outlineLevel="0" collapsed="false">
      <c r="A9" s="6" t="n">
        <v>11</v>
      </c>
      <c r="B9" s="6" t="s">
        <v>14</v>
      </c>
      <c r="C9" s="6" t="s">
        <v>32</v>
      </c>
      <c r="D9" s="6" t="s">
        <v>16</v>
      </c>
      <c r="E9" s="7" t="n">
        <v>1</v>
      </c>
      <c r="F9" s="8" t="n">
        <v>8000</v>
      </c>
      <c r="G9" s="9" t="n">
        <f aca="false">E9*F9</f>
        <v>8000</v>
      </c>
      <c r="H9" s="10" t="s">
        <v>17</v>
      </c>
      <c r="I9" s="6" t="s">
        <v>33</v>
      </c>
      <c r="J9" s="11" t="n">
        <v>15000</v>
      </c>
      <c r="K9" s="12" t="s">
        <v>26</v>
      </c>
      <c r="L9" s="12" t="s">
        <v>34</v>
      </c>
    </row>
    <row r="10" customFormat="false" ht="14.25" hidden="false" customHeight="true" outlineLevel="0" collapsed="false">
      <c r="A10" s="6" t="n">
        <v>12</v>
      </c>
      <c r="B10" s="6" t="s">
        <v>14</v>
      </c>
      <c r="C10" s="6" t="s">
        <v>35</v>
      </c>
      <c r="D10" s="6" t="s">
        <v>16</v>
      </c>
      <c r="E10" s="7" t="n">
        <v>4</v>
      </c>
      <c r="F10" s="8" t="n">
        <v>2000</v>
      </c>
      <c r="G10" s="9" t="n">
        <f aca="false">E10*F10</f>
        <v>8000</v>
      </c>
      <c r="H10" s="10" t="s">
        <v>17</v>
      </c>
      <c r="I10" s="6" t="s">
        <v>36</v>
      </c>
      <c r="J10" s="11" t="n">
        <v>3500</v>
      </c>
      <c r="K10" s="12" t="s">
        <v>26</v>
      </c>
      <c r="L10" s="12" t="s">
        <v>37</v>
      </c>
    </row>
    <row r="11" customFormat="false" ht="26.25" hidden="false" customHeight="true" outlineLevel="0" collapsed="false">
      <c r="A11" s="6" t="n">
        <v>14</v>
      </c>
      <c r="B11" s="6" t="s">
        <v>38</v>
      </c>
      <c r="C11" s="6" t="s">
        <v>39</v>
      </c>
      <c r="D11" s="6" t="s">
        <v>40</v>
      </c>
      <c r="E11" s="7" t="n">
        <v>1</v>
      </c>
      <c r="F11" s="8" t="n">
        <v>220000</v>
      </c>
      <c r="G11" s="9" t="n">
        <f aca="false">E11*F11</f>
        <v>220000</v>
      </c>
      <c r="H11" s="10" t="s">
        <v>17</v>
      </c>
      <c r="I11" s="6" t="s">
        <v>41</v>
      </c>
      <c r="J11" s="11" t="n">
        <v>220000</v>
      </c>
      <c r="K11" s="12" t="s">
        <v>19</v>
      </c>
      <c r="L11" s="12" t="s">
        <v>42</v>
      </c>
    </row>
    <row r="12" customFormat="false" ht="26.25" hidden="false" customHeight="true" outlineLevel="0" collapsed="false">
      <c r="A12" s="6" t="n">
        <v>18</v>
      </c>
      <c r="B12" s="6" t="s">
        <v>38</v>
      </c>
      <c r="C12" s="6" t="s">
        <v>43</v>
      </c>
      <c r="D12" s="6" t="s">
        <v>16</v>
      </c>
      <c r="E12" s="7" t="n">
        <v>1</v>
      </c>
      <c r="F12" s="8" t="n">
        <v>17000</v>
      </c>
      <c r="G12" s="9" t="n">
        <f aca="false">E12*F12</f>
        <v>17000</v>
      </c>
      <c r="H12" s="10" t="s">
        <v>17</v>
      </c>
      <c r="I12" s="6" t="s">
        <v>44</v>
      </c>
      <c r="J12" s="11" t="n">
        <v>30000</v>
      </c>
      <c r="K12" s="12" t="s">
        <v>19</v>
      </c>
      <c r="L12" s="12" t="s">
        <v>45</v>
      </c>
    </row>
    <row r="13" customFormat="false" ht="26.25" hidden="false" customHeight="true" outlineLevel="0" collapsed="false">
      <c r="A13" s="6" t="n">
        <v>19</v>
      </c>
      <c r="B13" s="6" t="s">
        <v>38</v>
      </c>
      <c r="C13" s="6" t="s">
        <v>46</v>
      </c>
      <c r="D13" s="6" t="s">
        <v>16</v>
      </c>
      <c r="E13" s="7" t="n">
        <v>1</v>
      </c>
      <c r="F13" s="8" t="n">
        <v>8000</v>
      </c>
      <c r="G13" s="9" t="n">
        <f aca="false">E13*F13</f>
        <v>8000</v>
      </c>
      <c r="H13" s="10" t="s">
        <v>17</v>
      </c>
      <c r="I13" s="6" t="s">
        <v>47</v>
      </c>
      <c r="J13" s="11" t="n">
        <v>15000</v>
      </c>
      <c r="K13" s="12" t="s">
        <v>26</v>
      </c>
      <c r="L13" s="12" t="s">
        <v>48</v>
      </c>
    </row>
    <row r="14" customFormat="false" ht="26.25" hidden="false" customHeight="true" outlineLevel="0" collapsed="false">
      <c r="A14" s="6" t="n">
        <v>21</v>
      </c>
      <c r="B14" s="6" t="s">
        <v>38</v>
      </c>
      <c r="C14" s="6" t="s">
        <v>49</v>
      </c>
      <c r="D14" s="6" t="s">
        <v>16</v>
      </c>
      <c r="E14" s="7" t="n">
        <v>1</v>
      </c>
      <c r="F14" s="8" t="n">
        <v>80000</v>
      </c>
      <c r="G14" s="9" t="n">
        <f aca="false">E14*F14</f>
        <v>80000</v>
      </c>
      <c r="H14" s="10" t="s">
        <v>50</v>
      </c>
      <c r="I14" s="6" t="s">
        <v>51</v>
      </c>
      <c r="J14" s="11" t="n">
        <v>120000</v>
      </c>
      <c r="K14" s="12" t="s">
        <v>30</v>
      </c>
      <c r="L14" s="12" t="s">
        <v>52</v>
      </c>
    </row>
    <row r="15" customFormat="false" ht="26.25" hidden="false" customHeight="true" outlineLevel="0" collapsed="false">
      <c r="A15" s="6" t="n">
        <v>31</v>
      </c>
      <c r="B15" s="6" t="s">
        <v>53</v>
      </c>
      <c r="C15" s="6" t="s">
        <v>54</v>
      </c>
      <c r="D15" s="6" t="s">
        <v>16</v>
      </c>
      <c r="E15" s="7" t="n">
        <v>1</v>
      </c>
      <c r="F15" s="8" t="n">
        <v>90000</v>
      </c>
      <c r="G15" s="9" t="n">
        <f aca="false">E15*F15</f>
        <v>90000</v>
      </c>
      <c r="H15" s="10" t="s">
        <v>17</v>
      </c>
      <c r="I15" s="6" t="s">
        <v>55</v>
      </c>
      <c r="J15" s="11" t="n">
        <v>320000</v>
      </c>
      <c r="K15" s="12" t="s">
        <v>19</v>
      </c>
      <c r="L15" s="12" t="s">
        <v>56</v>
      </c>
    </row>
    <row r="16" customFormat="false" ht="26.25" hidden="false" customHeight="true" outlineLevel="0" collapsed="false">
      <c r="A16" s="6" t="n">
        <v>32</v>
      </c>
      <c r="B16" s="6" t="s">
        <v>53</v>
      </c>
      <c r="C16" s="6" t="s">
        <v>57</v>
      </c>
      <c r="D16" s="6" t="s">
        <v>16</v>
      </c>
      <c r="E16" s="7" t="n">
        <v>2</v>
      </c>
      <c r="F16" s="8" t="n">
        <v>55000</v>
      </c>
      <c r="G16" s="9" t="n">
        <f aca="false">E16*F16</f>
        <v>110000</v>
      </c>
      <c r="H16" s="10" t="s">
        <v>17</v>
      </c>
      <c r="I16" s="6" t="s">
        <v>58</v>
      </c>
      <c r="J16" s="11" t="n">
        <v>75000</v>
      </c>
      <c r="K16" s="12" t="s">
        <v>19</v>
      </c>
      <c r="L16" s="12" t="s">
        <v>59</v>
      </c>
    </row>
    <row r="17" customFormat="false" ht="26.25" hidden="false" customHeight="true" outlineLevel="0" collapsed="false">
      <c r="A17" s="6" t="n">
        <v>33</v>
      </c>
      <c r="B17" s="6" t="s">
        <v>53</v>
      </c>
      <c r="C17" s="6" t="s">
        <v>60</v>
      </c>
      <c r="D17" s="6" t="s">
        <v>40</v>
      </c>
      <c r="E17" s="7" t="n">
        <v>1</v>
      </c>
      <c r="F17" s="8" t="n">
        <v>19000</v>
      </c>
      <c r="G17" s="9" t="n">
        <f aca="false">E17*F17</f>
        <v>19000</v>
      </c>
      <c r="H17" s="10" t="s">
        <v>17</v>
      </c>
      <c r="I17" s="6" t="s">
        <v>61</v>
      </c>
      <c r="J17" s="11" t="n">
        <v>60000</v>
      </c>
      <c r="K17" s="12" t="s">
        <v>19</v>
      </c>
      <c r="L17" s="12" t="s">
        <v>62</v>
      </c>
    </row>
    <row r="18" customFormat="false" ht="26.25" hidden="false" customHeight="true" outlineLevel="0" collapsed="false">
      <c r="A18" s="6" t="n">
        <v>34</v>
      </c>
      <c r="B18" s="6" t="s">
        <v>53</v>
      </c>
      <c r="C18" s="6" t="s">
        <v>63</v>
      </c>
      <c r="D18" s="6" t="s">
        <v>16</v>
      </c>
      <c r="E18" s="7" t="n">
        <v>1</v>
      </c>
      <c r="F18" s="8" t="n">
        <v>45000</v>
      </c>
      <c r="G18" s="9" t="n">
        <f aca="false">E18*F18</f>
        <v>45000</v>
      </c>
      <c r="H18" s="10" t="s">
        <v>17</v>
      </c>
      <c r="I18" s="6" t="s">
        <v>64</v>
      </c>
      <c r="J18" s="11" t="n">
        <v>45000</v>
      </c>
      <c r="K18" s="12" t="s">
        <v>26</v>
      </c>
      <c r="L18" s="12" t="s">
        <v>65</v>
      </c>
    </row>
    <row r="19" customFormat="false" ht="26.25" hidden="false" customHeight="true" outlineLevel="0" collapsed="false">
      <c r="A19" s="6" t="n">
        <v>35</v>
      </c>
      <c r="B19" s="6" t="s">
        <v>53</v>
      </c>
      <c r="C19" s="6" t="s">
        <v>66</v>
      </c>
      <c r="D19" s="6" t="s">
        <v>40</v>
      </c>
      <c r="E19" s="7" t="n">
        <v>1</v>
      </c>
      <c r="F19" s="8" t="n">
        <v>10000</v>
      </c>
      <c r="G19" s="9" t="n">
        <f aca="false">E19*F19</f>
        <v>10000</v>
      </c>
      <c r="H19" s="10" t="s">
        <v>17</v>
      </c>
      <c r="I19" s="6" t="s">
        <v>67</v>
      </c>
      <c r="J19" s="11" t="n">
        <v>35000</v>
      </c>
      <c r="K19" s="12" t="s">
        <v>30</v>
      </c>
      <c r="L19" s="12" t="s">
        <v>68</v>
      </c>
    </row>
    <row r="20" customFormat="false" ht="26.25" hidden="false" customHeight="true" outlineLevel="0" collapsed="false">
      <c r="A20" s="6" t="n">
        <v>36</v>
      </c>
      <c r="B20" s="6" t="s">
        <v>53</v>
      </c>
      <c r="C20" s="6" t="s">
        <v>69</v>
      </c>
      <c r="D20" s="6" t="s">
        <v>16</v>
      </c>
      <c r="E20" s="7" t="n">
        <v>2</v>
      </c>
      <c r="F20" s="8" t="n">
        <v>5000</v>
      </c>
      <c r="G20" s="9" t="n">
        <f aca="false">E20*F20</f>
        <v>10000</v>
      </c>
      <c r="H20" s="10" t="s">
        <v>17</v>
      </c>
      <c r="I20" s="6" t="s">
        <v>67</v>
      </c>
      <c r="J20" s="11" t="n">
        <v>8000</v>
      </c>
      <c r="K20" s="12" t="s">
        <v>19</v>
      </c>
      <c r="L20" s="12" t="s">
        <v>70</v>
      </c>
    </row>
    <row r="21" customFormat="false" ht="26.25" hidden="false" customHeight="true" outlineLevel="0" collapsed="false">
      <c r="A21" s="6" t="n">
        <v>37</v>
      </c>
      <c r="B21" s="6" t="s">
        <v>53</v>
      </c>
      <c r="C21" s="6" t="s">
        <v>71</v>
      </c>
      <c r="D21" s="6" t="s">
        <v>16</v>
      </c>
      <c r="E21" s="7" t="n">
        <v>1</v>
      </c>
      <c r="F21" s="8" t="n">
        <v>30000</v>
      </c>
      <c r="G21" s="9" t="n">
        <f aca="false">E21*F21</f>
        <v>30000</v>
      </c>
      <c r="H21" s="10" t="s">
        <v>17</v>
      </c>
      <c r="I21" s="6" t="s">
        <v>67</v>
      </c>
      <c r="J21" s="11" t="n">
        <v>35000</v>
      </c>
      <c r="K21" s="12" t="s">
        <v>19</v>
      </c>
      <c r="L21" s="12" t="s">
        <v>72</v>
      </c>
    </row>
    <row r="22" customFormat="false" ht="26.25" hidden="false" customHeight="true" outlineLevel="0" collapsed="false">
      <c r="A22" s="6" t="n">
        <v>38</v>
      </c>
      <c r="B22" s="6" t="s">
        <v>53</v>
      </c>
      <c r="C22" s="6" t="s">
        <v>73</v>
      </c>
      <c r="D22" s="6" t="s">
        <v>16</v>
      </c>
      <c r="E22" s="7" t="n">
        <v>3</v>
      </c>
      <c r="F22" s="8" t="n">
        <v>1500</v>
      </c>
      <c r="G22" s="9" t="n">
        <f aca="false">E22*F22</f>
        <v>4500</v>
      </c>
      <c r="H22" s="10" t="s">
        <v>17</v>
      </c>
      <c r="I22" s="6" t="s">
        <v>74</v>
      </c>
      <c r="J22" s="11" t="n">
        <v>3500</v>
      </c>
      <c r="K22" s="12" t="s">
        <v>19</v>
      </c>
      <c r="L22" s="12" t="s">
        <v>75</v>
      </c>
    </row>
    <row r="23" customFormat="false" ht="26.25" hidden="false" customHeight="true" outlineLevel="0" collapsed="false">
      <c r="A23" s="6" t="n">
        <v>39</v>
      </c>
      <c r="B23" s="6" t="s">
        <v>53</v>
      </c>
      <c r="C23" s="6" t="s">
        <v>76</v>
      </c>
      <c r="D23" s="6" t="s">
        <v>40</v>
      </c>
      <c r="E23" s="7" t="n">
        <v>1</v>
      </c>
      <c r="F23" s="8" t="n">
        <v>30000</v>
      </c>
      <c r="G23" s="9" t="n">
        <f aca="false">E23*F23</f>
        <v>30000</v>
      </c>
      <c r="H23" s="10" t="s">
        <v>17</v>
      </c>
      <c r="I23" s="6" t="s">
        <v>77</v>
      </c>
      <c r="J23" s="11" t="n">
        <v>60000</v>
      </c>
      <c r="K23" s="12" t="s">
        <v>26</v>
      </c>
      <c r="L23" s="12" t="s">
        <v>78</v>
      </c>
    </row>
    <row r="24" customFormat="false" ht="26.25" hidden="false" customHeight="true" outlineLevel="0" collapsed="false">
      <c r="A24" s="6" t="n">
        <v>40</v>
      </c>
      <c r="B24" s="6" t="s">
        <v>53</v>
      </c>
      <c r="C24" s="6" t="s">
        <v>79</v>
      </c>
      <c r="D24" s="6" t="s">
        <v>16</v>
      </c>
      <c r="E24" s="7" t="n">
        <v>1</v>
      </c>
      <c r="F24" s="8" t="n">
        <v>45000</v>
      </c>
      <c r="G24" s="9" t="n">
        <f aca="false">E24*F24</f>
        <v>45000</v>
      </c>
      <c r="H24" s="10" t="s">
        <v>50</v>
      </c>
      <c r="I24" s="6" t="s">
        <v>80</v>
      </c>
      <c r="J24" s="11" t="n">
        <v>65000</v>
      </c>
      <c r="K24" s="12" t="s">
        <v>19</v>
      </c>
      <c r="L24" s="12" t="s">
        <v>81</v>
      </c>
    </row>
    <row r="25" customFormat="false" ht="26.25" hidden="false" customHeight="true" outlineLevel="0" collapsed="false">
      <c r="A25" s="6" t="n">
        <v>42</v>
      </c>
      <c r="B25" s="6" t="s">
        <v>82</v>
      </c>
      <c r="C25" s="6" t="s">
        <v>83</v>
      </c>
      <c r="D25" s="6" t="s">
        <v>16</v>
      </c>
      <c r="E25" s="7" t="n">
        <v>2</v>
      </c>
      <c r="F25" s="8" t="n">
        <v>15000</v>
      </c>
      <c r="G25" s="9" t="n">
        <f aca="false">E25*F25</f>
        <v>30000</v>
      </c>
      <c r="H25" s="10" t="s">
        <v>17</v>
      </c>
      <c r="I25" s="6" t="s">
        <v>67</v>
      </c>
      <c r="J25" s="11" t="n">
        <v>30000</v>
      </c>
      <c r="K25" s="12" t="s">
        <v>19</v>
      </c>
      <c r="L25" s="12" t="s">
        <v>84</v>
      </c>
    </row>
    <row r="26" customFormat="false" ht="26.25" hidden="false" customHeight="true" outlineLevel="0" collapsed="false">
      <c r="A26" s="6" t="n">
        <v>43</v>
      </c>
      <c r="B26" s="6" t="s">
        <v>82</v>
      </c>
      <c r="C26" s="6" t="s">
        <v>85</v>
      </c>
      <c r="D26" s="6" t="s">
        <v>40</v>
      </c>
      <c r="E26" s="7" t="n">
        <v>1</v>
      </c>
      <c r="F26" s="8" t="n">
        <v>35000</v>
      </c>
      <c r="G26" s="9" t="n">
        <f aca="false">E26*F26</f>
        <v>35000</v>
      </c>
      <c r="H26" s="10" t="s">
        <v>17</v>
      </c>
      <c r="I26" s="6" t="s">
        <v>86</v>
      </c>
      <c r="J26" s="11" t="n">
        <v>70000</v>
      </c>
      <c r="K26" s="12" t="s">
        <v>26</v>
      </c>
      <c r="L26" s="12" t="s">
        <v>87</v>
      </c>
    </row>
    <row r="27" customFormat="false" ht="26.25" hidden="false" customHeight="true" outlineLevel="0" collapsed="false">
      <c r="A27" s="6" t="n">
        <v>44</v>
      </c>
      <c r="B27" s="6" t="s">
        <v>82</v>
      </c>
      <c r="C27" s="6" t="s">
        <v>88</v>
      </c>
      <c r="D27" s="6" t="s">
        <v>40</v>
      </c>
      <c r="E27" s="7" t="n">
        <v>1</v>
      </c>
      <c r="F27" s="8" t="n">
        <v>5000</v>
      </c>
      <c r="G27" s="9" t="n">
        <f aca="false">E27*F27</f>
        <v>5000</v>
      </c>
      <c r="H27" s="10" t="s">
        <v>17</v>
      </c>
      <c r="I27" s="6" t="s">
        <v>89</v>
      </c>
      <c r="J27" s="11" t="n">
        <v>15000</v>
      </c>
      <c r="K27" s="12" t="s">
        <v>26</v>
      </c>
      <c r="L27" s="12" t="s">
        <v>90</v>
      </c>
    </row>
    <row r="28" customFormat="false" ht="26.25" hidden="false" customHeight="true" outlineLevel="0" collapsed="false">
      <c r="A28" s="6" t="n">
        <v>45</v>
      </c>
      <c r="B28" s="6" t="s">
        <v>82</v>
      </c>
      <c r="C28" s="6" t="s">
        <v>91</v>
      </c>
      <c r="D28" s="6" t="s">
        <v>40</v>
      </c>
      <c r="E28" s="7" t="n">
        <v>1</v>
      </c>
      <c r="F28" s="8" t="n">
        <v>30000</v>
      </c>
      <c r="G28" s="9" t="n">
        <f aca="false">E28*F28</f>
        <v>30000</v>
      </c>
      <c r="H28" s="10" t="s">
        <v>17</v>
      </c>
      <c r="I28" s="6" t="s">
        <v>92</v>
      </c>
      <c r="J28" s="11" t="n">
        <v>60000</v>
      </c>
      <c r="K28" s="12" t="s">
        <v>30</v>
      </c>
      <c r="L28" s="12" t="s">
        <v>93</v>
      </c>
    </row>
    <row r="29" customFormat="false" ht="26.25" hidden="false" customHeight="true" outlineLevel="0" collapsed="false">
      <c r="A29" s="6" t="n">
        <v>46</v>
      </c>
      <c r="B29" s="6" t="s">
        <v>82</v>
      </c>
      <c r="C29" s="6" t="s">
        <v>94</v>
      </c>
      <c r="D29" s="6" t="s">
        <v>40</v>
      </c>
      <c r="E29" s="7" t="n">
        <v>1</v>
      </c>
      <c r="F29" s="8" t="n">
        <v>5000</v>
      </c>
      <c r="G29" s="9" t="n">
        <f aca="false">E29*F29</f>
        <v>5000</v>
      </c>
      <c r="H29" s="10" t="s">
        <v>17</v>
      </c>
      <c r="I29" s="6" t="s">
        <v>95</v>
      </c>
      <c r="J29" s="11" t="n">
        <v>15000</v>
      </c>
      <c r="K29" s="12" t="s">
        <v>26</v>
      </c>
      <c r="L29" s="12" t="s">
        <v>96</v>
      </c>
    </row>
    <row r="30" customFormat="false" ht="26.25" hidden="false" customHeight="true" outlineLevel="0" collapsed="false">
      <c r="A30" s="6" t="n">
        <v>47</v>
      </c>
      <c r="B30" s="6" t="s">
        <v>82</v>
      </c>
      <c r="C30" s="6" t="s">
        <v>97</v>
      </c>
      <c r="D30" s="6" t="s">
        <v>40</v>
      </c>
      <c r="E30" s="7" t="n">
        <v>1</v>
      </c>
      <c r="F30" s="8" t="n">
        <v>5000</v>
      </c>
      <c r="G30" s="9" t="n">
        <f aca="false">E30*F30</f>
        <v>5000</v>
      </c>
      <c r="H30" s="10" t="s">
        <v>17</v>
      </c>
      <c r="I30" s="6" t="s">
        <v>98</v>
      </c>
      <c r="J30" s="11" t="n">
        <v>10000</v>
      </c>
      <c r="K30" s="12" t="s">
        <v>26</v>
      </c>
      <c r="L30" s="12" t="s">
        <v>99</v>
      </c>
    </row>
    <row r="31" customFormat="false" ht="26.25" hidden="false" customHeight="true" outlineLevel="0" collapsed="false">
      <c r="A31" s="6" t="n">
        <v>48</v>
      </c>
      <c r="B31" s="6" t="s">
        <v>82</v>
      </c>
      <c r="C31" s="6" t="s">
        <v>100</v>
      </c>
      <c r="D31" s="6" t="s">
        <v>40</v>
      </c>
      <c r="E31" s="7" t="n">
        <v>1</v>
      </c>
      <c r="F31" s="8" t="n">
        <v>8000</v>
      </c>
      <c r="G31" s="9" t="n">
        <f aca="false">E31*F31</f>
        <v>8000</v>
      </c>
      <c r="H31" s="10" t="s">
        <v>17</v>
      </c>
      <c r="I31" s="6" t="s">
        <v>101</v>
      </c>
      <c r="J31" s="11" t="n">
        <v>20000</v>
      </c>
      <c r="K31" s="12" t="s">
        <v>26</v>
      </c>
      <c r="L31" s="12" t="s">
        <v>102</v>
      </c>
    </row>
    <row r="32" customFormat="false" ht="26.25" hidden="false" customHeight="true" outlineLevel="0" collapsed="false">
      <c r="A32" s="6" t="n">
        <v>49</v>
      </c>
      <c r="B32" s="6" t="s">
        <v>82</v>
      </c>
      <c r="C32" s="6" t="s">
        <v>103</v>
      </c>
      <c r="D32" s="6" t="s">
        <v>40</v>
      </c>
      <c r="E32" s="7" t="n">
        <v>1</v>
      </c>
      <c r="F32" s="8" t="n">
        <v>6000</v>
      </c>
      <c r="G32" s="9" t="n">
        <f aca="false">E32*F32</f>
        <v>6000</v>
      </c>
      <c r="H32" s="10" t="s">
        <v>17</v>
      </c>
      <c r="I32" s="6" t="s">
        <v>67</v>
      </c>
      <c r="J32" s="11" t="n">
        <v>10000</v>
      </c>
      <c r="K32" s="12" t="s">
        <v>26</v>
      </c>
      <c r="L32" s="12" t="s">
        <v>104</v>
      </c>
    </row>
    <row r="33" customFormat="false" ht="26.25" hidden="false" customHeight="true" outlineLevel="0" collapsed="false">
      <c r="A33" s="6" t="n">
        <v>50</v>
      </c>
      <c r="B33" s="6" t="s">
        <v>82</v>
      </c>
      <c r="C33" s="6" t="s">
        <v>105</v>
      </c>
      <c r="D33" s="6" t="s">
        <v>40</v>
      </c>
      <c r="E33" s="7" t="n">
        <v>1</v>
      </c>
      <c r="F33" s="8" t="n">
        <v>6000</v>
      </c>
      <c r="G33" s="9" t="n">
        <f aca="false">E33*F33</f>
        <v>6000</v>
      </c>
      <c r="H33" s="10" t="s">
        <v>17</v>
      </c>
      <c r="I33" s="6" t="s">
        <v>106</v>
      </c>
      <c r="J33" s="11" t="n">
        <v>25000</v>
      </c>
      <c r="K33" s="12" t="s">
        <v>19</v>
      </c>
      <c r="L33" s="12" t="s">
        <v>107</v>
      </c>
    </row>
    <row r="34" customFormat="false" ht="26.25" hidden="false" customHeight="true" outlineLevel="0" collapsed="false">
      <c r="A34" s="6" t="n">
        <v>51</v>
      </c>
      <c r="B34" s="6" t="s">
        <v>82</v>
      </c>
      <c r="C34" s="6" t="s">
        <v>108</v>
      </c>
      <c r="D34" s="6" t="s">
        <v>40</v>
      </c>
      <c r="E34" s="7" t="n">
        <v>1</v>
      </c>
      <c r="F34" s="8" t="n">
        <v>10000</v>
      </c>
      <c r="G34" s="9" t="n">
        <f aca="false">E34*F34</f>
        <v>10000</v>
      </c>
      <c r="H34" s="10" t="s">
        <v>17</v>
      </c>
      <c r="I34" s="6" t="s">
        <v>67</v>
      </c>
      <c r="J34" s="11" t="n">
        <v>15000</v>
      </c>
      <c r="K34" s="12" t="s">
        <v>26</v>
      </c>
      <c r="L34" s="12" t="s">
        <v>109</v>
      </c>
    </row>
    <row r="35" customFormat="false" ht="26.25" hidden="false" customHeight="true" outlineLevel="0" collapsed="false">
      <c r="A35" s="6" t="n">
        <v>52</v>
      </c>
      <c r="B35" s="6" t="s">
        <v>82</v>
      </c>
      <c r="C35" s="6" t="s">
        <v>110</v>
      </c>
      <c r="D35" s="6" t="s">
        <v>16</v>
      </c>
      <c r="E35" s="7" t="n">
        <v>1</v>
      </c>
      <c r="F35" s="8" t="n">
        <v>120000</v>
      </c>
      <c r="G35" s="9" t="n">
        <f aca="false">E35*F35</f>
        <v>120000</v>
      </c>
      <c r="H35" s="10" t="s">
        <v>50</v>
      </c>
      <c r="I35" s="6" t="s">
        <v>111</v>
      </c>
      <c r="J35" s="11" t="n">
        <v>120000</v>
      </c>
      <c r="K35" s="12" t="s">
        <v>30</v>
      </c>
      <c r="L35" s="12" t="s">
        <v>112</v>
      </c>
    </row>
    <row r="36" customFormat="false" ht="39" hidden="false" customHeight="true" outlineLevel="0" collapsed="false">
      <c r="A36" s="6" t="n">
        <v>53</v>
      </c>
      <c r="B36" s="6" t="s">
        <v>82</v>
      </c>
      <c r="C36" s="6" t="s">
        <v>113</v>
      </c>
      <c r="D36" s="6" t="s">
        <v>40</v>
      </c>
      <c r="E36" s="7" t="n">
        <v>2</v>
      </c>
      <c r="F36" s="8" t="n">
        <v>35000</v>
      </c>
      <c r="G36" s="9" t="n">
        <f aca="false">E36*F36</f>
        <v>70000</v>
      </c>
      <c r="H36" s="10" t="s">
        <v>17</v>
      </c>
      <c r="I36" s="6" t="s">
        <v>114</v>
      </c>
      <c r="J36" s="11" t="n">
        <v>60000</v>
      </c>
      <c r="K36" s="12" t="s">
        <v>30</v>
      </c>
      <c r="L36" s="12" t="s">
        <v>115</v>
      </c>
    </row>
    <row r="37" customFormat="false" ht="26.25" hidden="false" customHeight="true" outlineLevel="0" collapsed="false">
      <c r="A37" s="6" t="n">
        <v>55</v>
      </c>
      <c r="B37" s="6" t="s">
        <v>116</v>
      </c>
      <c r="C37" s="6" t="s">
        <v>117</v>
      </c>
      <c r="D37" s="6" t="s">
        <v>16</v>
      </c>
      <c r="E37" s="7" t="n">
        <v>2</v>
      </c>
      <c r="F37" s="8" t="n">
        <v>6000</v>
      </c>
      <c r="G37" s="9" t="n">
        <f aca="false">E37*F37</f>
        <v>12000</v>
      </c>
      <c r="H37" s="10" t="s">
        <v>17</v>
      </c>
      <c r="I37" s="6" t="s">
        <v>67</v>
      </c>
      <c r="J37" s="11" t="n">
        <v>6000</v>
      </c>
      <c r="K37" s="12" t="s">
        <v>26</v>
      </c>
      <c r="L37" s="12" t="s">
        <v>118</v>
      </c>
    </row>
    <row r="38" customFormat="false" ht="26.25" hidden="false" customHeight="true" outlineLevel="0" collapsed="false">
      <c r="A38" s="6" t="n">
        <v>56</v>
      </c>
      <c r="B38" s="6" t="s">
        <v>116</v>
      </c>
      <c r="C38" s="6" t="s">
        <v>119</v>
      </c>
      <c r="D38" s="6" t="s">
        <v>40</v>
      </c>
      <c r="E38" s="7" t="n">
        <v>1</v>
      </c>
      <c r="F38" s="8" t="n">
        <v>20000</v>
      </c>
      <c r="G38" s="9" t="n">
        <f aca="false">E38*F38</f>
        <v>20000</v>
      </c>
      <c r="H38" s="10" t="s">
        <v>17</v>
      </c>
      <c r="I38" s="6" t="s">
        <v>67</v>
      </c>
      <c r="J38" s="11" t="n">
        <v>30000</v>
      </c>
      <c r="K38" s="12" t="s">
        <v>26</v>
      </c>
      <c r="L38" s="12" t="s">
        <v>120</v>
      </c>
    </row>
    <row r="39" customFormat="false" ht="26.25" hidden="false" customHeight="true" outlineLevel="0" collapsed="false">
      <c r="A39" s="6" t="n">
        <v>57</v>
      </c>
      <c r="B39" s="6" t="s">
        <v>116</v>
      </c>
      <c r="C39" s="6" t="s">
        <v>121</v>
      </c>
      <c r="D39" s="6" t="s">
        <v>16</v>
      </c>
      <c r="E39" s="7" t="n">
        <v>8</v>
      </c>
      <c r="F39" s="8" t="n">
        <v>10000</v>
      </c>
      <c r="G39" s="9" t="n">
        <f aca="false">E39*F39</f>
        <v>80000</v>
      </c>
      <c r="H39" s="10" t="s">
        <v>17</v>
      </c>
      <c r="I39" s="6" t="s">
        <v>122</v>
      </c>
      <c r="J39" s="11" t="n">
        <v>22000</v>
      </c>
      <c r="K39" s="12" t="s">
        <v>19</v>
      </c>
      <c r="L39" s="12" t="s">
        <v>123</v>
      </c>
    </row>
    <row r="40" customFormat="false" ht="26.25" hidden="false" customHeight="true" outlineLevel="0" collapsed="false">
      <c r="A40" s="6" t="n">
        <v>58</v>
      </c>
      <c r="B40" s="6" t="s">
        <v>116</v>
      </c>
      <c r="C40" s="6" t="s">
        <v>124</v>
      </c>
      <c r="D40" s="6" t="s">
        <v>40</v>
      </c>
      <c r="E40" s="7" t="n">
        <v>1</v>
      </c>
      <c r="F40" s="8" t="n">
        <v>15000</v>
      </c>
      <c r="G40" s="9" t="n">
        <f aca="false">E40*F40</f>
        <v>15000</v>
      </c>
      <c r="H40" s="10" t="s">
        <v>17</v>
      </c>
      <c r="I40" s="6" t="s">
        <v>125</v>
      </c>
      <c r="J40" s="11" t="n">
        <v>35000</v>
      </c>
      <c r="K40" s="12" t="s">
        <v>30</v>
      </c>
      <c r="L40" s="12" t="s">
        <v>126</v>
      </c>
    </row>
    <row r="41" customFormat="false" ht="26.25" hidden="false" customHeight="true" outlineLevel="0" collapsed="false">
      <c r="A41" s="6" t="n">
        <v>61</v>
      </c>
      <c r="B41" s="6" t="s">
        <v>116</v>
      </c>
      <c r="C41" s="6" t="s">
        <v>127</v>
      </c>
      <c r="D41" s="6" t="s">
        <v>16</v>
      </c>
      <c r="E41" s="7" t="n">
        <v>1</v>
      </c>
      <c r="F41" s="8" t="n">
        <v>30000</v>
      </c>
      <c r="G41" s="9" t="n">
        <f aca="false">E41*F41</f>
        <v>30000</v>
      </c>
      <c r="H41" s="10" t="s">
        <v>17</v>
      </c>
      <c r="I41" s="6" t="s">
        <v>128</v>
      </c>
      <c r="J41" s="11" t="n">
        <v>30000</v>
      </c>
      <c r="K41" s="12" t="s">
        <v>30</v>
      </c>
      <c r="L41" s="12" t="s">
        <v>129</v>
      </c>
    </row>
    <row r="42" customFormat="false" ht="26.25" hidden="false" customHeight="true" outlineLevel="0" collapsed="false">
      <c r="A42" s="6" t="n">
        <v>64</v>
      </c>
      <c r="B42" s="6" t="s">
        <v>116</v>
      </c>
      <c r="C42" s="6" t="s">
        <v>130</v>
      </c>
      <c r="D42" s="6" t="s">
        <v>16</v>
      </c>
      <c r="E42" s="7" t="n">
        <v>6</v>
      </c>
      <c r="F42" s="8" t="n">
        <v>10000</v>
      </c>
      <c r="G42" s="9" t="n">
        <f aca="false">E42*F42</f>
        <v>60000</v>
      </c>
      <c r="H42" s="10" t="s">
        <v>50</v>
      </c>
      <c r="I42" s="6" t="s">
        <v>131</v>
      </c>
      <c r="J42" s="11" t="n">
        <v>35000</v>
      </c>
      <c r="K42" s="12" t="s">
        <v>19</v>
      </c>
      <c r="L42" s="12" t="s">
        <v>132</v>
      </c>
    </row>
    <row r="43" customFormat="false" ht="26.25" hidden="false" customHeight="true" outlineLevel="0" collapsed="false">
      <c r="A43" s="6" t="n">
        <v>71</v>
      </c>
      <c r="B43" s="6" t="s">
        <v>14</v>
      </c>
      <c r="C43" s="6" t="s">
        <v>133</v>
      </c>
      <c r="D43" s="6" t="s">
        <v>16</v>
      </c>
      <c r="E43" s="7" t="n">
        <v>1</v>
      </c>
      <c r="F43" s="8" t="n">
        <v>120000</v>
      </c>
      <c r="G43" s="9" t="n">
        <f aca="false">E43*F43</f>
        <v>120000</v>
      </c>
      <c r="H43" s="10" t="s">
        <v>17</v>
      </c>
      <c r="I43" s="6" t="s">
        <v>134</v>
      </c>
      <c r="J43" s="11" t="n">
        <v>120000</v>
      </c>
      <c r="K43" s="12" t="s">
        <v>19</v>
      </c>
      <c r="L43" s="12" t="s">
        <v>135</v>
      </c>
    </row>
    <row r="44" customFormat="false" ht="26.25" hidden="false" customHeight="true" outlineLevel="0" collapsed="false">
      <c r="A44" s="6" t="n">
        <v>72</v>
      </c>
      <c r="B44" s="6" t="s">
        <v>14</v>
      </c>
      <c r="C44" s="6" t="s">
        <v>136</v>
      </c>
      <c r="D44" s="6" t="s">
        <v>16</v>
      </c>
      <c r="E44" s="7" t="n">
        <v>20</v>
      </c>
      <c r="F44" s="8" t="n">
        <v>3000</v>
      </c>
      <c r="G44" s="9" t="n">
        <f aca="false">E44*F44</f>
        <v>60000</v>
      </c>
      <c r="H44" s="10" t="s">
        <v>17</v>
      </c>
      <c r="I44" s="6" t="s">
        <v>137</v>
      </c>
      <c r="J44" s="11" t="n">
        <v>5000</v>
      </c>
      <c r="K44" s="12" t="s">
        <v>19</v>
      </c>
      <c r="L44" s="12" t="s">
        <v>138</v>
      </c>
    </row>
    <row r="45" customFormat="false" ht="26.25" hidden="false" customHeight="true" outlineLevel="0" collapsed="false">
      <c r="A45" s="6" t="n">
        <v>73</v>
      </c>
      <c r="B45" s="6" t="s">
        <v>14</v>
      </c>
      <c r="C45" s="6" t="s">
        <v>139</v>
      </c>
      <c r="D45" s="6" t="s">
        <v>16</v>
      </c>
      <c r="E45" s="7" t="n">
        <v>2</v>
      </c>
      <c r="F45" s="8" t="n">
        <v>5000</v>
      </c>
      <c r="G45" s="9" t="n">
        <f aca="false">E45*F45</f>
        <v>10000</v>
      </c>
      <c r="H45" s="10" t="s">
        <v>17</v>
      </c>
      <c r="I45" s="6" t="s">
        <v>140</v>
      </c>
      <c r="J45" s="11" t="n">
        <v>6000</v>
      </c>
      <c r="K45" s="12" t="s">
        <v>26</v>
      </c>
      <c r="L45" s="12" t="s">
        <v>141</v>
      </c>
    </row>
    <row r="46" customFormat="false" ht="26.25" hidden="false" customHeight="true" outlineLevel="0" collapsed="false">
      <c r="A46" s="6" t="n">
        <v>74</v>
      </c>
      <c r="B46" s="6" t="s">
        <v>38</v>
      </c>
      <c r="C46" s="6" t="s">
        <v>142</v>
      </c>
      <c r="D46" s="6" t="s">
        <v>16</v>
      </c>
      <c r="E46" s="7" t="n">
        <v>1</v>
      </c>
      <c r="F46" s="8" t="n">
        <v>80000</v>
      </c>
      <c r="G46" s="9" t="n">
        <f aca="false">E46*F46</f>
        <v>80000</v>
      </c>
      <c r="H46" s="10" t="s">
        <v>17</v>
      </c>
      <c r="I46" s="6" t="s">
        <v>143</v>
      </c>
      <c r="J46" s="11" t="n">
        <v>90000</v>
      </c>
      <c r="K46" s="12" t="s">
        <v>19</v>
      </c>
      <c r="L46" s="12" t="s">
        <v>144</v>
      </c>
    </row>
    <row r="47" customFormat="false" ht="14.25" hidden="false" customHeight="true" outlineLevel="0" collapsed="false">
      <c r="A47" s="3"/>
      <c r="B47" s="3"/>
      <c r="C47" s="13" t="s">
        <v>145</v>
      </c>
      <c r="D47" s="3"/>
      <c r="E47" s="3"/>
      <c r="F47" s="3"/>
      <c r="G47" s="14" t="n">
        <f aca="false">SUM(G5:G46)</f>
        <v>1739500</v>
      </c>
      <c r="H47" s="3"/>
      <c r="I47" s="3"/>
      <c r="J47" s="15" t="n">
        <f aca="false">SUMPRODUCT(E5:E46,J5:J46)</f>
        <v>2876500</v>
      </c>
    </row>
    <row r="49" customFormat="false" ht="14.25" hidden="false" customHeight="true" outlineLevel="0" collapsed="false">
      <c r="C49" s="13" t="s">
        <v>146</v>
      </c>
    </row>
    <row r="50" customFormat="false" ht="14.25" hidden="false" customHeight="true" outlineLevel="0" collapsed="false">
      <c r="C50" s="4" t="s">
        <v>147</v>
      </c>
    </row>
    <row r="52" customFormat="false" ht="14.25" hidden="false" customHeight="true" outlineLevel="0" collapsed="false">
      <c r="C52" s="13" t="s">
        <v>148</v>
      </c>
    </row>
    <row r="53" customFormat="false" ht="26.25" hidden="false" customHeight="true" outlineLevel="0" collapsed="false">
      <c r="A53" s="6" t="n">
        <v>75</v>
      </c>
      <c r="B53" s="6" t="s">
        <v>38</v>
      </c>
      <c r="C53" s="6" t="s">
        <v>149</v>
      </c>
      <c r="D53" s="6" t="s">
        <v>16</v>
      </c>
      <c r="E53" s="7" t="n">
        <v>10</v>
      </c>
      <c r="F53" s="8" t="n">
        <v>50000</v>
      </c>
      <c r="G53" s="9" t="n">
        <f aca="false">E53*F53</f>
        <v>500000</v>
      </c>
      <c r="H53" s="10" t="s">
        <v>150</v>
      </c>
      <c r="I53" s="6" t="s">
        <v>151</v>
      </c>
      <c r="J53" s="11" t="n">
        <v>65000</v>
      </c>
      <c r="K53" s="12" t="s">
        <v>30</v>
      </c>
      <c r="L53" s="12" t="s">
        <v>152</v>
      </c>
    </row>
    <row r="54" customFormat="false" ht="26.25" hidden="false" customHeight="true" outlineLevel="0" collapsed="false">
      <c r="A54" s="6" t="n">
        <v>76</v>
      </c>
      <c r="B54" s="6" t="s">
        <v>38</v>
      </c>
      <c r="C54" s="6" t="s">
        <v>153</v>
      </c>
      <c r="D54" s="6" t="s">
        <v>16</v>
      </c>
      <c r="E54" s="7" t="n">
        <v>1</v>
      </c>
      <c r="F54" s="8" t="n">
        <v>60000</v>
      </c>
      <c r="G54" s="9" t="n">
        <f aca="false">E54*F54</f>
        <v>60000</v>
      </c>
      <c r="H54" s="10" t="s">
        <v>150</v>
      </c>
      <c r="I54" s="6" t="s">
        <v>154</v>
      </c>
      <c r="J54" s="11" t="n">
        <v>60000</v>
      </c>
      <c r="K54" s="12" t="s">
        <v>26</v>
      </c>
      <c r="L54" s="12" t="s">
        <v>155</v>
      </c>
    </row>
    <row r="55" customFormat="false" ht="14.25" hidden="false" customHeight="true" outlineLevel="0" collapsed="false">
      <c r="C55" s="13" t="s">
        <v>156</v>
      </c>
      <c r="G55" s="14" t="n">
        <f aca="false">SUM(G53:G54)</f>
        <v>560000</v>
      </c>
    </row>
    <row r="57" customFormat="false" ht="14.25" hidden="false" customHeight="true" outlineLevel="0" collapsed="false">
      <c r="C57" s="13" t="s">
        <v>157</v>
      </c>
    </row>
    <row r="58" customFormat="false" ht="26.25" hidden="false" customHeight="true" outlineLevel="0" collapsed="false">
      <c r="A58" s="6" t="n">
        <v>77</v>
      </c>
      <c r="B58" s="6" t="s">
        <v>38</v>
      </c>
      <c r="C58" s="6" t="s">
        <v>149</v>
      </c>
      <c r="D58" s="6" t="s">
        <v>16</v>
      </c>
      <c r="E58" s="7" t="n">
        <v>20</v>
      </c>
      <c r="F58" s="8" t="n">
        <v>50000</v>
      </c>
      <c r="G58" s="9" t="n">
        <f aca="false">E58*F58</f>
        <v>1000000</v>
      </c>
      <c r="H58" s="10" t="s">
        <v>150</v>
      </c>
      <c r="I58" s="6" t="s">
        <v>151</v>
      </c>
      <c r="J58" s="11" t="n">
        <v>65000</v>
      </c>
      <c r="K58" s="12" t="s">
        <v>30</v>
      </c>
      <c r="L58" s="12" t="s">
        <v>152</v>
      </c>
    </row>
    <row r="59" customFormat="false" ht="26.25" hidden="false" customHeight="true" outlineLevel="0" collapsed="false">
      <c r="A59" s="6" t="n">
        <v>78</v>
      </c>
      <c r="B59" s="6" t="s">
        <v>38</v>
      </c>
      <c r="C59" s="6" t="s">
        <v>158</v>
      </c>
      <c r="D59" s="6" t="s">
        <v>16</v>
      </c>
      <c r="E59" s="7" t="n">
        <v>1</v>
      </c>
      <c r="F59" s="8" t="n">
        <v>100000</v>
      </c>
      <c r="G59" s="9" t="n">
        <f aca="false">E59*F59</f>
        <v>100000</v>
      </c>
      <c r="H59" s="10" t="s">
        <v>150</v>
      </c>
      <c r="I59" s="6" t="s">
        <v>154</v>
      </c>
      <c r="J59" s="11" t="n">
        <v>100000</v>
      </c>
      <c r="K59" s="12" t="s">
        <v>26</v>
      </c>
      <c r="L59" s="12" t="s">
        <v>155</v>
      </c>
    </row>
    <row r="60" customFormat="false" ht="14.25" hidden="false" customHeight="true" outlineLevel="0" collapsed="false">
      <c r="C60" s="13" t="s">
        <v>156</v>
      </c>
      <c r="G60" s="14" t="n">
        <f aca="false">SUM(G58:G59)</f>
        <v>1100000</v>
      </c>
    </row>
    <row r="62" customFormat="false" ht="14.25" hidden="false" customHeight="true" outlineLevel="0" collapsed="false">
      <c r="C62" s="13" t="s">
        <v>159</v>
      </c>
      <c r="G62" s="14" t="n">
        <f aca="false">G47+G55</f>
        <v>2299500</v>
      </c>
    </row>
    <row r="63" customFormat="false" ht="14.25" hidden="false" customHeight="true" outlineLevel="0" collapsed="false">
      <c r="C63" s="13" t="s">
        <v>160</v>
      </c>
      <c r="G63" s="14" t="n">
        <f aca="false">G47+G60</f>
        <v>2839500</v>
      </c>
    </row>
  </sheetData>
  <autoFilter ref="A4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2026-09-24T09:40:40Z</dcterms:created>
  <dc:creator>openpyxl</dc:creator>
  <dc:description/>
  <dc:language>en-US</dc:language>
  <cp:lastModifiedBy>Айкешева Айгуль Кайргалиевна</cp:lastModifiedBy>
  <dcterms:modified xsi:type="dcterms:W3CDTF">2026-09-24T11:23:35Z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