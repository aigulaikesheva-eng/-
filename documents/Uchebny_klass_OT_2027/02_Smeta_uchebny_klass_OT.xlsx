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 бюджета" sheetId="1" state="visible" r:id="rId3"/>
    <sheet name="Исходные данные" sheetId="2" state="visible" r:id="rId4"/>
    <sheet name="Потребность в обучении" sheetId="3" state="visible" r:id="rId5"/>
    <sheet name="Площадь" sheetId="4" state="visible" r:id="rId6"/>
    <sheet name="Смета" sheetId="5" state="visible" r:id="rId7"/>
    <sheet name="Эксплуатация" sheetId="6" state="visible" r:id="rId8"/>
  </sheets>
  <definedNames>
    <definedName function="false" hidden="true" localSheetId="4" name="_xlnm._FilterDatabase" vbProcedure="false">Смета!$A$4:$I$72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<sst xmlns="http://schemas.openxmlformats.org/spreadsheetml/2006/main" count="525" uniqueCount="296">
  <si>
    <t xml:space="preserve">Свод бюджета: учебный класс по охране труда, новый корпус (2027)</t>
  </si>
  <si>
    <t xml:space="preserve">ООО «Авиационные Интерьеры-СН». Три варианта оснащения; варианты накопительные (оптимальный включает базовый)</t>
  </si>
  <si>
    <t xml:space="preserve">Раздел</t>
  </si>
  <si>
    <t xml:space="preserve">Базовый, ₽</t>
  </si>
  <si>
    <t xml:space="preserve">Оптимальный, ₽</t>
  </si>
  <si>
    <t xml:space="preserve">Расширенный, ₽</t>
  </si>
  <si>
    <t xml:space="preserve">1. Мебель и обустройство</t>
  </si>
  <si>
    <t xml:space="preserve">2. Технические средства обучения и IT</t>
  </si>
  <si>
    <t xml:space="preserve">3. ПО, электронные курсы, VR</t>
  </si>
  <si>
    <t xml:space="preserve">4. Первая помощь (практика)</t>
  </si>
  <si>
    <t xml:space="preserve">5. СИЗ (демонстрационный комплект)</t>
  </si>
  <si>
    <t xml:space="preserve">6. Специфика производства и наглядность</t>
  </si>
  <si>
    <t xml:space="preserve">7. Подготовка преподавателей</t>
  </si>
  <si>
    <t xml:space="preserve">Итого по ценам 2026 г.</t>
  </si>
  <si>
    <t xml:space="preserve">Индексация на 2027 г.</t>
  </si>
  <si>
    <t xml:space="preserve">Итого по ценам 2027 г.</t>
  </si>
  <si>
    <t xml:space="preserve">Резерв на непредвиденные расходы</t>
  </si>
  <si>
    <t xml:space="preserve">ВСЕГО ЗАЛОЖИТЬ В БЮДЖЕТ 2027 г.</t>
  </si>
  <si>
    <t xml:space="preserve">Площадь помещения (рекомендуемая), м²</t>
  </si>
  <si>
    <t xml:space="preserve">Ежегодные эксплуатационные расходы, ₽/год</t>
  </si>
  <si>
    <t xml:space="preserve">Рекомендуемый вариант: Оптимальный.</t>
  </si>
  <si>
    <t xml:space="preserve">Базовый: минимум для самостоятельного обучения по ПП 2464, включая работы на высоте и электробезопасность.</t>
  </si>
  <si>
    <t xml:space="preserve">Оптимальный: + макет ЧПУ, газоанализатор, СИЗОД для окрасочных камер, звук, видеофиксация.</t>
  </si>
  <si>
    <t xml:space="preserve">Расширенный: + VR-комплекс, интерактивная панель, лазерный тренажёр пожаротушения, сенсорный киоск.</t>
  </si>
  <si>
    <t xml:space="preserve">Отделка помещения и инженерные сети (вентиляция, кондиционирование, освещение) в смету не входят: закладываются в проект корпуса.</t>
  </si>
  <si>
    <t xml:space="preserve">Исходные данные и допущения</t>
  </si>
  <si>
    <t xml:space="preserve">Синий шрифт на жёлтом фоне: вводимые значения, можно менять. Остальные листы пересчитываются автоматически.</t>
  </si>
  <si>
    <t xml:space="preserve">Параметр</t>
  </si>
  <si>
    <t xml:space="preserve">Значение</t>
  </si>
  <si>
    <t xml:space="preserve">Ед.</t>
  </si>
  <si>
    <t xml:space="preserve">Источник / комментарий</t>
  </si>
  <si>
    <t xml:space="preserve">Численность работников в новом корпусе</t>
  </si>
  <si>
    <t xml:space="preserve">чел.</t>
  </si>
  <si>
    <t xml:space="preserve">Данные предприятия</t>
  </si>
  <si>
    <t xml:space="preserve">Текучесть (принимаемые за год)</t>
  </si>
  <si>
    <t xml:space="preserve">доля</t>
  </si>
  <si>
    <t xml:space="preserve">Допущение, уточнить у отдела кадров</t>
  </si>
  <si>
    <t xml:space="preserve">Доля работников, обучаемых по программе Б (вредные/опасные факторы)</t>
  </si>
  <si>
    <t xml:space="preserve">Допущение по результатам СОУТ/ОПР, уточнить</t>
  </si>
  <si>
    <t xml:space="preserve">Доля работников, обучаемых по программе В (работы повышенной опасности)</t>
  </si>
  <si>
    <t xml:space="preserve">Допущение, уточнить по перечню работ повышенной опасности</t>
  </si>
  <si>
    <t xml:space="preserve">Доля работников, обучаемых первой помощи</t>
  </si>
  <si>
    <t xml:space="preserve">Допущение, перечень утверждает работодатель</t>
  </si>
  <si>
    <t xml:space="preserve">Доля работников, обучаемых применению СИЗ</t>
  </si>
  <si>
    <t xml:space="preserve">Допущение, перечень СИЗ, требующих практических навыков</t>
  </si>
  <si>
    <t xml:space="preserve">Доля работников, выполняющих работы на высоте</t>
  </si>
  <si>
    <t xml:space="preserve">Допущение, уточнить по перечню работ на высоте</t>
  </si>
  <si>
    <t xml:space="preserve">Численность электротехнического персонала</t>
  </si>
  <si>
    <t xml:space="preserve">Допущение, уточнить у главного энергетика</t>
  </si>
  <si>
    <t xml:space="preserve">Периодичность обучения</t>
  </si>
  <si>
    <t xml:space="preserve">лет</t>
  </si>
  <si>
    <t xml:space="preserve">ПП РФ от 24.12.2021 № 2464: не реже 1 раза в 3 года</t>
  </si>
  <si>
    <t xml:space="preserve">Подрядчики/командированные на вводный инструктаж в год</t>
  </si>
  <si>
    <t xml:space="preserve">Допущение</t>
  </si>
  <si>
    <t xml:space="preserve">Часы: программа А</t>
  </si>
  <si>
    <t xml:space="preserve">ч</t>
  </si>
  <si>
    <t xml:space="preserve">ПП 2464: не менее 16 ч</t>
  </si>
  <si>
    <t xml:space="preserve">Часы: программа Б</t>
  </si>
  <si>
    <t xml:space="preserve">Часы: программа В</t>
  </si>
  <si>
    <t xml:space="preserve">Часы: первая помощь</t>
  </si>
  <si>
    <t xml:space="preserve">ПП 2464: не менее 8 ч, практика не менее 50%</t>
  </si>
  <si>
    <t xml:space="preserve">Часы: применение СИЗ</t>
  </si>
  <si>
    <t xml:space="preserve">Минимум не установлен; практика не менее 50% (п. 41 ПП 2464)</t>
  </si>
  <si>
    <t xml:space="preserve">Часы: вводный инструктаж</t>
  </si>
  <si>
    <t xml:space="preserve">Программа вводного инструктажа предприятия</t>
  </si>
  <si>
    <t xml:space="preserve">Часы: работы на высоте (в классе)</t>
  </si>
  <si>
    <t xml:space="preserve">Теория и практика с СИЗ в классе (782н); практика на месте работ отдельно</t>
  </si>
  <si>
    <t xml:space="preserve">Часы: электробезопасность (подготовка и проверка знаний)</t>
  </si>
  <si>
    <t xml:space="preserve">Ежегодная проверка знаний электротехнического персонала</t>
  </si>
  <si>
    <t xml:space="preserve">Доля теории А/Б/В, проводимой очно в классе</t>
  </si>
  <si>
    <t xml:space="preserve">Остальное через СДО (п. 66 ПП 2464)</t>
  </si>
  <si>
    <t xml:space="preserve">Рабочих дней в году</t>
  </si>
  <si>
    <t xml:space="preserve">дн.</t>
  </si>
  <si>
    <t xml:space="preserve">Производственный календарь 2027</t>
  </si>
  <si>
    <t xml:space="preserve">Учебных часов в день</t>
  </si>
  <si>
    <t xml:space="preserve">Одна смена работы класса</t>
  </si>
  <si>
    <t xml:space="preserve">Коэффициент загрузки класса</t>
  </si>
  <si>
    <t xml:space="preserve">Резерв на комиссии, мероприятия, подготовку</t>
  </si>
  <si>
    <t xml:space="preserve">Коэффициент неравномерности (пиковая загрузка)</t>
  </si>
  <si>
    <t xml:space="preserve">коэф.</t>
  </si>
  <si>
    <t xml:space="preserve">Сменность, сезонность, приём групп новичков</t>
  </si>
  <si>
    <t xml:space="preserve">Индексация цен на 2027 г.</t>
  </si>
  <si>
    <t xml:space="preserve">Допущение: цены III кв. 2026 + инфляция</t>
  </si>
  <si>
    <t xml:space="preserve">Рекомендуемый бюджетный резерв</t>
  </si>
  <si>
    <t xml:space="preserve">Расчёт потребности в обучении (п. 25 Приказа Минтруда № 894)</t>
  </si>
  <si>
    <t xml:space="preserve">Площадь класса определяется исходя из годовой потребности в обучении</t>
  </si>
  <si>
    <t xml:space="preserve">Программа</t>
  </si>
  <si>
    <t xml:space="preserve">Чел. в год</t>
  </si>
  <si>
    <t xml:space="preserve">Часов на 1 чел.</t>
  </si>
  <si>
    <t xml:space="preserve">Доля очно в классе</t>
  </si>
  <si>
    <t xml:space="preserve">Чел.-часов в классе</t>
  </si>
  <si>
    <t xml:space="preserve">Обучение по ОТ, программа А</t>
  </si>
  <si>
    <t xml:space="preserve">Обучение по ОТ, программа Б</t>
  </si>
  <si>
    <t xml:space="preserve">Обучение по ОТ, программа В</t>
  </si>
  <si>
    <t xml:space="preserve">Оказание первой помощи</t>
  </si>
  <si>
    <t xml:space="preserve">Применение СИЗ</t>
  </si>
  <si>
    <t xml:space="preserve">Вводный инструктаж (новые работники + подрядчики)</t>
  </si>
  <si>
    <t xml:space="preserve">Безопасные методы работ на высоте</t>
  </si>
  <si>
    <t xml:space="preserve">Электробезопасность (ежегодно)</t>
  </si>
  <si>
    <t xml:space="preserve">Итого чел.-часов в классе в год</t>
  </si>
  <si>
    <t xml:space="preserve">Доступный фонд времени класса, ч/год</t>
  </si>
  <si>
    <t xml:space="preserve">Средняя одновременная загрузка, чел.</t>
  </si>
  <si>
    <t xml:space="preserve">Пиковая одновременная загрузка, чел.</t>
  </si>
  <si>
    <t xml:space="preserve">Минимум мест обучения по п. 97 ПП 2464 (1 на 100 чел.)</t>
  </si>
  <si>
    <t xml:space="preserve">Принято мест в лекционной зоне (с учётом Дней ОТ, собраний, комиссий)</t>
  </si>
  <si>
    <t xml:space="preserve">Расчёт площади учебного класса по зонам</t>
  </si>
  <si>
    <t xml:space="preserve">Норматив площади в Приказе 894 не установлен (п. 25); ниже расчёт от потребности и эргономических норм</t>
  </si>
  <si>
    <t xml:space="preserve">Зона</t>
  </si>
  <si>
    <t xml:space="preserve">Кол-во мест/позиций</t>
  </si>
  <si>
    <t xml:space="preserve">м² на место</t>
  </si>
  <si>
    <t xml:space="preserve">Доп. площадь, м²</t>
  </si>
  <si>
    <t xml:space="preserve">Итого, м²</t>
  </si>
  <si>
    <t xml:space="preserve">Обоснование</t>
  </si>
  <si>
    <t xml:space="preserve">Лекционная зона (теория, инструктажи, проверка знаний группой)</t>
  </si>
  <si>
    <t xml:space="preserve">2,5 м² на место + 10 м² зона преподавателя и экрана (практика проектирования учебных аудиторий)</t>
  </si>
  <si>
    <t xml:space="preserve">Практическая зона: первая помощь</t>
  </si>
  <si>
    <t xml:space="preserve">Свободный периметр 3x3 м вокруг манекена (п. 36 ПП 2464)</t>
  </si>
  <si>
    <t xml:space="preserve">Практическая зона: СИЗ, LOTO, макет станка, газоанализатор</t>
  </si>
  <si>
    <t xml:space="preserve">Витрины, манекены СИЗ, зеркало, макет (п. 39, 41 ПП 2464)</t>
  </si>
  <si>
    <t xml:space="preserve">Практическая зона: работы на высоте</t>
  </si>
  <si>
    <t xml:space="preserve">Стенд с анкерной линией, точка крепления 12 кН; потолок не ниже 3,5 м (782н)</t>
  </si>
  <si>
    <t xml:space="preserve">Практическая зона: электробезопасность</t>
  </si>
  <si>
    <t xml:space="preserve">Стенд-макет, средства защиты в электроустановках</t>
  </si>
  <si>
    <t xml:space="preserve">Зона проверки знаний (АРМ)</t>
  </si>
  <si>
    <t xml:space="preserve">4,5 м² на рабочее место с ПЭВМ (СанПиН 1.2.3685-21); п. 97 ПП 2464</t>
  </si>
  <si>
    <t xml:space="preserve">Подсобное помещение (хранение тренажёров, СИЗ, расходников)</t>
  </si>
  <si>
    <t xml:space="preserve">Хранение без загромождения проходов</t>
  </si>
  <si>
    <t xml:space="preserve">Тамбур / гардероб</t>
  </si>
  <si>
    <t xml:space="preserve">Места для верхней одежды</t>
  </si>
  <si>
    <t xml:space="preserve">ИТОГО рекомендуемая площадь, м²</t>
  </si>
  <si>
    <t xml:space="preserve">Минимально допустимо (зона проверки знаний совмещена с лекционной), м²</t>
  </si>
  <si>
    <t xml:space="preserve">Справочно: прежняя норма Минтруда (Пост. № 7 от 17.01.2001, утратило силу), м²</t>
  </si>
  <si>
    <t xml:space="preserve">Кабинет службы ОТ (рабочие места специалистов) является отдельным помещением и в расчёт не входит.</t>
  </si>
  <si>
    <t xml:space="preserve">Смета оснащения учебного класса по охране труда</t>
  </si>
  <si>
    <t xml:space="preserve">Цены ориентировочные, рынок РФ, III кв. 2026, с НДС 22%. Вариант: Б = базовый, О = добавляется в оптимальном, Р = добавляется в расширенном</t>
  </si>
  <si>
    <t xml:space="preserve">№</t>
  </si>
  <si>
    <t xml:space="preserve">Наименование</t>
  </si>
  <si>
    <t xml:space="preserve">Кол-во</t>
  </si>
  <si>
    <t xml:space="preserve">Цена, ₽</t>
  </si>
  <si>
    <t xml:space="preserve">Сумма, ₽</t>
  </si>
  <si>
    <t xml:space="preserve">Вариант</t>
  </si>
  <si>
    <t xml:space="preserve">Обоснование / источник</t>
  </si>
  <si>
    <t xml:space="preserve">Стол ученический мобильный складной (на колёсах, трансформация рассадки)</t>
  </si>
  <si>
    <t xml:space="preserve">шт</t>
  </si>
  <si>
    <t xml:space="preserve">Б</t>
  </si>
  <si>
    <t xml:space="preserve">24 места для групповых занятий</t>
  </si>
  <si>
    <t xml:space="preserve">Стул для обучающихся штабелируемый</t>
  </si>
  <si>
    <t xml:space="preserve">24 места + 6 резерв</t>
  </si>
  <si>
    <t xml:space="preserve">Стол и кресло преподавателя</t>
  </si>
  <si>
    <t xml:space="preserve">компл</t>
  </si>
  <si>
    <t xml:space="preserve">Рабочее место специалиста (trudohrana.ru)</t>
  </si>
  <si>
    <t xml:space="preserve">Кафедра (трибуна) лектора</t>
  </si>
  <si>
    <t xml:space="preserve">О</t>
  </si>
  <si>
    <t xml:space="preserve">Совет из материала «Как создать кабинет и уголок ОТ»</t>
  </si>
  <si>
    <t xml:space="preserve">Шкаф застеклённый для НПА и документации</t>
  </si>
  <si>
    <t xml:space="preserve">Хранение НПА в застеклённых шкафах (материал PDF)</t>
  </si>
  <si>
    <t xml:space="preserve">Витрина для демонстрации СИЗ</t>
  </si>
  <si>
    <t xml:space="preserve">Натурные образцы (п. 24 Приказа 894)</t>
  </si>
  <si>
    <t xml:space="preserve">Стеллаж металлический для подсобного помещения</t>
  </si>
  <si>
    <t xml:space="preserve">Хранение тренажёров и СИЗ без загромождения проходов</t>
  </si>
  <si>
    <t xml:space="preserve">Шкаф для верхней одежды</t>
  </si>
  <si>
    <t xml:space="preserve">Места для личных вещей (trudohrana.ru)</t>
  </si>
  <si>
    <t xml:space="preserve">Стол компьютерный и кресло (зона проверки знаний)</t>
  </si>
  <si>
    <t xml:space="preserve">Под 6 АРМ проверки знаний</t>
  </si>
  <si>
    <t xml:space="preserve">Зеркало ростовое для примерки СИЗ</t>
  </si>
  <si>
    <t xml:space="preserve">Отработка надевания СИЗ (п. 39 ПП 2464)</t>
  </si>
  <si>
    <t xml:space="preserve">Коврик для отработки СЛР</t>
  </si>
  <si>
    <t xml:space="preserve">Практика первой помощи на полу</t>
  </si>
  <si>
    <t xml:space="preserve">Рулонные шторы блэкаут / жалюзи</t>
  </si>
  <si>
    <t xml:space="preserve">Затемнение для видео (материал PDF, trudohrana.ru)</t>
  </si>
  <si>
    <t xml:space="preserve">Лазерный проектор + моторизованный экран</t>
  </si>
  <si>
    <t xml:space="preserve">Основной экран лекционной зоны</t>
  </si>
  <si>
    <t xml:space="preserve">Ноутбук преподавателя</t>
  </si>
  <si>
    <t xml:space="preserve">Рабочее место преподавателя</t>
  </si>
  <si>
    <t xml:space="preserve">АРМ (моноблок) для проверки знаний и СДО</t>
  </si>
  <si>
    <t xml:space="preserve">П. 97 ПП 2464: не менее 1 места на 100 работников (500 чел. = 5) + 1 резерв</t>
  </si>
  <si>
    <t xml:space="preserve">МФУ формата А4</t>
  </si>
  <si>
    <t xml:space="preserve">Протоколы, раздаточные материалы</t>
  </si>
  <si>
    <t xml:space="preserve">Маркерная доска мобильная двусторонняя</t>
  </si>
  <si>
    <t xml:space="preserve">trudohrana.ru, материал PDF</t>
  </si>
  <si>
    <t xml:space="preserve">Флипчарт</t>
  </si>
  <si>
    <t xml:space="preserve">Работа в малых группах</t>
  </si>
  <si>
    <t xml:space="preserve">Сетевая инфраструктура (Wi-Fi, коммутатор, розетки RJ-45)</t>
  </si>
  <si>
    <t xml:space="preserve">Работа СДО и выгрузка в реестр</t>
  </si>
  <si>
    <t xml:space="preserve">ТВ-панель 65" на мобильной стойке (практическая зона)</t>
  </si>
  <si>
    <t xml:space="preserve">Показ видеоинструкций во время практики</t>
  </si>
  <si>
    <t xml:space="preserve">Система звукоусиления (радиомикрофоны, колонки)</t>
  </si>
  <si>
    <t xml:space="preserve">Помещение на 24-30 чел.</t>
  </si>
  <si>
    <t xml:space="preserve">Документ-камера</t>
  </si>
  <si>
    <t xml:space="preserve">Показ мелких деталей СИЗ, маркировки</t>
  </si>
  <si>
    <t xml:space="preserve">Видеокамеры и регистратор для фиксации проверки знаний</t>
  </si>
  <si>
    <t xml:space="preserve">Доказательная база при проверках ГИТ</t>
  </si>
  <si>
    <t xml:space="preserve">Интерактивная панель 86" на мобильной стойке</t>
  </si>
  <si>
    <t xml:space="preserve">Р</t>
  </si>
  <si>
    <t xml:space="preserve">Интерактивные занятия, квизы</t>
  </si>
  <si>
    <t xml:space="preserve">Система интерактивного тестирования (24 пульта)</t>
  </si>
  <si>
    <t xml:space="preserve">Контроль усвоения в группе</t>
  </si>
  <si>
    <t xml:space="preserve">Электронные курсы и видеофильмы по ОТ, ПБ, ПП (библиотека)</t>
  </si>
  <si>
    <t xml:space="preserve">П. 24 Приказа 894: кино- и видеопродукция</t>
  </si>
  <si>
    <t xml:space="preserve">СДО с выгрузкой в реестр обученных лиц (1-й год лицензии)</t>
  </si>
  <si>
    <t xml:space="preserve">лиц.</t>
  </si>
  <si>
    <t xml:space="preserve">П. 66 ПП 2464, дистанционная теория</t>
  </si>
  <si>
    <t xml:space="preserve">VR-комплекс (2 шлема, ПК, сценарии: станки, окрасочная камера, пожар, ПП, СИЗ)</t>
  </si>
  <si>
    <t xml:space="preserve">trudohrana.ru: VR-тренажёры</t>
  </si>
  <si>
    <t xml:space="preserve">Интерактивный лазерный тренажёр пожаротушения</t>
  </si>
  <si>
    <t xml:space="preserve">Отработка применения огнетушителя без расхода ОТВ</t>
  </si>
  <si>
    <t xml:space="preserve">Тренажёр-манекен взрослого полноростовой для СЛР с контролем правильности</t>
  </si>
  <si>
    <t xml:space="preserve">П. 36 ПП 2464, голосовое (Роснефть)</t>
  </si>
  <si>
    <t xml:space="preserve">Торс-тренажёр СЛР с индикацией</t>
  </si>
  <si>
    <t xml:space="preserve">Одновременная практика 3 чел.</t>
  </si>
  <si>
    <t xml:space="preserve">Набор имитаторов травм и кровотечений (накладки)</t>
  </si>
  <si>
    <t xml:space="preserve">Отработка остановки кровотечения</t>
  </si>
  <si>
    <t xml:space="preserve">Тренажёр-конечность для наложения жгута</t>
  </si>
  <si>
    <t xml:space="preserve">Отработка наложения жгута</t>
  </si>
  <si>
    <t xml:space="preserve">Комплект шин (лестничных/вакуумных) и шейных воротников</t>
  </si>
  <si>
    <t xml:space="preserve">Голосовое (Роснефть)</t>
  </si>
  <si>
    <t xml:space="preserve">Носилки бескаркасные мягкие</t>
  </si>
  <si>
    <t xml:space="preserve">Носилки жёсткие (щит спинальный с ремнями)</t>
  </si>
  <si>
    <t xml:space="preserve">Аптечка для оказания первой помощи работникам (учебная)</t>
  </si>
  <si>
    <t xml:space="preserve">Приказ Минздрава 262н, голосовое</t>
  </si>
  <si>
    <t xml:space="preserve">Расходные материалы (маски-клапаны, салфетки, перчатки, бинты, жгуты)</t>
  </si>
  <si>
    <t xml:space="preserve">Гигиена при практике, голосовое</t>
  </si>
  <si>
    <t xml:space="preserve">Тренажёр для отработки удаления инородного тела из ВДП</t>
  </si>
  <si>
    <t xml:space="preserve">Раздел программы ПП</t>
  </si>
  <si>
    <t xml:space="preserve">Учебный дефибриллятор (тренажёр АНД)</t>
  </si>
  <si>
    <t xml:space="preserve">Расширение практики СЛР</t>
  </si>
  <si>
    <t xml:space="preserve">Манекен полноростовой для демонстрации СИЗ</t>
  </si>
  <si>
    <t xml:space="preserve">Спецодежда летняя и зимняя, обувь с защитным подноском (по 1 компл.)</t>
  </si>
  <si>
    <t xml:space="preserve">По нормам выдачи предприятия (Приказ 767н)</t>
  </si>
  <si>
    <t xml:space="preserve">Одноразовые комбинезоны для окрасочных работ, фартуки, нарукавники</t>
  </si>
  <si>
    <t xml:space="preserve">Окрасочные камеры</t>
  </si>
  <si>
    <t xml:space="preserve">СИЗОД: полумаски FFP2/FFP3, полумаски с фильтрами A/P, полнолицевая маска</t>
  </si>
  <si>
    <t xml:space="preserve">Окрасочные работы, пыль при обработке; голосовое</t>
  </si>
  <si>
    <t xml:space="preserve">СИЗ глаз и лица (очки открытые и закрытые, щиток)</t>
  </si>
  <si>
    <t xml:space="preserve">Станки, ЧПУ, химия</t>
  </si>
  <si>
    <t xml:space="preserve">СИЗ органа слуха (вкладыши, наушники)</t>
  </si>
  <si>
    <t xml:space="preserve">Шум станков, компрессоров</t>
  </si>
  <si>
    <t xml:space="preserve">СИЗ рук по видам (порезостойкие, химстойкие, от ОПЗ)</t>
  </si>
  <si>
    <t xml:space="preserve">Демонстрация + запрет перчаток у вращающихся частей</t>
  </si>
  <si>
    <t xml:space="preserve">Каски/каскетки (с подбородочным ремнём)</t>
  </si>
  <si>
    <t xml:space="preserve">Электрозащитные средства (диэлектр. перчатки, боты, коврик, указатель напряжения)</t>
  </si>
  <si>
    <t xml:space="preserve">Для электротехнического персонала; голосовое</t>
  </si>
  <si>
    <t xml:space="preserve">Памятки по уходу за спецодеждой и СИЗ (печать)</t>
  </si>
  <si>
    <t xml:space="preserve">СИЗОД с принудительной подачей воздуха (для окрасочных камер)</t>
  </si>
  <si>
    <t xml:space="preserve">Нужен, если в паспортах безопасности ЛКМ есть изоцианаты (уточнить)</t>
  </si>
  <si>
    <t xml:space="preserve">Комплект СИЗ от падения с высоты: удерживающая и страховочная системы, стропы с амортизатором, СЗС ползункового типа, анкерные ленты</t>
  </si>
  <si>
    <t xml:space="preserve">Правила по ОТ при работе на высоте (Приказ Минтруда 782н); голосовое</t>
  </si>
  <si>
    <t xml:space="preserve">Комплект LOTO (станция, замки, блокираторы, бирки)</t>
  </si>
  <si>
    <t xml:space="preserve">Блокировка станков и насосов при ремонте; голосовое</t>
  </si>
  <si>
    <t xml:space="preserve">Огнетушители учебные (порошковый, углекислотный)</t>
  </si>
  <si>
    <t xml:space="preserve">Знаки безопасности ГОСТ 12.4.026-2015, сигнальные ленты, переносное ограждение</t>
  </si>
  <si>
    <t xml:space="preserve">Информационные стенды (общий раздел, СУОТ, права работника, ПП, СИЗ, ПБ, ГО и ЧС, экология и отходы)</t>
  </si>
  <si>
    <t xml:space="preserve">П. 23 Приказа 894</t>
  </si>
  <si>
    <t xml:space="preserve">Комплекты плакатов по видам работ</t>
  </si>
  <si>
    <t xml:space="preserve">П. 9 Приказа 894</t>
  </si>
  <si>
    <t xml:space="preserve">Учебный макет «Защитные устройства станка ЧПУ» (блокировка двери, аварийный стоп, ограждение)</t>
  </si>
  <si>
    <t xml:space="preserve">Специальный раздел (п. 23 Приказа 894)</t>
  </si>
  <si>
    <t xml:space="preserve">Переносной 4-канальный газоанализатор (НКПР, O2, CO, H2S)</t>
  </si>
  <si>
    <t xml:space="preserve">Голосовое; каналы (в т.ч. ФИД для паров растворителей) уточнить по паспортам безопасности ЛКМ</t>
  </si>
  <si>
    <t xml:space="preserve">Стенд-макет по электробезопасности</t>
  </si>
  <si>
    <t xml:space="preserve">Электротехнический персонал (Правила по ОТ при эксплуатации электроустановок, Приказ Минтруда 903н)</t>
  </si>
  <si>
    <t xml:space="preserve">Средства защиты в электроустановках до 1000 В (штанга изолирующая, переносное заземление, инструмент с изолирующими рукоятками) и плакаты по ЭБ</t>
  </si>
  <si>
    <t xml:space="preserve">Практика применения средств защиты (Инструкция по применению СЗ в электроустановках, Приказ Минэнерго 1070)</t>
  </si>
  <si>
    <t xml:space="preserve">Учебный стенд для работ на высоте (анкерная линия, точка крепления 12 кН, демонстрация фактора падения)</t>
  </si>
  <si>
    <t xml:space="preserve">Практическая часть обучения безопасным методам работ на высоте (782н)</t>
  </si>
  <si>
    <t xml:space="preserve">Информационный сенсорный киоск у входа в корпус</t>
  </si>
  <si>
    <t xml:space="preserve">П. 14 Приказа 894: уголок ОТ в виде ТВ-панели/компьютера</t>
  </si>
  <si>
    <t xml:space="preserve">Обучение лиц, проводящих обучение по первой помощи</t>
  </si>
  <si>
    <t xml:space="preserve">чел</t>
  </si>
  <si>
    <t xml:space="preserve">П. 96 ПП 2464: не менее 2 лиц, проводящих обучение</t>
  </si>
  <si>
    <t xml:space="preserve">Обучение преподавателей и членов комиссии по программам А, Б, В</t>
  </si>
  <si>
    <t xml:space="preserve">Комиссия не менее 3 чел. + преподаватели (ПП 2464)</t>
  </si>
  <si>
    <t xml:space="preserve">Обучение преподавателей безопасным методам работ на высоте (3 группа, право проводить обучение)</t>
  </si>
  <si>
    <t xml:space="preserve">Приказ Минтруда 782н</t>
  </si>
  <si>
    <t xml:space="preserve">Подготовка членов комиссии по электробезопасности (проверка знаний в Ростехнадзоре)</t>
  </si>
  <si>
    <t xml:space="preserve">Приказ Минэнерго 796 (Правила работы с персоналом)</t>
  </si>
  <si>
    <t xml:space="preserve">Разработка учебных программ и материалов проверки знаний (А, Б, В, ПП, СИЗ, высота)</t>
  </si>
  <si>
    <t xml:space="preserve">П. 96 ПП 2464: программы утверждает работодатель</t>
  </si>
  <si>
    <t xml:space="preserve">ИТОГО по всем позициям</t>
  </si>
  <si>
    <t xml:space="preserve">Ежегодные эксплуатационные расходы (со 2-го года)</t>
  </si>
  <si>
    <t xml:space="preserve">Ориентировочно, с НДС</t>
  </si>
  <si>
    <t xml:space="preserve">Статья</t>
  </si>
  <si>
    <t xml:space="preserve">Сумма, ₽/год</t>
  </si>
  <si>
    <t xml:space="preserve">Продление лицензии СДО</t>
  </si>
  <si>
    <t xml:space="preserve">Выгрузка результатов в реестр обученных лиц</t>
  </si>
  <si>
    <t xml:space="preserve">Обновление библиотеки курсов и видеофильмов</t>
  </si>
  <si>
    <t xml:space="preserve">Изменения НПА</t>
  </si>
  <si>
    <t xml:space="preserve">Расходные материалы для практики ПП</t>
  </si>
  <si>
    <t xml:space="preserve">Маски-клапаны, салфетки, перчатки, бинты</t>
  </si>
  <si>
    <t xml:space="preserve">Обновление стендов и плакатов</t>
  </si>
  <si>
    <t xml:space="preserve">Изменения НПА и локальных актов</t>
  </si>
  <si>
    <t xml:space="preserve">Обновление демонстрационных СИЗ</t>
  </si>
  <si>
    <t xml:space="preserve">Износ, смена поставщиков</t>
  </si>
  <si>
    <t xml:space="preserve">Поверка газоанализатора, ТО тренажёров</t>
  </si>
  <si>
    <t xml:space="preserve">Ежегодная поверка средства измерения</t>
  </si>
  <si>
    <t xml:space="preserve">ИТОГО в год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</si>
</sst>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₽&quot;;\(#,##0&quot; ₽)&quot;;\-"/>
    <numFmt numFmtId="166" formatCode="0"/>
    <numFmt numFmtId="167" formatCode="0%"/>
    <numFmt numFmtId="168" formatCode="General"/>
    <numFmt numFmtId="169" formatCode="#,##0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SUMIFS(Смета!$G$5:$G$72,Смета!$B$5:$B$72,$A5,Смета!$H$5:$H$72,"Б")</f>
        <v>1134000</v>
      </c>
      <c r="C5" s="6" t="n">
        <f aca="false">SUMIFS(Смета!$G$5:$G$72,Смета!$B$5:$B$72,$A5,Смета!$H$5:$H$72,"Б")+SUMIFS(Смета!$G$5:$G$72,Смета!$B$5:$B$72,$A5,Смета!$H$5:$H$72,"О")</f>
        <v>1169000</v>
      </c>
      <c r="D5" s="6" t="n">
        <f aca="false">SUMIFS(Смета!$G$5:$G$72,Смета!$B$5:$B$72,$A5,Смета!$H$5:$H$72,"Б")+SUMIFS(Смета!$G$5:$G$72,Смета!$B$5:$B$72,$A5,Смета!$H$5:$H$72,"О")+SUMIFS(Смета!$G$5:$G$72,Смета!$B$5:$B$72,$A5,Смета!$H$5:$H$72,"Р")</f>
        <v>1169000</v>
      </c>
    </row>
    <row r="6" customFormat="false" ht="15" hidden="false" customHeight="false" outlineLevel="0" collapsed="false">
      <c r="A6" s="5" t="s">
        <v>7</v>
      </c>
      <c r="B6" s="6" t="n">
        <f aca="false">SUMIFS(Смета!$G$5:$G$72,Смета!$B$5:$B$72,$A6,Смета!$H$5:$H$72,"Б")</f>
        <v>1105000</v>
      </c>
      <c r="C6" s="6" t="n">
        <f aca="false">SUMIFS(Смета!$G$5:$G$72,Смета!$B$5:$B$72,$A6,Смета!$H$5:$H$72,"Б")+SUMIFS(Смета!$G$5:$G$72,Смета!$B$5:$B$72,$A6,Смета!$H$5:$H$72,"О")</f>
        <v>1470000</v>
      </c>
      <c r="D6" s="6" t="n">
        <f aca="false">SUMIFS(Смета!$G$5:$G$72,Смета!$B$5:$B$72,$A6,Смета!$H$5:$H$72,"Б")+SUMIFS(Смета!$G$5:$G$72,Смета!$B$5:$B$72,$A6,Смета!$H$5:$H$72,"О")+SUMIFS(Смета!$G$5:$G$72,Смета!$B$5:$B$72,$A6,Смета!$H$5:$H$72,"Р")</f>
        <v>2470000</v>
      </c>
    </row>
    <row r="7" customFormat="false" ht="15" hidden="false" customHeight="false" outlineLevel="0" collapsed="false">
      <c r="A7" s="5" t="s">
        <v>8</v>
      </c>
      <c r="B7" s="6" t="n">
        <f aca="false">SUMIFS(Смета!$G$5:$G$72,Смета!$B$5:$B$72,$A7,Смета!$H$5:$H$72,"Б")</f>
        <v>530000</v>
      </c>
      <c r="C7" s="6" t="n">
        <f aca="false">SUMIFS(Смета!$G$5:$G$72,Смета!$B$5:$B$72,$A7,Смета!$H$5:$H$72,"Б")+SUMIFS(Смета!$G$5:$G$72,Смета!$B$5:$B$72,$A7,Смета!$H$5:$H$72,"О")</f>
        <v>530000</v>
      </c>
      <c r="D7" s="6" t="n">
        <f aca="false">SUMIFS(Смета!$G$5:$G$72,Смета!$B$5:$B$72,$A7,Смета!$H$5:$H$72,"Б")+SUMIFS(Смета!$G$5:$G$72,Смета!$B$5:$B$72,$A7,Смета!$H$5:$H$72,"О")+SUMIFS(Смета!$G$5:$G$72,Смета!$B$5:$B$72,$A7,Смета!$H$5:$H$72,"Р")</f>
        <v>3080000</v>
      </c>
    </row>
    <row r="8" customFormat="false" ht="15" hidden="false" customHeight="false" outlineLevel="0" collapsed="false">
      <c r="A8" s="5" t="s">
        <v>9</v>
      </c>
      <c r="B8" s="6" t="n">
        <f aca="false">SUMIFS(Смета!$G$5:$G$72,Смета!$B$5:$B$72,$A8,Смета!$H$5:$H$72,"Б")</f>
        <v>731500</v>
      </c>
      <c r="C8" s="6" t="n">
        <f aca="false">SUMIFS(Смета!$G$5:$G$72,Смета!$B$5:$B$72,$A8,Смета!$H$5:$H$72,"Б")+SUMIFS(Смета!$G$5:$G$72,Смета!$B$5:$B$72,$A8,Смета!$H$5:$H$72,"О")</f>
        <v>831500</v>
      </c>
      <c r="D8" s="6" t="n">
        <f aca="false">SUMIFS(Смета!$G$5:$G$72,Смета!$B$5:$B$72,$A8,Смета!$H$5:$H$72,"Б")+SUMIFS(Смета!$G$5:$G$72,Смета!$B$5:$B$72,$A8,Смета!$H$5:$H$72,"О")+SUMIFS(Смета!$G$5:$G$72,Смета!$B$5:$B$72,$A8,Смета!$H$5:$H$72,"Р")</f>
        <v>831500</v>
      </c>
    </row>
    <row r="9" customFormat="false" ht="15" hidden="false" customHeight="false" outlineLevel="0" collapsed="false">
      <c r="A9" s="5" t="s">
        <v>10</v>
      </c>
      <c r="B9" s="6" t="n">
        <f aca="false">SUMIFS(Смета!$G$5:$G$72,Смета!$B$5:$B$72,$A9,Смета!$H$5:$H$72,"Б")</f>
        <v>420000</v>
      </c>
      <c r="C9" s="6" t="n">
        <f aca="false">SUMIFS(Смета!$G$5:$G$72,Смета!$B$5:$B$72,$A9,Смета!$H$5:$H$72,"Б")+SUMIFS(Смета!$G$5:$G$72,Смета!$B$5:$B$72,$A9,Смета!$H$5:$H$72,"О")</f>
        <v>540000</v>
      </c>
      <c r="D9" s="6" t="n">
        <f aca="false">SUMIFS(Смета!$G$5:$G$72,Смета!$B$5:$B$72,$A9,Смета!$H$5:$H$72,"Б")+SUMIFS(Смета!$G$5:$G$72,Смета!$B$5:$B$72,$A9,Смета!$H$5:$H$72,"О")+SUMIFS(Смета!$G$5:$G$72,Смета!$B$5:$B$72,$A9,Смета!$H$5:$H$72,"Р")</f>
        <v>540000</v>
      </c>
    </row>
    <row r="10" customFormat="false" ht="15" hidden="false" customHeight="false" outlineLevel="0" collapsed="false">
      <c r="A10" s="5" t="s">
        <v>11</v>
      </c>
      <c r="B10" s="6" t="n">
        <f aca="false">SUMIFS(Смета!$G$5:$G$72,Смета!$B$5:$B$72,$A10,Смета!$H$5:$H$72,"Б")</f>
        <v>673000</v>
      </c>
      <c r="C10" s="6" t="n">
        <f aca="false">SUMIFS(Смета!$G$5:$G$72,Смета!$B$5:$B$72,$A10,Смета!$H$5:$H$72,"Б")+SUMIFS(Смета!$G$5:$G$72,Смета!$B$5:$B$72,$A10,Смета!$H$5:$H$72,"О")</f>
        <v>938000</v>
      </c>
      <c r="D10" s="6" t="n">
        <f aca="false">SUMIFS(Смета!$G$5:$G$72,Смета!$B$5:$B$72,$A10,Смета!$H$5:$H$72,"Б")+SUMIFS(Смета!$G$5:$G$72,Смета!$B$5:$B$72,$A10,Смета!$H$5:$H$72,"О")+SUMIFS(Смета!$G$5:$G$72,Смета!$B$5:$B$72,$A10,Смета!$H$5:$H$72,"Р")</f>
        <v>1188000</v>
      </c>
    </row>
    <row r="11" customFormat="false" ht="15" hidden="false" customHeight="false" outlineLevel="0" collapsed="false">
      <c r="A11" s="5" t="s">
        <v>12</v>
      </c>
      <c r="B11" s="6" t="n">
        <f aca="false">SUMIFS(Смета!$G$5:$G$72,Смета!$B$5:$B$72,$A11,Смета!$H$5:$H$72,"Б")</f>
        <v>335000</v>
      </c>
      <c r="C11" s="6" t="n">
        <f aca="false">SUMIFS(Смета!$G$5:$G$72,Смета!$B$5:$B$72,$A11,Смета!$H$5:$H$72,"Б")+SUMIFS(Смета!$G$5:$G$72,Смета!$B$5:$B$72,$A11,Смета!$H$5:$H$72,"О")</f>
        <v>335000</v>
      </c>
      <c r="D11" s="6" t="n">
        <f aca="false">SUMIFS(Смета!$G$5:$G$72,Смета!$B$5:$B$72,$A11,Смета!$H$5:$H$72,"Б")+SUMIFS(Смета!$G$5:$G$72,Смета!$B$5:$B$72,$A11,Смета!$H$5:$H$72,"О")+SUMIFS(Смета!$G$5:$G$72,Смета!$B$5:$B$72,$A11,Смета!$H$5:$H$72,"Р")</f>
        <v>335000</v>
      </c>
    </row>
    <row r="12" customFormat="false" ht="15" hidden="false" customHeight="false" outlineLevel="0" collapsed="false">
      <c r="A12" s="7" t="s">
        <v>13</v>
      </c>
      <c r="B12" s="8" t="n">
        <f aca="false">SUM(B5:B11)</f>
        <v>4928500</v>
      </c>
      <c r="C12" s="8" t="n">
        <f aca="false">SUM(C5:C11)</f>
        <v>5813500</v>
      </c>
      <c r="D12" s="8" t="n">
        <f aca="false">SUM(D5:D11)</f>
        <v>9613500</v>
      </c>
    </row>
    <row r="13" customFormat="false" ht="15" hidden="false" customHeight="false" outlineLevel="0" collapsed="false">
      <c r="A13" s="7" t="s">
        <v>14</v>
      </c>
      <c r="B13" s="8" t="n">
        <f aca="false">B12*'Исходные данные'!$B$28</f>
        <v>394280</v>
      </c>
      <c r="C13" s="8" t="n">
        <f aca="false">C12*'Исходные данные'!$B$28</f>
        <v>465080</v>
      </c>
      <c r="D13" s="8" t="n">
        <f aca="false">D12*'Исходные данные'!$B$28</f>
        <v>769080</v>
      </c>
    </row>
    <row r="14" customFormat="false" ht="15" hidden="false" customHeight="false" outlineLevel="0" collapsed="false">
      <c r="A14" s="7" t="s">
        <v>15</v>
      </c>
      <c r="B14" s="8" t="n">
        <f aca="false">B12+B13</f>
        <v>5322780</v>
      </c>
      <c r="C14" s="8" t="n">
        <f aca="false">C12+C13</f>
        <v>6278580</v>
      </c>
      <c r="D14" s="8" t="n">
        <f aca="false">D12+D13</f>
        <v>10382580</v>
      </c>
    </row>
    <row r="15" customFormat="false" ht="15" hidden="false" customHeight="false" outlineLevel="0" collapsed="false">
      <c r="A15" s="7" t="s">
        <v>16</v>
      </c>
      <c r="B15" s="8" t="n">
        <f aca="false">B14*'Исходные данные'!$B$29</f>
        <v>532278</v>
      </c>
      <c r="C15" s="8" t="n">
        <f aca="false">C14*'Исходные данные'!$B$29</f>
        <v>627858</v>
      </c>
      <c r="D15" s="8" t="n">
        <f aca="false">D14*'Исходные данные'!$B$29</f>
        <v>1038258</v>
      </c>
    </row>
    <row r="16" customFormat="false" ht="15" hidden="false" customHeight="false" outlineLevel="0" collapsed="false">
      <c r="A16" s="9" t="s">
        <v>17</v>
      </c>
      <c r="B16" s="10" t="n">
        <f aca="false">B14+B15</f>
        <v>5855058</v>
      </c>
      <c r="C16" s="10" t="n">
        <f aca="false">C14+C15</f>
        <v>6906438</v>
      </c>
      <c r="D16" s="10" t="n">
        <f aca="false">D14+D15</f>
        <v>11420838</v>
      </c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11" t="s">
        <v>18</v>
      </c>
      <c r="B18" s="12" t="n">
        <f aca="false">Площадь!E13</f>
        <v>174</v>
      </c>
      <c r="C18" s="2"/>
      <c r="D18" s="2"/>
    </row>
    <row r="19" customFormat="false" ht="15" hidden="false" customHeight="false" outlineLevel="0" collapsed="false">
      <c r="A19" s="11" t="s">
        <v>19</v>
      </c>
      <c r="B19" s="13" t="n">
        <f aca="false">Эксплуатация!C11</f>
        <v>540000</v>
      </c>
      <c r="C19" s="2"/>
      <c r="D19" s="2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14" t="s">
        <v>20</v>
      </c>
      <c r="B21" s="2"/>
      <c r="C21" s="2"/>
      <c r="D21" s="2"/>
    </row>
    <row r="22" customFormat="false" ht="15" hidden="false" customHeight="false" outlineLevel="0" collapsed="false">
      <c r="A22" s="15" t="s">
        <v>21</v>
      </c>
      <c r="B22" s="2"/>
      <c r="C22" s="2"/>
      <c r="D22" s="2"/>
    </row>
    <row r="23" customFormat="false" ht="15" hidden="false" customHeight="false" outlineLevel="0" collapsed="false">
      <c r="A23" s="15" t="s">
        <v>22</v>
      </c>
      <c r="B23" s="2"/>
      <c r="C23" s="2"/>
      <c r="D23" s="2"/>
    </row>
    <row r="24" customFormat="false" ht="15" hidden="false" customHeight="false" outlineLevel="0" collapsed="false">
      <c r="A24" s="15" t="s">
        <v>23</v>
      </c>
      <c r="B24" s="2"/>
      <c r="C24" s="2"/>
      <c r="D24" s="2"/>
    </row>
    <row r="25" customFormat="false" ht="15" hidden="false" customHeight="false" outlineLevel="0" collapsed="false">
      <c r="A25" s="15" t="s">
        <v>24</v>
      </c>
      <c r="B25" s="2"/>
      <c r="C25" s="2"/>
      <c r="D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25</v>
      </c>
      <c r="B1" s="2"/>
      <c r="C1" s="2"/>
      <c r="D1" s="2"/>
    </row>
    <row r="2" customFormat="false" ht="15" hidden="false" customHeight="false" outlineLevel="0" collapsed="false">
      <c r="A2" s="3" t="s">
        <v>26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27</v>
      </c>
      <c r="B4" s="4" t="s">
        <v>28</v>
      </c>
      <c r="C4" s="4" t="s">
        <v>29</v>
      </c>
      <c r="D4" s="4" t="s">
        <v>30</v>
      </c>
    </row>
    <row r="5" customFormat="false" ht="15" hidden="false" customHeight="false" outlineLevel="0" collapsed="false">
      <c r="A5" s="16" t="s">
        <v>31</v>
      </c>
      <c r="B5" s="17" t="n">
        <v>500</v>
      </c>
      <c r="C5" s="16" t="s">
        <v>32</v>
      </c>
      <c r="D5" s="16" t="s">
        <v>33</v>
      </c>
    </row>
    <row r="6" customFormat="false" ht="15" hidden="false" customHeight="false" outlineLevel="0" collapsed="false">
      <c r="A6" s="16" t="s">
        <v>34</v>
      </c>
      <c r="B6" s="18" t="n">
        <v>0.15</v>
      </c>
      <c r="C6" s="16" t="s">
        <v>35</v>
      </c>
      <c r="D6" s="16" t="s">
        <v>36</v>
      </c>
    </row>
    <row r="7" customFormat="false" ht="23.85" hidden="false" customHeight="false" outlineLevel="0" collapsed="false">
      <c r="A7" s="16" t="s">
        <v>37</v>
      </c>
      <c r="B7" s="18" t="n">
        <v>0.7</v>
      </c>
      <c r="C7" s="16" t="s">
        <v>35</v>
      </c>
      <c r="D7" s="16" t="s">
        <v>38</v>
      </c>
    </row>
    <row r="8" customFormat="false" ht="23.85" hidden="false" customHeight="false" outlineLevel="0" collapsed="false">
      <c r="A8" s="16" t="s">
        <v>39</v>
      </c>
      <c r="B8" s="18" t="n">
        <v>0.3</v>
      </c>
      <c r="C8" s="16" t="s">
        <v>35</v>
      </c>
      <c r="D8" s="16" t="s">
        <v>40</v>
      </c>
    </row>
    <row r="9" customFormat="false" ht="15" hidden="false" customHeight="false" outlineLevel="0" collapsed="false">
      <c r="A9" s="16" t="s">
        <v>41</v>
      </c>
      <c r="B9" s="18" t="n">
        <v>0.8</v>
      </c>
      <c r="C9" s="16" t="s">
        <v>35</v>
      </c>
      <c r="D9" s="16" t="s">
        <v>42</v>
      </c>
    </row>
    <row r="10" customFormat="false" ht="15" hidden="false" customHeight="false" outlineLevel="0" collapsed="false">
      <c r="A10" s="16" t="s">
        <v>43</v>
      </c>
      <c r="B10" s="18" t="n">
        <v>0.7</v>
      </c>
      <c r="C10" s="16" t="s">
        <v>35</v>
      </c>
      <c r="D10" s="16" t="s">
        <v>44</v>
      </c>
    </row>
    <row r="11" customFormat="false" ht="15" hidden="false" customHeight="false" outlineLevel="0" collapsed="false">
      <c r="A11" s="16" t="s">
        <v>45</v>
      </c>
      <c r="B11" s="18" t="n">
        <v>0.1</v>
      </c>
      <c r="C11" s="16" t="s">
        <v>35</v>
      </c>
      <c r="D11" s="16" t="s">
        <v>46</v>
      </c>
    </row>
    <row r="12" customFormat="false" ht="15" hidden="false" customHeight="false" outlineLevel="0" collapsed="false">
      <c r="A12" s="16" t="s">
        <v>47</v>
      </c>
      <c r="B12" s="17" t="n">
        <v>25</v>
      </c>
      <c r="C12" s="16" t="s">
        <v>32</v>
      </c>
      <c r="D12" s="16" t="s">
        <v>48</v>
      </c>
    </row>
    <row r="13" customFormat="false" ht="15" hidden="false" customHeight="false" outlineLevel="0" collapsed="false">
      <c r="A13" s="16" t="s">
        <v>49</v>
      </c>
      <c r="B13" s="17" t="n">
        <v>3</v>
      </c>
      <c r="C13" s="16" t="s">
        <v>50</v>
      </c>
      <c r="D13" s="16" t="s">
        <v>51</v>
      </c>
    </row>
    <row r="14" customFormat="false" ht="15" hidden="false" customHeight="false" outlineLevel="0" collapsed="false">
      <c r="A14" s="16" t="s">
        <v>52</v>
      </c>
      <c r="B14" s="17" t="n">
        <v>100</v>
      </c>
      <c r="C14" s="16" t="s">
        <v>32</v>
      </c>
      <c r="D14" s="16" t="s">
        <v>53</v>
      </c>
    </row>
    <row r="15" customFormat="false" ht="15" hidden="false" customHeight="false" outlineLevel="0" collapsed="false">
      <c r="A15" s="16" t="s">
        <v>54</v>
      </c>
      <c r="B15" s="17" t="n">
        <v>16</v>
      </c>
      <c r="C15" s="16" t="s">
        <v>55</v>
      </c>
      <c r="D15" s="16" t="s">
        <v>56</v>
      </c>
    </row>
    <row r="16" customFormat="false" ht="15" hidden="false" customHeight="false" outlineLevel="0" collapsed="false">
      <c r="A16" s="16" t="s">
        <v>57</v>
      </c>
      <c r="B16" s="17" t="n">
        <v>16</v>
      </c>
      <c r="C16" s="16" t="s">
        <v>55</v>
      </c>
      <c r="D16" s="16" t="s">
        <v>56</v>
      </c>
    </row>
    <row r="17" customFormat="false" ht="15" hidden="false" customHeight="false" outlineLevel="0" collapsed="false">
      <c r="A17" s="16" t="s">
        <v>58</v>
      </c>
      <c r="B17" s="17" t="n">
        <v>16</v>
      </c>
      <c r="C17" s="16" t="s">
        <v>55</v>
      </c>
      <c r="D17" s="16" t="s">
        <v>56</v>
      </c>
    </row>
    <row r="18" customFormat="false" ht="15" hidden="false" customHeight="false" outlineLevel="0" collapsed="false">
      <c r="A18" s="16" t="s">
        <v>59</v>
      </c>
      <c r="B18" s="17" t="n">
        <v>8</v>
      </c>
      <c r="C18" s="16" t="s">
        <v>55</v>
      </c>
      <c r="D18" s="16" t="s">
        <v>60</v>
      </c>
    </row>
    <row r="19" customFormat="false" ht="15" hidden="false" customHeight="false" outlineLevel="0" collapsed="false">
      <c r="A19" s="16" t="s">
        <v>61</v>
      </c>
      <c r="B19" s="17" t="n">
        <v>4</v>
      </c>
      <c r="C19" s="16" t="s">
        <v>55</v>
      </c>
      <c r="D19" s="16" t="s">
        <v>62</v>
      </c>
    </row>
    <row r="20" customFormat="false" ht="15" hidden="false" customHeight="false" outlineLevel="0" collapsed="false">
      <c r="A20" s="16" t="s">
        <v>63</v>
      </c>
      <c r="B20" s="17" t="n">
        <v>1.5</v>
      </c>
      <c r="C20" s="16" t="s">
        <v>55</v>
      </c>
      <c r="D20" s="16" t="s">
        <v>64</v>
      </c>
    </row>
    <row r="21" customFormat="false" ht="15" hidden="false" customHeight="false" outlineLevel="0" collapsed="false">
      <c r="A21" s="16" t="s">
        <v>65</v>
      </c>
      <c r="B21" s="17" t="n">
        <v>16</v>
      </c>
      <c r="C21" s="16" t="s">
        <v>55</v>
      </c>
      <c r="D21" s="16" t="s">
        <v>66</v>
      </c>
    </row>
    <row r="22" customFormat="false" ht="15" hidden="false" customHeight="false" outlineLevel="0" collapsed="false">
      <c r="A22" s="16" t="s">
        <v>67</v>
      </c>
      <c r="B22" s="17" t="n">
        <v>8</v>
      </c>
      <c r="C22" s="16" t="s">
        <v>55</v>
      </c>
      <c r="D22" s="16" t="s">
        <v>68</v>
      </c>
    </row>
    <row r="23" customFormat="false" ht="15" hidden="false" customHeight="false" outlineLevel="0" collapsed="false">
      <c r="A23" s="16" t="s">
        <v>69</v>
      </c>
      <c r="B23" s="18" t="n">
        <v>0.5</v>
      </c>
      <c r="C23" s="16" t="s">
        <v>35</v>
      </c>
      <c r="D23" s="16" t="s">
        <v>70</v>
      </c>
    </row>
    <row r="24" customFormat="false" ht="15" hidden="false" customHeight="false" outlineLevel="0" collapsed="false">
      <c r="A24" s="16" t="s">
        <v>71</v>
      </c>
      <c r="B24" s="17" t="n">
        <v>247</v>
      </c>
      <c r="C24" s="16" t="s">
        <v>72</v>
      </c>
      <c r="D24" s="16" t="s">
        <v>73</v>
      </c>
    </row>
    <row r="25" customFormat="false" ht="15" hidden="false" customHeight="false" outlineLevel="0" collapsed="false">
      <c r="A25" s="16" t="s">
        <v>74</v>
      </c>
      <c r="B25" s="17" t="n">
        <v>7</v>
      </c>
      <c r="C25" s="16" t="s">
        <v>55</v>
      </c>
      <c r="D25" s="16" t="s">
        <v>75</v>
      </c>
    </row>
    <row r="26" customFormat="false" ht="15" hidden="false" customHeight="false" outlineLevel="0" collapsed="false">
      <c r="A26" s="16" t="s">
        <v>76</v>
      </c>
      <c r="B26" s="18" t="n">
        <v>0.75</v>
      </c>
      <c r="C26" s="16" t="s">
        <v>35</v>
      </c>
      <c r="D26" s="16" t="s">
        <v>77</v>
      </c>
    </row>
    <row r="27" customFormat="false" ht="15" hidden="false" customHeight="false" outlineLevel="0" collapsed="false">
      <c r="A27" s="16" t="s">
        <v>78</v>
      </c>
      <c r="B27" s="17" t="n">
        <v>2.5</v>
      </c>
      <c r="C27" s="16" t="s">
        <v>79</v>
      </c>
      <c r="D27" s="16" t="s">
        <v>80</v>
      </c>
    </row>
    <row r="28" customFormat="false" ht="15" hidden="false" customHeight="false" outlineLevel="0" collapsed="false">
      <c r="A28" s="16" t="s">
        <v>81</v>
      </c>
      <c r="B28" s="18" t="n">
        <v>0.08</v>
      </c>
      <c r="C28" s="16" t="s">
        <v>35</v>
      </c>
      <c r="D28" s="16" t="s">
        <v>82</v>
      </c>
    </row>
    <row r="29" customFormat="false" ht="15" hidden="false" customHeight="false" outlineLevel="0" collapsed="false">
      <c r="A29" s="16" t="s">
        <v>16</v>
      </c>
      <c r="B29" s="18" t="n">
        <v>0.1</v>
      </c>
      <c r="C29" s="16" t="s">
        <v>35</v>
      </c>
      <c r="D29" s="1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84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85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3.85" hidden="false" customHeight="false" outlineLevel="0" collapsed="false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</row>
    <row r="5" customFormat="false" ht="15" hidden="false" customHeight="false" outlineLevel="0" collapsed="false">
      <c r="A5" s="19" t="s">
        <v>91</v>
      </c>
      <c r="B5" s="20" t="n">
        <f aca="false">ROUND('Исходные данные'!$B$5/'Исходные данные'!$B$13+'Исходные данные'!$B$5*'Исходные данные'!$B$6,0)</f>
        <v>242</v>
      </c>
      <c r="C5" s="20" t="n">
        <f aca="false">'Исходные данные'!$B$15</f>
        <v>16</v>
      </c>
      <c r="D5" s="21" t="n">
        <f aca="false">'Исходные данные'!$B$23</f>
        <v>0.5</v>
      </c>
      <c r="E5" s="22" t="n">
        <f aca="false">B5*C5*D5</f>
        <v>1936</v>
      </c>
    </row>
    <row r="6" customFormat="false" ht="15" hidden="false" customHeight="false" outlineLevel="0" collapsed="false">
      <c r="A6" s="19" t="s">
        <v>92</v>
      </c>
      <c r="B6" s="20" t="n">
        <f aca="false">ROUND(('Исходные данные'!$B$5/'Исходные данные'!$B$13+'Исходные данные'!$B$5*'Исходные данные'!$B$6)*'Исходные данные'!$B$7,0)</f>
        <v>169</v>
      </c>
      <c r="C6" s="20" t="n">
        <f aca="false">'Исходные данные'!$B$16</f>
        <v>16</v>
      </c>
      <c r="D6" s="21" t="n">
        <f aca="false">'Исходные данные'!$B$23</f>
        <v>0.5</v>
      </c>
      <c r="E6" s="22" t="n">
        <f aca="false">B6*C6*D6</f>
        <v>1352</v>
      </c>
    </row>
    <row r="7" customFormat="false" ht="15" hidden="false" customHeight="false" outlineLevel="0" collapsed="false">
      <c r="A7" s="19" t="s">
        <v>93</v>
      </c>
      <c r="B7" s="20" t="n">
        <f aca="false">ROUND(('Исходные данные'!$B$5/'Исходные данные'!$B$13+'Исходные данные'!$B$5*'Исходные данные'!$B$6)*'Исходные данные'!$B$8,0)</f>
        <v>73</v>
      </c>
      <c r="C7" s="20" t="n">
        <f aca="false">'Исходные данные'!$B$17</f>
        <v>16</v>
      </c>
      <c r="D7" s="21" t="n">
        <f aca="false">'Исходные данные'!$B$23</f>
        <v>0.5</v>
      </c>
      <c r="E7" s="22" t="n">
        <f aca="false">B7*C7*D7</f>
        <v>584</v>
      </c>
    </row>
    <row r="8" customFormat="false" ht="15" hidden="false" customHeight="false" outlineLevel="0" collapsed="false">
      <c r="A8" s="19" t="s">
        <v>94</v>
      </c>
      <c r="B8" s="20" t="n">
        <f aca="false">ROUND(('Исходные данные'!$B$5/'Исходные данные'!$B$13+'Исходные данные'!$B$5*'Исходные данные'!$B$6)*'Исходные данные'!$B$9,0)</f>
        <v>193</v>
      </c>
      <c r="C8" s="20" t="n">
        <f aca="false">'Исходные данные'!$B$18</f>
        <v>8</v>
      </c>
      <c r="D8" s="23" t="n">
        <v>1</v>
      </c>
      <c r="E8" s="22" t="n">
        <f aca="false">B8*C8*D8</f>
        <v>1544</v>
      </c>
    </row>
    <row r="9" customFormat="false" ht="15" hidden="false" customHeight="false" outlineLevel="0" collapsed="false">
      <c r="A9" s="19" t="s">
        <v>95</v>
      </c>
      <c r="B9" s="20" t="n">
        <f aca="false">ROUND(('Исходные данные'!$B$5/'Исходные данные'!$B$13+'Исходные данные'!$B$5*'Исходные данные'!$B$6)*'Исходные данные'!$B$10,0)</f>
        <v>169</v>
      </c>
      <c r="C9" s="20" t="n">
        <f aca="false">'Исходные данные'!$B$19</f>
        <v>4</v>
      </c>
      <c r="D9" s="23" t="n">
        <v>1</v>
      </c>
      <c r="E9" s="22" t="n">
        <f aca="false">B9*C9*D9</f>
        <v>676</v>
      </c>
    </row>
    <row r="10" customFormat="false" ht="15" hidden="false" customHeight="false" outlineLevel="0" collapsed="false">
      <c r="A10" s="19" t="s">
        <v>96</v>
      </c>
      <c r="B10" s="20" t="n">
        <f aca="false">ROUND('Исходные данные'!$B$5*'Исходные данные'!$B$6+'Исходные данные'!$B$14,0)</f>
        <v>175</v>
      </c>
      <c r="C10" s="20" t="n">
        <f aca="false">'Исходные данные'!$B$20</f>
        <v>1.5</v>
      </c>
      <c r="D10" s="23" t="n">
        <v>1</v>
      </c>
      <c r="E10" s="22" t="n">
        <f aca="false">B10*C10*D10</f>
        <v>262.5</v>
      </c>
    </row>
    <row r="11" customFormat="false" ht="15" hidden="false" customHeight="false" outlineLevel="0" collapsed="false">
      <c r="A11" s="19" t="s">
        <v>97</v>
      </c>
      <c r="B11" s="20" t="n">
        <f aca="false">ROUND(('Исходные данные'!$B$5/'Исходные данные'!$B$13+'Исходные данные'!$B$5*'Исходные данные'!$B$6)*'Исходные данные'!$B$11,0)</f>
        <v>24</v>
      </c>
      <c r="C11" s="20" t="n">
        <f aca="false">'Исходные данные'!$B$21</f>
        <v>16</v>
      </c>
      <c r="D11" s="23" t="n">
        <v>1</v>
      </c>
      <c r="E11" s="22" t="n">
        <f aca="false">B11*C11*D11</f>
        <v>384</v>
      </c>
    </row>
    <row r="12" customFormat="false" ht="15" hidden="false" customHeight="false" outlineLevel="0" collapsed="false">
      <c r="A12" s="19" t="s">
        <v>98</v>
      </c>
      <c r="B12" s="20" t="n">
        <f aca="false">'Исходные данные'!$B$12</f>
        <v>25</v>
      </c>
      <c r="C12" s="20" t="n">
        <f aca="false">'Исходные данные'!$B$22</f>
        <v>8</v>
      </c>
      <c r="D12" s="23" t="n">
        <v>1</v>
      </c>
      <c r="E12" s="22" t="n">
        <f aca="false">B12*C12*D12</f>
        <v>200</v>
      </c>
    </row>
    <row r="13" customFormat="false" ht="15" hidden="false" customHeight="false" outlineLevel="0" collapsed="false">
      <c r="A13" s="7" t="s">
        <v>99</v>
      </c>
      <c r="B13" s="7"/>
      <c r="C13" s="7"/>
      <c r="D13" s="7"/>
      <c r="E13" s="24" t="n">
        <f aca="false">SUM(E5:E12)</f>
        <v>6938.5</v>
      </c>
    </row>
    <row r="14" customFormat="false" ht="15" hidden="false" customHeight="false" outlineLevel="0" collapsed="false">
      <c r="A14" s="7" t="s">
        <v>100</v>
      </c>
      <c r="B14" s="7"/>
      <c r="C14" s="7"/>
      <c r="D14" s="7"/>
      <c r="E14" s="24" t="n">
        <f aca="false">'Исходные данные'!$B$24*'Исходные данные'!$B$25*'Исходные данные'!$B$26</f>
        <v>1296.75</v>
      </c>
    </row>
    <row r="15" customFormat="false" ht="15" hidden="false" customHeight="false" outlineLevel="0" collapsed="false">
      <c r="A15" s="7" t="s">
        <v>101</v>
      </c>
      <c r="B15" s="7"/>
      <c r="C15" s="7"/>
      <c r="D15" s="7"/>
      <c r="E15" s="25" t="n">
        <f aca="false">E13/E14</f>
        <v>5.35068440331598</v>
      </c>
    </row>
    <row r="16" customFormat="false" ht="15" hidden="false" customHeight="false" outlineLevel="0" collapsed="false">
      <c r="A16" s="7" t="s">
        <v>102</v>
      </c>
      <c r="B16" s="7"/>
      <c r="C16" s="7"/>
      <c r="D16" s="7"/>
      <c r="E16" s="25" t="n">
        <f aca="false">E15*'Исходные данные'!$B$27</f>
        <v>13.37671100829</v>
      </c>
    </row>
    <row r="17" customFormat="false" ht="15" hidden="false" customHeight="false" outlineLevel="0" collapsed="false">
      <c r="A17" s="7" t="s">
        <v>103</v>
      </c>
      <c r="B17" s="7"/>
      <c r="C17" s="7"/>
      <c r="D17" s="7"/>
      <c r="E17" s="26" t="n">
        <f aca="false">ROUNDUP('Исходные данные'!$B$5/100,0)</f>
        <v>5</v>
      </c>
    </row>
    <row r="18" customFormat="false" ht="15" hidden="false" customHeight="false" outlineLevel="0" collapsed="false">
      <c r="A18" s="7" t="s">
        <v>104</v>
      </c>
      <c r="B18" s="7"/>
      <c r="C18" s="7"/>
      <c r="D18" s="7"/>
      <c r="E18" s="27" t="n">
        <v>24</v>
      </c>
    </row>
  </sheetData>
  <mergeCells count="6"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62"/>
  </cols>
  <sheetData>
    <row r="1" customFormat="false" ht="16.15" hidden="false" customHeight="false" outlineLevel="0" collapsed="false">
      <c r="A1" s="1" t="s">
        <v>105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106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23.85" hidden="false" customHeight="false" outlineLevel="0" collapsed="false">
      <c r="A4" s="4" t="s">
        <v>107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112</v>
      </c>
    </row>
    <row r="5" customFormat="false" ht="23.85" hidden="false" customHeight="false" outlineLevel="0" collapsed="false">
      <c r="A5" s="16" t="s">
        <v>113</v>
      </c>
      <c r="B5" s="28" t="n">
        <f aca="false">'Потребность в обучении'!$E$18</f>
        <v>24</v>
      </c>
      <c r="C5" s="29" t="n">
        <v>2.5</v>
      </c>
      <c r="D5" s="29" t="n">
        <v>10</v>
      </c>
      <c r="E5" s="30" t="n">
        <f aca="false">B5*C5+D5</f>
        <v>70</v>
      </c>
      <c r="F5" s="16" t="s">
        <v>114</v>
      </c>
    </row>
    <row r="6" customFormat="false" ht="15" hidden="false" customHeight="false" outlineLevel="0" collapsed="false">
      <c r="A6" s="16" t="s">
        <v>115</v>
      </c>
      <c r="B6" s="29" t="n">
        <v>2</v>
      </c>
      <c r="C6" s="29" t="n">
        <v>9</v>
      </c>
      <c r="D6" s="29" t="n">
        <v>0</v>
      </c>
      <c r="E6" s="30" t="n">
        <f aca="false">B6*C6+D6</f>
        <v>18</v>
      </c>
      <c r="F6" s="16" t="s">
        <v>116</v>
      </c>
    </row>
    <row r="7" customFormat="false" ht="23.85" hidden="false" customHeight="false" outlineLevel="0" collapsed="false">
      <c r="A7" s="16" t="s">
        <v>117</v>
      </c>
      <c r="B7" s="29" t="n">
        <v>1</v>
      </c>
      <c r="C7" s="29" t="n">
        <v>0</v>
      </c>
      <c r="D7" s="29" t="n">
        <v>22</v>
      </c>
      <c r="E7" s="30" t="n">
        <f aca="false">B7*C7+D7</f>
        <v>22</v>
      </c>
      <c r="F7" s="16" t="s">
        <v>118</v>
      </c>
    </row>
    <row r="8" customFormat="false" ht="15" hidden="false" customHeight="false" outlineLevel="0" collapsed="false">
      <c r="A8" s="16" t="s">
        <v>119</v>
      </c>
      <c r="B8" s="29" t="n">
        <v>1</v>
      </c>
      <c r="C8" s="29" t="n">
        <v>0</v>
      </c>
      <c r="D8" s="29" t="n">
        <v>12</v>
      </c>
      <c r="E8" s="30" t="n">
        <f aca="false">B8*C8+D8</f>
        <v>12</v>
      </c>
      <c r="F8" s="16" t="s">
        <v>120</v>
      </c>
    </row>
    <row r="9" customFormat="false" ht="15" hidden="false" customHeight="false" outlineLevel="0" collapsed="false">
      <c r="A9" s="16" t="s">
        <v>121</v>
      </c>
      <c r="B9" s="29" t="n">
        <v>1</v>
      </c>
      <c r="C9" s="29" t="n">
        <v>0</v>
      </c>
      <c r="D9" s="29" t="n">
        <v>6</v>
      </c>
      <c r="E9" s="30" t="n">
        <f aca="false">B9*C9+D9</f>
        <v>6</v>
      </c>
      <c r="F9" s="16" t="s">
        <v>122</v>
      </c>
    </row>
    <row r="10" customFormat="false" ht="15" hidden="false" customHeight="false" outlineLevel="0" collapsed="false">
      <c r="A10" s="16" t="s">
        <v>123</v>
      </c>
      <c r="B10" s="29" t="n">
        <v>6</v>
      </c>
      <c r="C10" s="29" t="n">
        <v>4.5</v>
      </c>
      <c r="D10" s="29" t="n">
        <v>3</v>
      </c>
      <c r="E10" s="30" t="n">
        <f aca="false">B10*C10+D10</f>
        <v>30</v>
      </c>
      <c r="F10" s="16" t="s">
        <v>124</v>
      </c>
    </row>
    <row r="11" customFormat="false" ht="23.85" hidden="false" customHeight="false" outlineLevel="0" collapsed="false">
      <c r="A11" s="16" t="s">
        <v>125</v>
      </c>
      <c r="B11" s="29" t="n">
        <v>1</v>
      </c>
      <c r="C11" s="29" t="n">
        <v>0</v>
      </c>
      <c r="D11" s="29" t="n">
        <v>10</v>
      </c>
      <c r="E11" s="30" t="n">
        <f aca="false">B11*C11+D11</f>
        <v>10</v>
      </c>
      <c r="F11" s="16" t="s">
        <v>126</v>
      </c>
    </row>
    <row r="12" customFormat="false" ht="15" hidden="false" customHeight="false" outlineLevel="0" collapsed="false">
      <c r="A12" s="16" t="s">
        <v>127</v>
      </c>
      <c r="B12" s="29" t="n">
        <v>1</v>
      </c>
      <c r="C12" s="29" t="n">
        <v>0</v>
      </c>
      <c r="D12" s="29" t="n">
        <v>6</v>
      </c>
      <c r="E12" s="30" t="n">
        <f aca="false">B12*C12+D12</f>
        <v>6</v>
      </c>
      <c r="F12" s="16" t="s">
        <v>128</v>
      </c>
    </row>
    <row r="13" customFormat="false" ht="15" hidden="false" customHeight="false" outlineLevel="0" collapsed="false">
      <c r="A13" s="7" t="s">
        <v>129</v>
      </c>
      <c r="B13" s="31"/>
      <c r="C13" s="31"/>
      <c r="D13" s="31"/>
      <c r="E13" s="32" t="n">
        <f aca="false">SUM(E5:E12)</f>
        <v>174</v>
      </c>
      <c r="F13" s="31"/>
    </row>
    <row r="14" customFormat="false" ht="15" hidden="false" customHeight="false" outlineLevel="0" collapsed="false">
      <c r="A14" s="5" t="s">
        <v>130</v>
      </c>
      <c r="B14" s="31"/>
      <c r="C14" s="31"/>
      <c r="D14" s="31"/>
      <c r="E14" s="33" t="n">
        <f aca="false">E13-E10</f>
        <v>144</v>
      </c>
      <c r="F14" s="31"/>
    </row>
    <row r="15" customFormat="false" ht="15" hidden="false" customHeight="false" outlineLevel="0" collapsed="false">
      <c r="A15" s="5" t="s">
        <v>131</v>
      </c>
      <c r="B15" s="31"/>
      <c r="C15" s="31"/>
      <c r="D15" s="31"/>
      <c r="E15" s="33" t="n">
        <f aca="false">24+MAX(0,ROUNDUP(('Исходные данные'!$B$5-1000)/1000,0))*6</f>
        <v>24</v>
      </c>
      <c r="F15" s="31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34" t="s">
        <v>132</v>
      </c>
      <c r="B17" s="2"/>
      <c r="C17" s="2"/>
      <c r="D17" s="2"/>
      <c r="E17" s="2"/>
      <c r="F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4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16.15" hidden="false" customHeight="false" outlineLevel="0" collapsed="false">
      <c r="A1" s="1" t="s">
        <v>133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134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135</v>
      </c>
      <c r="B4" s="4" t="s">
        <v>2</v>
      </c>
      <c r="C4" s="4" t="s">
        <v>136</v>
      </c>
      <c r="D4" s="4" t="s">
        <v>29</v>
      </c>
      <c r="E4" s="4" t="s">
        <v>137</v>
      </c>
      <c r="F4" s="4" t="s">
        <v>138</v>
      </c>
      <c r="G4" s="4" t="s">
        <v>139</v>
      </c>
      <c r="H4" s="4" t="s">
        <v>140</v>
      </c>
      <c r="I4" s="4" t="s">
        <v>141</v>
      </c>
    </row>
    <row r="5" customFormat="false" ht="15" hidden="false" customHeight="false" outlineLevel="0" collapsed="false">
      <c r="A5" s="16" t="n">
        <v>1</v>
      </c>
      <c r="B5" s="16" t="s">
        <v>6</v>
      </c>
      <c r="C5" s="16" t="s">
        <v>142</v>
      </c>
      <c r="D5" s="16" t="s">
        <v>143</v>
      </c>
      <c r="E5" s="29" t="n">
        <v>24</v>
      </c>
      <c r="F5" s="35" t="n">
        <v>14000</v>
      </c>
      <c r="G5" s="36" t="n">
        <f aca="false">E5*F5</f>
        <v>336000</v>
      </c>
      <c r="H5" s="37" t="s">
        <v>144</v>
      </c>
      <c r="I5" s="16" t="s">
        <v>145</v>
      </c>
    </row>
    <row r="6" customFormat="false" ht="15" hidden="false" customHeight="false" outlineLevel="0" collapsed="false">
      <c r="A6" s="16" t="n">
        <v>2</v>
      </c>
      <c r="B6" s="16" t="s">
        <v>6</v>
      </c>
      <c r="C6" s="16" t="s">
        <v>146</v>
      </c>
      <c r="D6" s="16" t="s">
        <v>143</v>
      </c>
      <c r="E6" s="29" t="n">
        <v>30</v>
      </c>
      <c r="F6" s="35" t="n">
        <v>5500</v>
      </c>
      <c r="G6" s="36" t="n">
        <f aca="false">E6*F6</f>
        <v>165000</v>
      </c>
      <c r="H6" s="37" t="s">
        <v>144</v>
      </c>
      <c r="I6" s="16" t="s">
        <v>147</v>
      </c>
    </row>
    <row r="7" customFormat="false" ht="15" hidden="false" customHeight="false" outlineLevel="0" collapsed="false">
      <c r="A7" s="16" t="n">
        <v>3</v>
      </c>
      <c r="B7" s="16" t="s">
        <v>6</v>
      </c>
      <c r="C7" s="16" t="s">
        <v>148</v>
      </c>
      <c r="D7" s="16" t="s">
        <v>149</v>
      </c>
      <c r="E7" s="29" t="n">
        <v>1</v>
      </c>
      <c r="F7" s="35" t="n">
        <v>45000</v>
      </c>
      <c r="G7" s="36" t="n">
        <f aca="false">E7*F7</f>
        <v>45000</v>
      </c>
      <c r="H7" s="37" t="s">
        <v>144</v>
      </c>
      <c r="I7" s="16" t="s">
        <v>150</v>
      </c>
    </row>
    <row r="8" customFormat="false" ht="15" hidden="false" customHeight="false" outlineLevel="0" collapsed="false">
      <c r="A8" s="16" t="n">
        <v>4</v>
      </c>
      <c r="B8" s="16" t="s">
        <v>6</v>
      </c>
      <c r="C8" s="16" t="s">
        <v>151</v>
      </c>
      <c r="D8" s="16" t="s">
        <v>143</v>
      </c>
      <c r="E8" s="29" t="n">
        <v>1</v>
      </c>
      <c r="F8" s="35" t="n">
        <v>35000</v>
      </c>
      <c r="G8" s="36" t="n">
        <f aca="false">E8*F8</f>
        <v>35000</v>
      </c>
      <c r="H8" s="37" t="s">
        <v>152</v>
      </c>
      <c r="I8" s="16" t="s">
        <v>153</v>
      </c>
    </row>
    <row r="9" customFormat="false" ht="15" hidden="false" customHeight="false" outlineLevel="0" collapsed="false">
      <c r="A9" s="16" t="n">
        <v>5</v>
      </c>
      <c r="B9" s="16" t="s">
        <v>6</v>
      </c>
      <c r="C9" s="16" t="s">
        <v>154</v>
      </c>
      <c r="D9" s="16" t="s">
        <v>143</v>
      </c>
      <c r="E9" s="29" t="n">
        <v>4</v>
      </c>
      <c r="F9" s="35" t="n">
        <v>28000</v>
      </c>
      <c r="G9" s="36" t="n">
        <f aca="false">E9*F9</f>
        <v>112000</v>
      </c>
      <c r="H9" s="37" t="s">
        <v>144</v>
      </c>
      <c r="I9" s="16" t="s">
        <v>155</v>
      </c>
    </row>
    <row r="10" customFormat="false" ht="15" hidden="false" customHeight="false" outlineLevel="0" collapsed="false">
      <c r="A10" s="16" t="n">
        <v>6</v>
      </c>
      <c r="B10" s="16" t="s">
        <v>6</v>
      </c>
      <c r="C10" s="16" t="s">
        <v>156</v>
      </c>
      <c r="D10" s="16" t="s">
        <v>143</v>
      </c>
      <c r="E10" s="29" t="n">
        <v>3</v>
      </c>
      <c r="F10" s="35" t="n">
        <v>45000</v>
      </c>
      <c r="G10" s="36" t="n">
        <f aca="false">E10*F10</f>
        <v>135000</v>
      </c>
      <c r="H10" s="37" t="s">
        <v>144</v>
      </c>
      <c r="I10" s="16" t="s">
        <v>157</v>
      </c>
    </row>
    <row r="11" customFormat="false" ht="15" hidden="false" customHeight="false" outlineLevel="0" collapsed="false">
      <c r="A11" s="16" t="n">
        <v>7</v>
      </c>
      <c r="B11" s="16" t="s">
        <v>6</v>
      </c>
      <c r="C11" s="16" t="s">
        <v>158</v>
      </c>
      <c r="D11" s="16" t="s">
        <v>143</v>
      </c>
      <c r="E11" s="29" t="n">
        <v>4</v>
      </c>
      <c r="F11" s="35" t="n">
        <v>12000</v>
      </c>
      <c r="G11" s="36" t="n">
        <f aca="false">E11*F11</f>
        <v>48000</v>
      </c>
      <c r="H11" s="37" t="s">
        <v>144</v>
      </c>
      <c r="I11" s="16" t="s">
        <v>159</v>
      </c>
    </row>
    <row r="12" customFormat="false" ht="15" hidden="false" customHeight="false" outlineLevel="0" collapsed="false">
      <c r="A12" s="16" t="n">
        <v>8</v>
      </c>
      <c r="B12" s="16" t="s">
        <v>6</v>
      </c>
      <c r="C12" s="16" t="s">
        <v>160</v>
      </c>
      <c r="D12" s="16" t="s">
        <v>143</v>
      </c>
      <c r="E12" s="29" t="n">
        <v>2</v>
      </c>
      <c r="F12" s="35" t="n">
        <v>22000</v>
      </c>
      <c r="G12" s="36" t="n">
        <f aca="false">E12*F12</f>
        <v>44000</v>
      </c>
      <c r="H12" s="37" t="s">
        <v>144</v>
      </c>
      <c r="I12" s="16" t="s">
        <v>161</v>
      </c>
    </row>
    <row r="13" customFormat="false" ht="15" hidden="false" customHeight="false" outlineLevel="0" collapsed="false">
      <c r="A13" s="16" t="n">
        <v>9</v>
      </c>
      <c r="B13" s="16" t="s">
        <v>6</v>
      </c>
      <c r="C13" s="16" t="s">
        <v>162</v>
      </c>
      <c r="D13" s="16" t="s">
        <v>149</v>
      </c>
      <c r="E13" s="29" t="n">
        <v>6</v>
      </c>
      <c r="F13" s="35" t="n">
        <v>25000</v>
      </c>
      <c r="G13" s="36" t="n">
        <f aca="false">E13*F13</f>
        <v>150000</v>
      </c>
      <c r="H13" s="37" t="s">
        <v>144</v>
      </c>
      <c r="I13" s="16" t="s">
        <v>163</v>
      </c>
    </row>
    <row r="14" customFormat="false" ht="15" hidden="false" customHeight="false" outlineLevel="0" collapsed="false">
      <c r="A14" s="16" t="n">
        <v>10</v>
      </c>
      <c r="B14" s="16" t="s">
        <v>6</v>
      </c>
      <c r="C14" s="16" t="s">
        <v>164</v>
      </c>
      <c r="D14" s="16" t="s">
        <v>143</v>
      </c>
      <c r="E14" s="29" t="n">
        <v>1</v>
      </c>
      <c r="F14" s="35" t="n">
        <v>15000</v>
      </c>
      <c r="G14" s="36" t="n">
        <f aca="false">E14*F14</f>
        <v>15000</v>
      </c>
      <c r="H14" s="37" t="s">
        <v>144</v>
      </c>
      <c r="I14" s="16" t="s">
        <v>165</v>
      </c>
    </row>
    <row r="15" customFormat="false" ht="15" hidden="false" customHeight="false" outlineLevel="0" collapsed="false">
      <c r="A15" s="16" t="n">
        <v>11</v>
      </c>
      <c r="B15" s="16" t="s">
        <v>6</v>
      </c>
      <c r="C15" s="16" t="s">
        <v>166</v>
      </c>
      <c r="D15" s="16" t="s">
        <v>143</v>
      </c>
      <c r="E15" s="29" t="n">
        <v>4</v>
      </c>
      <c r="F15" s="35" t="n">
        <v>3500</v>
      </c>
      <c r="G15" s="36" t="n">
        <f aca="false">E15*F15</f>
        <v>14000</v>
      </c>
      <c r="H15" s="37" t="s">
        <v>144</v>
      </c>
      <c r="I15" s="16" t="s">
        <v>167</v>
      </c>
    </row>
    <row r="16" customFormat="false" ht="15" hidden="false" customHeight="false" outlineLevel="0" collapsed="false">
      <c r="A16" s="16" t="n">
        <v>12</v>
      </c>
      <c r="B16" s="16" t="s">
        <v>6</v>
      </c>
      <c r="C16" s="16" t="s">
        <v>168</v>
      </c>
      <c r="D16" s="16" t="s">
        <v>149</v>
      </c>
      <c r="E16" s="29" t="n">
        <v>1</v>
      </c>
      <c r="F16" s="35" t="n">
        <v>70000</v>
      </c>
      <c r="G16" s="36" t="n">
        <f aca="false">E16*F16</f>
        <v>70000</v>
      </c>
      <c r="H16" s="37" t="s">
        <v>144</v>
      </c>
      <c r="I16" s="16" t="s">
        <v>169</v>
      </c>
    </row>
    <row r="17" customFormat="false" ht="23.85" hidden="false" customHeight="false" outlineLevel="0" collapsed="false">
      <c r="A17" s="16" t="n">
        <v>13</v>
      </c>
      <c r="B17" s="16" t="s">
        <v>7</v>
      </c>
      <c r="C17" s="16" t="s">
        <v>170</v>
      </c>
      <c r="D17" s="16" t="s">
        <v>149</v>
      </c>
      <c r="E17" s="29" t="n">
        <v>1</v>
      </c>
      <c r="F17" s="35" t="n">
        <v>220000</v>
      </c>
      <c r="G17" s="36" t="n">
        <f aca="false">E17*F17</f>
        <v>220000</v>
      </c>
      <c r="H17" s="37" t="s">
        <v>144</v>
      </c>
      <c r="I17" s="16" t="s">
        <v>171</v>
      </c>
    </row>
    <row r="18" customFormat="false" ht="23.85" hidden="false" customHeight="false" outlineLevel="0" collapsed="false">
      <c r="A18" s="16" t="n">
        <v>14</v>
      </c>
      <c r="B18" s="16" t="s">
        <v>7</v>
      </c>
      <c r="C18" s="16" t="s">
        <v>172</v>
      </c>
      <c r="D18" s="16" t="s">
        <v>143</v>
      </c>
      <c r="E18" s="29" t="n">
        <v>1</v>
      </c>
      <c r="F18" s="35" t="n">
        <v>130000</v>
      </c>
      <c r="G18" s="36" t="n">
        <f aca="false">E18*F18</f>
        <v>130000</v>
      </c>
      <c r="H18" s="37" t="s">
        <v>144</v>
      </c>
      <c r="I18" s="16" t="s">
        <v>173</v>
      </c>
    </row>
    <row r="19" customFormat="false" ht="23.85" hidden="false" customHeight="false" outlineLevel="0" collapsed="false">
      <c r="A19" s="16" t="n">
        <v>15</v>
      </c>
      <c r="B19" s="16" t="s">
        <v>7</v>
      </c>
      <c r="C19" s="16" t="s">
        <v>174</v>
      </c>
      <c r="D19" s="16" t="s">
        <v>143</v>
      </c>
      <c r="E19" s="29" t="n">
        <v>6</v>
      </c>
      <c r="F19" s="35" t="n">
        <v>95000</v>
      </c>
      <c r="G19" s="36" t="n">
        <f aca="false">E19*F19</f>
        <v>570000</v>
      </c>
      <c r="H19" s="37" t="s">
        <v>144</v>
      </c>
      <c r="I19" s="16" t="s">
        <v>175</v>
      </c>
    </row>
    <row r="20" customFormat="false" ht="23.85" hidden="false" customHeight="false" outlineLevel="0" collapsed="false">
      <c r="A20" s="16" t="n">
        <v>16</v>
      </c>
      <c r="B20" s="16" t="s">
        <v>7</v>
      </c>
      <c r="C20" s="16" t="s">
        <v>176</v>
      </c>
      <c r="D20" s="16" t="s">
        <v>143</v>
      </c>
      <c r="E20" s="29" t="n">
        <v>1</v>
      </c>
      <c r="F20" s="35" t="n">
        <v>60000</v>
      </c>
      <c r="G20" s="36" t="n">
        <f aca="false">E20*F20</f>
        <v>60000</v>
      </c>
      <c r="H20" s="37" t="s">
        <v>144</v>
      </c>
      <c r="I20" s="16" t="s">
        <v>177</v>
      </c>
    </row>
    <row r="21" customFormat="false" ht="23.85" hidden="false" customHeight="false" outlineLevel="0" collapsed="false">
      <c r="A21" s="16" t="n">
        <v>17</v>
      </c>
      <c r="B21" s="16" t="s">
        <v>7</v>
      </c>
      <c r="C21" s="16" t="s">
        <v>178</v>
      </c>
      <c r="D21" s="16" t="s">
        <v>143</v>
      </c>
      <c r="E21" s="29" t="n">
        <v>1</v>
      </c>
      <c r="F21" s="35" t="n">
        <v>30000</v>
      </c>
      <c r="G21" s="36" t="n">
        <f aca="false">E21*F21</f>
        <v>30000</v>
      </c>
      <c r="H21" s="37" t="s">
        <v>144</v>
      </c>
      <c r="I21" s="16" t="s">
        <v>179</v>
      </c>
    </row>
    <row r="22" customFormat="false" ht="23.85" hidden="false" customHeight="false" outlineLevel="0" collapsed="false">
      <c r="A22" s="16" t="n">
        <v>18</v>
      </c>
      <c r="B22" s="16" t="s">
        <v>7</v>
      </c>
      <c r="C22" s="16" t="s">
        <v>180</v>
      </c>
      <c r="D22" s="16" t="s">
        <v>143</v>
      </c>
      <c r="E22" s="29" t="n">
        <v>1</v>
      </c>
      <c r="F22" s="35" t="n">
        <v>15000</v>
      </c>
      <c r="G22" s="36" t="n">
        <f aca="false">E22*F22</f>
        <v>15000</v>
      </c>
      <c r="H22" s="37" t="s">
        <v>144</v>
      </c>
      <c r="I22" s="16" t="s">
        <v>181</v>
      </c>
    </row>
    <row r="23" customFormat="false" ht="23.85" hidden="false" customHeight="false" outlineLevel="0" collapsed="false">
      <c r="A23" s="16" t="n">
        <v>19</v>
      </c>
      <c r="B23" s="16" t="s">
        <v>7</v>
      </c>
      <c r="C23" s="16" t="s">
        <v>182</v>
      </c>
      <c r="D23" s="16" t="s">
        <v>149</v>
      </c>
      <c r="E23" s="29" t="n">
        <v>1</v>
      </c>
      <c r="F23" s="35" t="n">
        <v>80000</v>
      </c>
      <c r="G23" s="36" t="n">
        <f aca="false">E23*F23</f>
        <v>80000</v>
      </c>
      <c r="H23" s="37" t="s">
        <v>144</v>
      </c>
      <c r="I23" s="16" t="s">
        <v>183</v>
      </c>
    </row>
    <row r="24" customFormat="false" ht="23.85" hidden="false" customHeight="false" outlineLevel="0" collapsed="false">
      <c r="A24" s="16" t="n">
        <v>20</v>
      </c>
      <c r="B24" s="16" t="s">
        <v>7</v>
      </c>
      <c r="C24" s="16" t="s">
        <v>184</v>
      </c>
      <c r="D24" s="16" t="s">
        <v>143</v>
      </c>
      <c r="E24" s="29" t="n">
        <v>1</v>
      </c>
      <c r="F24" s="35" t="n">
        <v>120000</v>
      </c>
      <c r="G24" s="36" t="n">
        <f aca="false">E24*F24</f>
        <v>120000</v>
      </c>
      <c r="H24" s="37" t="s">
        <v>152</v>
      </c>
      <c r="I24" s="16" t="s">
        <v>185</v>
      </c>
    </row>
    <row r="25" customFormat="false" ht="23.85" hidden="false" customHeight="false" outlineLevel="0" collapsed="false">
      <c r="A25" s="16" t="n">
        <v>21</v>
      </c>
      <c r="B25" s="16" t="s">
        <v>7</v>
      </c>
      <c r="C25" s="16" t="s">
        <v>186</v>
      </c>
      <c r="D25" s="16" t="s">
        <v>149</v>
      </c>
      <c r="E25" s="29" t="n">
        <v>1</v>
      </c>
      <c r="F25" s="35" t="n">
        <v>110000</v>
      </c>
      <c r="G25" s="36" t="n">
        <f aca="false">E25*F25</f>
        <v>110000</v>
      </c>
      <c r="H25" s="37" t="s">
        <v>152</v>
      </c>
      <c r="I25" s="16" t="s">
        <v>187</v>
      </c>
    </row>
    <row r="26" customFormat="false" ht="23.85" hidden="false" customHeight="false" outlineLevel="0" collapsed="false">
      <c r="A26" s="16" t="n">
        <v>22</v>
      </c>
      <c r="B26" s="16" t="s">
        <v>7</v>
      </c>
      <c r="C26" s="16" t="s">
        <v>188</v>
      </c>
      <c r="D26" s="16" t="s">
        <v>143</v>
      </c>
      <c r="E26" s="29" t="n">
        <v>1</v>
      </c>
      <c r="F26" s="35" t="n">
        <v>45000</v>
      </c>
      <c r="G26" s="36" t="n">
        <f aca="false">E26*F26</f>
        <v>45000</v>
      </c>
      <c r="H26" s="37" t="s">
        <v>152</v>
      </c>
      <c r="I26" s="16" t="s">
        <v>189</v>
      </c>
    </row>
    <row r="27" customFormat="false" ht="23.85" hidden="false" customHeight="false" outlineLevel="0" collapsed="false">
      <c r="A27" s="16" t="n">
        <v>23</v>
      </c>
      <c r="B27" s="16" t="s">
        <v>7</v>
      </c>
      <c r="C27" s="16" t="s">
        <v>190</v>
      </c>
      <c r="D27" s="16" t="s">
        <v>149</v>
      </c>
      <c r="E27" s="29" t="n">
        <v>1</v>
      </c>
      <c r="F27" s="35" t="n">
        <v>90000</v>
      </c>
      <c r="G27" s="36" t="n">
        <f aca="false">E27*F27</f>
        <v>90000</v>
      </c>
      <c r="H27" s="37" t="s">
        <v>152</v>
      </c>
      <c r="I27" s="16" t="s">
        <v>191</v>
      </c>
    </row>
    <row r="28" customFormat="false" ht="23.85" hidden="false" customHeight="false" outlineLevel="0" collapsed="false">
      <c r="A28" s="16" t="n">
        <v>24</v>
      </c>
      <c r="B28" s="16" t="s">
        <v>7</v>
      </c>
      <c r="C28" s="16" t="s">
        <v>192</v>
      </c>
      <c r="D28" s="16" t="s">
        <v>143</v>
      </c>
      <c r="E28" s="29" t="n">
        <v>1</v>
      </c>
      <c r="F28" s="35" t="n">
        <v>750000</v>
      </c>
      <c r="G28" s="36" t="n">
        <f aca="false">E28*F28</f>
        <v>750000</v>
      </c>
      <c r="H28" s="37" t="s">
        <v>193</v>
      </c>
      <c r="I28" s="16" t="s">
        <v>194</v>
      </c>
    </row>
    <row r="29" customFormat="false" ht="23.85" hidden="false" customHeight="false" outlineLevel="0" collapsed="false">
      <c r="A29" s="16" t="n">
        <v>25</v>
      </c>
      <c r="B29" s="16" t="s">
        <v>7</v>
      </c>
      <c r="C29" s="16" t="s">
        <v>195</v>
      </c>
      <c r="D29" s="16" t="s">
        <v>149</v>
      </c>
      <c r="E29" s="29" t="n">
        <v>1</v>
      </c>
      <c r="F29" s="35" t="n">
        <v>250000</v>
      </c>
      <c r="G29" s="36" t="n">
        <f aca="false">E29*F29</f>
        <v>250000</v>
      </c>
      <c r="H29" s="37" t="s">
        <v>193</v>
      </c>
      <c r="I29" s="16" t="s">
        <v>196</v>
      </c>
    </row>
    <row r="30" customFormat="false" ht="15" hidden="false" customHeight="false" outlineLevel="0" collapsed="false">
      <c r="A30" s="16" t="n">
        <v>26</v>
      </c>
      <c r="B30" s="16" t="s">
        <v>8</v>
      </c>
      <c r="C30" s="16" t="s">
        <v>197</v>
      </c>
      <c r="D30" s="16" t="s">
        <v>149</v>
      </c>
      <c r="E30" s="29" t="n">
        <v>1</v>
      </c>
      <c r="F30" s="35" t="n">
        <v>180000</v>
      </c>
      <c r="G30" s="36" t="n">
        <f aca="false">E30*F30</f>
        <v>180000</v>
      </c>
      <c r="H30" s="37" t="s">
        <v>144</v>
      </c>
      <c r="I30" s="16" t="s">
        <v>198</v>
      </c>
    </row>
    <row r="31" customFormat="false" ht="15" hidden="false" customHeight="false" outlineLevel="0" collapsed="false">
      <c r="A31" s="16" t="n">
        <v>27</v>
      </c>
      <c r="B31" s="16" t="s">
        <v>8</v>
      </c>
      <c r="C31" s="16" t="s">
        <v>199</v>
      </c>
      <c r="D31" s="16" t="s">
        <v>200</v>
      </c>
      <c r="E31" s="29" t="n">
        <v>1</v>
      </c>
      <c r="F31" s="35" t="n">
        <v>350000</v>
      </c>
      <c r="G31" s="36" t="n">
        <f aca="false">E31*F31</f>
        <v>350000</v>
      </c>
      <c r="H31" s="37" t="s">
        <v>144</v>
      </c>
      <c r="I31" s="16" t="s">
        <v>201</v>
      </c>
    </row>
    <row r="32" customFormat="false" ht="23.85" hidden="false" customHeight="false" outlineLevel="0" collapsed="false">
      <c r="A32" s="16" t="n">
        <v>28</v>
      </c>
      <c r="B32" s="16" t="s">
        <v>8</v>
      </c>
      <c r="C32" s="16" t="s">
        <v>202</v>
      </c>
      <c r="D32" s="16" t="s">
        <v>149</v>
      </c>
      <c r="E32" s="29" t="n">
        <v>1</v>
      </c>
      <c r="F32" s="35" t="n">
        <v>2200000</v>
      </c>
      <c r="G32" s="36" t="n">
        <f aca="false">E32*F32</f>
        <v>2200000</v>
      </c>
      <c r="H32" s="37" t="s">
        <v>193</v>
      </c>
      <c r="I32" s="16" t="s">
        <v>203</v>
      </c>
    </row>
    <row r="33" customFormat="false" ht="15" hidden="false" customHeight="false" outlineLevel="0" collapsed="false">
      <c r="A33" s="16" t="n">
        <v>29</v>
      </c>
      <c r="B33" s="16" t="s">
        <v>8</v>
      </c>
      <c r="C33" s="16" t="s">
        <v>204</v>
      </c>
      <c r="D33" s="16" t="s">
        <v>149</v>
      </c>
      <c r="E33" s="29" t="n">
        <v>1</v>
      </c>
      <c r="F33" s="35" t="n">
        <v>350000</v>
      </c>
      <c r="G33" s="36" t="n">
        <f aca="false">E33*F33</f>
        <v>350000</v>
      </c>
      <c r="H33" s="37" t="s">
        <v>193</v>
      </c>
      <c r="I33" s="16" t="s">
        <v>205</v>
      </c>
    </row>
    <row r="34" customFormat="false" ht="23.85" hidden="false" customHeight="false" outlineLevel="0" collapsed="false">
      <c r="A34" s="16" t="n">
        <v>30</v>
      </c>
      <c r="B34" s="16" t="s">
        <v>9</v>
      </c>
      <c r="C34" s="16" t="s">
        <v>206</v>
      </c>
      <c r="D34" s="16" t="s">
        <v>143</v>
      </c>
      <c r="E34" s="29" t="n">
        <v>1</v>
      </c>
      <c r="F34" s="35" t="n">
        <v>320000</v>
      </c>
      <c r="G34" s="36" t="n">
        <f aca="false">E34*F34</f>
        <v>320000</v>
      </c>
      <c r="H34" s="37" t="s">
        <v>144</v>
      </c>
      <c r="I34" s="16" t="s">
        <v>207</v>
      </c>
    </row>
    <row r="35" customFormat="false" ht="15" hidden="false" customHeight="false" outlineLevel="0" collapsed="false">
      <c r="A35" s="16" t="n">
        <v>31</v>
      </c>
      <c r="B35" s="16" t="s">
        <v>9</v>
      </c>
      <c r="C35" s="16" t="s">
        <v>208</v>
      </c>
      <c r="D35" s="16" t="s">
        <v>143</v>
      </c>
      <c r="E35" s="29" t="n">
        <v>2</v>
      </c>
      <c r="F35" s="35" t="n">
        <v>75000</v>
      </c>
      <c r="G35" s="36" t="n">
        <f aca="false">E35*F35</f>
        <v>150000</v>
      </c>
      <c r="H35" s="37" t="s">
        <v>144</v>
      </c>
      <c r="I35" s="16" t="s">
        <v>209</v>
      </c>
    </row>
    <row r="36" customFormat="false" ht="15" hidden="false" customHeight="false" outlineLevel="0" collapsed="false">
      <c r="A36" s="16" t="n">
        <v>32</v>
      </c>
      <c r="B36" s="16" t="s">
        <v>9</v>
      </c>
      <c r="C36" s="16" t="s">
        <v>210</v>
      </c>
      <c r="D36" s="16" t="s">
        <v>149</v>
      </c>
      <c r="E36" s="29" t="n">
        <v>1</v>
      </c>
      <c r="F36" s="35" t="n">
        <v>60000</v>
      </c>
      <c r="G36" s="36" t="n">
        <f aca="false">E36*F36</f>
        <v>60000</v>
      </c>
      <c r="H36" s="37" t="s">
        <v>144</v>
      </c>
      <c r="I36" s="16" t="s">
        <v>211</v>
      </c>
    </row>
    <row r="37" customFormat="false" ht="15" hidden="false" customHeight="false" outlineLevel="0" collapsed="false">
      <c r="A37" s="16" t="n">
        <v>33</v>
      </c>
      <c r="B37" s="16" t="s">
        <v>9</v>
      </c>
      <c r="C37" s="16" t="s">
        <v>212</v>
      </c>
      <c r="D37" s="16" t="s">
        <v>143</v>
      </c>
      <c r="E37" s="29" t="n">
        <v>1</v>
      </c>
      <c r="F37" s="35" t="n">
        <v>45000</v>
      </c>
      <c r="G37" s="36" t="n">
        <f aca="false">E37*F37</f>
        <v>45000</v>
      </c>
      <c r="H37" s="37" t="s">
        <v>144</v>
      </c>
      <c r="I37" s="16" t="s">
        <v>213</v>
      </c>
    </row>
    <row r="38" customFormat="false" ht="15" hidden="false" customHeight="false" outlineLevel="0" collapsed="false">
      <c r="A38" s="16" t="n">
        <v>34</v>
      </c>
      <c r="B38" s="16" t="s">
        <v>9</v>
      </c>
      <c r="C38" s="16" t="s">
        <v>214</v>
      </c>
      <c r="D38" s="16" t="s">
        <v>149</v>
      </c>
      <c r="E38" s="29" t="n">
        <v>1</v>
      </c>
      <c r="F38" s="35" t="n">
        <v>35000</v>
      </c>
      <c r="G38" s="36" t="n">
        <f aca="false">E38*F38</f>
        <v>35000</v>
      </c>
      <c r="H38" s="37" t="s">
        <v>144</v>
      </c>
      <c r="I38" s="16" t="s">
        <v>215</v>
      </c>
    </row>
    <row r="39" customFormat="false" ht="15" hidden="false" customHeight="false" outlineLevel="0" collapsed="false">
      <c r="A39" s="16" t="n">
        <v>35</v>
      </c>
      <c r="B39" s="16" t="s">
        <v>9</v>
      </c>
      <c r="C39" s="16" t="s">
        <v>216</v>
      </c>
      <c r="D39" s="16" t="s">
        <v>143</v>
      </c>
      <c r="E39" s="29" t="n">
        <v>2</v>
      </c>
      <c r="F39" s="35" t="n">
        <v>8000</v>
      </c>
      <c r="G39" s="36" t="n">
        <f aca="false">E39*F39</f>
        <v>16000</v>
      </c>
      <c r="H39" s="37" t="s">
        <v>144</v>
      </c>
      <c r="I39" s="16" t="s">
        <v>215</v>
      </c>
    </row>
    <row r="40" customFormat="false" ht="15" hidden="false" customHeight="false" outlineLevel="0" collapsed="false">
      <c r="A40" s="16" t="n">
        <v>36</v>
      </c>
      <c r="B40" s="16" t="s">
        <v>9</v>
      </c>
      <c r="C40" s="16" t="s">
        <v>217</v>
      </c>
      <c r="D40" s="16" t="s">
        <v>143</v>
      </c>
      <c r="E40" s="29" t="n">
        <v>1</v>
      </c>
      <c r="F40" s="35" t="n">
        <v>35000</v>
      </c>
      <c r="G40" s="36" t="n">
        <f aca="false">E40*F40</f>
        <v>35000</v>
      </c>
      <c r="H40" s="37" t="s">
        <v>144</v>
      </c>
      <c r="I40" s="16" t="s">
        <v>215</v>
      </c>
    </row>
    <row r="41" customFormat="false" ht="15" hidden="false" customHeight="false" outlineLevel="0" collapsed="false">
      <c r="A41" s="16" t="n">
        <v>37</v>
      </c>
      <c r="B41" s="16" t="s">
        <v>9</v>
      </c>
      <c r="C41" s="16" t="s">
        <v>218</v>
      </c>
      <c r="D41" s="16" t="s">
        <v>143</v>
      </c>
      <c r="E41" s="29" t="n">
        <v>3</v>
      </c>
      <c r="F41" s="35" t="n">
        <v>3500</v>
      </c>
      <c r="G41" s="36" t="n">
        <f aca="false">E41*F41</f>
        <v>10500</v>
      </c>
      <c r="H41" s="37" t="s">
        <v>144</v>
      </c>
      <c r="I41" s="16" t="s">
        <v>219</v>
      </c>
    </row>
    <row r="42" customFormat="false" ht="15" hidden="false" customHeight="false" outlineLevel="0" collapsed="false">
      <c r="A42" s="16" t="n">
        <v>38</v>
      </c>
      <c r="B42" s="16" t="s">
        <v>9</v>
      </c>
      <c r="C42" s="16" t="s">
        <v>220</v>
      </c>
      <c r="D42" s="16" t="s">
        <v>149</v>
      </c>
      <c r="E42" s="29" t="n">
        <v>1</v>
      </c>
      <c r="F42" s="35" t="n">
        <v>60000</v>
      </c>
      <c r="G42" s="36" t="n">
        <f aca="false">E42*F42</f>
        <v>60000</v>
      </c>
      <c r="H42" s="37" t="s">
        <v>144</v>
      </c>
      <c r="I42" s="16" t="s">
        <v>221</v>
      </c>
    </row>
    <row r="43" customFormat="false" ht="15" hidden="false" customHeight="false" outlineLevel="0" collapsed="false">
      <c r="A43" s="16" t="n">
        <v>39</v>
      </c>
      <c r="B43" s="16" t="s">
        <v>9</v>
      </c>
      <c r="C43" s="16" t="s">
        <v>222</v>
      </c>
      <c r="D43" s="16" t="s">
        <v>143</v>
      </c>
      <c r="E43" s="29" t="n">
        <v>1</v>
      </c>
      <c r="F43" s="35" t="n">
        <v>65000</v>
      </c>
      <c r="G43" s="36" t="n">
        <f aca="false">E43*F43</f>
        <v>65000</v>
      </c>
      <c r="H43" s="37" t="s">
        <v>152</v>
      </c>
      <c r="I43" s="16" t="s">
        <v>223</v>
      </c>
    </row>
    <row r="44" customFormat="false" ht="15" hidden="false" customHeight="false" outlineLevel="0" collapsed="false">
      <c r="A44" s="16" t="n">
        <v>40</v>
      </c>
      <c r="B44" s="16" t="s">
        <v>9</v>
      </c>
      <c r="C44" s="16" t="s">
        <v>224</v>
      </c>
      <c r="D44" s="16" t="s">
        <v>143</v>
      </c>
      <c r="E44" s="29" t="n">
        <v>1</v>
      </c>
      <c r="F44" s="35" t="n">
        <v>35000</v>
      </c>
      <c r="G44" s="36" t="n">
        <f aca="false">E44*F44</f>
        <v>35000</v>
      </c>
      <c r="H44" s="37" t="s">
        <v>152</v>
      </c>
      <c r="I44" s="16" t="s">
        <v>225</v>
      </c>
    </row>
    <row r="45" customFormat="false" ht="15" hidden="false" customHeight="false" outlineLevel="0" collapsed="false">
      <c r="A45" s="16" t="n">
        <v>41</v>
      </c>
      <c r="B45" s="16" t="s">
        <v>10</v>
      </c>
      <c r="C45" s="16" t="s">
        <v>226</v>
      </c>
      <c r="D45" s="16" t="s">
        <v>143</v>
      </c>
      <c r="E45" s="29" t="n">
        <v>2</v>
      </c>
      <c r="F45" s="35" t="n">
        <v>30000</v>
      </c>
      <c r="G45" s="36" t="n">
        <f aca="false">E45*F45</f>
        <v>60000</v>
      </c>
      <c r="H45" s="37" t="s">
        <v>144</v>
      </c>
      <c r="I45" s="16" t="s">
        <v>215</v>
      </c>
    </row>
    <row r="46" customFormat="false" ht="15" hidden="false" customHeight="false" outlineLevel="0" collapsed="false">
      <c r="A46" s="16" t="n">
        <v>42</v>
      </c>
      <c r="B46" s="16" t="s">
        <v>10</v>
      </c>
      <c r="C46" s="16" t="s">
        <v>227</v>
      </c>
      <c r="D46" s="16" t="s">
        <v>149</v>
      </c>
      <c r="E46" s="29" t="n">
        <v>1</v>
      </c>
      <c r="F46" s="35" t="n">
        <v>70000</v>
      </c>
      <c r="G46" s="36" t="n">
        <f aca="false">E46*F46</f>
        <v>70000</v>
      </c>
      <c r="H46" s="37" t="s">
        <v>144</v>
      </c>
      <c r="I46" s="16" t="s">
        <v>228</v>
      </c>
    </row>
    <row r="47" customFormat="false" ht="15" hidden="false" customHeight="false" outlineLevel="0" collapsed="false">
      <c r="A47" s="16" t="n">
        <v>43</v>
      </c>
      <c r="B47" s="16" t="s">
        <v>10</v>
      </c>
      <c r="C47" s="16" t="s">
        <v>229</v>
      </c>
      <c r="D47" s="16" t="s">
        <v>149</v>
      </c>
      <c r="E47" s="29" t="n">
        <v>1</v>
      </c>
      <c r="F47" s="35" t="n">
        <v>15000</v>
      </c>
      <c r="G47" s="36" t="n">
        <f aca="false">E47*F47</f>
        <v>15000</v>
      </c>
      <c r="H47" s="37" t="s">
        <v>144</v>
      </c>
      <c r="I47" s="16" t="s">
        <v>230</v>
      </c>
    </row>
    <row r="48" customFormat="false" ht="23.85" hidden="false" customHeight="false" outlineLevel="0" collapsed="false">
      <c r="A48" s="16" t="n">
        <v>44</v>
      </c>
      <c r="B48" s="16" t="s">
        <v>10</v>
      </c>
      <c r="C48" s="16" t="s">
        <v>231</v>
      </c>
      <c r="D48" s="16" t="s">
        <v>149</v>
      </c>
      <c r="E48" s="29" t="n">
        <v>1</v>
      </c>
      <c r="F48" s="35" t="n">
        <v>60000</v>
      </c>
      <c r="G48" s="36" t="n">
        <f aca="false">E48*F48</f>
        <v>60000</v>
      </c>
      <c r="H48" s="37" t="s">
        <v>144</v>
      </c>
      <c r="I48" s="16" t="s">
        <v>232</v>
      </c>
    </row>
    <row r="49" customFormat="false" ht="15" hidden="false" customHeight="false" outlineLevel="0" collapsed="false">
      <c r="A49" s="16" t="n">
        <v>45</v>
      </c>
      <c r="B49" s="16" t="s">
        <v>10</v>
      </c>
      <c r="C49" s="16" t="s">
        <v>233</v>
      </c>
      <c r="D49" s="16" t="s">
        <v>149</v>
      </c>
      <c r="E49" s="29" t="n">
        <v>1</v>
      </c>
      <c r="F49" s="35" t="n">
        <v>15000</v>
      </c>
      <c r="G49" s="36" t="n">
        <f aca="false">E49*F49</f>
        <v>15000</v>
      </c>
      <c r="H49" s="37" t="s">
        <v>144</v>
      </c>
      <c r="I49" s="16" t="s">
        <v>234</v>
      </c>
    </row>
    <row r="50" customFormat="false" ht="15" hidden="false" customHeight="false" outlineLevel="0" collapsed="false">
      <c r="A50" s="16" t="n">
        <v>46</v>
      </c>
      <c r="B50" s="16" t="s">
        <v>10</v>
      </c>
      <c r="C50" s="16" t="s">
        <v>235</v>
      </c>
      <c r="D50" s="16" t="s">
        <v>149</v>
      </c>
      <c r="E50" s="29" t="n">
        <v>1</v>
      </c>
      <c r="F50" s="35" t="n">
        <v>10000</v>
      </c>
      <c r="G50" s="36" t="n">
        <f aca="false">E50*F50</f>
        <v>10000</v>
      </c>
      <c r="H50" s="37" t="s">
        <v>144</v>
      </c>
      <c r="I50" s="16" t="s">
        <v>236</v>
      </c>
    </row>
    <row r="51" customFormat="false" ht="15" hidden="false" customHeight="false" outlineLevel="0" collapsed="false">
      <c r="A51" s="16" t="n">
        <v>47</v>
      </c>
      <c r="B51" s="16" t="s">
        <v>10</v>
      </c>
      <c r="C51" s="16" t="s">
        <v>237</v>
      </c>
      <c r="D51" s="16" t="s">
        <v>149</v>
      </c>
      <c r="E51" s="29" t="n">
        <v>1</v>
      </c>
      <c r="F51" s="35" t="n">
        <v>20000</v>
      </c>
      <c r="G51" s="36" t="n">
        <f aca="false">E51*F51</f>
        <v>20000</v>
      </c>
      <c r="H51" s="37" t="s">
        <v>144</v>
      </c>
      <c r="I51" s="16" t="s">
        <v>238</v>
      </c>
    </row>
    <row r="52" customFormat="false" ht="15" hidden="false" customHeight="false" outlineLevel="0" collapsed="false">
      <c r="A52" s="16" t="n">
        <v>48</v>
      </c>
      <c r="B52" s="16" t="s">
        <v>10</v>
      </c>
      <c r="C52" s="16" t="s">
        <v>239</v>
      </c>
      <c r="D52" s="16" t="s">
        <v>149</v>
      </c>
      <c r="E52" s="29" t="n">
        <v>1</v>
      </c>
      <c r="F52" s="35" t="n">
        <v>10000</v>
      </c>
      <c r="G52" s="36" t="n">
        <f aca="false">E52*F52</f>
        <v>10000</v>
      </c>
      <c r="H52" s="37" t="s">
        <v>144</v>
      </c>
      <c r="I52" s="16" t="s">
        <v>215</v>
      </c>
    </row>
    <row r="53" customFormat="false" ht="23.85" hidden="false" customHeight="false" outlineLevel="0" collapsed="false">
      <c r="A53" s="16" t="n">
        <v>49</v>
      </c>
      <c r="B53" s="16" t="s">
        <v>10</v>
      </c>
      <c r="C53" s="16" t="s">
        <v>240</v>
      </c>
      <c r="D53" s="16" t="s">
        <v>149</v>
      </c>
      <c r="E53" s="29" t="n">
        <v>1</v>
      </c>
      <c r="F53" s="35" t="n">
        <v>25000</v>
      </c>
      <c r="G53" s="36" t="n">
        <f aca="false">E53*F53</f>
        <v>25000</v>
      </c>
      <c r="H53" s="37" t="s">
        <v>144</v>
      </c>
      <c r="I53" s="16" t="s">
        <v>241</v>
      </c>
    </row>
    <row r="54" customFormat="false" ht="15" hidden="false" customHeight="false" outlineLevel="0" collapsed="false">
      <c r="A54" s="16" t="n">
        <v>50</v>
      </c>
      <c r="B54" s="16" t="s">
        <v>10</v>
      </c>
      <c r="C54" s="16" t="s">
        <v>242</v>
      </c>
      <c r="D54" s="16" t="s">
        <v>149</v>
      </c>
      <c r="E54" s="29" t="n">
        <v>1</v>
      </c>
      <c r="F54" s="35" t="n">
        <v>15000</v>
      </c>
      <c r="G54" s="36" t="n">
        <f aca="false">E54*F54</f>
        <v>15000</v>
      </c>
      <c r="H54" s="37" t="s">
        <v>144</v>
      </c>
      <c r="I54" s="16" t="s">
        <v>215</v>
      </c>
    </row>
    <row r="55" customFormat="false" ht="15" hidden="false" customHeight="false" outlineLevel="0" collapsed="false">
      <c r="A55" s="16" t="n">
        <v>51</v>
      </c>
      <c r="B55" s="16" t="s">
        <v>10</v>
      </c>
      <c r="C55" s="16" t="s">
        <v>243</v>
      </c>
      <c r="D55" s="16" t="s">
        <v>143</v>
      </c>
      <c r="E55" s="29" t="n">
        <v>1</v>
      </c>
      <c r="F55" s="35" t="n">
        <v>120000</v>
      </c>
      <c r="G55" s="36" t="n">
        <f aca="false">E55*F55</f>
        <v>120000</v>
      </c>
      <c r="H55" s="37" t="s">
        <v>152</v>
      </c>
      <c r="I55" s="16" t="s">
        <v>244</v>
      </c>
    </row>
    <row r="56" customFormat="false" ht="23.85" hidden="false" customHeight="false" outlineLevel="0" collapsed="false">
      <c r="A56" s="16" t="n">
        <v>52</v>
      </c>
      <c r="B56" s="16" t="s">
        <v>10</v>
      </c>
      <c r="C56" s="16" t="s">
        <v>245</v>
      </c>
      <c r="D56" s="16" t="s">
        <v>149</v>
      </c>
      <c r="E56" s="29" t="n">
        <v>2</v>
      </c>
      <c r="F56" s="35" t="n">
        <v>60000</v>
      </c>
      <c r="G56" s="36" t="n">
        <f aca="false">E56*F56</f>
        <v>120000</v>
      </c>
      <c r="H56" s="37" t="s">
        <v>144</v>
      </c>
      <c r="I56" s="16" t="s">
        <v>246</v>
      </c>
    </row>
    <row r="57" customFormat="false" ht="23.85" hidden="false" customHeight="false" outlineLevel="0" collapsed="false">
      <c r="A57" s="16" t="n">
        <v>53</v>
      </c>
      <c r="B57" s="16" t="s">
        <v>11</v>
      </c>
      <c r="C57" s="16" t="s">
        <v>247</v>
      </c>
      <c r="D57" s="16" t="s">
        <v>149</v>
      </c>
      <c r="E57" s="29" t="n">
        <v>1</v>
      </c>
      <c r="F57" s="35" t="n">
        <v>75000</v>
      </c>
      <c r="G57" s="36" t="n">
        <f aca="false">E57*F57</f>
        <v>75000</v>
      </c>
      <c r="H57" s="37" t="s">
        <v>144</v>
      </c>
      <c r="I57" s="16" t="s">
        <v>248</v>
      </c>
    </row>
    <row r="58" customFormat="false" ht="23.85" hidden="false" customHeight="false" outlineLevel="0" collapsed="false">
      <c r="A58" s="16" t="n">
        <v>54</v>
      </c>
      <c r="B58" s="16" t="s">
        <v>11</v>
      </c>
      <c r="C58" s="16" t="s">
        <v>249</v>
      </c>
      <c r="D58" s="16" t="s">
        <v>143</v>
      </c>
      <c r="E58" s="29" t="n">
        <v>2</v>
      </c>
      <c r="F58" s="35" t="n">
        <v>6000</v>
      </c>
      <c r="G58" s="36" t="n">
        <f aca="false">E58*F58</f>
        <v>12000</v>
      </c>
      <c r="H58" s="37" t="s">
        <v>144</v>
      </c>
      <c r="I58" s="16" t="s">
        <v>215</v>
      </c>
    </row>
    <row r="59" customFormat="false" ht="23.85" hidden="false" customHeight="false" outlineLevel="0" collapsed="false">
      <c r="A59" s="16" t="n">
        <v>55</v>
      </c>
      <c r="B59" s="16" t="s">
        <v>11</v>
      </c>
      <c r="C59" s="16" t="s">
        <v>250</v>
      </c>
      <c r="D59" s="16" t="s">
        <v>149</v>
      </c>
      <c r="E59" s="29" t="n">
        <v>1</v>
      </c>
      <c r="F59" s="35" t="n">
        <v>30000</v>
      </c>
      <c r="G59" s="36" t="n">
        <f aca="false">E59*F59</f>
        <v>30000</v>
      </c>
      <c r="H59" s="37" t="s">
        <v>144</v>
      </c>
      <c r="I59" s="16" t="s">
        <v>215</v>
      </c>
    </row>
    <row r="60" customFormat="false" ht="23.85" hidden="false" customHeight="false" outlineLevel="0" collapsed="false">
      <c r="A60" s="16" t="n">
        <v>56</v>
      </c>
      <c r="B60" s="16" t="s">
        <v>11</v>
      </c>
      <c r="C60" s="16" t="s">
        <v>251</v>
      </c>
      <c r="D60" s="16" t="s">
        <v>143</v>
      </c>
      <c r="E60" s="29" t="n">
        <v>8</v>
      </c>
      <c r="F60" s="35" t="n">
        <v>22000</v>
      </c>
      <c r="G60" s="36" t="n">
        <f aca="false">E60*F60</f>
        <v>176000</v>
      </c>
      <c r="H60" s="37" t="s">
        <v>144</v>
      </c>
      <c r="I60" s="16" t="s">
        <v>252</v>
      </c>
    </row>
    <row r="61" customFormat="false" ht="23.85" hidden="false" customHeight="false" outlineLevel="0" collapsed="false">
      <c r="A61" s="16" t="n">
        <v>57</v>
      </c>
      <c r="B61" s="16" t="s">
        <v>11</v>
      </c>
      <c r="C61" s="16" t="s">
        <v>253</v>
      </c>
      <c r="D61" s="16" t="s">
        <v>149</v>
      </c>
      <c r="E61" s="29" t="n">
        <v>1</v>
      </c>
      <c r="F61" s="35" t="n">
        <v>35000</v>
      </c>
      <c r="G61" s="36" t="n">
        <f aca="false">E61*F61</f>
        <v>35000</v>
      </c>
      <c r="H61" s="37" t="s">
        <v>144</v>
      </c>
      <c r="I61" s="16" t="s">
        <v>254</v>
      </c>
    </row>
    <row r="62" customFormat="false" ht="23.85" hidden="false" customHeight="false" outlineLevel="0" collapsed="false">
      <c r="A62" s="16" t="n">
        <v>58</v>
      </c>
      <c r="B62" s="16" t="s">
        <v>11</v>
      </c>
      <c r="C62" s="16" t="s">
        <v>255</v>
      </c>
      <c r="D62" s="16" t="s">
        <v>143</v>
      </c>
      <c r="E62" s="29" t="n">
        <v>1</v>
      </c>
      <c r="F62" s="35" t="n">
        <v>180000</v>
      </c>
      <c r="G62" s="36" t="n">
        <f aca="false">E62*F62</f>
        <v>180000</v>
      </c>
      <c r="H62" s="37" t="s">
        <v>152</v>
      </c>
      <c r="I62" s="16" t="s">
        <v>256</v>
      </c>
    </row>
    <row r="63" customFormat="false" ht="23.85" hidden="false" customHeight="false" outlineLevel="0" collapsed="false">
      <c r="A63" s="16" t="n">
        <v>59</v>
      </c>
      <c r="B63" s="16" t="s">
        <v>11</v>
      </c>
      <c r="C63" s="16" t="s">
        <v>257</v>
      </c>
      <c r="D63" s="16" t="s">
        <v>143</v>
      </c>
      <c r="E63" s="29" t="n">
        <v>1</v>
      </c>
      <c r="F63" s="35" t="n">
        <v>85000</v>
      </c>
      <c r="G63" s="36" t="n">
        <f aca="false">E63*F63</f>
        <v>85000</v>
      </c>
      <c r="H63" s="37" t="s">
        <v>152</v>
      </c>
      <c r="I63" s="16" t="s">
        <v>258</v>
      </c>
    </row>
    <row r="64" customFormat="false" ht="23.85" hidden="false" customHeight="false" outlineLevel="0" collapsed="false">
      <c r="A64" s="16" t="n">
        <v>60</v>
      </c>
      <c r="B64" s="16" t="s">
        <v>11</v>
      </c>
      <c r="C64" s="16" t="s">
        <v>259</v>
      </c>
      <c r="D64" s="16" t="s">
        <v>143</v>
      </c>
      <c r="E64" s="29" t="n">
        <v>1</v>
      </c>
      <c r="F64" s="35" t="n">
        <v>65000</v>
      </c>
      <c r="G64" s="36" t="n">
        <f aca="false">E64*F64</f>
        <v>65000</v>
      </c>
      <c r="H64" s="37" t="s">
        <v>144</v>
      </c>
      <c r="I64" s="16" t="s">
        <v>260</v>
      </c>
    </row>
    <row r="65" customFormat="false" ht="35.05" hidden="false" customHeight="false" outlineLevel="0" collapsed="false">
      <c r="A65" s="16" t="n">
        <v>61</v>
      </c>
      <c r="B65" s="16" t="s">
        <v>11</v>
      </c>
      <c r="C65" s="16" t="s">
        <v>261</v>
      </c>
      <c r="D65" s="16" t="s">
        <v>149</v>
      </c>
      <c r="E65" s="29" t="n">
        <v>1</v>
      </c>
      <c r="F65" s="35" t="n">
        <v>60000</v>
      </c>
      <c r="G65" s="36" t="n">
        <f aca="false">E65*F65</f>
        <v>60000</v>
      </c>
      <c r="H65" s="37" t="s">
        <v>144</v>
      </c>
      <c r="I65" s="16" t="s">
        <v>262</v>
      </c>
    </row>
    <row r="66" customFormat="false" ht="23.85" hidden="false" customHeight="false" outlineLevel="0" collapsed="false">
      <c r="A66" s="16" t="n">
        <v>62</v>
      </c>
      <c r="B66" s="16" t="s">
        <v>11</v>
      </c>
      <c r="C66" s="16" t="s">
        <v>263</v>
      </c>
      <c r="D66" s="16" t="s">
        <v>143</v>
      </c>
      <c r="E66" s="29" t="n">
        <v>1</v>
      </c>
      <c r="F66" s="35" t="n">
        <v>220000</v>
      </c>
      <c r="G66" s="36" t="n">
        <f aca="false">E66*F66</f>
        <v>220000</v>
      </c>
      <c r="H66" s="37" t="s">
        <v>144</v>
      </c>
      <c r="I66" s="16" t="s">
        <v>264</v>
      </c>
    </row>
    <row r="67" customFormat="false" ht="23.85" hidden="false" customHeight="false" outlineLevel="0" collapsed="false">
      <c r="A67" s="16" t="n">
        <v>63</v>
      </c>
      <c r="B67" s="16" t="s">
        <v>11</v>
      </c>
      <c r="C67" s="16" t="s">
        <v>265</v>
      </c>
      <c r="D67" s="16" t="s">
        <v>143</v>
      </c>
      <c r="E67" s="29" t="n">
        <v>1</v>
      </c>
      <c r="F67" s="35" t="n">
        <v>250000</v>
      </c>
      <c r="G67" s="36" t="n">
        <f aca="false">E67*F67</f>
        <v>250000</v>
      </c>
      <c r="H67" s="37" t="s">
        <v>193</v>
      </c>
      <c r="I67" s="16" t="s">
        <v>266</v>
      </c>
    </row>
    <row r="68" customFormat="false" ht="15" hidden="false" customHeight="false" outlineLevel="0" collapsed="false">
      <c r="A68" s="16" t="n">
        <v>64</v>
      </c>
      <c r="B68" s="16" t="s">
        <v>12</v>
      </c>
      <c r="C68" s="16" t="s">
        <v>267</v>
      </c>
      <c r="D68" s="16" t="s">
        <v>268</v>
      </c>
      <c r="E68" s="29" t="n">
        <v>3</v>
      </c>
      <c r="F68" s="35" t="n">
        <v>15000</v>
      </c>
      <c r="G68" s="36" t="n">
        <f aca="false">E68*F68</f>
        <v>45000</v>
      </c>
      <c r="H68" s="37" t="s">
        <v>144</v>
      </c>
      <c r="I68" s="16" t="s">
        <v>269</v>
      </c>
    </row>
    <row r="69" customFormat="false" ht="15" hidden="false" customHeight="false" outlineLevel="0" collapsed="false">
      <c r="A69" s="16" t="n">
        <v>65</v>
      </c>
      <c r="B69" s="16" t="s">
        <v>12</v>
      </c>
      <c r="C69" s="16" t="s">
        <v>270</v>
      </c>
      <c r="D69" s="16" t="s">
        <v>268</v>
      </c>
      <c r="E69" s="29" t="n">
        <v>5</v>
      </c>
      <c r="F69" s="35" t="n">
        <v>12000</v>
      </c>
      <c r="G69" s="36" t="n">
        <f aca="false">E69*F69</f>
        <v>60000</v>
      </c>
      <c r="H69" s="37" t="s">
        <v>144</v>
      </c>
      <c r="I69" s="16" t="s">
        <v>271</v>
      </c>
    </row>
    <row r="70" customFormat="false" ht="23.85" hidden="false" customHeight="false" outlineLevel="0" collapsed="false">
      <c r="A70" s="16" t="n">
        <v>66</v>
      </c>
      <c r="B70" s="16" t="s">
        <v>12</v>
      </c>
      <c r="C70" s="16" t="s">
        <v>272</v>
      </c>
      <c r="D70" s="16" t="s">
        <v>268</v>
      </c>
      <c r="E70" s="29" t="n">
        <v>2</v>
      </c>
      <c r="F70" s="35" t="n">
        <v>25000</v>
      </c>
      <c r="G70" s="36" t="n">
        <f aca="false">E70*F70</f>
        <v>50000</v>
      </c>
      <c r="H70" s="37" t="s">
        <v>144</v>
      </c>
      <c r="I70" s="16" t="s">
        <v>273</v>
      </c>
    </row>
    <row r="71" customFormat="false" ht="23.85" hidden="false" customHeight="false" outlineLevel="0" collapsed="false">
      <c r="A71" s="16" t="n">
        <v>67</v>
      </c>
      <c r="B71" s="16" t="s">
        <v>12</v>
      </c>
      <c r="C71" s="16" t="s">
        <v>274</v>
      </c>
      <c r="D71" s="16" t="s">
        <v>268</v>
      </c>
      <c r="E71" s="29" t="n">
        <v>2</v>
      </c>
      <c r="F71" s="35" t="n">
        <v>15000</v>
      </c>
      <c r="G71" s="36" t="n">
        <f aca="false">E71*F71</f>
        <v>30000</v>
      </c>
      <c r="H71" s="37" t="s">
        <v>144</v>
      </c>
      <c r="I71" s="16" t="s">
        <v>275</v>
      </c>
    </row>
    <row r="72" customFormat="false" ht="23.85" hidden="false" customHeight="false" outlineLevel="0" collapsed="false">
      <c r="A72" s="16" t="n">
        <v>68</v>
      </c>
      <c r="B72" s="16" t="s">
        <v>12</v>
      </c>
      <c r="C72" s="16" t="s">
        <v>276</v>
      </c>
      <c r="D72" s="16" t="s">
        <v>149</v>
      </c>
      <c r="E72" s="29" t="n">
        <v>1</v>
      </c>
      <c r="F72" s="35" t="n">
        <v>150000</v>
      </c>
      <c r="G72" s="36" t="n">
        <f aca="false">E72*F72</f>
        <v>150000</v>
      </c>
      <c r="H72" s="37" t="s">
        <v>144</v>
      </c>
      <c r="I72" s="16" t="s">
        <v>277</v>
      </c>
    </row>
    <row r="73" customFormat="false" ht="15" hidden="false" customHeight="false" outlineLevel="0" collapsed="false">
      <c r="A73" s="2"/>
      <c r="B73" s="2"/>
      <c r="C73" s="14" t="s">
        <v>278</v>
      </c>
      <c r="D73" s="2"/>
      <c r="E73" s="2"/>
      <c r="F73" s="2"/>
      <c r="G73" s="38" t="n">
        <f aca="false">SUM(G5:G72)</f>
        <v>9613500</v>
      </c>
      <c r="H73" s="2"/>
      <c r="I73" s="2"/>
    </row>
  </sheetData>
  <autoFilter ref="A4:I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6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279</v>
      </c>
      <c r="B1" s="2"/>
      <c r="C1" s="2"/>
    </row>
    <row r="2" customFormat="false" ht="15" hidden="false" customHeight="false" outlineLevel="0" collapsed="false">
      <c r="A2" s="3" t="s">
        <v>280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281</v>
      </c>
      <c r="B4" s="4" t="s">
        <v>112</v>
      </c>
      <c r="C4" s="4" t="s">
        <v>282</v>
      </c>
    </row>
    <row r="5" customFormat="false" ht="15" hidden="false" customHeight="false" outlineLevel="0" collapsed="false">
      <c r="A5" s="16" t="s">
        <v>283</v>
      </c>
      <c r="B5" s="16" t="s">
        <v>284</v>
      </c>
      <c r="C5" s="35" t="n">
        <v>300000</v>
      </c>
    </row>
    <row r="6" customFormat="false" ht="15" hidden="false" customHeight="false" outlineLevel="0" collapsed="false">
      <c r="A6" s="16" t="s">
        <v>285</v>
      </c>
      <c r="B6" s="16" t="s">
        <v>286</v>
      </c>
      <c r="C6" s="35" t="n">
        <v>60000</v>
      </c>
    </row>
    <row r="7" customFormat="false" ht="15" hidden="false" customHeight="false" outlineLevel="0" collapsed="false">
      <c r="A7" s="16" t="s">
        <v>287</v>
      </c>
      <c r="B7" s="16" t="s">
        <v>288</v>
      </c>
      <c r="C7" s="35" t="n">
        <v>60000</v>
      </c>
    </row>
    <row r="8" customFormat="false" ht="15" hidden="false" customHeight="false" outlineLevel="0" collapsed="false">
      <c r="A8" s="16" t="s">
        <v>289</v>
      </c>
      <c r="B8" s="16" t="s">
        <v>290</v>
      </c>
      <c r="C8" s="35" t="n">
        <v>40000</v>
      </c>
    </row>
    <row r="9" customFormat="false" ht="15" hidden="false" customHeight="false" outlineLevel="0" collapsed="false">
      <c r="A9" s="16" t="s">
        <v>291</v>
      </c>
      <c r="B9" s="16" t="s">
        <v>292</v>
      </c>
      <c r="C9" s="35" t="n">
        <v>50000</v>
      </c>
    </row>
    <row r="10" customFormat="false" ht="15" hidden="false" customHeight="false" outlineLevel="0" collapsed="false">
      <c r="A10" s="16" t="s">
        <v>293</v>
      </c>
      <c r="B10" s="16" t="s">
        <v>294</v>
      </c>
      <c r="C10" s="35" t="n">
        <v>30000</v>
      </c>
    </row>
    <row r="11" customFormat="false" ht="15" hidden="false" customHeight="false" outlineLevel="0" collapsed="false">
      <c r="A11" s="14" t="s">
        <v>295</v>
      </c>
      <c r="B11" s="2"/>
      <c r="C11" s="38" t="n">
        <f aca="false">SUM(C5:C10)</f>
        <v>540000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2026-09-24T09:35:41Z</dcterms:created>
  <dc:creator>openpyxl</dc:creator>
  <dc:description/>
  <dc:language>en-US</dc:language>
  <cp:lastModifiedBy/>
  <dcterms:modified xsi:type="dcterms:W3CDTF">2026-09-24T09:35:41Z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