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План 4 кв" sheetId="2" state="visible" r:id="rId4"/>
    <sheet name="Чек-лист ИС" sheetId="3" state="visible" r:id="rId5"/>
    <sheet name="Итоги 3 кв" sheetId="4" state="visible" r:id="rId6"/>
    <sheet name="Календарь сроков" sheetId="5" state="visible" r:id="rId7"/>
  </sheets>
  <definedNames>
    <definedName function="false" hidden="false" localSheetId="1" name="_xlnm.Print_Titles" vbProcedure="false">'План 4 кв'!$4:$5</definedName>
    <definedName function="false" hidden="true" localSheetId="1" name="_xlnm._FilterDatabase" vbProcedure="false">'План 4 кв'!$A$5:$M$70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<sst xmlns="http://schemas.openxmlformats.org/spreadsheetml/2006/main" count="821" uniqueCount="447">
  <si>
    <t xml:space="preserve">План работы отдела ОТ, ПБ и экологии — 4 квартал 2026 г.</t>
  </si>
  <si>
    <t xml:space="preserve">ООО «Авиационные интерьеры – СН» · 8 площадок: Москва (головной офис), Внуково, Воронеж, Жуковский, Казань, Машково, Руднево, Ульяновск</t>
  </si>
  <si>
    <t xml:space="preserve">Отдел: Айкешева А.К. (начальник отдела), Батушин А.В. (ведущий специалист по ООС), Грисли И.В. (специалист по ОТ). Куратор: Пенский А.К., директор по персоналу</t>
  </si>
  <si>
    <t xml:space="preserve">Всего мероприятий</t>
  </si>
  <si>
    <t xml:space="preserve">Приоритет «Высокий»</t>
  </si>
  <si>
    <t xml:space="preserve">Уже в работе / на согласовании</t>
  </si>
  <si>
    <t xml:space="preserve">Выполнено</t>
  </si>
  <si>
    <t xml:space="preserve">Распределение по направлениям</t>
  </si>
  <si>
    <t xml:space="preserve">Направление</t>
  </si>
  <si>
    <t xml:space="preserve">Всего</t>
  </si>
  <si>
    <t xml:space="preserve">Высокий</t>
  </si>
  <si>
    <t xml:space="preserve">Не начато</t>
  </si>
  <si>
    <t xml:space="preserve">В работе / согл.</t>
  </si>
  <si>
    <t xml:space="preserve">% выполн.</t>
  </si>
  <si>
    <t xml:space="preserve">1. Служба ОТ и СУОТ</t>
  </si>
  <si>
    <t xml:space="preserve">2. СОУТ и оценка профрисков</t>
  </si>
  <si>
    <t xml:space="preserve">3. Обучение и инструктажи</t>
  </si>
  <si>
    <t xml:space="preserve">4. Медосмотры и психосвидетельствование</t>
  </si>
  <si>
    <t xml:space="preserve">5. СИЗ, смывающие средства, аптечки</t>
  </si>
  <si>
    <t xml:space="preserve">6. Несчастные случаи, микротравмы, подрядчики</t>
  </si>
  <si>
    <t xml:space="preserve">7. Экология и обращение с отходами</t>
  </si>
  <si>
    <t xml:space="preserve">8. Управление отделом и отчётность</t>
  </si>
  <si>
    <t xml:space="preserve">ИТОГО</t>
  </si>
  <si>
    <t xml:space="preserve">Ключевые результаты к 31.12.2026</t>
  </si>
  <si>
    <t xml:space="preserve">▪ СУОТ приведена в соответствие с приказом № 776н: служба ОТ формализована, ответственные назначены, введён трёхступенчатый контроль.</t>
  </si>
  <si>
    <t xml:space="preserve">▪ СОУТ офисного персонала головного подразделения завершена; утверждён график СОУТ обособленных подразделений на 2027 г.</t>
  </si>
  <si>
    <t xml:space="preserve">▪ Инструктажи (вводный, первичный, повторный) проводятся на всех площадках; бэк-офис обучен по программе Б и первой помощи.</t>
  </si>
  <si>
    <t xml:space="preserve">▪ Проведён периодический медосмотр; организовано психиатрическое освидетельствование.</t>
  </si>
  <si>
    <t xml:space="preserve">▪ Нормы выдачи СИЗ утверждены по всем профессиям; введены личные карточки учёта.</t>
  </si>
  <si>
    <t xml:space="preserve">▪ Экоаудит 8 площадок завершён; поданы заявки на постановку на учёт НВОС (Воронеж, Казань, Ульяновск); ЖДО ведутся на всех площадках.</t>
  </si>
  <si>
    <t xml:space="preserve">▪ Закрыто 12 нарушений из акта проверки от 11.08.2026 (полностью или с переходом работ по ОПР и СОУТ ОП на 2027 г. в рамках утверждённого бюджета).</t>
  </si>
  <si>
    <t xml:space="preserve">▪ Утверждён План мероприятий по улучшению условий и охраны труда на 2027 г. со сметой.</t>
  </si>
  <si>
    <t xml:space="preserve">Контрольные точки квартала</t>
  </si>
  <si>
    <t xml:space="preserve">Подписаны приказы: ответственные по ОТ, инструктажи, ответственные по экологии; договор на медосмотры</t>
  </si>
  <si>
    <t xml:space="preserve">Подписан договор на СОУТ; получен доступ в ЛК Росприроднадзора</t>
  </si>
  <si>
    <t xml:space="preserve">Авансовый платёж за НВОС за 3 кв. (Машково) — ст. 16.4 7-ФЗ</t>
  </si>
  <si>
    <t xml:space="preserve">Итоговое интервью по испытательному сроку: пп. 8–11 чек-листа</t>
  </si>
  <si>
    <t xml:space="preserve">Завершён экологический аудит 8 площадок</t>
  </si>
  <si>
    <t xml:space="preserve">Завершён периодический медосмотр; обучены рабочие из перечня не прошедших</t>
  </si>
  <si>
    <t xml:space="preserve">Отчёт о СОУТ головного офиса утверждён; отчёт отдела за 4 кв. сдан</t>
  </si>
  <si>
    <t xml:space="preserve">ПЛАН РАБОТЫ ОТДЕЛА ОХРАНЫ ТРУДА, ПРОМЫШЛЕННОЙ БЕЗОПАСНОСТИ И ЭКОЛОГИИ НА 4 КВАРТАЛ 2026 г.</t>
  </si>
  <si>
    <t xml:space="preserve">ООО «Авиационные интерьеры – СН» · период 01.10.2026–31.12.2026 · основание: акт проверки от 11.08.2026, отчёт HR за 3 кв. 2026, дорожная карта по экологии, чек-лист ИС</t>
  </si>
  <si>
    <t xml:space="preserve">Столбец «Статус» — выпадающий список, обновлять по факту. Диаграмма справа строится автоматически по датам «Начало» и «Срок» (синий — в работе/план, зелёный — выполнено).</t>
  </si>
  <si>
    <t xml:space="preserve">№</t>
  </si>
  <si>
    <t xml:space="preserve">Мероприятие</t>
  </si>
  <si>
    <t xml:space="preserve">Результат / документ</t>
  </si>
  <si>
    <t xml:space="preserve">Площадки</t>
  </si>
  <si>
    <t xml:space="preserve">Ответственный</t>
  </si>
  <si>
    <t xml:space="preserve">Начало</t>
  </si>
  <si>
    <t xml:space="preserve">Срок</t>
  </si>
  <si>
    <t xml:space="preserve">Приоритет</t>
  </si>
  <si>
    <t xml:space="preserve">Основание (источник)</t>
  </si>
  <si>
    <t xml:space="preserve">Риск по КоАП (юрлицо)</t>
  </si>
  <si>
    <t xml:space="preserve">Задел 3 кв. / комментарий</t>
  </si>
  <si>
    <t xml:space="preserve">Статус</t>
  </si>
  <si>
    <t xml:space="preserve">ОКТЯБРЬ</t>
  </si>
  <si>
    <t xml:space="preserve">НОЯБРЬ</t>
  </si>
  <si>
    <t xml:space="preserve">ДЕКАБРЬ</t>
  </si>
  <si>
    <t xml:space="preserve">1. СЛУЖБА ОТ И СУОТ</t>
  </si>
  <si>
    <t xml:space="preserve">Подписать приказ о назначении ответственных лиц по охране труда в подразделениях</t>
  </si>
  <si>
    <t xml:space="preserve">Подписанный приказ, ознакомление ответственных</t>
  </si>
  <si>
    <t xml:space="preserve">Все площадки</t>
  </si>
  <si>
    <t xml:space="preserve">Айкешева А.К.</t>
  </si>
  <si>
    <t xml:space="preserve">Акт 11.08 п.9; чек-лист акта №4; ИС п.11</t>
  </si>
  <si>
    <t xml:space="preserve">ч.1 ст.5.27.1: 50–80 тыс. ₽</t>
  </si>
  <si>
    <t xml:space="preserve">Приказ на согласовании в 1С:ДО</t>
  </si>
  <si>
    <t xml:space="preserve">На согласовании</t>
  </si>
  <si>
    <t xml:space="preserve">Актуализировать приказ о создании службы ОТ и ПБ и Положение о службе ОТ; распределить зоны ответственности между специалистами</t>
  </si>
  <si>
    <t xml:space="preserve">Приказ, Положение о службе ОТ, должностные инструкции</t>
  </si>
  <si>
    <t xml:space="preserve">Головной офис</t>
  </si>
  <si>
    <t xml:space="preserve">Акт 11.08 п.9; чек-лист акта №1–3</t>
  </si>
  <si>
    <t xml:space="preserve">Отдел создан, штат комплектуется</t>
  </si>
  <si>
    <t xml:space="preserve">Актуализировать Положение о СУОТ и Политику в области ОТ (приказ Минтруда № 776н), переиздать приказы об утверждении</t>
  </si>
  <si>
    <t xml:space="preserve">Положение о СУОТ, Политика ОТ, приказ</t>
  </si>
  <si>
    <t xml:space="preserve">Акт 11.08 п.1; чек-лист акта №5–8; ИС п.11</t>
  </si>
  <si>
    <t xml:space="preserve">Действующее Положение неактуально</t>
  </si>
  <si>
    <t xml:space="preserve">Ввести трёхступенчатый контроль: приказ, Положение о контроле ОТ, журнал и акт контроля</t>
  </si>
  <si>
    <t xml:space="preserve">Приказ, Положение, журнал трёхступенчатого контроля</t>
  </si>
  <si>
    <t xml:space="preserve">Айкешева А.К., Грисли И.В.</t>
  </si>
  <si>
    <t xml:space="preserve">Средний</t>
  </si>
  <si>
    <t xml:space="preserve">Чек-лист акта №23–26; п. 65 Приказа № 776н</t>
  </si>
  <si>
    <t xml:space="preserve">—</t>
  </si>
  <si>
    <t xml:space="preserve">Создать комитет (комиссию) по охране труда: приказ, Положение, первое заседание</t>
  </si>
  <si>
    <t xml:space="preserve">Приказ, Положение о комитете, протокол</t>
  </si>
  <si>
    <t xml:space="preserve">Перечень мероприятий п.1.3; ст. 224 ТК РФ</t>
  </si>
  <si>
    <t xml:space="preserve">Разработать План мероприятий по улучшению условий и охраны труда на 2027 г. и смету (на базе бюджета 2027)</t>
  </si>
  <si>
    <t xml:space="preserve">Приказ, План мероприятий, смета расходов на ОТ</t>
  </si>
  <si>
    <t xml:space="preserve">Чек-лист акта №31–35; перечень п.1.4, 8.2; ст. 226 ТК РФ</t>
  </si>
  <si>
    <t xml:space="preserve">Бюджет ОТ и экологии на 2027 г. сформирован</t>
  </si>
  <si>
    <t xml:space="preserve">Сформировать перечень НПА с требованиями ОТ и перечень правил по ОТ</t>
  </si>
  <si>
    <t xml:space="preserve">Перечни, приказ об утверждении</t>
  </si>
  <si>
    <t xml:space="preserve">Грисли И.В.</t>
  </si>
  <si>
    <t xml:space="preserve">Плановый</t>
  </si>
  <si>
    <t xml:space="preserve">Чек-лист акта №9, 36–40; Приказ № 772н</t>
  </si>
  <si>
    <t xml:space="preserve">Подготовить отчёт о функционировании СУОТ за 2026 г.</t>
  </si>
  <si>
    <t xml:space="preserve">Отчёт о функционировании СУОТ</t>
  </si>
  <si>
    <t xml:space="preserve">Чек-лист акта №10</t>
  </si>
  <si>
    <t xml:space="preserve">2. СОУТ И ОЦЕНКА ПРОФРИСКОВ</t>
  </si>
  <si>
    <t xml:space="preserve">Подписать договор на проведение СОУТ с выбранным подрядчиком (загрузка в 1С:ДО)</t>
  </si>
  <si>
    <t xml:space="preserve">Подписанный договор</t>
  </si>
  <si>
    <t xml:space="preserve">Головной офис (Москва)</t>
  </si>
  <si>
    <t xml:space="preserve">Пенский А.К., Айкешева А.К.</t>
  </si>
  <si>
    <t xml:space="preserve">Акт 11.08 п.4; ИС п.8; отчёт 3 кв.</t>
  </si>
  <si>
    <t xml:space="preserve">ч.2 ст.5.27.1: 60–80 тыс. ₽</t>
  </si>
  <si>
    <t xml:space="preserve">ТЗ, конкурентный анализ, подрядчик выбран, документы подготовлены</t>
  </si>
  <si>
    <t xml:space="preserve">В работе</t>
  </si>
  <si>
    <t xml:space="preserve">Издать приказ о комиссии по СОУТ; утвердить перечень рабочих мест и график проведения</t>
  </si>
  <si>
    <t xml:space="preserve">Приказ о комиссии, перечень РМ, график</t>
  </si>
  <si>
    <t xml:space="preserve">Чек-лист акта №145–152; 426-ФЗ</t>
  </si>
  <si>
    <t xml:space="preserve">Провести СОУТ рабочих мест офисного персонала головного подразделения (идентификация, замеры)</t>
  </si>
  <si>
    <t xml:space="preserve">Протокол комиссии по идентификации, замеры</t>
  </si>
  <si>
    <t xml:space="preserve">Айкешева А.К., подрядчик</t>
  </si>
  <si>
    <t xml:space="preserve">ИС п.8; отчёт 3 кв. (срок — до конца 2026 г.)</t>
  </si>
  <si>
    <t xml:space="preserve">Утвердить отчёт о СОУТ; ознакомить работников с картами (≤30 кал. дней); подать декларацию в ГИТ; контроль передачи сведений во ФГИС СОУТ</t>
  </si>
  <si>
    <t xml:space="preserve">Отчёт, карты СОУТ с подписями, декларация, приказ о завершении</t>
  </si>
  <si>
    <t xml:space="preserve">Чек-лист акта №154–160; ст. 15, 18 426-ФЗ</t>
  </si>
  <si>
    <t xml:space="preserve">Сформировать график СОУТ обособленных подразделений на 2027 г. (Воронеж, Казань, Жуковский, Ульяновск, Внуково, Машково, Руднево)</t>
  </si>
  <si>
    <t xml:space="preserve">Утверждённый график СОУТ на 2027 г.</t>
  </si>
  <si>
    <t xml:space="preserve">Обособленные подразделения</t>
  </si>
  <si>
    <t xml:space="preserve">Акт 11.08 п.4; ИС п.8</t>
  </si>
  <si>
    <t xml:space="preserve">Расходы на СОУТ заложены в бюджет 2027 г.</t>
  </si>
  <si>
    <t xml:space="preserve">Подготовить проведение ОПР: Положение об ОПР, приказ о комиссии, методика и форма реестра опасностей</t>
  </si>
  <si>
    <t xml:space="preserve">Положение об ОПР, приказ о комиссии</t>
  </si>
  <si>
    <t xml:space="preserve">Акт 11.08 п.5; чек-лист акта №11–19</t>
  </si>
  <si>
    <t xml:space="preserve">ОПР заложена в бюджет 2027 г.</t>
  </si>
  <si>
    <t xml:space="preserve">3. ОБУЧЕНИЕ И ИНСТРУКТАЖИ</t>
  </si>
  <si>
    <t xml:space="preserve">Подписать приказ о проведении вводного, первичного и повторного инструктажей; передать журналы и памятки руководителям подразделений</t>
  </si>
  <si>
    <t xml:space="preserve">Приказ, журналы и памятки выданы под подпись</t>
  </si>
  <si>
    <t xml:space="preserve">Акт 11.08 п.3; ИС п.9</t>
  </si>
  <si>
    <t xml:space="preserve">ч.3 ст.5.27.1: 110–130 тыс. ₽ за каждого работника</t>
  </si>
  <si>
    <t xml:space="preserve">Приказ на согласовании в 1С:ДО; журналы закуплены; памятки разработаны</t>
  </si>
  <si>
    <t xml:space="preserve">Утвердить программы вводного и первичного/повторного инструктажей; запустить инструктажи на всех площадках</t>
  </si>
  <si>
    <t xml:space="preserve">Приказ об утверждении программ; журналы инструктажей ведутся</t>
  </si>
  <si>
    <t xml:space="preserve">Чек-лист акта №63–67; ИС п.9</t>
  </si>
  <si>
    <t xml:space="preserve">Инструкции и программы для производства разработаны</t>
  </si>
  <si>
    <t xml:space="preserve">Провести обучение бэк-офиса: «ОТ для руководителей и специалистов» (программа Б), «Первая помощь»</t>
  </si>
  <si>
    <t xml:space="preserve">Протоколы проверки знаний, записи в реестре обученных</t>
  </si>
  <si>
    <t xml:space="preserve">Акт 11.08 п.3; ИС п.4 (срок 14.09 — перенос)</t>
  </si>
  <si>
    <t xml:space="preserve">Перечень работников определён распоряжением; договор с УЦ заключён</t>
  </si>
  <si>
    <t xml:space="preserve">Обучить рабочих, не прошедших обязательное обучение (программы А, Б, В, СИЗ, первая помощь)</t>
  </si>
  <si>
    <t xml:space="preserve">Протоколы, удостоверения; сводный перечень обновлён</t>
  </si>
  <si>
    <t xml:space="preserve">Перечень п.3.2–3.3; ПП РФ № 2464</t>
  </si>
  <si>
    <t xml:space="preserve">Составлен сводный перечень прошедших/не прошедших обучение</t>
  </si>
  <si>
    <t xml:space="preserve">Выстроить систему обучения: Положение о порядке обучения; комиссия по проверке знаний (≥3 чел.); перечни работ повышенной опасности, обучаемых первой помощи и СИЗ</t>
  </si>
  <si>
    <t xml:space="preserve">Положение, приказы, утверждённые перечни</t>
  </si>
  <si>
    <t xml:space="preserve">Акт 11.08 п.2; чек-лист акта №48–61, 68–73</t>
  </si>
  <si>
    <t xml:space="preserve">Перечень работ повышенной опасности на согласовании</t>
  </si>
  <si>
    <t xml:space="preserve">Внедрить стажировку на рабочем месте: Положение, программа, перечень профессий, стажировочный лист</t>
  </si>
  <si>
    <t xml:space="preserve">Положение, программа, приказ</t>
  </si>
  <si>
    <t xml:space="preserve">Чек-лист акта №74–80</t>
  </si>
  <si>
    <t xml:space="preserve">4. МЕДОСМОТРЫ И ПСИХОСВИДЕТЕЛЬСТВОВАНИЕ</t>
  </si>
  <si>
    <t xml:space="preserve">Подписать договор на медосмотры и психиатрические освидетельствования</t>
  </si>
  <si>
    <t xml:space="preserve">Акт 11.08 п.6–7; ИС п.10</t>
  </si>
  <si>
    <t xml:space="preserve">Договор на согласовании в 1С:ДО; сроки и контингент определены</t>
  </si>
  <si>
    <t xml:space="preserve">Издать приказ о проведении периодического медосмотра; утвердить поимённый список и календарный план с медорганизацией</t>
  </si>
  <si>
    <t xml:space="preserve">Приказ, поимённый список, календарный план</t>
  </si>
  <si>
    <t xml:space="preserve">Чек-лист акта №81–88; приказ Минздрава № 29н</t>
  </si>
  <si>
    <t xml:space="preserve">Контингент работников определён</t>
  </si>
  <si>
    <t xml:space="preserve">Провести периодический медосмотр (выездной формат); получить заключительный акт</t>
  </si>
  <si>
    <t xml:space="preserve">Медицинские заключения, заключительный акт</t>
  </si>
  <si>
    <t xml:space="preserve">Акт 11.08 п.6; перечень п.4.1</t>
  </si>
  <si>
    <t xml:space="preserve">Организовать психиатрическое освидетельствование: перечень должностей, Положение, направления</t>
  </si>
  <si>
    <t xml:space="preserve">Перечень должностей, Положение, направления</t>
  </si>
  <si>
    <t xml:space="preserve">Акт 11.08 п.7; чек-лист акта №93–99; ПП РФ № 695</t>
  </si>
  <si>
    <t xml:space="preserve">Скорректировать предварительные медосмотры: альтернативные медцентры в регионах, журнал выдачи направлений, приказ о допуске/отстранении</t>
  </si>
  <si>
    <t xml:space="preserve">Договоры с медцентрами, журнал, приказ</t>
  </si>
  <si>
    <t xml:space="preserve">Айкешева А.К. (совм. с HR)</t>
  </si>
  <si>
    <t xml:space="preserve">ИС п.10; чек-лист акта №91–92</t>
  </si>
  <si>
    <t xml:space="preserve">Предварительные МО проводятся</t>
  </si>
  <si>
    <t xml:space="preserve">5. СИЗ, СМЫВАЮЩИЕ СРЕДСТВА, АПТЕЧКИ</t>
  </si>
  <si>
    <t xml:space="preserve">Завершить нормы выдачи СИЗ по всем профессиям (ЕТН, приказ № 767н); согласовать и утвердить приказом</t>
  </si>
  <si>
    <t xml:space="preserve">Нормы выдачи СИЗ, приказ</t>
  </si>
  <si>
    <t xml:space="preserve">Акт 11.08 п.8; чек-лист акта №103</t>
  </si>
  <si>
    <t xml:space="preserve">ч.4 ст.5.27.1: 130–150 тыс. ₽</t>
  </si>
  <si>
    <t xml:space="preserve">Нормы по части должностей направлены на согласование руководителю площадки</t>
  </si>
  <si>
    <t xml:space="preserve">Утвердить Порядок обеспечения СИЗ; назначить ответственных за выдачу; ввести личные карточки учёта СИЗ</t>
  </si>
  <si>
    <t xml:space="preserve">Порядок обеспечения СИЗ, приказ, личные карточки</t>
  </si>
  <si>
    <t xml:space="preserve">Чек-лист акта №100–111; ст. 221 ТК РФ</t>
  </si>
  <si>
    <t xml:space="preserve">Утвердить нормы и порядок выдачи смывающих средств</t>
  </si>
  <si>
    <t xml:space="preserve">Нормы, приказ, карточки учёта</t>
  </si>
  <si>
    <t xml:space="preserve">Чек-лист акта №112–118</t>
  </si>
  <si>
    <t xml:space="preserve">Аптечки: подписать приказ, назначить ответственных, ввести журнал, докомплектовать по площадкам</t>
  </si>
  <si>
    <t xml:space="preserve">Приказ, журнал, акты комплектации</t>
  </si>
  <si>
    <t xml:space="preserve">Акт 11.08 п.12; чек-лист акта №119–125</t>
  </si>
  <si>
    <t xml:space="preserve">Приказ на согласовании; проверена укомплектованность аптечек</t>
  </si>
  <si>
    <t xml:space="preserve">6. НЕСЧАСТНЫЕ СЛУЧАИ, МИКРОТРАВМЫ, ПОДРЯДЧИКИ</t>
  </si>
  <si>
    <t xml:space="preserve">Разработать Положение о расследовании несчастных случаев, комплект форм и журнал регистрации НС</t>
  </si>
  <si>
    <t xml:space="preserve">Положение, формы, журнал</t>
  </si>
  <si>
    <t xml:space="preserve">Акт 11.08 п.10; чек-лист акта №126–139</t>
  </si>
  <si>
    <t xml:space="preserve">ст. 15.34: 5–10 тыс. ₽; при тяжких последствиях — ст. 143 УК РФ</t>
  </si>
  <si>
    <t xml:space="preserve">Памятка об инцидентах и травмах разработана</t>
  </si>
  <si>
    <t xml:space="preserve">Разработать Положение об учёте микротравм, завести журнал учёта</t>
  </si>
  <si>
    <t xml:space="preserve">Положение, приказ, журнал учёта микротравм</t>
  </si>
  <si>
    <t xml:space="preserve">Акт 11.08 п.11; чек-лист акта №140–144</t>
  </si>
  <si>
    <t xml:space="preserve">Работа с подрядчиками: Положение о допуске, акт-допуск, вводный инструктаж подрядчиков и посетителей</t>
  </si>
  <si>
    <t xml:space="preserve">Положение, формы акта-допуска</t>
  </si>
  <si>
    <t xml:space="preserve">Чек-лист акта №169–177</t>
  </si>
  <si>
    <t xml:space="preserve">Памятка для вводного инструктажа посетителей разработана</t>
  </si>
  <si>
    <t xml:space="preserve">7. ЭКОЛОГИЯ И ОБРАЩЕНИЕ С ОТХОДАМИ</t>
  </si>
  <si>
    <t xml:space="preserve">Подписать приказ о назначении ответственных за экологическую безопасность и обращение с отходами</t>
  </si>
  <si>
    <t xml:space="preserve">Приказ по каждой площадке</t>
  </si>
  <si>
    <t xml:space="preserve">Батушин А.В.</t>
  </si>
  <si>
    <t xml:space="preserve">Дорожная карта экологии, этап 0 п.2; ст. 15 89-ФЗ</t>
  </si>
  <si>
    <t xml:space="preserve">Приказ в разработке (по план-графику — до 23.09)</t>
  </si>
  <si>
    <t xml:space="preserve">Утвердить приказ по экологической безопасности и управлению отходами, инструкции; провести экоинструктаж</t>
  </si>
  <si>
    <t xml:space="preserve">Приказ, инструкции, записи об инструктаже</t>
  </si>
  <si>
    <t xml:space="preserve">Отчёт 3 кв.; план-график эколога</t>
  </si>
  <si>
    <t xml:space="preserve">Инструкции согласованы, на подписи; приказ в разработке</t>
  </si>
  <si>
    <t xml:space="preserve">Обучить ответственных за обращение с отходами (не менее 1 чел. на площадку)</t>
  </si>
  <si>
    <t xml:space="preserve">Удостоверения о допобразовании</t>
  </si>
  <si>
    <t xml:space="preserve">Дорожная карта п.11, 32; ст. 15 89-ФЗ</t>
  </si>
  <si>
    <t xml:space="preserve">Обучено 7 сотрудников</t>
  </si>
  <si>
    <t xml:space="preserve">Приказ о комиссии и экологический аудит 8 площадок: процессы, источники выбросов, отходы по ФККО, водопользование</t>
  </si>
  <si>
    <t xml:space="preserve">Акт аудита по каждой площадке, перечень отходов с кодами ФККО</t>
  </si>
  <si>
    <t xml:space="preserve">Батушин А.В., комиссия</t>
  </si>
  <si>
    <t xml:space="preserve">Дорожная карта этапы 0–1, 3, 5; план-график (срок 30.10)</t>
  </si>
  <si>
    <t xml:space="preserve">Приказ о проведении аудита в разработке; дорожная карта принята</t>
  </si>
  <si>
    <t xml:space="preserve">Разработать паспорта отходов I–IV классов по площадкам (по итогам аудита)</t>
  </si>
  <si>
    <t xml:space="preserve">Комплект утверждённых паспортов</t>
  </si>
  <si>
    <t xml:space="preserve">Воронеж, Казань, Ульяновск, Машково, офисы</t>
  </si>
  <si>
    <t xml:space="preserve">Дорожная карта п.9; ст. 14 89-ФЗ</t>
  </si>
  <si>
    <t xml:space="preserve">Инвентаризация и паспорта отходов (Руднево) получены и подписаны</t>
  </si>
  <si>
    <t xml:space="preserve">Договоры по отходам: ДС по 3 видам отходов, вывоз оргтехники, вывоз СОЖ (Руднево), лицензированные операторы в регионах; проверка договоров ТКО</t>
  </si>
  <si>
    <t xml:space="preserve">Договоры/ДС, копии лицензий, закрывающие документы</t>
  </si>
  <si>
    <t xml:space="preserve">Дорожная карта п.12–13</t>
  </si>
  <si>
    <t xml:space="preserve">ст. 8.2 КоАП: 100–250 тыс. ₽</t>
  </si>
  <si>
    <t xml:space="preserve">Вывезены металл и макулатура; ДС по 3 видам в работе; запросы подрядчикам направлены</t>
  </si>
  <si>
    <t xml:space="preserve">Договор с ФЭО (аккумуляторы): доступ в ФГИС ОПВК, МЧД, УКЭП</t>
  </si>
  <si>
    <t xml:space="preserve">Договор, доступ в ФГИС ОПВК</t>
  </si>
  <si>
    <t xml:space="preserve">Дорожная карта п.15</t>
  </si>
  <si>
    <t xml:space="preserve">Места накопления отходов: согласовать СЗ, направить запросы арендодателям, ДС к договорам аренды, обустройство</t>
  </si>
  <si>
    <t xml:space="preserve">Согласованная СЗ, ДС, акты ввода мест накопления</t>
  </si>
  <si>
    <t xml:space="preserve">Воронеж, Казань, Ульяновск, Руднево, Машково</t>
  </si>
  <si>
    <t xml:space="preserve">Батушин А.В., служба гл. инженера</t>
  </si>
  <si>
    <t xml:space="preserve">Дорожная карта п.10</t>
  </si>
  <si>
    <t xml:space="preserve">СЗ по площадкам накопления на согласовании</t>
  </si>
  <si>
    <t xml:space="preserve">Ввести журналы движения отходов (ЖДО) на всех площадках: приказ, форма (приказ Минприроды № 227 с 01.09.2026)</t>
  </si>
  <si>
    <t xml:space="preserve">Приказ, заполненные ЖДО</t>
  </si>
  <si>
    <t xml:space="preserve">Дорожная карта п.14; план-график (с 01.11)</t>
  </si>
  <si>
    <t xml:space="preserve">ст. 8.2 КоАП</t>
  </si>
  <si>
    <t xml:space="preserve">Учёт в журнале движения отходов ведётся частично</t>
  </si>
  <si>
    <t xml:space="preserve">Получить доступ в ЛК природопользователя Росприроднадзора (МЧД, УКЭП)</t>
  </si>
  <si>
    <t xml:space="preserve">Доступ в личный кабинет</t>
  </si>
  <si>
    <t xml:space="preserve">Воронеж, Казань, Ульяновск, Руднево</t>
  </si>
  <si>
    <t xml:space="preserve">Дорожная карта п.5</t>
  </si>
  <si>
    <t xml:space="preserve">Заявки в ЛК РПН оформлены (Батушин А.В., Пенский А.К.)</t>
  </si>
  <si>
    <t xml:space="preserve">Категорирование и подача заявок на постановку на учёт объектов НВОС</t>
  </si>
  <si>
    <t xml:space="preserve">Заявки, свидетельства о постановке на учёт</t>
  </si>
  <si>
    <t xml:space="preserve">Воронеж, Казань, Ульяновск</t>
  </si>
  <si>
    <t xml:space="preserve">Дорожная карта этапы 1–2; ст. 69, 69.2 7-ФЗ</t>
  </si>
  <si>
    <t xml:space="preserve">ст. 8.46 КоАП</t>
  </si>
  <si>
    <t xml:space="preserve">Обязанность просрочена; данные собираются в ходе аудита</t>
  </si>
  <si>
    <t xml:space="preserve">Руднево: уточнить проектную документацию, подготовить ТЗ на ОВОС/НДВ для постановки на учёт</t>
  </si>
  <si>
    <t xml:space="preserve">ТЗ, запрос КП у подрядчиков</t>
  </si>
  <si>
    <t xml:space="preserve">Руднево</t>
  </si>
  <si>
    <t xml:space="preserve">Дорожная карта п.6, 17</t>
  </si>
  <si>
    <t xml:space="preserve">Запрос по проектной документации в работе; дератизация проведена</t>
  </si>
  <si>
    <t xml:space="preserve">Машково (III кат. НВОС): проработать авансовый платёж за 3 кв. (до 20.10), актуализацию сведений, подготовку декларации и ПЭК</t>
  </si>
  <si>
    <t xml:space="preserve">Расчёт, платёжное поручение, СЗ</t>
  </si>
  <si>
    <t xml:space="preserve">Машково</t>
  </si>
  <si>
    <t xml:space="preserve">Календарь отчётности; ст. 16.4 7-ФЗ</t>
  </si>
  <si>
    <t xml:space="preserve">ст. 8.41 КоАП: 50–100 тыс. ₽</t>
  </si>
  <si>
    <t xml:space="preserve">Реальная декларация невозможна без проектов и учёта (комментарий эколога)</t>
  </si>
  <si>
    <t xml:space="preserve">Офисы: обоснование отсутствия статуса объекта НВОС; Внуково — уточнить тип объекта</t>
  </si>
  <si>
    <t xml:space="preserve">Письменное обоснование / мотивированный отказ РПН</t>
  </si>
  <si>
    <t xml:space="preserve">Москва, Жуковский, Внуково</t>
  </si>
  <si>
    <t xml:space="preserve">Дорожная карта п.29</t>
  </si>
  <si>
    <t xml:space="preserve">Инвентаризация выбросов: ТЗ, КП, договор с подрядчиком (работы — 2027 г.)</t>
  </si>
  <si>
    <t xml:space="preserve">ТЗ, договор</t>
  </si>
  <si>
    <t xml:space="preserve">Дорожная карта п.16; план-график (20.11–20.12)</t>
  </si>
  <si>
    <t xml:space="preserve">Бюджет экологии на 2027 г. подготовлен</t>
  </si>
  <si>
    <t xml:space="preserve">Подготовить данные для отчётности янв.–март 2027: 2-ТП (воздух), 4-ОС, 2-ТП (отходы), декларация НВОС, ПЭК</t>
  </si>
  <si>
    <t xml:space="preserve">Свод данных по площадкам</t>
  </si>
  <si>
    <t xml:space="preserve">Календарь отчётности</t>
  </si>
  <si>
    <t xml:space="preserve">ст. 13.19 КоАП: 20–70 тыс. ₽</t>
  </si>
  <si>
    <t xml:space="preserve">Внутренний экологический контроль (Руднево, Машково — ежеквартально); реестр экодокументов компании</t>
  </si>
  <si>
    <t xml:space="preserve">Акты проверок, реестр документов</t>
  </si>
  <si>
    <t xml:space="preserve">Дорожная карта п.33–34</t>
  </si>
  <si>
    <t xml:space="preserve">8. УПРАВЛЕНИЕ ОТДЕЛОМ И ОТЧЁТНОСТЬ</t>
  </si>
  <si>
    <t xml:space="preserve">Завершить комплектование штата отдела ОТ и ПБ</t>
  </si>
  <si>
    <t xml:space="preserve">Укомплектованный штат</t>
  </si>
  <si>
    <t xml:space="preserve">ИС п.7; отчёт 3 кв.</t>
  </si>
  <si>
    <t xml:space="preserve">Задача принята</t>
  </si>
  <si>
    <t xml:space="preserve">Плановые проверки состояния ОТ на площадках: акт, журнал проверок, предписания об устранении нарушений</t>
  </si>
  <si>
    <t xml:space="preserve">Акты, журнал, предписания</t>
  </si>
  <si>
    <t xml:space="preserve">Чек-лист акта №20–22; ИС п.2</t>
  </si>
  <si>
    <t xml:space="preserve">Проверка 03–11.08.2026 проведена (акт от 11.08)</t>
  </si>
  <si>
    <t xml:space="preserve">Автоматизация: выбор контрагента и внедрение «1С: Охрана труда», перенос справочников</t>
  </si>
  <si>
    <t xml:space="preserve">Решение по контрагенту, план внедрения</t>
  </si>
  <si>
    <t xml:space="preserve">ИС п.6; отчёт 3 кв.</t>
  </si>
  <si>
    <t xml:space="preserve">Тестирование проведено; сравнительный анализ предложений подготовлен</t>
  </si>
  <si>
    <t xml:space="preserve">Защита бюджета ОТ и экологии на 2027 г., смета учебного класса по ОТ</t>
  </si>
  <si>
    <t xml:space="preserve">Утверждённый бюджет 2027</t>
  </si>
  <si>
    <t xml:space="preserve">Отчёт 3 кв.; перечень п.8.2</t>
  </si>
  <si>
    <t xml:space="preserve">Бюджет и смета учебного класса сформированы</t>
  </si>
  <si>
    <t xml:space="preserve">Возмещение СФР (до 20% взносов): уточнить статус документов 2026 г.; подготовить план предупредительных мер на 2027 г. (заявление — до 01.08.2027)</t>
  </si>
  <si>
    <t xml:space="preserve">План предупредительных мер 2027, пакет документов</t>
  </si>
  <si>
    <t xml:space="preserve">ИС п.5; перечень п.8.3</t>
  </si>
  <si>
    <t xml:space="preserve">Упущенная выгода</t>
  </si>
  <si>
    <t xml:space="preserve">В отчёте 3 кв. не отражено</t>
  </si>
  <si>
    <t xml:space="preserve">Форма 1-Т «Условия труда»: проверить обязанность по перечню форм Росстата, собрать данные (срок — до 21.01.2027)</t>
  </si>
  <si>
    <t xml:space="preserve">Данные для формы 1-Т</t>
  </si>
  <si>
    <t xml:space="preserve">Перечень п.8.1</t>
  </si>
  <si>
    <t xml:space="preserve">ст. 19.7 КоАП: 3–5 тыс. ₽</t>
  </si>
  <si>
    <t xml:space="preserve">Подготовить отчёт по чек-листу испытательного срока к итоговому интервью</t>
  </si>
  <si>
    <t xml:space="preserve">Отчёт о выполнении 11 задач ИС</t>
  </si>
  <si>
    <t xml:space="preserve">Чек-лист ИС (итоговое интервью 03.11.2026)</t>
  </si>
  <si>
    <t xml:space="preserve">Экватор — 14.09.2026</t>
  </si>
  <si>
    <t xml:space="preserve">Отчёт отдела за 4 кв. 2026 г. в сводный отчёт по направлениям HR</t>
  </si>
  <si>
    <t xml:space="preserve">Заполненный блок «ОТ и ТБ»</t>
  </si>
  <si>
    <t xml:space="preserve">Отчёт по направлениям HR</t>
  </si>
  <si>
    <t xml:space="preserve">Легенда</t>
  </si>
  <si>
    <t xml:space="preserve">Период выполнения (план / в работе)</t>
  </si>
  <si>
    <t xml:space="preserve">Период выполнения (выполнено)</t>
  </si>
  <si>
    <t xml:space="preserve">Приоритет «Высокий» — высокий штрафной риск или просроченный срок</t>
  </si>
  <si>
    <t xml:space="preserve">Приоритет «Средний»</t>
  </si>
  <si>
    <t xml:space="preserve">Приоритет «Плановый»</t>
  </si>
  <si>
    <t xml:space="preserve">Сокращения: ИС — чек-лист испытательного срока; Акт 11.08 — акт проверки состояния ОТ от 11.08.2026 (п. — нарушение, №. — позиция сводного чек-листа); ОПР — оценка профрисков; ЖДО — журнал движения отходов; НВОС — негативное воздействие на окружающую среду; РПН — Росприроднадзор.</t>
  </si>
  <si>
    <t xml:space="preserve">Чек-лист испытательного срока (03.08.2026 – 03.11.2026): статус и связь с планом</t>
  </si>
  <si>
    <t xml:space="preserve">Айкешева А.К., начальник отдела ОТ и ПБ · наставник: Пенский А.К. · экватор 14.09.2026 · итоговое интервью 03.11.2026</t>
  </si>
  <si>
    <t xml:space="preserve">Задача испытательного срока</t>
  </si>
  <si>
    <t xml:space="preserve">Срок по чек-листу</t>
  </si>
  <si>
    <t xml:space="preserve">Статус на 28.09.2026</t>
  </si>
  <si>
    <t xml:space="preserve">Факт / подтверждение</t>
  </si>
  <si>
    <t xml:space="preserve">Действия в 4 кв. (№ в плане)</t>
  </si>
  <si>
    <t xml:space="preserve">Ознакомление с положением об Отделе</t>
  </si>
  <si>
    <t xml:space="preserve">Подтвердить</t>
  </si>
  <si>
    <t xml:space="preserve">В отчёте 3 кв. не отражено — отметить факт у наставника</t>
  </si>
  <si>
    <t xml:space="preserve">Знакомство с руководителями подразделений. Посещение обособленных подразделений</t>
  </si>
  <si>
    <t xml:space="preserve">Проверка состояния ОТ по всем ОП 03–11.08.2026 (акт от 11.08.2026)</t>
  </si>
  <si>
    <t xml:space="preserve">Плановые проверки площадок — №51</t>
  </si>
  <si>
    <t xml:space="preserve">Аудит системы ОТ и экологии, идентификация рисков. Отчёт и план работы до конца года</t>
  </si>
  <si>
    <t xml:space="preserve">Акт проверки от 11.08.2026 (12 нарушений, сводный чек-лист 177 позиций); дорожная карта по экологии; настоящий план</t>
  </si>
  <si>
    <t xml:space="preserve">План 4 кв. — весь документ</t>
  </si>
  <si>
    <t xml:space="preserve">Обучение бэк-офиса «ОТ для руководителей», «Первая помощь»</t>
  </si>
  <si>
    <t xml:space="preserve">Договор с УЦ заключён; перечень работников головного офиса определён распоряжением. Обучение не завершено — срок просрочен</t>
  </si>
  <si>
    <t xml:space="preserve">№17 (до 13.11)</t>
  </si>
  <si>
    <t xml:space="preserve">Сбор документов для возмещения взносов ФСС (СФР)</t>
  </si>
  <si>
    <t xml:space="preserve">В отчёте 3 кв. не отражено. Срок подачи заявления в 2026 г. — до 01.08 (истёк)</t>
  </si>
  <si>
    <t xml:space="preserve">№54 — план на 2027 г.</t>
  </si>
  <si>
    <t xml:space="preserve">Участие в обсуждении автоматизации ОТ в 1С</t>
  </si>
  <si>
    <t xml:space="preserve">Участие во встречах, тестирование «1С: Охрана труда», перечень вопросов, сравнительный анализ предложений</t>
  </si>
  <si>
    <t xml:space="preserve">№52 — внедрение</t>
  </si>
  <si>
    <t xml:space="preserve">Комплектование штата отдела ОТ и ПБ, перечень работ до конца 2026 г.</t>
  </si>
  <si>
    <t xml:space="preserve">Задача принята; перечень работ — настоящий план</t>
  </si>
  <si>
    <t xml:space="preserve">№50</t>
  </si>
  <si>
    <t xml:space="preserve">Выбор поставщика и начало работ по СОУТ (бэк-офис Мск и ОП)</t>
  </si>
  <si>
    <t xml:space="preserve">ТЗ, конкурентный анализ КП, подрядчик выбран; договор готовится к загрузке в 1С:ДО</t>
  </si>
  <si>
    <t xml:space="preserve">№9, 11, 13</t>
  </si>
  <si>
    <t xml:space="preserve">Внедрение системы первичных, повторных, внеплановых инструктажей</t>
  </si>
  <si>
    <t xml:space="preserve">Программы и инструкции разработаны; журналы закуплены; памятки подготовлены; приказ на согласовании в 1С:ДО</t>
  </si>
  <si>
    <t xml:space="preserve">№15, 16</t>
  </si>
  <si>
    <t xml:space="preserve">Корректировка медосмотров. Альтернативные контрагенты</t>
  </si>
  <si>
    <t xml:space="preserve">Договор на МО и психосвидетельствование на согласовании; контингент и сроки ПМО определены</t>
  </si>
  <si>
    <t xml:space="preserve">№21, 25</t>
  </si>
  <si>
    <t xml:space="preserve">Разработка локальных нормативных актов по ОТ</t>
  </si>
  <si>
    <t xml:space="preserve">На согласовании: приказ об ответственных, приказ об инструктажах, приказ об аптечках, перечень работ повышенной опасности</t>
  </si>
  <si>
    <t xml:space="preserve">№1, 3</t>
  </si>
  <si>
    <t xml:space="preserve">Выполнено задач ИС</t>
  </si>
  <si>
    <t xml:space="preserve">Итоги 3 квартала 2026 г. — блок «ОТ и ТБ» (из отчёта по направлениям HR)</t>
  </si>
  <si>
    <t xml:space="preserve">Задача</t>
  </si>
  <si>
    <t xml:space="preserve">Результат 3 кв.</t>
  </si>
  <si>
    <t xml:space="preserve">Что переходит в 4 кв.</t>
  </si>
  <si>
    <t xml:space="preserve">Создание отдела ОТ, ТБ, экологической безопасности</t>
  </si>
  <si>
    <t xml:space="preserve">Пенский А.К.</t>
  </si>
  <si>
    <t xml:space="preserve">Задача принята: комплектование штата, перечень работ до конца 2026 г.</t>
  </si>
  <si>
    <t xml:space="preserve">Комплектование штата — №50</t>
  </si>
  <si>
    <t xml:space="preserve">План работы отдела и показатели оценки</t>
  </si>
  <si>
    <t xml:space="preserve">Задача принята.</t>
  </si>
  <si>
    <t xml:space="preserve">Настоящий план</t>
  </si>
  <si>
    <t xml:space="preserve">СОУТ</t>
  </si>
  <si>
    <t xml:space="preserve">ТЗ подготовлено; конкурентный анализ КП; подрядчик выбран; документы для договора подготовлены. Расходы заложены в бюджет 2027 г. СОУТ офиса головного подразделения — до конца 2026 г.</t>
  </si>
  <si>
    <t xml:space="preserve">Договор, проведение СОУТ офиса — №9–13</t>
  </si>
  <si>
    <t xml:space="preserve">ОПР</t>
  </si>
  <si>
    <t xml:space="preserve">Заложена в бюджет 2027 г.</t>
  </si>
  <si>
    <t xml:space="preserve">Подготовка ЛНА по ОПР — №14</t>
  </si>
  <si>
    <t xml:space="preserve">Автоматизация процессов (1С: Охрана труда)</t>
  </si>
  <si>
    <t xml:space="preserve">Участие во встречах по выбору контрагента и тестировании; данные переданы подрядчикам; перечень вопросов; сравнительный анализ предложений.</t>
  </si>
  <si>
    <t xml:space="preserve">Внедрение — №52</t>
  </si>
  <si>
    <t xml:space="preserve">Обучение по ОТ рабочих профессий (А, Б, СИЗ, первая помощь)</t>
  </si>
  <si>
    <t xml:space="preserve">Новый договор с учебным центром на более выгодных условиях. Распоряжением определён перечень работников головного офиса. Составлен сводный перечень прошедших/не прошедших обучение.</t>
  </si>
  <si>
    <t xml:space="preserve">Обучение бэк-офиса и рабочих, система обучения — №17–19</t>
  </si>
  <si>
    <t xml:space="preserve">Разработка ЛНА по ОТ и экологии</t>
  </si>
  <si>
    <t xml:space="preserve">На согласовании: приказ об ответственных по ОТ; приказ об инструктажах; приказ об аптечках; перечень работ повышенной опасности. Инструкции по экобезопасности и управлению отходами — на подписи. В разработке: приказ по экобезопасности, приказ об экоаудите, приказ по экоинструктажу. Программа инструктажа для сторожа. Бюджет по экологии 2027.</t>
  </si>
  <si>
    <t xml:space="preserve">Подписание и ввод в действие — №1, 15, 19, 29, 33–34, 36</t>
  </si>
  <si>
    <t xml:space="preserve">Нормы СИЗ по подразделениям и профессиям</t>
  </si>
  <si>
    <t xml:space="preserve">Для части должностей разработаны нормы бесплатной выдачи СИЗ, направлены руководителю площадки на согласование.</t>
  </si>
  <si>
    <t xml:space="preserve">Нормы по всем профессиям — №26–27</t>
  </si>
  <si>
    <t xml:space="preserve">Комплекты документов по ОТ для обособленных подразделений</t>
  </si>
  <si>
    <t xml:space="preserve">Разработаны инструкции и программы инструктажей для производства. Журналы закуплены. Памятки: заполнение журналов, вводный инструктаж посетителей, инциденты и травмы, самочувствие работников.</t>
  </si>
  <si>
    <t xml:space="preserve">Передача после подписания приказа — №15–16</t>
  </si>
  <si>
    <t xml:space="preserve">Обучение по экологической безопасности</t>
  </si>
  <si>
    <t xml:space="preserve">7 сотрудников обучены. Приказ об ответственных за экобезопасность — в разработке.</t>
  </si>
  <si>
    <t xml:space="preserve">№33, 35</t>
  </si>
  <si>
    <t xml:space="preserve">Инвентаризация отходов</t>
  </si>
  <si>
    <t xml:space="preserve">Получены инвентаризация и паспорта отходов, подписаны. В работе ДС по 3 видам отходов. СЗ по площадкам накопления — на согласовании.</t>
  </si>
  <si>
    <t xml:space="preserve">№37–38, 40</t>
  </si>
  <si>
    <t xml:space="preserve">Вывоз отходов</t>
  </si>
  <si>
    <t xml:space="preserve">Вывезены металл и макулатура. Прорабатывается вывоз СОЖ (Руднево). Направлены запросы подрядчикам.</t>
  </si>
  <si>
    <t xml:space="preserve">№38</t>
  </si>
  <si>
    <t xml:space="preserve">Контроль ОТ и экологии в подразделениях</t>
  </si>
  <si>
    <t xml:space="preserve">Айкешева А.К., Батушин А.В.</t>
  </si>
  <si>
    <t xml:space="preserve">Дорожная карта по экологии принята в работу. Дератизация (Руднево). Заявки в ЛК РПН. Запрос проектной документации. Проверена укомплектованность аптечек.</t>
  </si>
  <si>
    <t xml:space="preserve">№36, 42, 44, 49, 51</t>
  </si>
  <si>
    <t xml:space="preserve">Договорная работа (медкомиссия, отходы)</t>
  </si>
  <si>
    <t xml:space="preserve">Договор на МО и психосвидетельствование — на согласовании в 1С:ДО. Определены сроки и контингент ПМО (выездной формат). В работе договор на вывоз оргтехники; контроль оплат по обучению и предварительным МО.</t>
  </si>
  <si>
    <t xml:space="preserve">№21–25, 38</t>
  </si>
  <si>
    <t xml:space="preserve">Бюджетирование</t>
  </si>
  <si>
    <t xml:space="preserve">Сформирован бюджет по ОТ и экологии на 2027 г.; смета на оснащение учебного класса по ОТ.</t>
  </si>
  <si>
    <t xml:space="preserve">Защита бюджета — №53</t>
  </si>
  <si>
    <t xml:space="preserve">Прочее</t>
  </si>
  <si>
    <t xml:space="preserve">Участие в аттестации персонала совместно с отделом по управлению персоналом.</t>
  </si>
  <si>
    <t xml:space="preserve">Календарь обязательных сроков: 4 кв. 2026 – 1 кв. 2027</t>
  </si>
  <si>
    <t xml:space="preserve">Колонка «Осталось дней» считается от текущей даты автоматически.</t>
  </si>
  <si>
    <t xml:space="preserve">Осталось дней</t>
  </si>
  <si>
    <t xml:space="preserve">Что сдать / сделать</t>
  </si>
  <si>
    <t xml:space="preserve">Кто / площадки</t>
  </si>
  <si>
    <t xml:space="preserve">Основание</t>
  </si>
  <si>
    <t xml:space="preserve">Риск</t>
  </si>
  <si>
    <t xml:space="preserve">Авансовый платёж за НВОС за 3 кв.</t>
  </si>
  <si>
    <t xml:space="preserve">Машково (III кат.)</t>
  </si>
  <si>
    <t xml:space="preserve">ст. 16.4 7-ФЗ (кроме субъектов МСП)</t>
  </si>
  <si>
    <t xml:space="preserve">Итоговое интервью по испытательному сроку</t>
  </si>
  <si>
    <t xml:space="preserve">Айкешева А.К. / Пенский А.К.</t>
  </si>
  <si>
    <t xml:space="preserve">Чек-лист ИС</t>
  </si>
  <si>
    <t xml:space="preserve">Завершить СОУТ офисного персонала головного подразделения</t>
  </si>
  <si>
    <t xml:space="preserve">Отчёт 3 кв.; 426-ФЗ</t>
  </si>
  <si>
    <t xml:space="preserve">Форма 1-Т «Условия труда» (при наличии обязанности)</t>
  </si>
  <si>
    <t xml:space="preserve">Компания</t>
  </si>
  <si>
    <t xml:space="preserve">Приказ Росстата № 338</t>
  </si>
  <si>
    <t xml:space="preserve">2-ТП (воздух)</t>
  </si>
  <si>
    <t xml:space="preserve">Площадки со стационарными источниками</t>
  </si>
  <si>
    <t xml:space="preserve">Приказ Росстата</t>
  </si>
  <si>
    <t xml:space="preserve">4-ОС (затраты на охрану окружающей среды)</t>
  </si>
  <si>
    <t xml:space="preserve">Производственные площадки</t>
  </si>
  <si>
    <t xml:space="preserve">2-ТП (отходы)</t>
  </si>
  <si>
    <t xml:space="preserve">Итоговый платёж за НВОС за 2026 г.</t>
  </si>
  <si>
    <t xml:space="preserve">Машково + площадки после постановки на учёт</t>
  </si>
  <si>
    <t xml:space="preserve">ст. 16.4 7-ФЗ</t>
  </si>
  <si>
    <t xml:space="preserve">Декларация о плате за НВОС</t>
  </si>
  <si>
    <t xml:space="preserve">ст. 16.4 7-ФЗ; приказ Минприроды № 1043</t>
  </si>
  <si>
    <t xml:space="preserve">ст. 8.5 КоАП</t>
  </si>
  <si>
    <t xml:space="preserve">Отчёт об организации и результатах ПЭК</t>
  </si>
  <si>
    <t xml:space="preserve">ст. 67 7-ФЗ; приказ Минприроды № 109</t>
  </si>
  <si>
    <t xml:space="preserve">Заявление в СФР на возмещение до 20% взносов на травматизм</t>
  </si>
  <si>
    <t xml:space="preserve">Приказ Минтруда о финобеспечении предупредительных мер</t>
  </si>
  <si>
    <t xml:space="preserve">Ежемесячно: оплата по договорам с региональным оператором ТКО (все 8 площадок). Постоянно: ведение ЖДО на площадках; актуализация сведений НВОС — в течение 30 дней при изменениях.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</si>
</sst>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%"/>
    <numFmt numFmtId="167" formatCode="dd\.mm\.yy"/>
    <numFmt numFmtId="168" formatCode="dd\.mm"/>
    <numFmt numFmtId="169" formatCode="dd\.mm\.yyyy"/>
    <numFmt numFmtId="170" formatCode="0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b val="true"/>
      <sz val="22"/>
      <color rgb="FFC00000"/>
      <name val="Arial"/>
      <family val="0"/>
      <charset val="1"/>
    </font>
    <font>
      <b val="true"/>
      <sz val="22"/>
      <color rgb="FF2E75B6"/>
      <name val="Arial"/>
      <family val="0"/>
      <charset val="1"/>
    </font>
    <font>
      <b val="true"/>
      <sz val="22"/>
      <color rgb="FF548235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827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2E75B6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9"/>
      <color rgb="FF7030A0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9"/>
      <color rgb="FFBF8F00"/>
      <name val="Arial"/>
      <family val="0"/>
      <charset val="1"/>
    </font>
    <font>
      <b val="true"/>
      <sz val="9"/>
      <color rgb="FF548235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00827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C00000"/>
        <bgColor rgb="FF9C0006"/>
      </patternFill>
    </fill>
    <fill>
      <patternFill patternType="solid">
        <fgColor rgb="FF2E75B6"/>
        <bgColor rgb="FF2F5597"/>
      </patternFill>
    </fill>
    <fill>
      <patternFill patternType="solid">
        <fgColor rgb="FF548235"/>
        <bgColor rgb="FF595959"/>
      </patternFill>
    </fill>
    <fill>
      <patternFill patternType="solid">
        <fgColor rgb="FFDDEBF7"/>
        <bgColor rgb="FFD9F2F1"/>
      </patternFill>
    </fill>
    <fill>
      <patternFill patternType="solid">
        <fgColor rgb="FFE9DDF4"/>
        <bgColor rgb="FFD9E1F2"/>
      </patternFill>
    </fill>
    <fill>
      <patternFill patternType="solid">
        <fgColor rgb="FFFBE4D5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8D7D7"/>
        <bgColor rgb="FFFBE4D5"/>
      </patternFill>
    </fill>
    <fill>
      <patternFill patternType="solid">
        <fgColor rgb="FFD9F2F1"/>
        <bgColor rgb="FFDDEBF7"/>
      </patternFill>
    </fill>
    <fill>
      <patternFill patternType="solid">
        <fgColor rgb="FFEDEDED"/>
        <bgColor rgb="FFF2F2F2"/>
      </patternFill>
    </fill>
    <fill>
      <patternFill patternType="solid">
        <fgColor rgb="FFD9E1F2"/>
        <bgColor rgb="FFDDEBF7"/>
      </patternFill>
    </fill>
    <fill>
      <patternFill patternType="solid">
        <fgColor rgb="FF2F5597"/>
        <bgColor rgb="FF1F4E78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9C5700"/>
      </patternFill>
    </fill>
    <fill>
      <patternFill patternType="solid">
        <fgColor rgb="FFBF8F00"/>
        <bgColor rgb="FFC55A11"/>
      </patternFill>
    </fill>
    <fill>
      <patternFill patternType="solid">
        <fgColor rgb="FF00827F"/>
        <bgColor rgb="FF008080"/>
      </patternFill>
    </fill>
    <fill>
      <patternFill patternType="solid">
        <fgColor rgb="FF595959"/>
        <bgColor rgb="FF404040"/>
      </patternFill>
    </fill>
    <fill>
      <patternFill patternType="solid">
        <fgColor rgb="FF5B9BD5"/>
        <bgColor rgb="FF2E75B6"/>
      </patternFill>
    </fill>
    <fill>
      <patternFill patternType="solid">
        <fgColor rgb="FF70AD47"/>
        <bgColor rgb="FF548235"/>
      </patternFill>
    </fill>
    <fill>
      <patternFill patternType="solid">
        <fgColor rgb="FFF8CBAD"/>
        <bgColor rgb="FFF8D7D7"/>
      </patternFill>
    </fill>
    <fill>
      <patternFill patternType="solid">
        <fgColor rgb="FFFFE699"/>
        <bgColor rgb="FFFFF2CC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/>
      <right/>
      <top/>
      <bottom style="medium">
        <color rgb="FF2E75B6"/>
      </bottom>
      <diagonal/>
    </border>
    <border diagonalUp="false" diagonalDown="false">
      <left/>
      <right/>
      <top/>
      <bottom style="medium">
        <color rgb="FF548235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hair">
        <color rgb="FFD9D9D9"/>
      </left>
      <right style="hair">
        <color rgb="FFD9D9D9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1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14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7" fillId="1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6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7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8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9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1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11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1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13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8">
    <dxf>
      <fill>
        <patternFill patternType="solid">
          <fgColor rgb="FF00827F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2F1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9DDF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D7D7"/>
          <bgColor rgb="FF000000"/>
        </patternFill>
      </fill>
    </dxf>
    <dxf>
      <fill>
        <patternFill patternType="solid">
          <fgColor rgb="FFFBE4D5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>
          <bgColor rgb="FF70AD47"/>
        </patternFill>
      </fill>
    </dxf>
    <dxf>
      <fill>
        <patternFill>
          <bgColor rgb="FF5B9BD5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color rgb="FF7F6000"/>
      </font>
      <fill>
        <patternFill>
          <bgColor rgb="FFFFE699"/>
        </patternFill>
      </fill>
    </dxf>
    <dxf>
      <font>
        <name val="Arial"/>
        <charset val="1"/>
        <family val="0"/>
        <color rgb="FF375623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1F4E78"/>
      </font>
      <fill>
        <patternFill>
          <bgColor rgb="FFDDEBF7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F2F2F2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CE4D6"/>
        </patternFill>
      </fill>
    </dxf>
    <dxf>
      <font>
        <name val="Arial"/>
        <charset val="1"/>
        <family val="0"/>
        <color rgb="FF808080"/>
      </font>
      <fill>
        <patternFill>
          <bgColor rgb="FFD9D9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CE4D6"/>
      <rgbColor rgb="FFFF00FF"/>
      <rgbColor rgb="FF00FFFF"/>
      <rgbColor rgb="FF9C0006"/>
      <rgbColor rgb="FF006100"/>
      <rgbColor rgb="FF000080"/>
      <rgbColor rgb="FF7F6000"/>
      <rgbColor rgb="FF800080"/>
      <rgbColor rgb="FF00827F"/>
      <rgbColor rgb="FFBFBFBF"/>
      <rgbColor rgb="FF808080"/>
      <rgbColor rgb="FF5B9BD5"/>
      <rgbColor rgb="FF7030A0"/>
      <rgbColor rgb="FFFFF2CC"/>
      <rgbColor rgb="FFD9F2F1"/>
      <rgbColor rgb="FF660066"/>
      <rgbColor rgb="FFEDEDED"/>
      <rgbColor rgb="FF2F5597"/>
      <rgbColor rgb="FFD9D9D9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E699"/>
      <rgbColor rgb="FFD9E1F2"/>
      <rgbColor rgb="FFF8D7D7"/>
      <rgbColor rgb="FFE9DDF4"/>
      <rgbColor rgb="FFF8CBAD"/>
      <rgbColor rgb="FF2E75B6"/>
      <rgbColor rgb="FF33CCCC"/>
      <rgbColor rgb="FFF2F2F2"/>
      <rgbColor rgb="FFFBE4D5"/>
      <rgbColor rgb="FFBF8F00"/>
      <rgbColor rgb="FFC55A11"/>
      <rgbColor rgb="FF595959"/>
      <rgbColor rgb="FF70AD47"/>
      <rgbColor rgb="FF1F3864"/>
      <rgbColor rgb="FF548235"/>
      <rgbColor rgb="FF003300"/>
      <rgbColor rgb="FF375623"/>
      <rgbColor rgb="FF9C57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2"/>
    <col collapsed="false" customWidth="true" hidden="false" outlineLevel="0" max="6" min="5" style="0" width="14"/>
    <col collapsed="false" customWidth="true" hidden="false" outlineLevel="0" max="8" min="7" style="0" width="1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true" outlineLevel="0" collapsed="false">
      <c r="B6" s="4" t="s">
        <v>3</v>
      </c>
      <c r="C6" s="5" t="s">
        <v>4</v>
      </c>
      <c r="D6" s="5"/>
      <c r="E6" s="6" t="s">
        <v>5</v>
      </c>
      <c r="F6" s="6"/>
      <c r="G6" s="7" t="s">
        <v>6</v>
      </c>
      <c r="H6" s="7"/>
    </row>
    <row r="7" customFormat="false" ht="36" hidden="false" customHeight="true" outlineLevel="0" collapsed="false">
      <c r="B7" s="8" t="n">
        <f aca="false">COUNT('План 4 кв'!A6:A70)</f>
        <v>57</v>
      </c>
      <c r="C7" s="9" t="n">
        <f aca="false">COUNTIF('План 4 кв'!I6:I70,"Высокий")</f>
        <v>27</v>
      </c>
      <c r="D7" s="9"/>
      <c r="E7" s="10" t="n">
        <f aca="false">COUNTIF('План 4 кв'!M6:M70,"В работе")+COUNTIF('План 4 кв'!M6:M70,"На согласовании")</f>
        <v>23</v>
      </c>
      <c r="F7" s="10"/>
      <c r="G7" s="11" t="n">
        <f aca="false">COUNTIF('План 4 кв'!M6:M70,"Выполнено")</f>
        <v>0</v>
      </c>
      <c r="H7" s="11"/>
    </row>
    <row r="9" customFormat="false" ht="15" hidden="false" customHeight="false" outlineLevel="0" collapsed="false">
      <c r="B9" s="12" t="s">
        <v>7</v>
      </c>
    </row>
    <row r="10" customFormat="false" ht="15" hidden="false" customHeight="false" outlineLevel="0" collapsed="false">
      <c r="B10" s="13" t="s">
        <v>8</v>
      </c>
      <c r="C10" s="13" t="s">
        <v>9</v>
      </c>
      <c r="D10" s="13" t="s">
        <v>10</v>
      </c>
      <c r="E10" s="13" t="s">
        <v>11</v>
      </c>
      <c r="F10" s="13" t="s">
        <v>12</v>
      </c>
      <c r="G10" s="13" t="s">
        <v>6</v>
      </c>
      <c r="H10" s="13" t="s">
        <v>13</v>
      </c>
    </row>
    <row r="11" customFormat="false" ht="15" hidden="false" customHeight="false" outlineLevel="0" collapsed="false">
      <c r="B11" s="14" t="s">
        <v>14</v>
      </c>
      <c r="C11" s="15" t="n">
        <f aca="false">COUNTIF('План 4 кв'!$B$6:$B$70,B11)</f>
        <v>8</v>
      </c>
      <c r="D11" s="15" t="n">
        <f aca="false">COUNTIFS('План 4 кв'!$B$6:$B$70,B11,'План 4 кв'!$I$6:$I$70,"Высокий")</f>
        <v>4</v>
      </c>
      <c r="E11" s="15" t="n">
        <f aca="false">COUNTIFS('План 4 кв'!$B$6:$B$70,B11,'План 4 кв'!$M$6:$M$70,"Не начато")</f>
        <v>7</v>
      </c>
      <c r="F11" s="15" t="n">
        <f aca="false">COUNTIFS('План 4 кв'!$B$6:$B$70,B11,'План 4 кв'!$M$6:$M$70,"В работе")+COUNTIFS('План 4 кв'!$B$6:$B$70,B11,'План 4 кв'!$M$6:$M$70,"На согласовании")</f>
        <v>1</v>
      </c>
      <c r="G11" s="15" t="n">
        <f aca="false">COUNTIFS('План 4 кв'!$B$6:$B$70,B11,'План 4 кв'!$M$6:$M$70,"Выполнено")</f>
        <v>0</v>
      </c>
      <c r="H11" s="16" t="n">
        <f aca="false">IF(C11=0,0,G11/C11)</f>
        <v>0</v>
      </c>
    </row>
    <row r="12" customFormat="false" ht="15" hidden="false" customHeight="false" outlineLevel="0" collapsed="false">
      <c r="B12" s="17" t="s">
        <v>15</v>
      </c>
      <c r="C12" s="15" t="n">
        <f aca="false">COUNTIF('План 4 кв'!$B$6:$B$70,B12)</f>
        <v>6</v>
      </c>
      <c r="D12" s="15" t="n">
        <f aca="false">COUNTIFS('План 4 кв'!$B$6:$B$70,B12,'План 4 кв'!$I$6:$I$70,"Высокий")</f>
        <v>4</v>
      </c>
      <c r="E12" s="15" t="n">
        <f aca="false">COUNTIFS('План 4 кв'!$B$6:$B$70,B12,'План 4 кв'!$M$6:$M$70,"Не начато")</f>
        <v>5</v>
      </c>
      <c r="F12" s="15" t="n">
        <f aca="false">COUNTIFS('План 4 кв'!$B$6:$B$70,B12,'План 4 кв'!$M$6:$M$70,"В работе")+COUNTIFS('План 4 кв'!$B$6:$B$70,B12,'План 4 кв'!$M$6:$M$70,"На согласовании")</f>
        <v>1</v>
      </c>
      <c r="G12" s="15" t="n">
        <f aca="false">COUNTIFS('План 4 кв'!$B$6:$B$70,B12,'План 4 кв'!$M$6:$M$70,"Выполнено")</f>
        <v>0</v>
      </c>
      <c r="H12" s="16" t="n">
        <f aca="false">IF(C12=0,0,G12/C12)</f>
        <v>0</v>
      </c>
    </row>
    <row r="13" customFormat="false" ht="15" hidden="false" customHeight="false" outlineLevel="0" collapsed="false">
      <c r="B13" s="18" t="s">
        <v>16</v>
      </c>
      <c r="C13" s="15" t="n">
        <f aca="false">COUNTIF('План 4 кв'!$B$6:$B$70,B13)</f>
        <v>6</v>
      </c>
      <c r="D13" s="15" t="n">
        <f aca="false">COUNTIFS('План 4 кв'!$B$6:$B$70,B13,'План 4 кв'!$I$6:$I$70,"Высокий")</f>
        <v>5</v>
      </c>
      <c r="E13" s="15" t="n">
        <f aca="false">COUNTIFS('План 4 кв'!$B$6:$B$70,B13,'План 4 кв'!$M$6:$M$70,"Не начато")</f>
        <v>1</v>
      </c>
      <c r="F13" s="15" t="n">
        <f aca="false">COUNTIFS('План 4 кв'!$B$6:$B$70,B13,'План 4 кв'!$M$6:$M$70,"В работе")+COUNTIFS('План 4 кв'!$B$6:$B$70,B13,'План 4 кв'!$M$6:$M$70,"На согласовании")</f>
        <v>5</v>
      </c>
      <c r="G13" s="15" t="n">
        <f aca="false">COUNTIFS('План 4 кв'!$B$6:$B$70,B13,'План 4 кв'!$M$6:$M$70,"Выполнено")</f>
        <v>0</v>
      </c>
      <c r="H13" s="16" t="n">
        <f aca="false">IF(C13=0,0,G13/C13)</f>
        <v>0</v>
      </c>
    </row>
    <row r="14" customFormat="false" ht="15" hidden="false" customHeight="false" outlineLevel="0" collapsed="false">
      <c r="B14" s="19" t="s">
        <v>17</v>
      </c>
      <c r="C14" s="15" t="n">
        <f aca="false">COUNTIF('План 4 кв'!$B$6:$B$70,B14)</f>
        <v>5</v>
      </c>
      <c r="D14" s="15" t="n">
        <f aca="false">COUNTIFS('План 4 кв'!$B$6:$B$70,B14,'План 4 кв'!$I$6:$I$70,"Высокий")</f>
        <v>4</v>
      </c>
      <c r="E14" s="15" t="n">
        <f aca="false">COUNTIFS('План 4 кв'!$B$6:$B$70,B14,'План 4 кв'!$M$6:$M$70,"Не начато")</f>
        <v>3</v>
      </c>
      <c r="F14" s="15" t="n">
        <f aca="false">COUNTIFS('План 4 кв'!$B$6:$B$70,B14,'План 4 кв'!$M$6:$M$70,"В работе")+COUNTIFS('План 4 кв'!$B$6:$B$70,B14,'План 4 кв'!$M$6:$M$70,"На согласовании")</f>
        <v>2</v>
      </c>
      <c r="G14" s="15" t="n">
        <f aca="false">COUNTIFS('План 4 кв'!$B$6:$B$70,B14,'План 4 кв'!$M$6:$M$70,"Выполнено")</f>
        <v>0</v>
      </c>
      <c r="H14" s="16" t="n">
        <f aca="false">IF(C14=0,0,G14/C14)</f>
        <v>0</v>
      </c>
    </row>
    <row r="15" customFormat="false" ht="15" hidden="false" customHeight="false" outlineLevel="0" collapsed="false">
      <c r="B15" s="20" t="s">
        <v>18</v>
      </c>
      <c r="C15" s="15" t="n">
        <f aca="false">COUNTIF('План 4 кв'!$B$6:$B$70,B15)</f>
        <v>4</v>
      </c>
      <c r="D15" s="15" t="n">
        <f aca="false">COUNTIFS('План 4 кв'!$B$6:$B$70,B15,'План 4 кв'!$I$6:$I$70,"Высокий")</f>
        <v>2</v>
      </c>
      <c r="E15" s="15" t="n">
        <f aca="false">COUNTIFS('План 4 кв'!$B$6:$B$70,B15,'План 4 кв'!$M$6:$M$70,"Не начато")</f>
        <v>2</v>
      </c>
      <c r="F15" s="15" t="n">
        <f aca="false">COUNTIFS('План 4 кв'!$B$6:$B$70,B15,'План 4 кв'!$M$6:$M$70,"В работе")+COUNTIFS('План 4 кв'!$B$6:$B$70,B15,'План 4 кв'!$M$6:$M$70,"На согласовании")</f>
        <v>2</v>
      </c>
      <c r="G15" s="15" t="n">
        <f aca="false">COUNTIFS('План 4 кв'!$B$6:$B$70,B15,'План 4 кв'!$M$6:$M$70,"Выполнено")</f>
        <v>0</v>
      </c>
      <c r="H15" s="16" t="n">
        <f aca="false">IF(C15=0,0,G15/C15)</f>
        <v>0</v>
      </c>
    </row>
    <row r="16" customFormat="false" ht="15" hidden="false" customHeight="false" outlineLevel="0" collapsed="false">
      <c r="B16" s="21" t="s">
        <v>19</v>
      </c>
      <c r="C16" s="15" t="n">
        <f aca="false">COUNTIF('План 4 кв'!$B$6:$B$70,B16)</f>
        <v>3</v>
      </c>
      <c r="D16" s="15" t="n">
        <f aca="false">COUNTIFS('План 4 кв'!$B$6:$B$70,B16,'План 4 кв'!$I$6:$I$70,"Высокий")</f>
        <v>0</v>
      </c>
      <c r="E16" s="15" t="n">
        <f aca="false">COUNTIFS('План 4 кв'!$B$6:$B$70,B16,'План 4 кв'!$M$6:$M$70,"Не начато")</f>
        <v>3</v>
      </c>
      <c r="F16" s="15" t="n">
        <f aca="false">COUNTIFS('План 4 кв'!$B$6:$B$70,B16,'План 4 кв'!$M$6:$M$70,"В работе")+COUNTIFS('План 4 кв'!$B$6:$B$70,B16,'План 4 кв'!$M$6:$M$70,"На согласовании")</f>
        <v>0</v>
      </c>
      <c r="G16" s="15" t="n">
        <f aca="false">COUNTIFS('План 4 кв'!$B$6:$B$70,B16,'План 4 кв'!$M$6:$M$70,"Выполнено")</f>
        <v>0</v>
      </c>
      <c r="H16" s="16" t="n">
        <f aca="false">IF(C16=0,0,G16/C16)</f>
        <v>0</v>
      </c>
    </row>
    <row r="17" customFormat="false" ht="15" hidden="false" customHeight="false" outlineLevel="0" collapsed="false">
      <c r="B17" s="22" t="s">
        <v>20</v>
      </c>
      <c r="C17" s="15" t="n">
        <f aca="false">COUNTIF('План 4 кв'!$B$6:$B$70,B17)</f>
        <v>17</v>
      </c>
      <c r="D17" s="15" t="n">
        <f aca="false">COUNTIFS('План 4 кв'!$B$6:$B$70,B17,'План 4 кв'!$I$6:$I$70,"Высокий")</f>
        <v>7</v>
      </c>
      <c r="E17" s="15" t="n">
        <f aca="false">COUNTIFS('План 4 кв'!$B$6:$B$70,B17,'План 4 кв'!$M$6:$M$70,"Не начато")</f>
        <v>9</v>
      </c>
      <c r="F17" s="15" t="n">
        <f aca="false">COUNTIFS('План 4 кв'!$B$6:$B$70,B17,'План 4 кв'!$M$6:$M$70,"В работе")+COUNTIFS('План 4 кв'!$B$6:$B$70,B17,'План 4 кв'!$M$6:$M$70,"На согласовании")</f>
        <v>8</v>
      </c>
      <c r="G17" s="15" t="n">
        <f aca="false">COUNTIFS('План 4 кв'!$B$6:$B$70,B17,'План 4 кв'!$M$6:$M$70,"Выполнено")</f>
        <v>0</v>
      </c>
      <c r="H17" s="16" t="n">
        <f aca="false">IF(C17=0,0,G17/C17)</f>
        <v>0</v>
      </c>
    </row>
    <row r="18" customFormat="false" ht="15" hidden="false" customHeight="false" outlineLevel="0" collapsed="false">
      <c r="B18" s="23" t="s">
        <v>21</v>
      </c>
      <c r="C18" s="15" t="n">
        <f aca="false">COUNTIF('План 4 кв'!$B$6:$B$70,B18)</f>
        <v>8</v>
      </c>
      <c r="D18" s="15" t="n">
        <f aca="false">COUNTIFS('План 4 кв'!$B$6:$B$70,B18,'План 4 кв'!$I$6:$I$70,"Высокий")</f>
        <v>1</v>
      </c>
      <c r="E18" s="15" t="n">
        <f aca="false">COUNTIFS('План 4 кв'!$B$6:$B$70,B18,'План 4 кв'!$M$6:$M$70,"Не начато")</f>
        <v>4</v>
      </c>
      <c r="F18" s="15" t="n">
        <f aca="false">COUNTIFS('План 4 кв'!$B$6:$B$70,B18,'План 4 кв'!$M$6:$M$70,"В работе")+COUNTIFS('План 4 кв'!$B$6:$B$70,B18,'План 4 кв'!$M$6:$M$70,"На согласовании")</f>
        <v>4</v>
      </c>
      <c r="G18" s="15" t="n">
        <f aca="false">COUNTIFS('План 4 кв'!$B$6:$B$70,B18,'План 4 кв'!$M$6:$M$70,"Выполнено")</f>
        <v>0</v>
      </c>
      <c r="H18" s="16" t="n">
        <f aca="false">IF(C18=0,0,G18/C18)</f>
        <v>0</v>
      </c>
    </row>
    <row r="19" customFormat="false" ht="15" hidden="false" customHeight="false" outlineLevel="0" collapsed="false">
      <c r="B19" s="24" t="s">
        <v>22</v>
      </c>
      <c r="C19" s="25" t="n">
        <f aca="false">SUM(C11:C18)</f>
        <v>57</v>
      </c>
      <c r="D19" s="25" t="n">
        <f aca="false">SUM(D11:D18)</f>
        <v>27</v>
      </c>
      <c r="E19" s="25" t="n">
        <f aca="false">SUM(E11:E18)</f>
        <v>34</v>
      </c>
      <c r="F19" s="25" t="n">
        <f aca="false">SUM(F11:F18)</f>
        <v>23</v>
      </c>
      <c r="G19" s="25" t="n">
        <f aca="false">SUM(G11:G18)</f>
        <v>0</v>
      </c>
      <c r="H19" s="26" t="n">
        <f aca="false">IF(C19=0,0,G19/C19)</f>
        <v>0</v>
      </c>
    </row>
    <row r="21" customFormat="false" ht="15" hidden="false" customHeight="false" outlineLevel="0" collapsed="false">
      <c r="B21" s="12" t="s">
        <v>23</v>
      </c>
    </row>
    <row r="22" customFormat="false" ht="27" hidden="false" customHeight="true" outlineLevel="0" collapsed="false">
      <c r="B22" s="27" t="s">
        <v>24</v>
      </c>
      <c r="C22" s="27"/>
      <c r="D22" s="27"/>
      <c r="E22" s="27"/>
      <c r="F22" s="27"/>
      <c r="G22" s="27"/>
      <c r="H22" s="27"/>
    </row>
    <row r="23" customFormat="false" ht="27" hidden="false" customHeight="true" outlineLevel="0" collapsed="false">
      <c r="B23" s="27" t="s">
        <v>25</v>
      </c>
      <c r="C23" s="27"/>
      <c r="D23" s="27"/>
      <c r="E23" s="27"/>
      <c r="F23" s="27"/>
      <c r="G23" s="27"/>
      <c r="H23" s="27"/>
    </row>
    <row r="24" customFormat="false" ht="27" hidden="false" customHeight="true" outlineLevel="0" collapsed="false">
      <c r="B24" s="27" t="s">
        <v>26</v>
      </c>
      <c r="C24" s="27"/>
      <c r="D24" s="27"/>
      <c r="E24" s="27"/>
      <c r="F24" s="27"/>
      <c r="G24" s="27"/>
      <c r="H24" s="27"/>
    </row>
    <row r="25" customFormat="false" ht="27" hidden="false" customHeight="true" outlineLevel="0" collapsed="false">
      <c r="B25" s="27" t="s">
        <v>27</v>
      </c>
      <c r="C25" s="27"/>
      <c r="D25" s="27"/>
      <c r="E25" s="27"/>
      <c r="F25" s="27"/>
      <c r="G25" s="27"/>
      <c r="H25" s="27"/>
    </row>
    <row r="26" customFormat="false" ht="27" hidden="false" customHeight="true" outlineLevel="0" collapsed="false">
      <c r="B26" s="27" t="s">
        <v>28</v>
      </c>
      <c r="C26" s="27"/>
      <c r="D26" s="27"/>
      <c r="E26" s="27"/>
      <c r="F26" s="27"/>
      <c r="G26" s="27"/>
      <c r="H26" s="27"/>
    </row>
    <row r="27" customFormat="false" ht="27" hidden="false" customHeight="true" outlineLevel="0" collapsed="false">
      <c r="B27" s="27" t="s">
        <v>29</v>
      </c>
      <c r="C27" s="27"/>
      <c r="D27" s="27"/>
      <c r="E27" s="27"/>
      <c r="F27" s="27"/>
      <c r="G27" s="27"/>
      <c r="H27" s="27"/>
    </row>
    <row r="28" customFormat="false" ht="27" hidden="false" customHeight="true" outlineLevel="0" collapsed="false">
      <c r="B28" s="27" t="s">
        <v>30</v>
      </c>
      <c r="C28" s="27"/>
      <c r="D28" s="27"/>
      <c r="E28" s="27"/>
      <c r="F28" s="27"/>
      <c r="G28" s="27"/>
      <c r="H28" s="27"/>
    </row>
    <row r="29" customFormat="false" ht="27" hidden="false" customHeight="true" outlineLevel="0" collapsed="false">
      <c r="B29" s="27" t="s">
        <v>31</v>
      </c>
      <c r="C29" s="27"/>
      <c r="D29" s="27"/>
      <c r="E29" s="27"/>
      <c r="F29" s="27"/>
      <c r="G29" s="27"/>
      <c r="H29" s="27"/>
    </row>
    <row r="31" customFormat="false" ht="15" hidden="false" customHeight="false" outlineLevel="0" collapsed="false">
      <c r="B31" s="12" t="s">
        <v>32</v>
      </c>
    </row>
    <row r="32" customFormat="false" ht="27" hidden="false" customHeight="true" outlineLevel="0" collapsed="false">
      <c r="B32" s="27" t="s">
        <v>33</v>
      </c>
      <c r="C32" s="27"/>
      <c r="D32" s="27"/>
      <c r="E32" s="27"/>
      <c r="F32" s="27"/>
      <c r="G32" s="27"/>
      <c r="H32" s="28" t="n">
        <v>46304</v>
      </c>
    </row>
    <row r="33" customFormat="false" ht="27" hidden="false" customHeight="true" outlineLevel="0" collapsed="false">
      <c r="B33" s="27" t="s">
        <v>34</v>
      </c>
      <c r="C33" s="27"/>
      <c r="D33" s="27"/>
      <c r="E33" s="27"/>
      <c r="F33" s="27"/>
      <c r="G33" s="27"/>
      <c r="H33" s="28" t="n">
        <v>46311</v>
      </c>
    </row>
    <row r="34" customFormat="false" ht="27" hidden="false" customHeight="true" outlineLevel="0" collapsed="false">
      <c r="B34" s="27" t="s">
        <v>35</v>
      </c>
      <c r="C34" s="27"/>
      <c r="D34" s="27"/>
      <c r="E34" s="27"/>
      <c r="F34" s="27"/>
      <c r="G34" s="27"/>
      <c r="H34" s="28" t="n">
        <v>46315</v>
      </c>
    </row>
    <row r="35" customFormat="false" ht="27" hidden="false" customHeight="true" outlineLevel="0" collapsed="false">
      <c r="B35" s="27" t="s">
        <v>36</v>
      </c>
      <c r="C35" s="27"/>
      <c r="D35" s="27"/>
      <c r="E35" s="27"/>
      <c r="F35" s="27"/>
      <c r="G35" s="27"/>
      <c r="H35" s="28" t="n">
        <v>46329</v>
      </c>
    </row>
    <row r="36" customFormat="false" ht="27" hidden="false" customHeight="true" outlineLevel="0" collapsed="false">
      <c r="B36" s="27" t="s">
        <v>37</v>
      </c>
      <c r="C36" s="27"/>
      <c r="D36" s="27"/>
      <c r="E36" s="27"/>
      <c r="F36" s="27"/>
      <c r="G36" s="27"/>
      <c r="H36" s="28" t="n">
        <v>46346</v>
      </c>
    </row>
    <row r="37" customFormat="false" ht="27" hidden="false" customHeight="true" outlineLevel="0" collapsed="false">
      <c r="B37" s="27" t="s">
        <v>38</v>
      </c>
      <c r="C37" s="27"/>
      <c r="D37" s="27"/>
      <c r="E37" s="27"/>
      <c r="F37" s="27"/>
      <c r="G37" s="27"/>
      <c r="H37" s="28" t="n">
        <v>46374</v>
      </c>
    </row>
    <row r="38" customFormat="false" ht="27" hidden="false" customHeight="true" outlineLevel="0" collapsed="false">
      <c r="B38" s="27" t="s">
        <v>39</v>
      </c>
      <c r="C38" s="27"/>
      <c r="D38" s="27"/>
      <c r="E38" s="27"/>
      <c r="F38" s="27"/>
      <c r="G38" s="27"/>
      <c r="H38" s="28" t="n">
        <v>46386</v>
      </c>
    </row>
  </sheetData>
  <mergeCells count="21">
    <mergeCell ref="C6:D6"/>
    <mergeCell ref="E6:F6"/>
    <mergeCell ref="G6:H6"/>
    <mergeCell ref="C7:D7"/>
    <mergeCell ref="E7:F7"/>
    <mergeCell ref="G7:H7"/>
    <mergeCell ref="B22:H22"/>
    <mergeCell ref="B23:H23"/>
    <mergeCell ref="B24:H24"/>
    <mergeCell ref="B25:H25"/>
    <mergeCell ref="B26:H26"/>
    <mergeCell ref="B27:H27"/>
    <mergeCell ref="B28:H28"/>
    <mergeCell ref="B29:H29"/>
    <mergeCell ref="B32:G32"/>
    <mergeCell ref="B33:G33"/>
    <mergeCell ref="B34:G34"/>
    <mergeCell ref="B35:G35"/>
    <mergeCell ref="B36:G36"/>
    <mergeCell ref="B37:G37"/>
    <mergeCell ref="B38:G38"/>
  </mergeCells>
  <conditionalFormatting sqref="H11:H19">
    <cfRule type="dataBar" priority="2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{B0CFD937-55DA-4B3C-9856-E934A88AB463}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CFD937-55DA-4B3C-9856-E934A88AB46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H11:H19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7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7"/>
    <col collapsed="false" customWidth="true" hidden="false" outlineLevel="0" max="8" min="7" style="0" width="9.5"/>
    <col collapsed="false" customWidth="true" hidden="false" outlineLevel="0" max="9" min="9" style="0" width="10"/>
    <col collapsed="false" customWidth="true" hidden="false" outlineLevel="0" max="10" min="10" style="0" width="24"/>
    <col collapsed="false" customWidth="true" hidden="false" outlineLevel="0" max="11" min="11" style="0" width="22"/>
    <col collapsed="false" customWidth="true" hidden="false" outlineLevel="0" max="12" min="12" style="0" width="32"/>
    <col collapsed="false" customWidth="true" hidden="false" outlineLevel="0" max="13" min="13" style="0" width="13"/>
    <col collapsed="false" customWidth="true" hidden="false" outlineLevel="0" max="27" min="14" style="0" width="5.2"/>
  </cols>
  <sheetData>
    <row r="1" customFormat="false" ht="17.35" hidden="false" customHeight="false" outlineLevel="0" collapsed="false">
      <c r="A1" s="29" t="s">
        <v>40</v>
      </c>
    </row>
    <row r="2" customFormat="false" ht="15" hidden="false" customHeight="false" outlineLevel="0" collapsed="false">
      <c r="A2" s="30" t="s">
        <v>41</v>
      </c>
    </row>
    <row r="3" customFormat="false" ht="15" hidden="false" customHeight="false" outlineLevel="0" collapsed="false">
      <c r="A3" s="31" t="s">
        <v>42</v>
      </c>
    </row>
    <row r="4" customFormat="false" ht="15" hidden="false" customHeight="true" outlineLevel="0" collapsed="false">
      <c r="A4" s="32" t="s">
        <v>43</v>
      </c>
      <c r="B4" s="32" t="s">
        <v>8</v>
      </c>
      <c r="C4" s="32" t="s">
        <v>44</v>
      </c>
      <c r="D4" s="32" t="s">
        <v>45</v>
      </c>
      <c r="E4" s="32" t="s">
        <v>46</v>
      </c>
      <c r="F4" s="32" t="s">
        <v>47</v>
      </c>
      <c r="G4" s="32" t="s">
        <v>48</v>
      </c>
      <c r="H4" s="32" t="s">
        <v>49</v>
      </c>
      <c r="I4" s="32" t="s">
        <v>50</v>
      </c>
      <c r="J4" s="32" t="s">
        <v>51</v>
      </c>
      <c r="K4" s="32" t="s">
        <v>52</v>
      </c>
      <c r="L4" s="32" t="s">
        <v>53</v>
      </c>
      <c r="M4" s="32" t="s">
        <v>54</v>
      </c>
      <c r="N4" s="33" t="s">
        <v>55</v>
      </c>
      <c r="O4" s="33"/>
      <c r="P4" s="33"/>
      <c r="Q4" s="33"/>
      <c r="R4" s="33"/>
      <c r="S4" s="33" t="s">
        <v>56</v>
      </c>
      <c r="T4" s="33"/>
      <c r="U4" s="33"/>
      <c r="V4" s="33"/>
      <c r="W4" s="33" t="s">
        <v>57</v>
      </c>
      <c r="X4" s="33"/>
      <c r="Y4" s="33"/>
      <c r="Z4" s="33"/>
      <c r="AA4" s="33"/>
    </row>
    <row r="5" customFormat="false" ht="30" hidden="false" customHeight="true" outlineLevel="0" collapsed="false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4" t="n">
        <v>46293</v>
      </c>
      <c r="O5" s="34" t="n">
        <v>46300</v>
      </c>
      <c r="P5" s="34" t="n">
        <v>46307</v>
      </c>
      <c r="Q5" s="34" t="n">
        <v>46314</v>
      </c>
      <c r="R5" s="34" t="n">
        <v>46321</v>
      </c>
      <c r="S5" s="34" t="n">
        <v>46328</v>
      </c>
      <c r="T5" s="34" t="n">
        <v>46335</v>
      </c>
      <c r="U5" s="34" t="n">
        <v>46342</v>
      </c>
      <c r="V5" s="34" t="n">
        <v>46349</v>
      </c>
      <c r="W5" s="34" t="n">
        <v>46356</v>
      </c>
      <c r="X5" s="34" t="n">
        <v>46363</v>
      </c>
      <c r="Y5" s="34" t="n">
        <v>46370</v>
      </c>
      <c r="Z5" s="34" t="n">
        <v>46377</v>
      </c>
      <c r="AA5" s="34" t="n">
        <v>46384</v>
      </c>
    </row>
    <row r="6" customFormat="false" ht="19.5" hidden="false" customHeight="true" outlineLevel="0" collapsed="false">
      <c r="A6" s="35" t="s">
        <v>58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customFormat="false" ht="23.85" hidden="false" customHeight="false" outlineLevel="0" collapsed="false">
      <c r="A7" s="15" t="n">
        <v>1</v>
      </c>
      <c r="B7" s="37" t="s">
        <v>14</v>
      </c>
      <c r="C7" s="38" t="s">
        <v>59</v>
      </c>
      <c r="D7" s="38" t="s">
        <v>60</v>
      </c>
      <c r="E7" s="38" t="s">
        <v>61</v>
      </c>
      <c r="F7" s="38" t="s">
        <v>62</v>
      </c>
      <c r="G7" s="39" t="n">
        <v>46296</v>
      </c>
      <c r="H7" s="39" t="n">
        <v>46304</v>
      </c>
      <c r="I7" s="40" t="s">
        <v>10</v>
      </c>
      <c r="J7" s="41" t="s">
        <v>63</v>
      </c>
      <c r="K7" s="41" t="s">
        <v>64</v>
      </c>
      <c r="L7" s="41" t="s">
        <v>65</v>
      </c>
      <c r="M7" s="40" t="s">
        <v>66</v>
      </c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 customFormat="false" ht="35.05" hidden="false" customHeight="false" outlineLevel="0" collapsed="false">
      <c r="A8" s="15" t="n">
        <v>2</v>
      </c>
      <c r="B8" s="37" t="s">
        <v>14</v>
      </c>
      <c r="C8" s="38" t="s">
        <v>67</v>
      </c>
      <c r="D8" s="38" t="s">
        <v>68</v>
      </c>
      <c r="E8" s="38" t="s">
        <v>69</v>
      </c>
      <c r="F8" s="38" t="s">
        <v>62</v>
      </c>
      <c r="G8" s="39" t="n">
        <v>46300</v>
      </c>
      <c r="H8" s="39" t="n">
        <v>46318</v>
      </c>
      <c r="I8" s="40" t="s">
        <v>10</v>
      </c>
      <c r="J8" s="41" t="s">
        <v>70</v>
      </c>
      <c r="K8" s="41" t="s">
        <v>64</v>
      </c>
      <c r="L8" s="41" t="s">
        <v>71</v>
      </c>
      <c r="M8" s="40" t="s">
        <v>11</v>
      </c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customFormat="false" ht="23.85" hidden="false" customHeight="false" outlineLevel="0" collapsed="false">
      <c r="A9" s="15" t="n">
        <v>3</v>
      </c>
      <c r="B9" s="37" t="s">
        <v>14</v>
      </c>
      <c r="C9" s="38" t="s">
        <v>72</v>
      </c>
      <c r="D9" s="38" t="s">
        <v>73</v>
      </c>
      <c r="E9" s="38" t="s">
        <v>61</v>
      </c>
      <c r="F9" s="38" t="s">
        <v>62</v>
      </c>
      <c r="G9" s="39" t="n">
        <v>46307</v>
      </c>
      <c r="H9" s="39" t="n">
        <v>46329</v>
      </c>
      <c r="I9" s="40" t="s">
        <v>10</v>
      </c>
      <c r="J9" s="41" t="s">
        <v>74</v>
      </c>
      <c r="K9" s="41" t="s">
        <v>64</v>
      </c>
      <c r="L9" s="41" t="s">
        <v>75</v>
      </c>
      <c r="M9" s="40" t="s">
        <v>11</v>
      </c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customFormat="false" ht="23.85" hidden="false" customHeight="false" outlineLevel="0" collapsed="false">
      <c r="A10" s="15" t="n">
        <v>4</v>
      </c>
      <c r="B10" s="37" t="s">
        <v>14</v>
      </c>
      <c r="C10" s="38" t="s">
        <v>76</v>
      </c>
      <c r="D10" s="38" t="s">
        <v>77</v>
      </c>
      <c r="E10" s="38" t="s">
        <v>61</v>
      </c>
      <c r="F10" s="38" t="s">
        <v>78</v>
      </c>
      <c r="G10" s="39" t="n">
        <v>46328</v>
      </c>
      <c r="H10" s="39" t="n">
        <v>46353</v>
      </c>
      <c r="I10" s="40" t="s">
        <v>79</v>
      </c>
      <c r="J10" s="41" t="s">
        <v>80</v>
      </c>
      <c r="K10" s="41" t="s">
        <v>64</v>
      </c>
      <c r="L10" s="41" t="s">
        <v>81</v>
      </c>
      <c r="M10" s="40" t="s">
        <v>11</v>
      </c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customFormat="false" ht="23.85" hidden="false" customHeight="false" outlineLevel="0" collapsed="false">
      <c r="A11" s="15" t="n">
        <v>5</v>
      </c>
      <c r="B11" s="37" t="s">
        <v>14</v>
      </c>
      <c r="C11" s="38" t="s">
        <v>82</v>
      </c>
      <c r="D11" s="38" t="s">
        <v>83</v>
      </c>
      <c r="E11" s="38" t="s">
        <v>61</v>
      </c>
      <c r="F11" s="38" t="s">
        <v>62</v>
      </c>
      <c r="G11" s="39" t="n">
        <v>46335</v>
      </c>
      <c r="H11" s="39" t="n">
        <v>46356</v>
      </c>
      <c r="I11" s="40" t="s">
        <v>79</v>
      </c>
      <c r="J11" s="41" t="s">
        <v>84</v>
      </c>
      <c r="K11" s="41" t="s">
        <v>64</v>
      </c>
      <c r="L11" s="41" t="s">
        <v>81</v>
      </c>
      <c r="M11" s="40" t="s">
        <v>11</v>
      </c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customFormat="false" ht="23.85" hidden="false" customHeight="false" outlineLevel="0" collapsed="false">
      <c r="A12" s="15" t="n">
        <v>6</v>
      </c>
      <c r="B12" s="37" t="s">
        <v>14</v>
      </c>
      <c r="C12" s="38" t="s">
        <v>85</v>
      </c>
      <c r="D12" s="38" t="s">
        <v>86</v>
      </c>
      <c r="E12" s="38" t="s">
        <v>61</v>
      </c>
      <c r="F12" s="38" t="s">
        <v>62</v>
      </c>
      <c r="G12" s="39" t="n">
        <v>46357</v>
      </c>
      <c r="H12" s="39" t="n">
        <v>46381</v>
      </c>
      <c r="I12" s="40" t="s">
        <v>10</v>
      </c>
      <c r="J12" s="41" t="s">
        <v>87</v>
      </c>
      <c r="K12" s="41" t="s">
        <v>64</v>
      </c>
      <c r="L12" s="41" t="s">
        <v>88</v>
      </c>
      <c r="M12" s="40" t="s">
        <v>11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customFormat="false" ht="23.85" hidden="false" customHeight="false" outlineLevel="0" collapsed="false">
      <c r="A13" s="15" t="n">
        <v>7</v>
      </c>
      <c r="B13" s="37" t="s">
        <v>14</v>
      </c>
      <c r="C13" s="38" t="s">
        <v>89</v>
      </c>
      <c r="D13" s="38" t="s">
        <v>90</v>
      </c>
      <c r="E13" s="38" t="s">
        <v>61</v>
      </c>
      <c r="F13" s="38" t="s">
        <v>91</v>
      </c>
      <c r="G13" s="39" t="n">
        <v>46357</v>
      </c>
      <c r="H13" s="39" t="n">
        <v>46381</v>
      </c>
      <c r="I13" s="40" t="s">
        <v>92</v>
      </c>
      <c r="J13" s="41" t="s">
        <v>93</v>
      </c>
      <c r="K13" s="41" t="s">
        <v>64</v>
      </c>
      <c r="L13" s="41" t="s">
        <v>81</v>
      </c>
      <c r="M13" s="40" t="s">
        <v>11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customFormat="false" ht="15" hidden="false" customHeight="false" outlineLevel="0" collapsed="false">
      <c r="A14" s="15" t="n">
        <v>8</v>
      </c>
      <c r="B14" s="37" t="s">
        <v>14</v>
      </c>
      <c r="C14" s="38" t="s">
        <v>94</v>
      </c>
      <c r="D14" s="38" t="s">
        <v>95</v>
      </c>
      <c r="E14" s="38" t="s">
        <v>61</v>
      </c>
      <c r="F14" s="38" t="s">
        <v>62</v>
      </c>
      <c r="G14" s="39" t="n">
        <v>46370</v>
      </c>
      <c r="H14" s="39" t="n">
        <v>46386</v>
      </c>
      <c r="I14" s="40" t="s">
        <v>92</v>
      </c>
      <c r="J14" s="41" t="s">
        <v>96</v>
      </c>
      <c r="K14" s="41" t="s">
        <v>64</v>
      </c>
      <c r="L14" s="41" t="s">
        <v>81</v>
      </c>
      <c r="M14" s="40" t="s">
        <v>11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customFormat="false" ht="19.5" hidden="false" customHeight="true" outlineLevel="0" collapsed="false">
      <c r="A15" s="43" t="s">
        <v>97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 customFormat="false" ht="23.85" hidden="false" customHeight="false" outlineLevel="0" collapsed="false">
      <c r="A16" s="15" t="n">
        <v>9</v>
      </c>
      <c r="B16" s="45" t="s">
        <v>15</v>
      </c>
      <c r="C16" s="38" t="s">
        <v>98</v>
      </c>
      <c r="D16" s="38" t="s">
        <v>99</v>
      </c>
      <c r="E16" s="38" t="s">
        <v>100</v>
      </c>
      <c r="F16" s="38" t="s">
        <v>101</v>
      </c>
      <c r="G16" s="39" t="n">
        <v>46296</v>
      </c>
      <c r="H16" s="39" t="n">
        <v>46311</v>
      </c>
      <c r="I16" s="40" t="s">
        <v>10</v>
      </c>
      <c r="J16" s="41" t="s">
        <v>102</v>
      </c>
      <c r="K16" s="41" t="s">
        <v>103</v>
      </c>
      <c r="L16" s="41" t="s">
        <v>104</v>
      </c>
      <c r="M16" s="40" t="s">
        <v>105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customFormat="false" ht="23.85" hidden="false" customHeight="false" outlineLevel="0" collapsed="false">
      <c r="A17" s="15" t="n">
        <v>10</v>
      </c>
      <c r="B17" s="45" t="s">
        <v>15</v>
      </c>
      <c r="C17" s="38" t="s">
        <v>106</v>
      </c>
      <c r="D17" s="38" t="s">
        <v>107</v>
      </c>
      <c r="E17" s="38" t="s">
        <v>100</v>
      </c>
      <c r="F17" s="38" t="s">
        <v>62</v>
      </c>
      <c r="G17" s="39" t="n">
        <v>46300</v>
      </c>
      <c r="H17" s="39" t="n">
        <v>46318</v>
      </c>
      <c r="I17" s="40" t="s">
        <v>10</v>
      </c>
      <c r="J17" s="41" t="s">
        <v>108</v>
      </c>
      <c r="K17" s="41" t="s">
        <v>103</v>
      </c>
      <c r="L17" s="41" t="s">
        <v>81</v>
      </c>
      <c r="M17" s="40" t="s">
        <v>11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customFormat="false" ht="23.85" hidden="false" customHeight="false" outlineLevel="0" collapsed="false">
      <c r="A18" s="15" t="n">
        <v>11</v>
      </c>
      <c r="B18" s="45" t="s">
        <v>15</v>
      </c>
      <c r="C18" s="38" t="s">
        <v>109</v>
      </c>
      <c r="D18" s="38" t="s">
        <v>110</v>
      </c>
      <c r="E18" s="38" t="s">
        <v>100</v>
      </c>
      <c r="F18" s="38" t="s">
        <v>111</v>
      </c>
      <c r="G18" s="39" t="n">
        <v>46321</v>
      </c>
      <c r="H18" s="39" t="n">
        <v>46360</v>
      </c>
      <c r="I18" s="40" t="s">
        <v>10</v>
      </c>
      <c r="J18" s="41" t="s">
        <v>112</v>
      </c>
      <c r="K18" s="41" t="s">
        <v>103</v>
      </c>
      <c r="L18" s="41" t="s">
        <v>81</v>
      </c>
      <c r="M18" s="40" t="s">
        <v>11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customFormat="false" ht="35.05" hidden="false" customHeight="false" outlineLevel="0" collapsed="false">
      <c r="A19" s="15" t="n">
        <v>12</v>
      </c>
      <c r="B19" s="45" t="s">
        <v>15</v>
      </c>
      <c r="C19" s="38" t="s">
        <v>113</v>
      </c>
      <c r="D19" s="38" t="s">
        <v>114</v>
      </c>
      <c r="E19" s="38" t="s">
        <v>100</v>
      </c>
      <c r="F19" s="38" t="s">
        <v>78</v>
      </c>
      <c r="G19" s="39" t="n">
        <v>46363</v>
      </c>
      <c r="H19" s="39" t="n">
        <v>46386</v>
      </c>
      <c r="I19" s="40" t="s">
        <v>10</v>
      </c>
      <c r="J19" s="41" t="s">
        <v>115</v>
      </c>
      <c r="K19" s="41" t="s">
        <v>103</v>
      </c>
      <c r="L19" s="41" t="s">
        <v>81</v>
      </c>
      <c r="M19" s="40" t="s">
        <v>11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customFormat="false" ht="35.05" hidden="false" customHeight="false" outlineLevel="0" collapsed="false">
      <c r="A20" s="15" t="n">
        <v>13</v>
      </c>
      <c r="B20" s="45" t="s">
        <v>15</v>
      </c>
      <c r="C20" s="38" t="s">
        <v>116</v>
      </c>
      <c r="D20" s="38" t="s">
        <v>117</v>
      </c>
      <c r="E20" s="38" t="s">
        <v>118</v>
      </c>
      <c r="F20" s="38" t="s">
        <v>62</v>
      </c>
      <c r="G20" s="39" t="n">
        <v>46356</v>
      </c>
      <c r="H20" s="39" t="n">
        <v>46381</v>
      </c>
      <c r="I20" s="40" t="s">
        <v>79</v>
      </c>
      <c r="J20" s="41" t="s">
        <v>119</v>
      </c>
      <c r="K20" s="41" t="s">
        <v>103</v>
      </c>
      <c r="L20" s="41" t="s">
        <v>120</v>
      </c>
      <c r="M20" s="40" t="s">
        <v>11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customFormat="false" ht="23.85" hidden="false" customHeight="false" outlineLevel="0" collapsed="false">
      <c r="A21" s="15" t="n">
        <v>14</v>
      </c>
      <c r="B21" s="45" t="s">
        <v>15</v>
      </c>
      <c r="C21" s="38" t="s">
        <v>121</v>
      </c>
      <c r="D21" s="38" t="s">
        <v>122</v>
      </c>
      <c r="E21" s="38" t="s">
        <v>61</v>
      </c>
      <c r="F21" s="38" t="s">
        <v>62</v>
      </c>
      <c r="G21" s="39" t="n">
        <v>46342</v>
      </c>
      <c r="H21" s="39" t="n">
        <v>46381</v>
      </c>
      <c r="I21" s="40" t="s">
        <v>79</v>
      </c>
      <c r="J21" s="41" t="s">
        <v>123</v>
      </c>
      <c r="K21" s="41" t="s">
        <v>64</v>
      </c>
      <c r="L21" s="41" t="s">
        <v>124</v>
      </c>
      <c r="M21" s="40" t="s">
        <v>11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customFormat="false" ht="19.5" hidden="false" customHeight="true" outlineLevel="0" collapsed="false">
      <c r="A22" s="46" t="s">
        <v>125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 customFormat="false" ht="35.05" hidden="false" customHeight="false" outlineLevel="0" collapsed="false">
      <c r="A23" s="15" t="n">
        <v>15</v>
      </c>
      <c r="B23" s="48" t="s">
        <v>16</v>
      </c>
      <c r="C23" s="38" t="s">
        <v>126</v>
      </c>
      <c r="D23" s="38" t="s">
        <v>127</v>
      </c>
      <c r="E23" s="38" t="s">
        <v>61</v>
      </c>
      <c r="F23" s="38" t="s">
        <v>78</v>
      </c>
      <c r="G23" s="39" t="n">
        <v>46296</v>
      </c>
      <c r="H23" s="39" t="n">
        <v>46304</v>
      </c>
      <c r="I23" s="40" t="s">
        <v>10</v>
      </c>
      <c r="J23" s="41" t="s">
        <v>128</v>
      </c>
      <c r="K23" s="41" t="s">
        <v>129</v>
      </c>
      <c r="L23" s="41" t="s">
        <v>130</v>
      </c>
      <c r="M23" s="40" t="s">
        <v>66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customFormat="false" ht="23.85" hidden="false" customHeight="false" outlineLevel="0" collapsed="false">
      <c r="A24" s="15" t="n">
        <v>16</v>
      </c>
      <c r="B24" s="48" t="s">
        <v>16</v>
      </c>
      <c r="C24" s="38" t="s">
        <v>131</v>
      </c>
      <c r="D24" s="38" t="s">
        <v>132</v>
      </c>
      <c r="E24" s="38" t="s">
        <v>61</v>
      </c>
      <c r="F24" s="38" t="s">
        <v>78</v>
      </c>
      <c r="G24" s="39" t="n">
        <v>46307</v>
      </c>
      <c r="H24" s="39" t="n">
        <v>46329</v>
      </c>
      <c r="I24" s="40" t="s">
        <v>10</v>
      </c>
      <c r="J24" s="41" t="s">
        <v>133</v>
      </c>
      <c r="K24" s="41" t="s">
        <v>129</v>
      </c>
      <c r="L24" s="41" t="s">
        <v>134</v>
      </c>
      <c r="M24" s="40" t="s">
        <v>105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customFormat="false" ht="23.85" hidden="false" customHeight="false" outlineLevel="0" collapsed="false">
      <c r="A25" s="15" t="n">
        <v>17</v>
      </c>
      <c r="B25" s="48" t="s">
        <v>16</v>
      </c>
      <c r="C25" s="38" t="s">
        <v>135</v>
      </c>
      <c r="D25" s="38" t="s">
        <v>136</v>
      </c>
      <c r="E25" s="38" t="s">
        <v>100</v>
      </c>
      <c r="F25" s="38" t="s">
        <v>78</v>
      </c>
      <c r="G25" s="39" t="n">
        <v>46300</v>
      </c>
      <c r="H25" s="39" t="n">
        <v>46339</v>
      </c>
      <c r="I25" s="40" t="s">
        <v>10</v>
      </c>
      <c r="J25" s="41" t="s">
        <v>137</v>
      </c>
      <c r="K25" s="41" t="s">
        <v>129</v>
      </c>
      <c r="L25" s="41" t="s">
        <v>138</v>
      </c>
      <c r="M25" s="40" t="s">
        <v>105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customFormat="false" ht="23.85" hidden="false" customHeight="false" outlineLevel="0" collapsed="false">
      <c r="A26" s="15" t="n">
        <v>18</v>
      </c>
      <c r="B26" s="48" t="s">
        <v>16</v>
      </c>
      <c r="C26" s="38" t="s">
        <v>139</v>
      </c>
      <c r="D26" s="38" t="s">
        <v>140</v>
      </c>
      <c r="E26" s="38" t="s">
        <v>61</v>
      </c>
      <c r="F26" s="38" t="s">
        <v>91</v>
      </c>
      <c r="G26" s="39" t="n">
        <v>46300</v>
      </c>
      <c r="H26" s="39" t="n">
        <v>46374</v>
      </c>
      <c r="I26" s="40" t="s">
        <v>10</v>
      </c>
      <c r="J26" s="41" t="s">
        <v>141</v>
      </c>
      <c r="K26" s="41" t="s">
        <v>129</v>
      </c>
      <c r="L26" s="41" t="s">
        <v>142</v>
      </c>
      <c r="M26" s="40" t="s">
        <v>105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customFormat="false" ht="35.05" hidden="false" customHeight="false" outlineLevel="0" collapsed="false">
      <c r="A27" s="15" t="n">
        <v>19</v>
      </c>
      <c r="B27" s="48" t="s">
        <v>16</v>
      </c>
      <c r="C27" s="38" t="s">
        <v>143</v>
      </c>
      <c r="D27" s="38" t="s">
        <v>144</v>
      </c>
      <c r="E27" s="38" t="s">
        <v>61</v>
      </c>
      <c r="F27" s="38" t="s">
        <v>62</v>
      </c>
      <c r="G27" s="39" t="n">
        <v>46307</v>
      </c>
      <c r="H27" s="39" t="n">
        <v>46346</v>
      </c>
      <c r="I27" s="40" t="s">
        <v>10</v>
      </c>
      <c r="J27" s="41" t="s">
        <v>145</v>
      </c>
      <c r="K27" s="41" t="s">
        <v>129</v>
      </c>
      <c r="L27" s="41" t="s">
        <v>146</v>
      </c>
      <c r="M27" s="40" t="s">
        <v>66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customFormat="false" ht="23.85" hidden="false" customHeight="false" outlineLevel="0" collapsed="false">
      <c r="A28" s="15" t="n">
        <v>20</v>
      </c>
      <c r="B28" s="48" t="s">
        <v>16</v>
      </c>
      <c r="C28" s="38" t="s">
        <v>147</v>
      </c>
      <c r="D28" s="38" t="s">
        <v>148</v>
      </c>
      <c r="E28" s="38" t="s">
        <v>61</v>
      </c>
      <c r="F28" s="38" t="s">
        <v>91</v>
      </c>
      <c r="G28" s="39" t="n">
        <v>46349</v>
      </c>
      <c r="H28" s="39" t="n">
        <v>46374</v>
      </c>
      <c r="I28" s="40" t="s">
        <v>79</v>
      </c>
      <c r="J28" s="41" t="s">
        <v>149</v>
      </c>
      <c r="K28" s="41" t="s">
        <v>129</v>
      </c>
      <c r="L28" s="41" t="s">
        <v>81</v>
      </c>
      <c r="M28" s="40" t="s">
        <v>11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</row>
    <row r="29" customFormat="false" ht="19.5" hidden="false" customHeight="true" outlineLevel="0" collapsed="false">
      <c r="A29" s="49" t="s">
        <v>150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</row>
    <row r="30" customFormat="false" ht="23.85" hidden="false" customHeight="false" outlineLevel="0" collapsed="false">
      <c r="A30" s="15" t="n">
        <v>21</v>
      </c>
      <c r="B30" s="51" t="s">
        <v>17</v>
      </c>
      <c r="C30" s="38" t="s">
        <v>151</v>
      </c>
      <c r="D30" s="38" t="s">
        <v>99</v>
      </c>
      <c r="E30" s="38" t="s">
        <v>61</v>
      </c>
      <c r="F30" s="38" t="s">
        <v>62</v>
      </c>
      <c r="G30" s="39" t="n">
        <v>46296</v>
      </c>
      <c r="H30" s="39" t="n">
        <v>46304</v>
      </c>
      <c r="I30" s="40" t="s">
        <v>10</v>
      </c>
      <c r="J30" s="41" t="s">
        <v>152</v>
      </c>
      <c r="K30" s="41" t="s">
        <v>129</v>
      </c>
      <c r="L30" s="41" t="s">
        <v>153</v>
      </c>
      <c r="M30" s="40" t="s">
        <v>66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customFormat="false" ht="35.05" hidden="false" customHeight="false" outlineLevel="0" collapsed="false">
      <c r="A31" s="15" t="n">
        <v>22</v>
      </c>
      <c r="B31" s="51" t="s">
        <v>17</v>
      </c>
      <c r="C31" s="38" t="s">
        <v>154</v>
      </c>
      <c r="D31" s="38" t="s">
        <v>155</v>
      </c>
      <c r="E31" s="38" t="s">
        <v>61</v>
      </c>
      <c r="F31" s="38" t="s">
        <v>78</v>
      </c>
      <c r="G31" s="39" t="n">
        <v>46307</v>
      </c>
      <c r="H31" s="39" t="n">
        <v>46325</v>
      </c>
      <c r="I31" s="40" t="s">
        <v>10</v>
      </c>
      <c r="J31" s="41" t="s">
        <v>156</v>
      </c>
      <c r="K31" s="41" t="s">
        <v>129</v>
      </c>
      <c r="L31" s="41" t="s">
        <v>157</v>
      </c>
      <c r="M31" s="40" t="s">
        <v>11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</row>
    <row r="32" customFormat="false" ht="23.85" hidden="false" customHeight="false" outlineLevel="0" collapsed="false">
      <c r="A32" s="15" t="n">
        <v>23</v>
      </c>
      <c r="B32" s="51" t="s">
        <v>17</v>
      </c>
      <c r="C32" s="38" t="s">
        <v>158</v>
      </c>
      <c r="D32" s="38" t="s">
        <v>159</v>
      </c>
      <c r="E32" s="38" t="s">
        <v>61</v>
      </c>
      <c r="F32" s="38" t="s">
        <v>78</v>
      </c>
      <c r="G32" s="39" t="n">
        <v>46328</v>
      </c>
      <c r="H32" s="39" t="n">
        <v>46374</v>
      </c>
      <c r="I32" s="40" t="s">
        <v>10</v>
      </c>
      <c r="J32" s="41" t="s">
        <v>160</v>
      </c>
      <c r="K32" s="41" t="s">
        <v>129</v>
      </c>
      <c r="L32" s="41" t="s">
        <v>81</v>
      </c>
      <c r="M32" s="40" t="s">
        <v>11</v>
      </c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customFormat="false" ht="23.85" hidden="false" customHeight="false" outlineLevel="0" collapsed="false">
      <c r="A33" s="15" t="n">
        <v>24</v>
      </c>
      <c r="B33" s="51" t="s">
        <v>17</v>
      </c>
      <c r="C33" s="38" t="s">
        <v>161</v>
      </c>
      <c r="D33" s="38" t="s">
        <v>162</v>
      </c>
      <c r="E33" s="38" t="s">
        <v>61</v>
      </c>
      <c r="F33" s="38" t="s">
        <v>62</v>
      </c>
      <c r="G33" s="39" t="n">
        <v>46314</v>
      </c>
      <c r="H33" s="39" t="n">
        <v>46374</v>
      </c>
      <c r="I33" s="40" t="s">
        <v>10</v>
      </c>
      <c r="J33" s="41" t="s">
        <v>163</v>
      </c>
      <c r="K33" s="41" t="s">
        <v>129</v>
      </c>
      <c r="L33" s="41" t="s">
        <v>81</v>
      </c>
      <c r="M33" s="40" t="s">
        <v>11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  <row r="34" customFormat="false" ht="35.05" hidden="false" customHeight="false" outlineLevel="0" collapsed="false">
      <c r="A34" s="15" t="n">
        <v>25</v>
      </c>
      <c r="B34" s="51" t="s">
        <v>17</v>
      </c>
      <c r="C34" s="38" t="s">
        <v>164</v>
      </c>
      <c r="D34" s="38" t="s">
        <v>165</v>
      </c>
      <c r="E34" s="38" t="s">
        <v>61</v>
      </c>
      <c r="F34" s="38" t="s">
        <v>166</v>
      </c>
      <c r="G34" s="39" t="n">
        <v>46307</v>
      </c>
      <c r="H34" s="39" t="n">
        <v>46329</v>
      </c>
      <c r="I34" s="40" t="s">
        <v>79</v>
      </c>
      <c r="J34" s="41" t="s">
        <v>167</v>
      </c>
      <c r="K34" s="41" t="s">
        <v>129</v>
      </c>
      <c r="L34" s="41" t="s">
        <v>168</v>
      </c>
      <c r="M34" s="40" t="s">
        <v>105</v>
      </c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customFormat="false" ht="19.5" hidden="false" customHeight="true" outlineLevel="0" collapsed="false">
      <c r="A35" s="52" t="s">
        <v>169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</row>
    <row r="36" customFormat="false" ht="23.85" hidden="false" customHeight="false" outlineLevel="0" collapsed="false">
      <c r="A36" s="15" t="n">
        <v>26</v>
      </c>
      <c r="B36" s="54" t="s">
        <v>18</v>
      </c>
      <c r="C36" s="38" t="s">
        <v>170</v>
      </c>
      <c r="D36" s="38" t="s">
        <v>171</v>
      </c>
      <c r="E36" s="38" t="s">
        <v>61</v>
      </c>
      <c r="F36" s="38" t="s">
        <v>62</v>
      </c>
      <c r="G36" s="39" t="n">
        <v>46296</v>
      </c>
      <c r="H36" s="39" t="n">
        <v>46339</v>
      </c>
      <c r="I36" s="40" t="s">
        <v>10</v>
      </c>
      <c r="J36" s="41" t="s">
        <v>172</v>
      </c>
      <c r="K36" s="41" t="s">
        <v>173</v>
      </c>
      <c r="L36" s="41" t="s">
        <v>174</v>
      </c>
      <c r="M36" s="40" t="s">
        <v>66</v>
      </c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</row>
    <row r="37" customFormat="false" ht="23.85" hidden="false" customHeight="false" outlineLevel="0" collapsed="false">
      <c r="A37" s="15" t="n">
        <v>27</v>
      </c>
      <c r="B37" s="54" t="s">
        <v>18</v>
      </c>
      <c r="C37" s="38" t="s">
        <v>175</v>
      </c>
      <c r="D37" s="38" t="s">
        <v>176</v>
      </c>
      <c r="E37" s="38" t="s">
        <v>61</v>
      </c>
      <c r="F37" s="38" t="s">
        <v>78</v>
      </c>
      <c r="G37" s="39" t="n">
        <v>46342</v>
      </c>
      <c r="H37" s="39" t="n">
        <v>46374</v>
      </c>
      <c r="I37" s="40" t="s">
        <v>10</v>
      </c>
      <c r="J37" s="41" t="s">
        <v>177</v>
      </c>
      <c r="K37" s="41" t="s">
        <v>173</v>
      </c>
      <c r="L37" s="41" t="s">
        <v>81</v>
      </c>
      <c r="M37" s="40" t="s">
        <v>11</v>
      </c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customFormat="false" ht="22.35" hidden="false" customHeight="false" outlineLevel="0" collapsed="false">
      <c r="A38" s="15" t="n">
        <v>28</v>
      </c>
      <c r="B38" s="54" t="s">
        <v>18</v>
      </c>
      <c r="C38" s="38" t="s">
        <v>178</v>
      </c>
      <c r="D38" s="38" t="s">
        <v>179</v>
      </c>
      <c r="E38" s="38" t="s">
        <v>61</v>
      </c>
      <c r="F38" s="38" t="s">
        <v>91</v>
      </c>
      <c r="G38" s="39" t="n">
        <v>46356</v>
      </c>
      <c r="H38" s="39" t="n">
        <v>46381</v>
      </c>
      <c r="I38" s="40" t="s">
        <v>79</v>
      </c>
      <c r="J38" s="41" t="s">
        <v>180</v>
      </c>
      <c r="K38" s="41" t="s">
        <v>173</v>
      </c>
      <c r="L38" s="41" t="s">
        <v>81</v>
      </c>
      <c r="M38" s="40" t="s">
        <v>11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customFormat="false" ht="23.85" hidden="false" customHeight="false" outlineLevel="0" collapsed="false">
      <c r="A39" s="15" t="n">
        <v>29</v>
      </c>
      <c r="B39" s="54" t="s">
        <v>18</v>
      </c>
      <c r="C39" s="38" t="s">
        <v>181</v>
      </c>
      <c r="D39" s="38" t="s">
        <v>182</v>
      </c>
      <c r="E39" s="38" t="s">
        <v>61</v>
      </c>
      <c r="F39" s="38" t="s">
        <v>91</v>
      </c>
      <c r="G39" s="39" t="n">
        <v>46296</v>
      </c>
      <c r="H39" s="39" t="n">
        <v>46325</v>
      </c>
      <c r="I39" s="40" t="s">
        <v>79</v>
      </c>
      <c r="J39" s="41" t="s">
        <v>183</v>
      </c>
      <c r="K39" s="41" t="s">
        <v>64</v>
      </c>
      <c r="L39" s="41" t="s">
        <v>184</v>
      </c>
      <c r="M39" s="40" t="s">
        <v>66</v>
      </c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customFormat="false" ht="19.5" hidden="false" customHeight="true" outlineLevel="0" collapsed="false">
      <c r="A40" s="55" t="s">
        <v>185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</row>
    <row r="41" customFormat="false" ht="23.85" hidden="false" customHeight="false" outlineLevel="0" collapsed="false">
      <c r="A41" s="15" t="n">
        <v>30</v>
      </c>
      <c r="B41" s="57" t="s">
        <v>19</v>
      </c>
      <c r="C41" s="38" t="s">
        <v>186</v>
      </c>
      <c r="D41" s="38" t="s">
        <v>187</v>
      </c>
      <c r="E41" s="38" t="s">
        <v>61</v>
      </c>
      <c r="F41" s="38" t="s">
        <v>62</v>
      </c>
      <c r="G41" s="39" t="n">
        <v>46328</v>
      </c>
      <c r="H41" s="39" t="n">
        <v>46353</v>
      </c>
      <c r="I41" s="40" t="s">
        <v>79</v>
      </c>
      <c r="J41" s="41" t="s">
        <v>188</v>
      </c>
      <c r="K41" s="41" t="s">
        <v>189</v>
      </c>
      <c r="L41" s="41" t="s">
        <v>190</v>
      </c>
      <c r="M41" s="40" t="s">
        <v>11</v>
      </c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customFormat="false" ht="23.85" hidden="false" customHeight="false" outlineLevel="0" collapsed="false">
      <c r="A42" s="15" t="n">
        <v>31</v>
      </c>
      <c r="B42" s="57" t="s">
        <v>19</v>
      </c>
      <c r="C42" s="38" t="s">
        <v>191</v>
      </c>
      <c r="D42" s="38" t="s">
        <v>192</v>
      </c>
      <c r="E42" s="38" t="s">
        <v>61</v>
      </c>
      <c r="F42" s="38" t="s">
        <v>91</v>
      </c>
      <c r="G42" s="39" t="n">
        <v>46328</v>
      </c>
      <c r="H42" s="39" t="n">
        <v>46353</v>
      </c>
      <c r="I42" s="40" t="s">
        <v>79</v>
      </c>
      <c r="J42" s="41" t="s">
        <v>193</v>
      </c>
      <c r="K42" s="41" t="s">
        <v>64</v>
      </c>
      <c r="L42" s="41" t="s">
        <v>81</v>
      </c>
      <c r="M42" s="40" t="s">
        <v>11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customFormat="false" ht="23.85" hidden="false" customHeight="false" outlineLevel="0" collapsed="false">
      <c r="A43" s="15" t="n">
        <v>32</v>
      </c>
      <c r="B43" s="57" t="s">
        <v>19</v>
      </c>
      <c r="C43" s="38" t="s">
        <v>194</v>
      </c>
      <c r="D43" s="38" t="s">
        <v>195</v>
      </c>
      <c r="E43" s="38" t="s">
        <v>61</v>
      </c>
      <c r="F43" s="38" t="s">
        <v>91</v>
      </c>
      <c r="G43" s="39" t="n">
        <v>46363</v>
      </c>
      <c r="H43" s="39" t="n">
        <v>46381</v>
      </c>
      <c r="I43" s="40" t="s">
        <v>92</v>
      </c>
      <c r="J43" s="41" t="s">
        <v>196</v>
      </c>
      <c r="K43" s="41" t="s">
        <v>64</v>
      </c>
      <c r="L43" s="41" t="s">
        <v>197</v>
      </c>
      <c r="M43" s="40" t="s">
        <v>11</v>
      </c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customFormat="false" ht="19.5" hidden="false" customHeight="true" outlineLevel="0" collapsed="false">
      <c r="A44" s="58" t="s">
        <v>198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</row>
    <row r="45" customFormat="false" ht="23.85" hidden="false" customHeight="false" outlineLevel="0" collapsed="false">
      <c r="A45" s="15" t="n">
        <v>33</v>
      </c>
      <c r="B45" s="60" t="s">
        <v>20</v>
      </c>
      <c r="C45" s="38" t="s">
        <v>199</v>
      </c>
      <c r="D45" s="38" t="s">
        <v>200</v>
      </c>
      <c r="E45" s="38" t="s">
        <v>61</v>
      </c>
      <c r="F45" s="38" t="s">
        <v>201</v>
      </c>
      <c r="G45" s="39" t="n">
        <v>46296</v>
      </c>
      <c r="H45" s="39" t="n">
        <v>46304</v>
      </c>
      <c r="I45" s="40" t="s">
        <v>10</v>
      </c>
      <c r="J45" s="41" t="s">
        <v>202</v>
      </c>
      <c r="K45" s="41" t="s">
        <v>81</v>
      </c>
      <c r="L45" s="41" t="s">
        <v>203</v>
      </c>
      <c r="M45" s="40" t="s">
        <v>105</v>
      </c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customFormat="false" ht="23.85" hidden="false" customHeight="false" outlineLevel="0" collapsed="false">
      <c r="A46" s="15" t="n">
        <v>34</v>
      </c>
      <c r="B46" s="60" t="s">
        <v>20</v>
      </c>
      <c r="C46" s="38" t="s">
        <v>204</v>
      </c>
      <c r="D46" s="38" t="s">
        <v>205</v>
      </c>
      <c r="E46" s="38" t="s">
        <v>61</v>
      </c>
      <c r="F46" s="38" t="s">
        <v>201</v>
      </c>
      <c r="G46" s="39" t="n">
        <v>46296</v>
      </c>
      <c r="H46" s="39" t="n">
        <v>46318</v>
      </c>
      <c r="I46" s="40" t="s">
        <v>79</v>
      </c>
      <c r="J46" s="41" t="s">
        <v>206</v>
      </c>
      <c r="K46" s="41" t="s">
        <v>81</v>
      </c>
      <c r="L46" s="41" t="s">
        <v>207</v>
      </c>
      <c r="M46" s="40" t="s">
        <v>66</v>
      </c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customFormat="false" ht="23.85" hidden="false" customHeight="false" outlineLevel="0" collapsed="false">
      <c r="A47" s="15" t="n">
        <v>35</v>
      </c>
      <c r="B47" s="60" t="s">
        <v>20</v>
      </c>
      <c r="C47" s="38" t="s">
        <v>208</v>
      </c>
      <c r="D47" s="38" t="s">
        <v>209</v>
      </c>
      <c r="E47" s="38" t="s">
        <v>61</v>
      </c>
      <c r="F47" s="38" t="s">
        <v>201</v>
      </c>
      <c r="G47" s="39" t="n">
        <v>46300</v>
      </c>
      <c r="H47" s="39" t="n">
        <v>46339</v>
      </c>
      <c r="I47" s="40" t="s">
        <v>79</v>
      </c>
      <c r="J47" s="41" t="s">
        <v>210</v>
      </c>
      <c r="K47" s="41" t="s">
        <v>81</v>
      </c>
      <c r="L47" s="41" t="s">
        <v>211</v>
      </c>
      <c r="M47" s="40" t="s">
        <v>105</v>
      </c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customFormat="false" ht="23.85" hidden="false" customHeight="false" outlineLevel="0" collapsed="false">
      <c r="A48" s="15" t="n">
        <v>36</v>
      </c>
      <c r="B48" s="60" t="s">
        <v>20</v>
      </c>
      <c r="C48" s="38" t="s">
        <v>212</v>
      </c>
      <c r="D48" s="38" t="s">
        <v>213</v>
      </c>
      <c r="E48" s="38" t="s">
        <v>61</v>
      </c>
      <c r="F48" s="38" t="s">
        <v>214</v>
      </c>
      <c r="G48" s="39" t="n">
        <v>46300</v>
      </c>
      <c r="H48" s="39" t="n">
        <v>46346</v>
      </c>
      <c r="I48" s="40" t="s">
        <v>10</v>
      </c>
      <c r="J48" s="41" t="s">
        <v>215</v>
      </c>
      <c r="K48" s="41" t="s">
        <v>81</v>
      </c>
      <c r="L48" s="41" t="s">
        <v>216</v>
      </c>
      <c r="M48" s="40" t="s">
        <v>105</v>
      </c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customFormat="false" ht="35.05" hidden="false" customHeight="false" outlineLevel="0" collapsed="false">
      <c r="A49" s="15" t="n">
        <v>37</v>
      </c>
      <c r="B49" s="60" t="s">
        <v>20</v>
      </c>
      <c r="C49" s="38" t="s">
        <v>217</v>
      </c>
      <c r="D49" s="38" t="s">
        <v>218</v>
      </c>
      <c r="E49" s="38" t="s">
        <v>219</v>
      </c>
      <c r="F49" s="38" t="s">
        <v>201</v>
      </c>
      <c r="G49" s="39" t="n">
        <v>46349</v>
      </c>
      <c r="H49" s="39" t="n">
        <v>46367</v>
      </c>
      <c r="I49" s="40" t="s">
        <v>79</v>
      </c>
      <c r="J49" s="41" t="s">
        <v>220</v>
      </c>
      <c r="K49" s="41" t="s">
        <v>81</v>
      </c>
      <c r="L49" s="41" t="s">
        <v>221</v>
      </c>
      <c r="M49" s="40" t="s">
        <v>11</v>
      </c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customFormat="false" ht="35.05" hidden="false" customHeight="false" outlineLevel="0" collapsed="false">
      <c r="A50" s="15" t="n">
        <v>38</v>
      </c>
      <c r="B50" s="60" t="s">
        <v>20</v>
      </c>
      <c r="C50" s="38" t="s">
        <v>222</v>
      </c>
      <c r="D50" s="38" t="s">
        <v>223</v>
      </c>
      <c r="E50" s="38" t="s">
        <v>61</v>
      </c>
      <c r="F50" s="38" t="s">
        <v>201</v>
      </c>
      <c r="G50" s="39" t="n">
        <v>46296</v>
      </c>
      <c r="H50" s="39" t="n">
        <v>46356</v>
      </c>
      <c r="I50" s="40" t="s">
        <v>10</v>
      </c>
      <c r="J50" s="41" t="s">
        <v>224</v>
      </c>
      <c r="K50" s="41" t="s">
        <v>225</v>
      </c>
      <c r="L50" s="41" t="s">
        <v>226</v>
      </c>
      <c r="M50" s="40" t="s">
        <v>105</v>
      </c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customFormat="false" ht="22.35" hidden="false" customHeight="false" outlineLevel="0" collapsed="false">
      <c r="A51" s="15" t="n">
        <v>39</v>
      </c>
      <c r="B51" s="60" t="s">
        <v>20</v>
      </c>
      <c r="C51" s="38" t="s">
        <v>227</v>
      </c>
      <c r="D51" s="38" t="s">
        <v>228</v>
      </c>
      <c r="E51" s="38" t="s">
        <v>61</v>
      </c>
      <c r="F51" s="38" t="s">
        <v>201</v>
      </c>
      <c r="G51" s="39" t="n">
        <v>46328</v>
      </c>
      <c r="H51" s="39" t="n">
        <v>46356</v>
      </c>
      <c r="I51" s="40" t="s">
        <v>79</v>
      </c>
      <c r="J51" s="41" t="s">
        <v>229</v>
      </c>
      <c r="K51" s="41" t="s">
        <v>81</v>
      </c>
      <c r="L51" s="41" t="s">
        <v>81</v>
      </c>
      <c r="M51" s="40" t="s">
        <v>11</v>
      </c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customFormat="false" ht="35.05" hidden="false" customHeight="false" outlineLevel="0" collapsed="false">
      <c r="A52" s="15" t="n">
        <v>40</v>
      </c>
      <c r="B52" s="60" t="s">
        <v>20</v>
      </c>
      <c r="C52" s="38" t="s">
        <v>230</v>
      </c>
      <c r="D52" s="38" t="s">
        <v>231</v>
      </c>
      <c r="E52" s="38" t="s">
        <v>232</v>
      </c>
      <c r="F52" s="38" t="s">
        <v>233</v>
      </c>
      <c r="G52" s="39" t="n">
        <v>46296</v>
      </c>
      <c r="H52" s="39" t="n">
        <v>46381</v>
      </c>
      <c r="I52" s="40" t="s">
        <v>79</v>
      </c>
      <c r="J52" s="41" t="s">
        <v>234</v>
      </c>
      <c r="K52" s="41" t="s">
        <v>225</v>
      </c>
      <c r="L52" s="41" t="s">
        <v>235</v>
      </c>
      <c r="M52" s="40" t="s">
        <v>66</v>
      </c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customFormat="false" ht="23.85" hidden="false" customHeight="false" outlineLevel="0" collapsed="false">
      <c r="A53" s="15" t="n">
        <v>41</v>
      </c>
      <c r="B53" s="60" t="s">
        <v>20</v>
      </c>
      <c r="C53" s="38" t="s">
        <v>236</v>
      </c>
      <c r="D53" s="38" t="s">
        <v>237</v>
      </c>
      <c r="E53" s="38" t="s">
        <v>61</v>
      </c>
      <c r="F53" s="38" t="s">
        <v>201</v>
      </c>
      <c r="G53" s="39" t="n">
        <v>46321</v>
      </c>
      <c r="H53" s="39" t="n">
        <v>46332</v>
      </c>
      <c r="I53" s="40" t="s">
        <v>10</v>
      </c>
      <c r="J53" s="41" t="s">
        <v>238</v>
      </c>
      <c r="K53" s="41" t="s">
        <v>239</v>
      </c>
      <c r="L53" s="41" t="s">
        <v>240</v>
      </c>
      <c r="M53" s="40" t="s">
        <v>11</v>
      </c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customFormat="false" ht="23.85" hidden="false" customHeight="false" outlineLevel="0" collapsed="false">
      <c r="A54" s="15" t="n">
        <v>42</v>
      </c>
      <c r="B54" s="60" t="s">
        <v>20</v>
      </c>
      <c r="C54" s="38" t="s">
        <v>241</v>
      </c>
      <c r="D54" s="38" t="s">
        <v>242</v>
      </c>
      <c r="E54" s="38" t="s">
        <v>243</v>
      </c>
      <c r="F54" s="38" t="s">
        <v>201</v>
      </c>
      <c r="G54" s="39" t="n">
        <v>46296</v>
      </c>
      <c r="H54" s="39" t="n">
        <v>46311</v>
      </c>
      <c r="I54" s="40" t="s">
        <v>10</v>
      </c>
      <c r="J54" s="41" t="s">
        <v>244</v>
      </c>
      <c r="K54" s="41" t="s">
        <v>81</v>
      </c>
      <c r="L54" s="41" t="s">
        <v>245</v>
      </c>
      <c r="M54" s="40" t="s">
        <v>105</v>
      </c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customFormat="false" ht="23.85" hidden="false" customHeight="false" outlineLevel="0" collapsed="false">
      <c r="A55" s="15" t="n">
        <v>43</v>
      </c>
      <c r="B55" s="60" t="s">
        <v>20</v>
      </c>
      <c r="C55" s="38" t="s">
        <v>246</v>
      </c>
      <c r="D55" s="38" t="s">
        <v>247</v>
      </c>
      <c r="E55" s="38" t="s">
        <v>248</v>
      </c>
      <c r="F55" s="38" t="s">
        <v>201</v>
      </c>
      <c r="G55" s="39" t="n">
        <v>46349</v>
      </c>
      <c r="H55" s="39" t="n">
        <v>46367</v>
      </c>
      <c r="I55" s="40" t="s">
        <v>10</v>
      </c>
      <c r="J55" s="41" t="s">
        <v>249</v>
      </c>
      <c r="K55" s="41" t="s">
        <v>250</v>
      </c>
      <c r="L55" s="41" t="s">
        <v>251</v>
      </c>
      <c r="M55" s="40" t="s">
        <v>11</v>
      </c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customFormat="false" ht="23.85" hidden="false" customHeight="false" outlineLevel="0" collapsed="false">
      <c r="A56" s="15" t="n">
        <v>44</v>
      </c>
      <c r="B56" s="60" t="s">
        <v>20</v>
      </c>
      <c r="C56" s="38" t="s">
        <v>252</v>
      </c>
      <c r="D56" s="38" t="s">
        <v>253</v>
      </c>
      <c r="E56" s="38" t="s">
        <v>254</v>
      </c>
      <c r="F56" s="38" t="s">
        <v>201</v>
      </c>
      <c r="G56" s="39" t="n">
        <v>46328</v>
      </c>
      <c r="H56" s="39" t="n">
        <v>46381</v>
      </c>
      <c r="I56" s="40" t="s">
        <v>79</v>
      </c>
      <c r="J56" s="41" t="s">
        <v>255</v>
      </c>
      <c r="K56" s="41" t="s">
        <v>250</v>
      </c>
      <c r="L56" s="41" t="s">
        <v>256</v>
      </c>
      <c r="M56" s="40" t="s">
        <v>105</v>
      </c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customFormat="false" ht="23.85" hidden="false" customHeight="false" outlineLevel="0" collapsed="false">
      <c r="A57" s="15" t="n">
        <v>45</v>
      </c>
      <c r="B57" s="60" t="s">
        <v>20</v>
      </c>
      <c r="C57" s="38" t="s">
        <v>257</v>
      </c>
      <c r="D57" s="38" t="s">
        <v>258</v>
      </c>
      <c r="E57" s="38" t="s">
        <v>259</v>
      </c>
      <c r="F57" s="38" t="s">
        <v>201</v>
      </c>
      <c r="G57" s="39" t="n">
        <v>46296</v>
      </c>
      <c r="H57" s="39" t="n">
        <v>46315</v>
      </c>
      <c r="I57" s="40" t="s">
        <v>10</v>
      </c>
      <c r="J57" s="41" t="s">
        <v>260</v>
      </c>
      <c r="K57" s="41" t="s">
        <v>261</v>
      </c>
      <c r="L57" s="41" t="s">
        <v>262</v>
      </c>
      <c r="M57" s="40" t="s">
        <v>11</v>
      </c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 customFormat="false" ht="23.85" hidden="false" customHeight="false" outlineLevel="0" collapsed="false">
      <c r="A58" s="15" t="n">
        <v>46</v>
      </c>
      <c r="B58" s="60" t="s">
        <v>20</v>
      </c>
      <c r="C58" s="38" t="s">
        <v>263</v>
      </c>
      <c r="D58" s="38" t="s">
        <v>264</v>
      </c>
      <c r="E58" s="38" t="s">
        <v>265</v>
      </c>
      <c r="F58" s="38" t="s">
        <v>201</v>
      </c>
      <c r="G58" s="39" t="n">
        <v>46342</v>
      </c>
      <c r="H58" s="39" t="n">
        <v>46360</v>
      </c>
      <c r="I58" s="40" t="s">
        <v>92</v>
      </c>
      <c r="J58" s="41" t="s">
        <v>266</v>
      </c>
      <c r="K58" s="41" t="s">
        <v>81</v>
      </c>
      <c r="L58" s="41" t="s">
        <v>81</v>
      </c>
      <c r="M58" s="40" t="s">
        <v>11</v>
      </c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customFormat="false" ht="23.85" hidden="false" customHeight="false" outlineLevel="0" collapsed="false">
      <c r="A59" s="15" t="n">
        <v>47</v>
      </c>
      <c r="B59" s="60" t="s">
        <v>20</v>
      </c>
      <c r="C59" s="38" t="s">
        <v>267</v>
      </c>
      <c r="D59" s="38" t="s">
        <v>268</v>
      </c>
      <c r="E59" s="38" t="s">
        <v>243</v>
      </c>
      <c r="F59" s="38" t="s">
        <v>201</v>
      </c>
      <c r="G59" s="39" t="n">
        <v>46349</v>
      </c>
      <c r="H59" s="39" t="n">
        <v>46381</v>
      </c>
      <c r="I59" s="40" t="s">
        <v>79</v>
      </c>
      <c r="J59" s="41" t="s">
        <v>269</v>
      </c>
      <c r="K59" s="41" t="s">
        <v>81</v>
      </c>
      <c r="L59" s="41" t="s">
        <v>270</v>
      </c>
      <c r="M59" s="40" t="s">
        <v>11</v>
      </c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</row>
    <row r="60" customFormat="false" ht="23.85" hidden="false" customHeight="false" outlineLevel="0" collapsed="false">
      <c r="A60" s="15" t="n">
        <v>48</v>
      </c>
      <c r="B60" s="60" t="s">
        <v>20</v>
      </c>
      <c r="C60" s="38" t="s">
        <v>271</v>
      </c>
      <c r="D60" s="38" t="s">
        <v>272</v>
      </c>
      <c r="E60" s="38" t="s">
        <v>61</v>
      </c>
      <c r="F60" s="38" t="s">
        <v>201</v>
      </c>
      <c r="G60" s="39" t="n">
        <v>46363</v>
      </c>
      <c r="H60" s="39" t="n">
        <v>46386</v>
      </c>
      <c r="I60" s="40" t="s">
        <v>79</v>
      </c>
      <c r="J60" s="41" t="s">
        <v>273</v>
      </c>
      <c r="K60" s="41" t="s">
        <v>274</v>
      </c>
      <c r="L60" s="41" t="s">
        <v>81</v>
      </c>
      <c r="M60" s="40" t="s">
        <v>11</v>
      </c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customFormat="false" ht="23.85" hidden="false" customHeight="false" outlineLevel="0" collapsed="false">
      <c r="A61" s="15" t="n">
        <v>49</v>
      </c>
      <c r="B61" s="60" t="s">
        <v>20</v>
      </c>
      <c r="C61" s="38" t="s">
        <v>275</v>
      </c>
      <c r="D61" s="38" t="s">
        <v>276</v>
      </c>
      <c r="E61" s="38" t="s">
        <v>61</v>
      </c>
      <c r="F61" s="38" t="s">
        <v>201</v>
      </c>
      <c r="G61" s="39" t="n">
        <v>46363</v>
      </c>
      <c r="H61" s="39" t="n">
        <v>46381</v>
      </c>
      <c r="I61" s="40" t="s">
        <v>92</v>
      </c>
      <c r="J61" s="41" t="s">
        <v>277</v>
      </c>
      <c r="K61" s="41" t="s">
        <v>81</v>
      </c>
      <c r="L61" s="41" t="s">
        <v>81</v>
      </c>
      <c r="M61" s="40" t="s">
        <v>11</v>
      </c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customFormat="false" ht="19.5" hidden="false" customHeight="true" outlineLevel="0" collapsed="false">
      <c r="A62" s="61" t="s">
        <v>278</v>
      </c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</row>
    <row r="63" customFormat="false" ht="23.85" hidden="false" customHeight="false" outlineLevel="0" collapsed="false">
      <c r="A63" s="15" t="n">
        <v>50</v>
      </c>
      <c r="B63" s="63" t="s">
        <v>21</v>
      </c>
      <c r="C63" s="38" t="s">
        <v>279</v>
      </c>
      <c r="D63" s="38" t="s">
        <v>280</v>
      </c>
      <c r="E63" s="38" t="s">
        <v>69</v>
      </c>
      <c r="F63" s="38" t="s">
        <v>101</v>
      </c>
      <c r="G63" s="39" t="n">
        <v>46296</v>
      </c>
      <c r="H63" s="39" t="n">
        <v>46325</v>
      </c>
      <c r="I63" s="40" t="s">
        <v>79</v>
      </c>
      <c r="J63" s="41" t="s">
        <v>281</v>
      </c>
      <c r="K63" s="41" t="s">
        <v>81</v>
      </c>
      <c r="L63" s="41" t="s">
        <v>282</v>
      </c>
      <c r="M63" s="40" t="s">
        <v>105</v>
      </c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</row>
    <row r="64" customFormat="false" ht="23.85" hidden="false" customHeight="false" outlineLevel="0" collapsed="false">
      <c r="A64" s="15" t="n">
        <v>51</v>
      </c>
      <c r="B64" s="63" t="s">
        <v>21</v>
      </c>
      <c r="C64" s="38" t="s">
        <v>283</v>
      </c>
      <c r="D64" s="38" t="s">
        <v>284</v>
      </c>
      <c r="E64" s="38" t="s">
        <v>61</v>
      </c>
      <c r="F64" s="38" t="s">
        <v>78</v>
      </c>
      <c r="G64" s="39" t="n">
        <v>46307</v>
      </c>
      <c r="H64" s="39" t="n">
        <v>46381</v>
      </c>
      <c r="I64" s="40" t="s">
        <v>79</v>
      </c>
      <c r="J64" s="41" t="s">
        <v>285</v>
      </c>
      <c r="K64" s="41" t="s">
        <v>64</v>
      </c>
      <c r="L64" s="41" t="s">
        <v>286</v>
      </c>
      <c r="M64" s="40" t="s">
        <v>105</v>
      </c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customFormat="false" ht="23.85" hidden="false" customHeight="false" outlineLevel="0" collapsed="false">
      <c r="A65" s="15" t="n">
        <v>52</v>
      </c>
      <c r="B65" s="63" t="s">
        <v>21</v>
      </c>
      <c r="C65" s="38" t="s">
        <v>287</v>
      </c>
      <c r="D65" s="38" t="s">
        <v>288</v>
      </c>
      <c r="E65" s="38" t="s">
        <v>61</v>
      </c>
      <c r="F65" s="38" t="s">
        <v>101</v>
      </c>
      <c r="G65" s="39" t="n">
        <v>46296</v>
      </c>
      <c r="H65" s="39" t="n">
        <v>46381</v>
      </c>
      <c r="I65" s="40" t="s">
        <v>79</v>
      </c>
      <c r="J65" s="41" t="s">
        <v>289</v>
      </c>
      <c r="K65" s="41" t="s">
        <v>81</v>
      </c>
      <c r="L65" s="41" t="s">
        <v>290</v>
      </c>
      <c r="M65" s="40" t="s">
        <v>105</v>
      </c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customFormat="false" ht="23.85" hidden="false" customHeight="false" outlineLevel="0" collapsed="false">
      <c r="A66" s="15" t="n">
        <v>53</v>
      </c>
      <c r="B66" s="63" t="s">
        <v>21</v>
      </c>
      <c r="C66" s="38" t="s">
        <v>291</v>
      </c>
      <c r="D66" s="38" t="s">
        <v>292</v>
      </c>
      <c r="E66" s="38" t="s">
        <v>61</v>
      </c>
      <c r="F66" s="38" t="s">
        <v>62</v>
      </c>
      <c r="G66" s="39" t="n">
        <v>46296</v>
      </c>
      <c r="H66" s="39" t="n">
        <v>46325</v>
      </c>
      <c r="I66" s="40" t="s">
        <v>79</v>
      </c>
      <c r="J66" s="41" t="s">
        <v>293</v>
      </c>
      <c r="K66" s="41" t="s">
        <v>81</v>
      </c>
      <c r="L66" s="41" t="s">
        <v>294</v>
      </c>
      <c r="M66" s="40" t="s">
        <v>105</v>
      </c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customFormat="false" ht="35.05" hidden="false" customHeight="false" outlineLevel="0" collapsed="false">
      <c r="A67" s="15" t="n">
        <v>54</v>
      </c>
      <c r="B67" s="63" t="s">
        <v>21</v>
      </c>
      <c r="C67" s="38" t="s">
        <v>295</v>
      </c>
      <c r="D67" s="38" t="s">
        <v>296</v>
      </c>
      <c r="E67" s="38" t="s">
        <v>61</v>
      </c>
      <c r="F67" s="38" t="s">
        <v>62</v>
      </c>
      <c r="G67" s="39" t="n">
        <v>46363</v>
      </c>
      <c r="H67" s="39" t="n">
        <v>46381</v>
      </c>
      <c r="I67" s="40" t="s">
        <v>92</v>
      </c>
      <c r="J67" s="41" t="s">
        <v>297</v>
      </c>
      <c r="K67" s="41" t="s">
        <v>298</v>
      </c>
      <c r="L67" s="41" t="s">
        <v>299</v>
      </c>
      <c r="M67" s="40" t="s">
        <v>11</v>
      </c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</row>
    <row r="68" customFormat="false" ht="23.85" hidden="false" customHeight="false" outlineLevel="0" collapsed="false">
      <c r="A68" s="15" t="n">
        <v>55</v>
      </c>
      <c r="B68" s="63" t="s">
        <v>21</v>
      </c>
      <c r="C68" s="38" t="s">
        <v>300</v>
      </c>
      <c r="D68" s="38" t="s">
        <v>301</v>
      </c>
      <c r="E68" s="38" t="s">
        <v>61</v>
      </c>
      <c r="F68" s="38" t="s">
        <v>91</v>
      </c>
      <c r="G68" s="39" t="n">
        <v>46370</v>
      </c>
      <c r="H68" s="39" t="n">
        <v>46386</v>
      </c>
      <c r="I68" s="40" t="s">
        <v>92</v>
      </c>
      <c r="J68" s="41" t="s">
        <v>302</v>
      </c>
      <c r="K68" s="41" t="s">
        <v>303</v>
      </c>
      <c r="L68" s="41" t="s">
        <v>81</v>
      </c>
      <c r="M68" s="40" t="s">
        <v>11</v>
      </c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</row>
    <row r="69" customFormat="false" ht="23.85" hidden="false" customHeight="false" outlineLevel="0" collapsed="false">
      <c r="A69" s="15" t="n">
        <v>56</v>
      </c>
      <c r="B69" s="63" t="s">
        <v>21</v>
      </c>
      <c r="C69" s="38" t="s">
        <v>304</v>
      </c>
      <c r="D69" s="38" t="s">
        <v>305</v>
      </c>
      <c r="E69" s="38" t="s">
        <v>61</v>
      </c>
      <c r="F69" s="38" t="s">
        <v>62</v>
      </c>
      <c r="G69" s="39" t="n">
        <v>46321</v>
      </c>
      <c r="H69" s="39" t="n">
        <v>46329</v>
      </c>
      <c r="I69" s="40" t="s">
        <v>10</v>
      </c>
      <c r="J69" s="41" t="s">
        <v>306</v>
      </c>
      <c r="K69" s="41" t="s">
        <v>81</v>
      </c>
      <c r="L69" s="41" t="s">
        <v>307</v>
      </c>
      <c r="M69" s="40" t="s">
        <v>11</v>
      </c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</row>
    <row r="70" customFormat="false" ht="22.35" hidden="false" customHeight="false" outlineLevel="0" collapsed="false">
      <c r="A70" s="15" t="n">
        <v>57</v>
      </c>
      <c r="B70" s="63" t="s">
        <v>21</v>
      </c>
      <c r="C70" s="38" t="s">
        <v>308</v>
      </c>
      <c r="D70" s="38" t="s">
        <v>309</v>
      </c>
      <c r="E70" s="38" t="s">
        <v>61</v>
      </c>
      <c r="F70" s="38" t="s">
        <v>62</v>
      </c>
      <c r="G70" s="39" t="n">
        <v>46377</v>
      </c>
      <c r="H70" s="39" t="n">
        <v>46386</v>
      </c>
      <c r="I70" s="40" t="s">
        <v>79</v>
      </c>
      <c r="J70" s="41" t="s">
        <v>310</v>
      </c>
      <c r="K70" s="41" t="s">
        <v>81</v>
      </c>
      <c r="L70" s="41" t="s">
        <v>81</v>
      </c>
      <c r="M70" s="40" t="s">
        <v>11</v>
      </c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</row>
    <row r="72" customFormat="false" ht="15" hidden="false" customHeight="false" outlineLevel="0" collapsed="false">
      <c r="C72" s="64" t="s">
        <v>311</v>
      </c>
    </row>
    <row r="73" customFormat="false" ht="15" hidden="false" customHeight="false" outlineLevel="0" collapsed="false">
      <c r="B73" s="65"/>
      <c r="C73" s="66" t="s">
        <v>312</v>
      </c>
    </row>
    <row r="74" customFormat="false" ht="15" hidden="false" customHeight="false" outlineLevel="0" collapsed="false">
      <c r="B74" s="67"/>
      <c r="C74" s="66" t="s">
        <v>313</v>
      </c>
    </row>
    <row r="75" customFormat="false" ht="15" hidden="false" customHeight="false" outlineLevel="0" collapsed="false">
      <c r="B75" s="68"/>
      <c r="C75" s="66" t="s">
        <v>314</v>
      </c>
    </row>
    <row r="76" customFormat="false" ht="15" hidden="false" customHeight="false" outlineLevel="0" collapsed="false">
      <c r="B76" s="69"/>
      <c r="C76" s="66" t="s">
        <v>315</v>
      </c>
    </row>
    <row r="77" customFormat="false" ht="15" hidden="false" customHeight="false" outlineLevel="0" collapsed="false">
      <c r="B77" s="70"/>
      <c r="C77" s="66" t="s">
        <v>316</v>
      </c>
    </row>
    <row r="79" customFormat="false" ht="15" hidden="false" customHeight="false" outlineLevel="0" collapsed="false">
      <c r="C79" s="3" t="s">
        <v>317</v>
      </c>
    </row>
  </sheetData>
  <autoFilter ref="A5:M70"/>
  <mergeCells count="16"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R4"/>
    <mergeCell ref="S4:V4"/>
    <mergeCell ref="W4:AA4"/>
  </mergeCells>
  <conditionalFormatting sqref="N6:AA70">
    <cfRule type="expression" priority="2" aboveAverage="0" equalAverage="0" bottom="0" percent="0" rank="0" text="" dxfId="27">
      <formula>AND(ISNUMBER($G6),N$5&lt;=$H6,N$5+6&gt;=$G6,$M6="Выполнено")</formula>
    </cfRule>
    <cfRule type="expression" priority="3" aboveAverage="0" equalAverage="0" bottom="0" percent="0" rank="0" text="" dxfId="28">
      <formula>AND(ISNUMBER($G6),N$5&lt;=$H6,N$5+6&gt;=$G6)</formula>
    </cfRule>
  </conditionalFormatting>
  <conditionalFormatting sqref="I6:I70">
    <cfRule type="cellIs" priority="4" operator="equal" aboveAverage="0" equalAverage="0" bottom="0" percent="0" rank="0" text="" dxfId="29">
      <formula>"Высокий"</formula>
    </cfRule>
    <cfRule type="cellIs" priority="5" operator="equal" aboveAverage="0" equalAverage="0" bottom="0" percent="0" rank="0" text="" dxfId="30">
      <formula>"Средний"</formula>
    </cfRule>
    <cfRule type="cellIs" priority="6" operator="equal" aboveAverage="0" equalAverage="0" bottom="0" percent="0" rank="0" text="" dxfId="31">
      <formula>"Плановый"</formula>
    </cfRule>
  </conditionalFormatting>
  <conditionalFormatting sqref="M6:M70">
    <cfRule type="cellIs" priority="7" operator="equal" aboveAverage="0" equalAverage="0" bottom="0" percent="0" rank="0" text="" dxfId="32">
      <formula>"Выполнено"</formula>
    </cfRule>
    <cfRule type="cellIs" priority="8" operator="equal" aboveAverage="0" equalAverage="0" bottom="0" percent="0" rank="0" text="" dxfId="33">
      <formula>"В работе"</formula>
    </cfRule>
    <cfRule type="cellIs" priority="9" operator="equal" aboveAverage="0" equalAverage="0" bottom="0" percent="0" rank="0" text="" dxfId="34">
      <formula>"На согласовании"</formula>
    </cfRule>
    <cfRule type="cellIs" priority="10" operator="equal" aboveAverage="0" equalAverage="0" bottom="0" percent="0" rank="0" text="" dxfId="35">
      <formula>"Не начато"</formula>
    </cfRule>
  </conditionalFormatting>
  <dataValidations count="2">
    <dataValidation allowBlank="true" errorStyle="stop" operator="between" showDropDown="false" showErrorMessage="false" showInputMessage="false" sqref="M6:M70" type="list">
      <formula1>"Не начато,В работе,На согласовании,Выполнено"</formula1>
      <formula2>0</formula2>
    </dataValidation>
    <dataValidation allowBlank="true" errorStyle="stop" operator="between" showDropDown="false" showErrorMessage="false" showInputMessage="false" sqref="I6:I70" type="list">
      <formula1>"Высокий,Средний,Плановый"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50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29" t="s">
        <v>318</v>
      </c>
    </row>
    <row r="2" customFormat="false" ht="15" hidden="false" customHeight="false" outlineLevel="0" collapsed="false">
      <c r="A2" s="30" t="s">
        <v>319</v>
      </c>
    </row>
    <row r="4" customFormat="false" ht="23.85" hidden="false" customHeight="false" outlineLevel="0" collapsed="false">
      <c r="A4" s="13" t="s">
        <v>43</v>
      </c>
      <c r="B4" s="13" t="s">
        <v>320</v>
      </c>
      <c r="C4" s="13" t="s">
        <v>321</v>
      </c>
      <c r="D4" s="13" t="s">
        <v>322</v>
      </c>
      <c r="E4" s="13" t="s">
        <v>323</v>
      </c>
      <c r="F4" s="13" t="s">
        <v>324</v>
      </c>
    </row>
    <row r="5" customFormat="false" ht="42" hidden="false" customHeight="true" outlineLevel="0" collapsed="false">
      <c r="A5" s="15" t="n">
        <v>1</v>
      </c>
      <c r="B5" s="38" t="s">
        <v>325</v>
      </c>
      <c r="C5" s="39" t="n">
        <v>46248</v>
      </c>
      <c r="D5" s="40" t="s">
        <v>326</v>
      </c>
      <c r="E5" s="38" t="s">
        <v>327</v>
      </c>
      <c r="F5" s="38" t="s">
        <v>81</v>
      </c>
    </row>
    <row r="6" customFormat="false" ht="42" hidden="false" customHeight="true" outlineLevel="0" collapsed="false">
      <c r="A6" s="15" t="n">
        <v>2</v>
      </c>
      <c r="B6" s="38" t="s">
        <v>328</v>
      </c>
      <c r="C6" s="39" t="n">
        <v>46279</v>
      </c>
      <c r="D6" s="40" t="s">
        <v>6</v>
      </c>
      <c r="E6" s="38" t="s">
        <v>329</v>
      </c>
      <c r="F6" s="38" t="s">
        <v>330</v>
      </c>
    </row>
    <row r="7" customFormat="false" ht="42" hidden="false" customHeight="true" outlineLevel="0" collapsed="false">
      <c r="A7" s="15" t="n">
        <v>3</v>
      </c>
      <c r="B7" s="38" t="s">
        <v>331</v>
      </c>
      <c r="C7" s="39" t="n">
        <v>46279</v>
      </c>
      <c r="D7" s="40" t="s">
        <v>6</v>
      </c>
      <c r="E7" s="38" t="s">
        <v>332</v>
      </c>
      <c r="F7" s="38" t="s">
        <v>333</v>
      </c>
    </row>
    <row r="8" customFormat="false" ht="42" hidden="false" customHeight="true" outlineLevel="0" collapsed="false">
      <c r="A8" s="15" t="n">
        <v>4</v>
      </c>
      <c r="B8" s="38" t="s">
        <v>334</v>
      </c>
      <c r="C8" s="39" t="n">
        <v>46279</v>
      </c>
      <c r="D8" s="40" t="s">
        <v>105</v>
      </c>
      <c r="E8" s="38" t="s">
        <v>335</v>
      </c>
      <c r="F8" s="38" t="s">
        <v>336</v>
      </c>
    </row>
    <row r="9" customFormat="false" ht="42" hidden="false" customHeight="true" outlineLevel="0" collapsed="false">
      <c r="A9" s="15" t="n">
        <v>5</v>
      </c>
      <c r="B9" s="38" t="s">
        <v>337</v>
      </c>
      <c r="C9" s="39" t="n">
        <v>46279</v>
      </c>
      <c r="D9" s="40" t="s">
        <v>326</v>
      </c>
      <c r="E9" s="38" t="s">
        <v>338</v>
      </c>
      <c r="F9" s="38" t="s">
        <v>339</v>
      </c>
    </row>
    <row r="10" customFormat="false" ht="42" hidden="false" customHeight="true" outlineLevel="0" collapsed="false">
      <c r="A10" s="15" t="n">
        <v>6</v>
      </c>
      <c r="B10" s="38" t="s">
        <v>340</v>
      </c>
      <c r="C10" s="39" t="n">
        <v>46286</v>
      </c>
      <c r="D10" s="40" t="s">
        <v>6</v>
      </c>
      <c r="E10" s="38" t="s">
        <v>341</v>
      </c>
      <c r="F10" s="38" t="s">
        <v>342</v>
      </c>
    </row>
    <row r="11" customFormat="false" ht="42" hidden="false" customHeight="true" outlineLevel="0" collapsed="false">
      <c r="A11" s="15" t="n">
        <v>7</v>
      </c>
      <c r="B11" s="38" t="s">
        <v>343</v>
      </c>
      <c r="C11" s="39" t="n">
        <v>46286</v>
      </c>
      <c r="D11" s="40" t="s">
        <v>105</v>
      </c>
      <c r="E11" s="38" t="s">
        <v>344</v>
      </c>
      <c r="F11" s="38" t="s">
        <v>345</v>
      </c>
    </row>
    <row r="12" customFormat="false" ht="42" hidden="false" customHeight="true" outlineLevel="0" collapsed="false">
      <c r="A12" s="15" t="n">
        <v>8</v>
      </c>
      <c r="B12" s="38" t="s">
        <v>346</v>
      </c>
      <c r="C12" s="39" t="n">
        <v>46329</v>
      </c>
      <c r="D12" s="40" t="s">
        <v>105</v>
      </c>
      <c r="E12" s="38" t="s">
        <v>347</v>
      </c>
      <c r="F12" s="38" t="s">
        <v>348</v>
      </c>
    </row>
    <row r="13" customFormat="false" ht="42" hidden="false" customHeight="true" outlineLevel="0" collapsed="false">
      <c r="A13" s="15" t="n">
        <v>9</v>
      </c>
      <c r="B13" s="38" t="s">
        <v>349</v>
      </c>
      <c r="C13" s="39" t="n">
        <v>46329</v>
      </c>
      <c r="D13" s="40" t="s">
        <v>105</v>
      </c>
      <c r="E13" s="38" t="s">
        <v>350</v>
      </c>
      <c r="F13" s="38" t="s">
        <v>351</v>
      </c>
    </row>
    <row r="14" customFormat="false" ht="42" hidden="false" customHeight="true" outlineLevel="0" collapsed="false">
      <c r="A14" s="15" t="n">
        <v>10</v>
      </c>
      <c r="B14" s="38" t="s">
        <v>352</v>
      </c>
      <c r="C14" s="39" t="n">
        <v>46329</v>
      </c>
      <c r="D14" s="40" t="s">
        <v>105</v>
      </c>
      <c r="E14" s="38" t="s">
        <v>353</v>
      </c>
      <c r="F14" s="38" t="s">
        <v>354</v>
      </c>
    </row>
    <row r="15" customFormat="false" ht="42" hidden="false" customHeight="true" outlineLevel="0" collapsed="false">
      <c r="A15" s="15" t="n">
        <v>11</v>
      </c>
      <c r="B15" s="38" t="s">
        <v>355</v>
      </c>
      <c r="C15" s="39" t="n">
        <v>46329</v>
      </c>
      <c r="D15" s="40" t="s">
        <v>105</v>
      </c>
      <c r="E15" s="38" t="s">
        <v>356</v>
      </c>
      <c r="F15" s="38" t="s">
        <v>357</v>
      </c>
    </row>
    <row r="17" customFormat="false" ht="15" hidden="false" customHeight="false" outlineLevel="0" collapsed="false">
      <c r="B17" s="64" t="s">
        <v>358</v>
      </c>
      <c r="C17" s="71" t="str">
        <f aca="false">COUNTIF(D5:D15,"Выполнено")&amp;" из "&amp;COUNTA(B5:B15)</f>
        <v>3 из 11</v>
      </c>
    </row>
  </sheetData>
  <conditionalFormatting sqref="D5:D15">
    <cfRule type="cellIs" priority="2" operator="equal" aboveAverage="0" equalAverage="0" bottom="0" percent="0" rank="0" text="" dxfId="32">
      <formula>"Выполнено"</formula>
    </cfRule>
    <cfRule type="cellIs" priority="3" operator="equal" aboveAverage="0" equalAverage="0" bottom="0" percent="0" rank="0" text="" dxfId="33">
      <formula>"В работе"</formula>
    </cfRule>
    <cfRule type="cellIs" priority="4" operator="equal" aboveAverage="0" equalAverage="0" bottom="0" percent="0" rank="0" text="" dxfId="36">
      <formula>"Подтвердить"</formula>
    </cfRule>
  </conditionalFormatting>
  <dataValidations count="1">
    <dataValidation allowBlank="false" errorStyle="stop" operator="between" showDropDown="false" showErrorMessage="false" showInputMessage="false" sqref="D5:D15" type="list">
      <formula1>"Не начато,В работе,Выполнено,Подтвердить"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70"/>
    <col collapsed="false" customWidth="true" hidden="false" outlineLevel="0" max="5" min="5" style="0" width="42"/>
  </cols>
  <sheetData>
    <row r="1" customFormat="false" ht="17.35" hidden="false" customHeight="false" outlineLevel="0" collapsed="false">
      <c r="A1" s="29" t="s">
        <v>359</v>
      </c>
    </row>
    <row r="3" customFormat="false" ht="15" hidden="false" customHeight="false" outlineLevel="0" collapsed="false">
      <c r="A3" s="13" t="s">
        <v>43</v>
      </c>
      <c r="B3" s="13" t="s">
        <v>360</v>
      </c>
      <c r="C3" s="13" t="s">
        <v>47</v>
      </c>
      <c r="D3" s="13" t="s">
        <v>361</v>
      </c>
      <c r="E3" s="13" t="s">
        <v>362</v>
      </c>
    </row>
    <row r="4" customFormat="false" ht="23.85" hidden="false" customHeight="false" outlineLevel="0" collapsed="false">
      <c r="A4" s="15" t="n">
        <v>1</v>
      </c>
      <c r="B4" s="38" t="s">
        <v>363</v>
      </c>
      <c r="C4" s="38" t="s">
        <v>364</v>
      </c>
      <c r="D4" s="38" t="s">
        <v>365</v>
      </c>
      <c r="E4" s="72" t="s">
        <v>366</v>
      </c>
    </row>
    <row r="5" customFormat="false" ht="15" hidden="false" customHeight="false" outlineLevel="0" collapsed="false">
      <c r="A5" s="15" t="n">
        <v>2</v>
      </c>
      <c r="B5" s="38" t="s">
        <v>367</v>
      </c>
      <c r="C5" s="38" t="s">
        <v>364</v>
      </c>
      <c r="D5" s="38" t="s">
        <v>368</v>
      </c>
      <c r="E5" s="72" t="s">
        <v>369</v>
      </c>
    </row>
    <row r="6" customFormat="false" ht="23.85" hidden="false" customHeight="false" outlineLevel="0" collapsed="false">
      <c r="A6" s="15" t="n">
        <v>3</v>
      </c>
      <c r="B6" s="38" t="s">
        <v>370</v>
      </c>
      <c r="C6" s="38" t="s">
        <v>364</v>
      </c>
      <c r="D6" s="38" t="s">
        <v>371</v>
      </c>
      <c r="E6" s="72" t="s">
        <v>372</v>
      </c>
    </row>
    <row r="7" customFormat="false" ht="15" hidden="false" customHeight="false" outlineLevel="0" collapsed="false">
      <c r="A7" s="15" t="n">
        <v>4</v>
      </c>
      <c r="B7" s="38" t="s">
        <v>373</v>
      </c>
      <c r="C7" s="38" t="s">
        <v>364</v>
      </c>
      <c r="D7" s="38" t="s">
        <v>374</v>
      </c>
      <c r="E7" s="72" t="s">
        <v>375</v>
      </c>
    </row>
    <row r="8" customFormat="false" ht="23.85" hidden="false" customHeight="false" outlineLevel="0" collapsed="false">
      <c r="A8" s="15" t="n">
        <v>5</v>
      </c>
      <c r="B8" s="38" t="s">
        <v>376</v>
      </c>
      <c r="C8" s="38" t="s">
        <v>364</v>
      </c>
      <c r="D8" s="38" t="s">
        <v>377</v>
      </c>
      <c r="E8" s="72" t="s">
        <v>378</v>
      </c>
    </row>
    <row r="9" customFormat="false" ht="23.85" hidden="false" customHeight="false" outlineLevel="0" collapsed="false">
      <c r="A9" s="15" t="n">
        <v>6</v>
      </c>
      <c r="B9" s="38" t="s">
        <v>379</v>
      </c>
      <c r="C9" s="38" t="s">
        <v>62</v>
      </c>
      <c r="D9" s="38" t="s">
        <v>380</v>
      </c>
      <c r="E9" s="72" t="s">
        <v>381</v>
      </c>
    </row>
    <row r="10" customFormat="false" ht="46.25" hidden="false" customHeight="false" outlineLevel="0" collapsed="false">
      <c r="A10" s="15" t="n">
        <v>7</v>
      </c>
      <c r="B10" s="38" t="s">
        <v>382</v>
      </c>
      <c r="C10" s="38" t="s">
        <v>62</v>
      </c>
      <c r="D10" s="38" t="s">
        <v>383</v>
      </c>
      <c r="E10" s="72" t="s">
        <v>384</v>
      </c>
    </row>
    <row r="11" customFormat="false" ht="23.85" hidden="false" customHeight="false" outlineLevel="0" collapsed="false">
      <c r="A11" s="15" t="n">
        <v>8</v>
      </c>
      <c r="B11" s="38" t="s">
        <v>385</v>
      </c>
      <c r="C11" s="38" t="s">
        <v>62</v>
      </c>
      <c r="D11" s="38" t="s">
        <v>386</v>
      </c>
      <c r="E11" s="72" t="s">
        <v>387</v>
      </c>
    </row>
    <row r="12" customFormat="false" ht="35.05" hidden="false" customHeight="false" outlineLevel="0" collapsed="false">
      <c r="A12" s="15" t="n">
        <v>9</v>
      </c>
      <c r="B12" s="38" t="s">
        <v>388</v>
      </c>
      <c r="C12" s="38" t="s">
        <v>62</v>
      </c>
      <c r="D12" s="38" t="s">
        <v>389</v>
      </c>
      <c r="E12" s="72" t="s">
        <v>390</v>
      </c>
    </row>
    <row r="13" customFormat="false" ht="15" hidden="false" customHeight="false" outlineLevel="0" collapsed="false">
      <c r="A13" s="15" t="n">
        <v>10</v>
      </c>
      <c r="B13" s="38" t="s">
        <v>391</v>
      </c>
      <c r="C13" s="38" t="s">
        <v>201</v>
      </c>
      <c r="D13" s="38" t="s">
        <v>392</v>
      </c>
      <c r="E13" s="72" t="s">
        <v>393</v>
      </c>
    </row>
    <row r="14" customFormat="false" ht="23.85" hidden="false" customHeight="false" outlineLevel="0" collapsed="false">
      <c r="A14" s="15" t="n">
        <v>11</v>
      </c>
      <c r="B14" s="38" t="s">
        <v>394</v>
      </c>
      <c r="C14" s="38" t="s">
        <v>201</v>
      </c>
      <c r="D14" s="38" t="s">
        <v>395</v>
      </c>
      <c r="E14" s="72" t="s">
        <v>396</v>
      </c>
    </row>
    <row r="15" customFormat="false" ht="23.85" hidden="false" customHeight="false" outlineLevel="0" collapsed="false">
      <c r="A15" s="15" t="n">
        <v>12</v>
      </c>
      <c r="B15" s="38" t="s">
        <v>397</v>
      </c>
      <c r="C15" s="38" t="s">
        <v>201</v>
      </c>
      <c r="D15" s="38" t="s">
        <v>398</v>
      </c>
      <c r="E15" s="72" t="s">
        <v>399</v>
      </c>
    </row>
    <row r="16" customFormat="false" ht="23.85" hidden="false" customHeight="false" outlineLevel="0" collapsed="false">
      <c r="A16" s="15" t="n">
        <v>13</v>
      </c>
      <c r="B16" s="38" t="s">
        <v>400</v>
      </c>
      <c r="C16" s="38" t="s">
        <v>401</v>
      </c>
      <c r="D16" s="38" t="s">
        <v>402</v>
      </c>
      <c r="E16" s="72" t="s">
        <v>403</v>
      </c>
    </row>
    <row r="17" customFormat="false" ht="35.05" hidden="false" customHeight="false" outlineLevel="0" collapsed="false">
      <c r="A17" s="15" t="n">
        <v>14</v>
      </c>
      <c r="B17" s="38" t="s">
        <v>404</v>
      </c>
      <c r="C17" s="38" t="s">
        <v>401</v>
      </c>
      <c r="D17" s="38" t="s">
        <v>405</v>
      </c>
      <c r="E17" s="72" t="s">
        <v>406</v>
      </c>
    </row>
    <row r="18" customFormat="false" ht="15" hidden="false" customHeight="false" outlineLevel="0" collapsed="false">
      <c r="A18" s="15" t="n">
        <v>15</v>
      </c>
      <c r="B18" s="38" t="s">
        <v>407</v>
      </c>
      <c r="C18" s="38" t="s">
        <v>62</v>
      </c>
      <c r="D18" s="38" t="s">
        <v>408</v>
      </c>
      <c r="E18" s="72" t="s">
        <v>409</v>
      </c>
    </row>
    <row r="19" customFormat="false" ht="15" hidden="false" customHeight="false" outlineLevel="0" collapsed="false">
      <c r="A19" s="15" t="n">
        <v>16</v>
      </c>
      <c r="B19" s="38" t="s">
        <v>410</v>
      </c>
      <c r="C19" s="38" t="s">
        <v>62</v>
      </c>
      <c r="D19" s="38" t="s">
        <v>411</v>
      </c>
      <c r="E19" s="7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48"/>
    <col collapsed="false" customWidth="true" hidden="false" outlineLevel="0" max="4" min="4" style="0" width="28"/>
    <col collapsed="false" customWidth="true" hidden="false" outlineLevel="0" max="6" min="5" style="0" width="30"/>
  </cols>
  <sheetData>
    <row r="1" customFormat="false" ht="17.35" hidden="false" customHeight="false" outlineLevel="0" collapsed="false">
      <c r="A1" s="29" t="s">
        <v>412</v>
      </c>
    </row>
    <row r="2" customFormat="false" ht="15" hidden="false" customHeight="false" outlineLevel="0" collapsed="false">
      <c r="A2" s="73" t="s">
        <v>413</v>
      </c>
    </row>
    <row r="4" customFormat="false" ht="23.85" hidden="false" customHeight="false" outlineLevel="0" collapsed="false">
      <c r="A4" s="13" t="s">
        <v>49</v>
      </c>
      <c r="B4" s="13" t="s">
        <v>414</v>
      </c>
      <c r="C4" s="13" t="s">
        <v>415</v>
      </c>
      <c r="D4" s="13" t="s">
        <v>416</v>
      </c>
      <c r="E4" s="13" t="s">
        <v>417</v>
      </c>
      <c r="F4" s="13" t="s">
        <v>418</v>
      </c>
    </row>
    <row r="5" customFormat="false" ht="15" hidden="false" customHeight="false" outlineLevel="0" collapsed="false">
      <c r="A5" s="74" t="n">
        <v>46315</v>
      </c>
      <c r="B5" s="75" t="n">
        <f aca="true">A5-TODAY()</f>
        <v>22</v>
      </c>
      <c r="C5" s="38" t="s">
        <v>419</v>
      </c>
      <c r="D5" s="38" t="s">
        <v>420</v>
      </c>
      <c r="E5" s="38" t="s">
        <v>421</v>
      </c>
      <c r="F5" s="38" t="s">
        <v>261</v>
      </c>
    </row>
    <row r="6" customFormat="false" ht="15" hidden="false" customHeight="false" outlineLevel="0" collapsed="false">
      <c r="A6" s="74" t="n">
        <v>46329</v>
      </c>
      <c r="B6" s="75" t="n">
        <f aca="true">A6-TODAY()</f>
        <v>36</v>
      </c>
      <c r="C6" s="38" t="s">
        <v>422</v>
      </c>
      <c r="D6" s="38" t="s">
        <v>423</v>
      </c>
      <c r="E6" s="38" t="s">
        <v>424</v>
      </c>
      <c r="F6" s="38" t="s">
        <v>81</v>
      </c>
    </row>
    <row r="7" customFormat="false" ht="15" hidden="false" customHeight="false" outlineLevel="0" collapsed="false">
      <c r="A7" s="74" t="n">
        <v>46387</v>
      </c>
      <c r="B7" s="75" t="n">
        <f aca="true">A7-TODAY()</f>
        <v>94</v>
      </c>
      <c r="C7" s="38" t="s">
        <v>425</v>
      </c>
      <c r="D7" s="38" t="s">
        <v>69</v>
      </c>
      <c r="E7" s="38" t="s">
        <v>426</v>
      </c>
      <c r="F7" s="38" t="s">
        <v>103</v>
      </c>
    </row>
    <row r="8" customFormat="false" ht="15" hidden="false" customHeight="false" outlineLevel="0" collapsed="false">
      <c r="A8" s="74" t="n">
        <v>46408</v>
      </c>
      <c r="B8" s="75" t="n">
        <f aca="true">A8-TODAY()</f>
        <v>115</v>
      </c>
      <c r="C8" s="38" t="s">
        <v>427</v>
      </c>
      <c r="D8" s="38" t="s">
        <v>428</v>
      </c>
      <c r="E8" s="38" t="s">
        <v>429</v>
      </c>
      <c r="F8" s="38" t="s">
        <v>303</v>
      </c>
    </row>
    <row r="9" customFormat="false" ht="23.85" hidden="false" customHeight="false" outlineLevel="0" collapsed="false">
      <c r="A9" s="74" t="n">
        <v>46409</v>
      </c>
      <c r="B9" s="75" t="n">
        <f aca="true">A9-TODAY()</f>
        <v>116</v>
      </c>
      <c r="C9" s="38" t="s">
        <v>430</v>
      </c>
      <c r="D9" s="38" t="s">
        <v>431</v>
      </c>
      <c r="E9" s="38" t="s">
        <v>432</v>
      </c>
      <c r="F9" s="38" t="s">
        <v>274</v>
      </c>
    </row>
    <row r="10" customFormat="false" ht="15" hidden="false" customHeight="false" outlineLevel="0" collapsed="false">
      <c r="A10" s="74" t="n">
        <v>46412</v>
      </c>
      <c r="B10" s="75" t="n">
        <f aca="true">A10-TODAY()</f>
        <v>119</v>
      </c>
      <c r="C10" s="38" t="s">
        <v>433</v>
      </c>
      <c r="D10" s="38" t="s">
        <v>434</v>
      </c>
      <c r="E10" s="38" t="s">
        <v>432</v>
      </c>
      <c r="F10" s="38" t="s">
        <v>274</v>
      </c>
    </row>
    <row r="11" customFormat="false" ht="15" hidden="false" customHeight="false" outlineLevel="0" collapsed="false">
      <c r="A11" s="74" t="n">
        <v>46419</v>
      </c>
      <c r="B11" s="75" t="n">
        <f aca="true">A11-TODAY()</f>
        <v>126</v>
      </c>
      <c r="C11" s="38" t="s">
        <v>435</v>
      </c>
      <c r="D11" s="38" t="s">
        <v>434</v>
      </c>
      <c r="E11" s="38" t="s">
        <v>432</v>
      </c>
      <c r="F11" s="38" t="s">
        <v>274</v>
      </c>
    </row>
    <row r="12" customFormat="false" ht="23.85" hidden="false" customHeight="false" outlineLevel="0" collapsed="false">
      <c r="A12" s="74" t="n">
        <v>46447</v>
      </c>
      <c r="B12" s="75" t="n">
        <f aca="true">A12-TODAY()</f>
        <v>154</v>
      </c>
      <c r="C12" s="38" t="s">
        <v>436</v>
      </c>
      <c r="D12" s="38" t="s">
        <v>437</v>
      </c>
      <c r="E12" s="38" t="s">
        <v>438</v>
      </c>
      <c r="F12" s="38" t="s">
        <v>261</v>
      </c>
    </row>
    <row r="13" customFormat="false" ht="23.85" hidden="false" customHeight="false" outlineLevel="0" collapsed="false">
      <c r="A13" s="74" t="n">
        <v>46456</v>
      </c>
      <c r="B13" s="75" t="n">
        <f aca="true">A13-TODAY()</f>
        <v>163</v>
      </c>
      <c r="C13" s="38" t="s">
        <v>439</v>
      </c>
      <c r="D13" s="38" t="s">
        <v>437</v>
      </c>
      <c r="E13" s="38" t="s">
        <v>440</v>
      </c>
      <c r="F13" s="38" t="s">
        <v>441</v>
      </c>
    </row>
    <row r="14" customFormat="false" ht="15" hidden="false" customHeight="false" outlineLevel="0" collapsed="false">
      <c r="A14" s="74" t="n">
        <v>46471</v>
      </c>
      <c r="B14" s="75" t="n">
        <f aca="true">A14-TODAY()</f>
        <v>178</v>
      </c>
      <c r="C14" s="38" t="s">
        <v>442</v>
      </c>
      <c r="D14" s="38" t="s">
        <v>420</v>
      </c>
      <c r="E14" s="38" t="s">
        <v>443</v>
      </c>
      <c r="F14" s="38" t="s">
        <v>441</v>
      </c>
    </row>
    <row r="15" customFormat="false" ht="23.85" hidden="false" customHeight="false" outlineLevel="0" collapsed="false">
      <c r="A15" s="74" t="n">
        <v>46600</v>
      </c>
      <c r="B15" s="75" t="n">
        <f aca="true">A15-TODAY()</f>
        <v>307</v>
      </c>
      <c r="C15" s="38" t="s">
        <v>444</v>
      </c>
      <c r="D15" s="38" t="s">
        <v>428</v>
      </c>
      <c r="E15" s="38" t="s">
        <v>445</v>
      </c>
      <c r="F15" s="38" t="s">
        <v>298</v>
      </c>
    </row>
    <row r="17" customFormat="false" ht="15" hidden="false" customHeight="false" outlineLevel="0" collapsed="false">
      <c r="A17" s="3" t="s">
        <v>446</v>
      </c>
    </row>
  </sheetData>
  <conditionalFormatting sqref="B5:B15">
    <cfRule type="cellIs" priority="2" operator="lessThan" aboveAverage="0" equalAverage="0" bottom="0" percent="0" rank="0" text="" dxfId="37">
      <formula>0</formula>
    </cfRule>
    <cfRule type="cellIs" priority="3" operator="between" aboveAverage="0" equalAverage="0" bottom="0" percent="0" rank="0" text="" dxfId="29">
      <formula>0</formula>
      <formula>30</formula>
    </cfRule>
    <cfRule type="cellIs" priority="4" operator="between" aboveAverage="0" equalAverage="0" bottom="0" percent="0" rank="0" text="" dxfId="30">
      <formula>31</formula>
      <formula>90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2026-09-28T08:11:31Z</dcterms:created>
  <dc:creator>openpyxl</dc:creator>
  <dc:description/>
  <dc:language>en-US</dc:language>
  <cp:lastModifiedBy/>
  <dcterms:modified xsi:type="dcterms:W3CDTF">2026-09-28T08:11:31Z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