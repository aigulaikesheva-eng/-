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Механический участок" sheetId="1" state="visible" r:id="rId1"/>
    <sheet xmlns:r="http://schemas.openxmlformats.org/officeDocument/2006/relationships" name="Сборочный участок" sheetId="2" state="visible" r:id="rId2"/>
    <sheet xmlns:r="http://schemas.openxmlformats.org/officeDocument/2006/relationships" name="Швейный участок" sheetId="3" state="visible" r:id="rId3"/>
    <sheet xmlns:r="http://schemas.openxmlformats.org/officeDocument/2006/relationships" name="Смывающие средства" sheetId="4" state="visible" r:id="rId4"/>
    <sheet xmlns:r="http://schemas.openxmlformats.org/officeDocument/2006/relationships" name="Подбор по прайсу" sheetId="5" state="visible" r:id="rId5"/>
    <sheet xmlns:r="http://schemas.openxmlformats.org/officeDocument/2006/relationships" name="Обоснование" sheetId="6" state="visible" r:id="rId6"/>
  </sheets>
  <definedNames>
    <definedName name="_xlnm.Print_Titles" localSheetId="0">'Механический участок'!$11:$12</definedName>
    <definedName name="_xlnm.Print_Titles" localSheetId="1">'Сборочный участок'!$11:$12</definedName>
    <definedName name="_xlnm.Print_Titles" localSheetId="2">'Швейный участок'!$11:$12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# ##0.00"/>
  </numFmts>
  <fonts count="9">
    <font>
      <name val="Calibri"/>
      <family val="2"/>
      <color theme="1"/>
      <sz val="11"/>
      <scheme val="minor"/>
    </font>
    <font>
      <name val="Times New Roman"/>
      <b val="1"/>
      <sz val="12"/>
    </font>
    <font>
      <name val="Times New Roman"/>
      <sz val="12"/>
    </font>
    <font>
      <name val="Times New Roman"/>
      <b val="1"/>
      <sz val="9"/>
    </font>
    <font>
      <name val="Times New Roman"/>
      <sz val="10"/>
    </font>
    <font>
      <name val="Times New Roman"/>
      <b val="1"/>
      <i val="1"/>
      <sz val="10"/>
    </font>
    <font>
      <name val="Times New Roman"/>
      <b val="1"/>
      <sz val="10"/>
    </font>
    <font>
      <name val="Times New Roman"/>
      <b val="1"/>
      <sz val="11"/>
    </font>
    <font>
      <name val="Times New Roman"/>
      <i val="1"/>
      <sz val="10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0" borderId="0" applyAlignment="1" pivotButton="0" quotePrefix="0" xfId="0">
      <alignment horizontal="right" vertical="center"/>
    </xf>
    <xf numFmtId="0" fontId="2" fillId="0" borderId="0" applyAlignment="1" pivotButton="0" quotePrefix="0" xfId="0">
      <alignment horizontal="right" vertical="center"/>
    </xf>
    <xf numFmtId="0" fontId="1" fillId="0" borderId="0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top"/>
    </xf>
    <xf numFmtId="0" fontId="6" fillId="0" borderId="1" applyAlignment="1" pivotButton="0" quotePrefix="0" xfId="0">
      <alignment horizontal="left" vertical="top" wrapText="1"/>
    </xf>
    <xf numFmtId="0" fontId="4" fillId="0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5" fillId="0" borderId="1" applyAlignment="1" pivotButton="0" quotePrefix="0" xfId="0">
      <alignment horizontal="left" vertical="center" wrapText="1"/>
    </xf>
    <xf numFmtId="0" fontId="0" fillId="0" borderId="3" pivotButton="0" quotePrefix="0" xfId="0"/>
    <xf numFmtId="0" fontId="0" fillId="0" borderId="4" pivotButton="0" quotePrefix="0" xfId="0"/>
    <xf numFmtId="0" fontId="6" fillId="0" borderId="0" applyAlignment="1" pivotButton="0" quotePrefix="0" xfId="0">
      <alignment horizontal="left" vertical="center" wrapText="1"/>
    </xf>
    <xf numFmtId="0" fontId="4" fillId="0" borderId="0" applyAlignment="1" pivotButton="0" quotePrefix="0" xfId="0">
      <alignment horizontal="left" vertical="center" wrapText="1"/>
    </xf>
    <xf numFmtId="0" fontId="2" fillId="0" borderId="0" applyAlignment="1" pivotButton="0" quotePrefix="0" xfId="0">
      <alignment horizontal="left" vertical="center" wrapText="1"/>
    </xf>
    <xf numFmtId="0" fontId="7" fillId="0" borderId="1" applyAlignment="1" pivotButton="0" quotePrefix="0" xfId="0">
      <alignment horizontal="left" vertical="center" wrapText="1"/>
    </xf>
    <xf numFmtId="164" fontId="4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left" vertical="center" wrapText="1"/>
    </xf>
    <xf numFmtId="164" fontId="6" fillId="0" borderId="1" applyAlignment="1" pivotButton="0" quotePrefix="0" xfId="0">
      <alignment horizontal="center" vertical="center" wrapText="1"/>
    </xf>
    <xf numFmtId="0" fontId="8" fillId="0" borderId="1" applyAlignment="1" pivotButton="0" quotePrefix="0" xfId="0">
      <alignment horizontal="left" vertical="center" wrapText="1"/>
    </xf>
    <xf numFmtId="0" fontId="0" fillId="0" borderId="7" pivotButton="0" quotePrefix="0" xfId="0"/>
    <xf numFmtId="0" fontId="0" fillId="0" borderId="8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67"/>
  <sheetViews>
    <sheetView workbookViewId="0">
      <pane ySplit="12" topLeftCell="A13" activePane="bottomLeft" state="frozen"/>
      <selection pane="bottomLeft" activeCell="A1" sqref="A1"/>
    </sheetView>
  </sheetViews>
  <sheetFormatPr baseColWidth="8" defaultRowHeight="15"/>
  <cols>
    <col width="6.3" customWidth="1" min="1" max="1"/>
    <col width="26" customWidth="1" min="2" max="2"/>
    <col width="30" customWidth="1" min="3" max="3"/>
    <col width="62" customWidth="1" min="4" max="4"/>
    <col width="19" customWidth="1" min="5" max="5"/>
    <col width="36" customWidth="1" min="6" max="6"/>
  </cols>
  <sheetData>
    <row r="1">
      <c r="D1" s="1" t="inlineStr">
        <is>
          <t>УТВЕРЖДАЮ</t>
        </is>
      </c>
    </row>
    <row r="2">
      <c r="D2" s="2" t="inlineStr">
        <is>
          <t>Управляющий директор</t>
        </is>
      </c>
    </row>
    <row r="3">
      <c r="D3" s="2" t="inlineStr">
        <is>
          <t>«Авиационные интерьеры специального назначения»</t>
        </is>
      </c>
    </row>
    <row r="4" ht="15" customHeight="1">
      <c r="D4" s="2" t="inlineStr">
        <is>
          <t>______________________ /________________/</t>
        </is>
      </c>
    </row>
    <row r="5" ht="15" customHeight="1">
      <c r="D5" s="2" t="inlineStr">
        <is>
          <t>«_____» _______________ 2026 г.</t>
        </is>
      </c>
    </row>
    <row r="6" ht="15" customHeight="1"/>
    <row r="7" ht="48" customHeight="1">
      <c r="B7" s="3" t="inlineStr">
        <is>
          <t>Нормы бесплатной выдачи средств индивидуальной защиты работникам «Авиационные интерьеры специального назначения»
(в соответствии с Едиными типовыми нормами выдачи средств индивидуальной защиты, утвержденными приказом Министерства труда и социальной защиты РФ от 29.10.2021 г. №767н)</t>
        </is>
      </c>
    </row>
    <row r="8" ht="15" customHeight="1"/>
    <row r="9" ht="15" customHeight="1">
      <c r="B9" s="4" t="inlineStr">
        <is>
          <t>Подразделение:</t>
        </is>
      </c>
      <c r="C9" s="4" t="inlineStr">
        <is>
          <t>Производственный департамент. Механический участок</t>
        </is>
      </c>
    </row>
    <row r="10" ht="15" customHeight="1"/>
    <row r="11" ht="64" customHeight="1">
      <c r="A11" s="5" t="inlineStr">
        <is>
          <t>№ п/п</t>
        </is>
      </c>
      <c r="B11" s="5" t="inlineStr">
        <is>
          <t>Должность работника</t>
        </is>
      </c>
      <c r="C11" s="5" t="inlineStr">
        <is>
          <t>Тип СИЗ</t>
        </is>
      </c>
      <c r="D11" s="5" t="inlineStr">
        <is>
          <t>Наименование СИЗ (с указанием конкретных данных о конструкции, классе защиты, категориях эффективности и/или эксплуатационных уровнях)</t>
        </is>
      </c>
      <c r="E11" s="5" t="inlineStr">
        <is>
          <t>Нормы выдачи на год (период), единицы измерения (штуки, пары, комплекты)</t>
        </is>
      </c>
      <c r="F11" s="5" t="inlineStr">
        <is>
          <t>Основание выдачи СИЗ (пункты Единых типовых норм (ЕТН), правил по охране труда и иных документов)</t>
        </is>
      </c>
    </row>
    <row r="12" ht="15" customHeight="1">
      <c r="A12" s="5" t="n">
        <v>1</v>
      </c>
      <c r="B12" s="5" t="n">
        <v>2</v>
      </c>
      <c r="C12" s="5" t="n">
        <v>3</v>
      </c>
      <c r="D12" s="5" t="n">
        <v>4</v>
      </c>
      <c r="E12" s="5" t="n">
        <v>5</v>
      </c>
      <c r="F12" s="5" t="n">
        <v>6</v>
      </c>
    </row>
    <row r="13" ht="40.5" customHeight="1">
      <c r="A13" s="6" t="n">
        <v>1</v>
      </c>
      <c r="B13" s="7" t="inlineStr">
        <is>
          <t>Мастер участка</t>
        </is>
      </c>
      <c r="C13" s="8" t="inlineStr">
        <is>
          <t>Одежда специальная защитная</t>
        </is>
      </c>
      <c r="D13" s="8" t="inlineStr">
        <is>
          <t>Костюм для защиты от общих производственных загрязнений и механических воздействий (истирания) (З, Ми)</t>
        </is>
      </c>
      <c r="E13" s="9" t="inlineStr">
        <is>
          <t>1 шт.</t>
        </is>
      </c>
      <c r="F13" s="8" t="inlineStr">
        <is>
          <t>Приложение №2 ЕТН, п.2.1.1; п.18 Правил обеспечения работников СИЗ (приказ Минтруда №766н)</t>
        </is>
      </c>
    </row>
    <row r="14" ht="27" customHeight="1">
      <c r="A14" s="12" t="n"/>
      <c r="B14" s="12" t="n"/>
      <c r="C14" s="8" t="inlineStr">
        <is>
          <t>Средства защиты ног</t>
        </is>
      </c>
      <c r="D14" s="8" t="inlineStr">
        <is>
          <t>Обувь специальная для защиты от механических воздействий (ударов в носочной части 200 Дж) - ботинки/полуботинки (Мун200)</t>
        </is>
      </c>
      <c r="E14" s="9" t="inlineStr">
        <is>
          <t>1 пара</t>
        </is>
      </c>
      <c r="F14" s="8" t="inlineStr">
        <is>
          <t>Приложение №2 ЕТН, п.1.3.1</t>
        </is>
      </c>
    </row>
    <row r="15" ht="27" customHeight="1">
      <c r="A15" s="12" t="n"/>
      <c r="B15" s="12" t="n"/>
      <c r="C15" s="8" t="inlineStr">
        <is>
          <t>Средства защиты головы</t>
        </is>
      </c>
      <c r="D15" s="8" t="inlineStr">
        <is>
          <t>Головной убор для защиты от общих производственных загрязнений (кепка, бейсболка)</t>
        </is>
      </c>
      <c r="E15" s="9" t="inlineStr">
        <is>
          <t>1 шт.</t>
        </is>
      </c>
      <c r="F15" s="8" t="inlineStr">
        <is>
          <t>Приложение №2 ЕТН, п.2.1.1</t>
        </is>
      </c>
    </row>
    <row r="16" ht="40.5" customHeight="1">
      <c r="A16" s="12" t="n"/>
      <c r="B16" s="12" t="n"/>
      <c r="C16" s="8" t="inlineStr">
        <is>
          <t>Средства индивидуальной защиты глаз и лица от механических воздействий</t>
        </is>
      </c>
      <c r="D16" s="8" t="inlineStr">
        <is>
          <t>Очки защитные открытые от механических воздействий, класс оптики 1, прочность не ниже F, с покрытием от запотевания</t>
        </is>
      </c>
      <c r="E16" s="9" t="inlineStr">
        <is>
          <t>1 шт.</t>
        </is>
      </c>
      <c r="F16" s="8" t="inlineStr">
        <is>
          <t>Приложение №2 ЕТН, п.1.24.1</t>
        </is>
      </c>
    </row>
    <row r="17" ht="54" customHeight="1">
      <c r="A17" s="12" t="n"/>
      <c r="B17" s="12" t="n"/>
      <c r="C17" s="8" t="inlineStr">
        <is>
          <t>Средства индивидуальной защиты органа слуха</t>
        </is>
      </c>
      <c r="D17" s="8" t="inlineStr">
        <is>
          <t>Противошумные вкладыши (беруши) или противошумные наушники и их комплектующие; подбираются по уровню шума на рабочем месте (SNR по результатам СОУТ/ОПР)</t>
        </is>
      </c>
      <c r="E17" s="9" t="inlineStr">
        <is>
          <t>определяется документами изготовителя (до износа, но не более срока годности)</t>
        </is>
      </c>
      <c r="F17" s="8" t="inlineStr">
        <is>
          <t>Приложение №2 ЕТН, п.10.1.1</t>
        </is>
      </c>
    </row>
    <row r="18" ht="15" customHeight="1">
      <c r="A18" s="12" t="n"/>
      <c r="B18" s="12" t="n"/>
      <c r="C18" s="11" t="inlineStr">
        <is>
          <t>При допуске к управлению подъёмными сооружениями (кран-балка, таль) с пола:</t>
        </is>
      </c>
      <c r="D18" s="22" t="n"/>
      <c r="E18" s="22" t="n"/>
      <c r="F18" s="23" t="n"/>
    </row>
    <row r="19" ht="27" customHeight="1">
      <c r="A19" s="13" t="n"/>
      <c r="B19" s="13" t="n"/>
      <c r="C19" s="8" t="inlineStr">
        <is>
          <t>Средства индивидуальной защиты головы от механических воздействий</t>
        </is>
      </c>
      <c r="D19" s="8" t="inlineStr">
        <is>
          <t>Каска защитная</t>
        </is>
      </c>
      <c r="E19" s="9" t="inlineStr">
        <is>
          <t>1 шт. на 2 года</t>
        </is>
      </c>
      <c r="F19" s="8" t="inlineStr">
        <is>
          <t>Приложение №2 ЕТН, п.1.3.1</t>
        </is>
      </c>
    </row>
    <row r="20" ht="27" customHeight="1">
      <c r="A20" s="6" t="n">
        <v>2</v>
      </c>
      <c r="B20" s="7" t="inlineStr">
        <is>
          <t>Оператор станков с программным управлением</t>
        </is>
      </c>
      <c r="C20" s="8" t="inlineStr">
        <is>
          <t>Одежда специальная защитная</t>
        </is>
      </c>
      <c r="D20" s="8" t="inlineStr">
        <is>
          <t>Костюм для защиты от механических воздействий (истирания) (Ми)</t>
        </is>
      </c>
      <c r="E20" s="9" t="inlineStr">
        <is>
          <t>1 шт.</t>
        </is>
      </c>
      <c r="F20" s="8" t="inlineStr">
        <is>
          <t>Приложение №1 ЕТН, п.3283</t>
        </is>
      </c>
    </row>
    <row r="21" ht="27" customHeight="1">
      <c r="A21" s="12" t="n"/>
      <c r="B21" s="12" t="n"/>
      <c r="C21" s="8" t="inlineStr">
        <is>
          <t>Средства защиты ног</t>
        </is>
      </c>
      <c r="D21" s="8" t="inlineStr">
        <is>
          <t>Обувь специальная для защиты от механических воздействий (ударов) (Мун200)</t>
        </is>
      </c>
      <c r="E21" s="9" t="inlineStr">
        <is>
          <t>1 пара</t>
        </is>
      </c>
      <c r="F21" s="12" t="n"/>
    </row>
    <row r="22" ht="15" customHeight="1">
      <c r="A22" s="12" t="n"/>
      <c r="B22" s="12" t="n"/>
      <c r="C22" s="8" t="inlineStr">
        <is>
          <t>Средства защиты рук</t>
        </is>
      </c>
      <c r="D22" s="8" t="inlineStr">
        <is>
          <t>Перчатки для защиты от механических воздействий (истирания) (Ми)</t>
        </is>
      </c>
      <c r="E22" s="9" t="inlineStr">
        <is>
          <t>12 пар</t>
        </is>
      </c>
      <c r="F22" s="12" t="n"/>
    </row>
    <row r="23" ht="15" customHeight="1">
      <c r="A23" s="12" t="n"/>
      <c r="B23" s="12" t="n"/>
      <c r="C23" s="8" t="inlineStr">
        <is>
          <t>Средства защиты головы</t>
        </is>
      </c>
      <c r="D23" s="8" t="inlineStr">
        <is>
          <t>Головной убор для защиты от общих производственных загрязнений</t>
        </is>
      </c>
      <c r="E23" s="9" t="inlineStr">
        <is>
          <t>1 шт.</t>
        </is>
      </c>
      <c r="F23" s="13" t="n"/>
    </row>
    <row r="24" ht="40.5" customHeight="1">
      <c r="A24" s="12" t="n"/>
      <c r="B24" s="12" t="n"/>
      <c r="C24" s="8" t="inlineStr">
        <is>
          <t>Средства индивидуальной защиты глаз и лица от механических воздействий</t>
        </is>
      </c>
      <c r="D24" s="8" t="inlineStr">
        <is>
          <t>Очки защитные открытые от механических воздействий, класс оптики 1, прочность не ниже F, с покрытием от запотевания</t>
        </is>
      </c>
      <c r="E24" s="9" t="inlineStr">
        <is>
          <t>1 шт.</t>
        </is>
      </c>
      <c r="F24" s="8" t="inlineStr">
        <is>
          <t>Приложение №2 ЕТН, п.1.24.1</t>
        </is>
      </c>
    </row>
    <row r="25" ht="54" customHeight="1">
      <c r="A25" s="12" t="n"/>
      <c r="B25" s="12" t="n"/>
      <c r="C25" s="8" t="inlineStr">
        <is>
          <t>Средства индивидуальной защиты органа слуха</t>
        </is>
      </c>
      <c r="D25" s="8" t="inlineStr">
        <is>
          <t>Противошумные вкладыши (беруши) или противошумные наушники и их комплектующие; подбираются по уровню шума на рабочем месте (SNR по результатам СОУТ/ОПР)</t>
        </is>
      </c>
      <c r="E25" s="9" t="inlineStr">
        <is>
          <t>определяется документами изготовителя (до износа, но не более срока годности)</t>
        </is>
      </c>
      <c r="F25" s="8" t="inlineStr">
        <is>
          <t>Приложение №2 ЕТН, п.10.1.1</t>
        </is>
      </c>
    </row>
    <row r="26" ht="15" customHeight="1">
      <c r="A26" s="12" t="n"/>
      <c r="B26" s="12" t="n"/>
      <c r="C26" s="11" t="inlineStr">
        <is>
          <t>При допуске к управлению подъёмными сооружениями (кран-балка, таль) с пола:</t>
        </is>
      </c>
      <c r="D26" s="22" t="n"/>
      <c r="E26" s="22" t="n"/>
      <c r="F26" s="23" t="n"/>
    </row>
    <row r="27" ht="27" customHeight="1">
      <c r="A27" s="12" t="n"/>
      <c r="B27" s="12" t="n"/>
      <c r="C27" s="8" t="inlineStr">
        <is>
          <t>Средства индивидуальной защиты головы от механических воздействий</t>
        </is>
      </c>
      <c r="D27" s="8" t="inlineStr">
        <is>
          <t>Каска защитная</t>
        </is>
      </c>
      <c r="E27" s="9" t="inlineStr">
        <is>
          <t>1 шт. на 2 года</t>
        </is>
      </c>
      <c r="F27" s="8" t="inlineStr">
        <is>
          <t>Приложение №2 ЕТН, п.1.3.1</t>
        </is>
      </c>
    </row>
    <row r="28" ht="15" customHeight="1">
      <c r="A28" s="12" t="n"/>
      <c r="B28" s="12" t="n"/>
      <c r="C28" s="11" t="inlineStr">
        <is>
          <t>При выполнении работ в неотапливаемых помещениях, на открытом воздухе в холодный период года:</t>
        </is>
      </c>
      <c r="D28" s="22" t="n"/>
      <c r="E28" s="22" t="n"/>
      <c r="F28" s="23" t="n"/>
    </row>
    <row r="29" ht="27" customHeight="1">
      <c r="A29" s="13" t="n"/>
      <c r="B29" s="13" t="n"/>
      <c r="C29" s="8" t="inlineStr">
        <is>
          <t>Одежда специальная для защиты от пониженных температур</t>
        </is>
      </c>
      <c r="D29" s="8" t="inlineStr">
        <is>
          <t>Куртка утепленная для защиты от пониженных температур (класс защиты по климатическому поясу места нахождения предприятия)</t>
        </is>
      </c>
      <c r="E29" s="9" t="inlineStr">
        <is>
          <t>1 шт. на 2 года</t>
        </is>
      </c>
      <c r="F29" s="8" t="inlineStr">
        <is>
          <t>Приложение №2 ЕТН, п.4.7.1</t>
        </is>
      </c>
    </row>
    <row r="30" ht="15" customHeight="1">
      <c r="A30" s="6" t="n">
        <v>3</v>
      </c>
      <c r="B30" s="7" t="inlineStr">
        <is>
          <t>Токарь</t>
        </is>
      </c>
      <c r="C30" s="8" t="inlineStr">
        <is>
          <t>Одежда специальная защитная</t>
        </is>
      </c>
      <c r="D30" s="8" t="inlineStr">
        <is>
          <t>Костюм для защиты от механических воздействий (истирания) (Ми)</t>
        </is>
      </c>
      <c r="E30" s="9" t="inlineStr">
        <is>
          <t>1 шт.</t>
        </is>
      </c>
      <c r="F30" s="8" t="inlineStr">
        <is>
          <t>Приложение №1 ЕТН, п.4872</t>
        </is>
      </c>
    </row>
    <row r="31" ht="27" customHeight="1">
      <c r="A31" s="12" t="n"/>
      <c r="B31" s="12" t="n"/>
      <c r="C31" s="8" t="inlineStr">
        <is>
          <t>Средства защиты ног</t>
        </is>
      </c>
      <c r="D31" s="8" t="inlineStr">
        <is>
          <t>Обувь специальная для защиты от механических воздействий (ударов) (Мун200)</t>
        </is>
      </c>
      <c r="E31" s="9" t="inlineStr">
        <is>
          <t>1 пара</t>
        </is>
      </c>
      <c r="F31" s="12" t="n"/>
    </row>
    <row r="32" ht="27" customHeight="1">
      <c r="A32" s="12" t="n"/>
      <c r="B32" s="12" t="n"/>
      <c r="C32" s="8" t="inlineStr">
        <is>
          <t>Средства защиты рук</t>
        </is>
      </c>
      <c r="D32" s="8" t="inlineStr">
        <is>
          <t>Перчатки для защиты от механических воздействий (истирания, порезов) (Ми, Мп)</t>
        </is>
      </c>
      <c r="E32" s="9" t="inlineStr">
        <is>
          <t>12 пар</t>
        </is>
      </c>
      <c r="F32" s="12" t="n"/>
    </row>
    <row r="33" ht="15" customHeight="1">
      <c r="A33" s="12" t="n"/>
      <c r="B33" s="12" t="n"/>
      <c r="C33" s="8" t="inlineStr">
        <is>
          <t>Средства защиты головы</t>
        </is>
      </c>
      <c r="D33" s="8" t="inlineStr">
        <is>
          <t>Головной убор для защиты от общих производственных загрязнений</t>
        </is>
      </c>
      <c r="E33" s="9" t="inlineStr">
        <is>
          <t>1 шт.</t>
        </is>
      </c>
      <c r="F33" s="12" t="n"/>
    </row>
    <row r="34" ht="27" customHeight="1">
      <c r="A34" s="12" t="n"/>
      <c r="B34" s="12" t="n"/>
      <c r="C34" s="8" t="inlineStr">
        <is>
          <t>Средства защиты глаз</t>
        </is>
      </c>
      <c r="D34" s="8" t="inlineStr">
        <is>
          <t>Очки защитные от механических воздействий, в том числе с покрытием от запотевания</t>
        </is>
      </c>
      <c r="E34" s="9" t="inlineStr">
        <is>
          <t>1 шт.</t>
        </is>
      </c>
      <c r="F34" s="12" t="n"/>
    </row>
    <row r="35" ht="40.5" customHeight="1">
      <c r="A35" s="12" t="n"/>
      <c r="B35" s="12" t="n"/>
      <c r="C35" s="8" t="inlineStr">
        <is>
          <t>Средства защиты органов дыхания</t>
        </is>
      </c>
      <c r="D35" s="8" t="inlineStr">
        <is>
          <t>Противоаэрозольные, противоаэрозольные с дополнительной защитой от паров и газов средства индивидуальной защиты органов дыхания с фильтрующей лицевой частью - фильтрующие полумаски, класс защиты не ниже FFP1</t>
        </is>
      </c>
      <c r="E35" s="9" t="inlineStr">
        <is>
          <t>до износа</t>
        </is>
      </c>
      <c r="F35" s="13" t="n"/>
    </row>
    <row r="36" ht="54" customHeight="1">
      <c r="A36" s="12" t="n"/>
      <c r="B36" s="12" t="n"/>
      <c r="C36" s="8" t="inlineStr">
        <is>
          <t>Средства индивидуальной защиты органа слуха</t>
        </is>
      </c>
      <c r="D36" s="8" t="inlineStr">
        <is>
          <t>Противошумные вкладыши (беруши) или противошумные наушники и их комплектующие; подбираются по уровню шума на рабочем месте (SNR по результатам СОУТ/ОПР)</t>
        </is>
      </c>
      <c r="E36" s="9" t="inlineStr">
        <is>
          <t>определяется документами изготовителя (до износа, но не более срока годности)</t>
        </is>
      </c>
      <c r="F36" s="8" t="inlineStr">
        <is>
          <t>Приложение №2 ЕТН, п.10.1.1</t>
        </is>
      </c>
    </row>
    <row r="37" ht="15" customHeight="1">
      <c r="A37" s="12" t="n"/>
      <c r="B37" s="12" t="n"/>
      <c r="C37" s="11" t="inlineStr">
        <is>
          <t>При обработке деталей с образованием сливной стружки, при работе на станке без защитного экрана:</t>
        </is>
      </c>
      <c r="D37" s="22" t="n"/>
      <c r="E37" s="22" t="n"/>
      <c r="F37" s="23" t="n"/>
    </row>
    <row r="38" ht="40.5" customHeight="1">
      <c r="A38" s="12" t="n"/>
      <c r="B38" s="12" t="n"/>
      <c r="C38" s="8" t="inlineStr">
        <is>
          <t>Средства индивидуальной защиты глаз и лица от механических воздействий</t>
        </is>
      </c>
      <c r="D38" s="8" t="inlineStr">
        <is>
          <t>Щиток защитный лицевой от механических воздействий (ударов твердых частиц)</t>
        </is>
      </c>
      <c r="E38" s="9" t="inlineStr">
        <is>
          <t>1 шт.</t>
        </is>
      </c>
      <c r="F38" s="8" t="inlineStr">
        <is>
          <t>Приложение №2 ЕТН, п.1.21.1</t>
        </is>
      </c>
    </row>
    <row r="39" ht="15" customHeight="1">
      <c r="A39" s="12" t="n"/>
      <c r="B39" s="12" t="n"/>
      <c r="C39" s="11" t="inlineStr">
        <is>
          <t>При допуске к управлению подъёмными сооружениями (кран-балка, таль) с пола:</t>
        </is>
      </c>
      <c r="D39" s="22" t="n"/>
      <c r="E39" s="22" t="n"/>
      <c r="F39" s="23" t="n"/>
    </row>
    <row r="40" ht="27" customHeight="1">
      <c r="A40" s="13" t="n"/>
      <c r="B40" s="13" t="n"/>
      <c r="C40" s="8" t="inlineStr">
        <is>
          <t>Средства индивидуальной защиты головы от механических воздействий</t>
        </is>
      </c>
      <c r="D40" s="8" t="inlineStr">
        <is>
          <t>Каска защитная</t>
        </is>
      </c>
      <c r="E40" s="9" t="inlineStr">
        <is>
          <t>1 шт. на 2 года</t>
        </is>
      </c>
      <c r="F40" s="8" t="inlineStr">
        <is>
          <t>Приложение №2 ЕТН, п.1.3.1</t>
        </is>
      </c>
    </row>
    <row r="41" ht="15" customHeight="1">
      <c r="A41" s="6" t="n">
        <v>4</v>
      </c>
      <c r="B41" s="7" t="inlineStr">
        <is>
          <t>Слесарь механосборочных работ</t>
        </is>
      </c>
      <c r="C41" s="8" t="inlineStr">
        <is>
          <t>Одежда специальная защитная</t>
        </is>
      </c>
      <c r="D41" s="8" t="inlineStr">
        <is>
          <t>Костюм для защиты от механических воздействий (истирания) (Ми)</t>
        </is>
      </c>
      <c r="E41" s="9" t="inlineStr">
        <is>
          <t>1 шт.</t>
        </is>
      </c>
      <c r="F41" s="8" t="inlineStr">
        <is>
          <t>Приложение №1 ЕТН, п.4516</t>
        </is>
      </c>
    </row>
    <row r="42" ht="27" customHeight="1">
      <c r="A42" s="12" t="n"/>
      <c r="B42" s="12" t="n"/>
      <c r="C42" s="8" t="inlineStr">
        <is>
          <t>Средства защиты ног</t>
        </is>
      </c>
      <c r="D42" s="8" t="inlineStr">
        <is>
          <t>Обувь специальная для защиты от механических воздействий (ударов) (Мун200)</t>
        </is>
      </c>
      <c r="E42" s="9" t="inlineStr">
        <is>
          <t>1 пара</t>
        </is>
      </c>
      <c r="F42" s="12" t="n"/>
    </row>
    <row r="43" ht="15" customHeight="1">
      <c r="A43" s="12" t="n"/>
      <c r="B43" s="12" t="n"/>
      <c r="C43" s="8" t="inlineStr">
        <is>
          <t>Средства защиты рук</t>
        </is>
      </c>
      <c r="D43" s="8" t="inlineStr">
        <is>
          <t>Перчатки для защиты от механических воздействий (истирания) (Ми)</t>
        </is>
      </c>
      <c r="E43" s="9" t="inlineStr">
        <is>
          <t>12 пар</t>
        </is>
      </c>
      <c r="F43" s="12" t="n"/>
    </row>
    <row r="44" ht="15" customHeight="1">
      <c r="A44" s="12" t="n"/>
      <c r="B44" s="12" t="n"/>
      <c r="C44" s="8" t="inlineStr">
        <is>
          <t>Средства защиты головы</t>
        </is>
      </c>
      <c r="D44" s="8" t="inlineStr">
        <is>
          <t>Головной убор для защиты от общих производственных загрязнений</t>
        </is>
      </c>
      <c r="E44" s="9" t="inlineStr">
        <is>
          <t>1 шт.</t>
        </is>
      </c>
      <c r="F44" s="12" t="n"/>
    </row>
    <row r="45" ht="15" customHeight="1">
      <c r="A45" s="12" t="n"/>
      <c r="B45" s="12" t="n"/>
      <c r="C45" s="8" t="n"/>
      <c r="D45" s="8" t="inlineStr">
        <is>
          <t>Каска защитная от механических воздействий</t>
        </is>
      </c>
      <c r="E45" s="9" t="inlineStr">
        <is>
          <t>1 шт. на 2 года</t>
        </is>
      </c>
      <c r="F45" s="12" t="n"/>
    </row>
    <row r="46" ht="27" customHeight="1">
      <c r="A46" s="12" t="n"/>
      <c r="B46" s="12" t="n"/>
      <c r="C46" s="8" t="inlineStr">
        <is>
          <t>Средства защиты глаз</t>
        </is>
      </c>
      <c r="D46" s="8" t="inlineStr">
        <is>
          <t>Очки защитные от механических воздействий, в том числе с покрытием от запотевания</t>
        </is>
      </c>
      <c r="E46" s="9" t="inlineStr">
        <is>
          <t>1 шт.</t>
        </is>
      </c>
      <c r="F46" s="13" t="n"/>
    </row>
    <row r="47" ht="54" customHeight="1">
      <c r="A47" s="12" t="n"/>
      <c r="B47" s="12" t="n"/>
      <c r="C47" s="8" t="inlineStr">
        <is>
          <t>Средства индивидуальной защиты органа слуха</t>
        </is>
      </c>
      <c r="D47" s="8" t="inlineStr">
        <is>
          <t>Противошумные вкладыши (беруши) или противошумные наушники и их комплектующие; подбираются по уровню шума на рабочем месте (SNR по результатам СОУТ/ОПР)</t>
        </is>
      </c>
      <c r="E47" s="9" t="inlineStr">
        <is>
          <t>определяется документами изготовителя (до износа, но не более срока годности)</t>
        </is>
      </c>
      <c r="F47" s="8" t="inlineStr">
        <is>
          <t>Приложение №2 ЕТН, п.10.1.1</t>
        </is>
      </c>
    </row>
    <row r="48" ht="15" customHeight="1">
      <c r="A48" s="12" t="n"/>
      <c r="B48" s="12" t="n"/>
      <c r="C48" s="11" t="inlineStr">
        <is>
          <t>При работе ручным шлифовальным (абразивным) инструментом, зачистке заусенцев:</t>
        </is>
      </c>
      <c r="D48" s="22" t="n"/>
      <c r="E48" s="22" t="n"/>
      <c r="F48" s="23" t="n"/>
    </row>
    <row r="49" ht="40.5" customHeight="1">
      <c r="A49" s="12" t="n"/>
      <c r="B49" s="12" t="n"/>
      <c r="C49" s="8" t="inlineStr">
        <is>
          <t>Средства индивидуальной защиты глаз и лица от механических воздействий</t>
        </is>
      </c>
      <c r="D49" s="8" t="inlineStr">
        <is>
          <t>Щиток защитный лицевой от механических воздействий (ударов твердых частиц)</t>
        </is>
      </c>
      <c r="E49" s="9" t="inlineStr">
        <is>
          <t>1 шт.</t>
        </is>
      </c>
      <c r="F49" s="8" t="inlineStr">
        <is>
          <t>Приложение №2 ЕТН, п.1.24.1</t>
        </is>
      </c>
    </row>
    <row r="50" ht="40.5" customHeight="1">
      <c r="A50" s="12" t="n"/>
      <c r="B50" s="12" t="n"/>
      <c r="C50" s="8" t="inlineStr">
        <is>
          <t>Средства индивидуальной защиты органов дыхания фильтрующего типа противоаэрозольные</t>
        </is>
      </c>
      <c r="D50" s="8" t="inlineStr">
        <is>
          <t>Противоаэрозольные средства индивидуальной защиты органов дыхания с фильтрующей лицевой частью - фильтрующие полумаски, класс защиты не ниже FFP2</t>
        </is>
      </c>
      <c r="E50" s="9" t="inlineStr">
        <is>
          <t>определяется документами изготовителя</t>
        </is>
      </c>
      <c r="F50" s="8" t="inlineStr">
        <is>
          <t>Приложение №2 ЕТН, п.7.1.2</t>
        </is>
      </c>
    </row>
    <row r="51" ht="15" customHeight="1">
      <c r="A51" s="12" t="n"/>
      <c r="B51" s="12" t="n"/>
      <c r="C51" s="11" t="inlineStr">
        <is>
          <t>При выполнении работ в неотапливаемых помещениях, на открытом воздухе в холодный период года:</t>
        </is>
      </c>
      <c r="D51" s="22" t="n"/>
      <c r="E51" s="22" t="n"/>
      <c r="F51" s="23" t="n"/>
    </row>
    <row r="52" ht="27" customHeight="1">
      <c r="A52" s="13" t="n"/>
      <c r="B52" s="13" t="n"/>
      <c r="C52" s="8" t="inlineStr">
        <is>
          <t>Одежда специальная для защиты от пониженных температур</t>
        </is>
      </c>
      <c r="D52" s="8" t="inlineStr">
        <is>
          <t>Куртка утепленная для защиты от пониженных температур (класс защиты по климатическому поясу места нахождения предприятия)</t>
        </is>
      </c>
      <c r="E52" s="9" t="inlineStr">
        <is>
          <t>1 шт. на 2 года</t>
        </is>
      </c>
      <c r="F52" s="8" t="inlineStr">
        <is>
          <t>Приложение №2 ЕТН, п.4.7.1</t>
        </is>
      </c>
    </row>
    <row r="53" ht="15" customHeight="1"/>
    <row r="54" ht="15" customHeight="1">
      <c r="B54" s="14" t="inlineStr">
        <is>
          <t>Примечания:</t>
        </is>
      </c>
    </row>
    <row r="55" ht="30" customHeight="1">
      <c r="B55" s="15" t="inlineStr">
        <is>
          <t>1. Выдаются СИЗ, имеющие действующий сертификат или декларацию соответствия ТР ТС 019/2011 (п.7 Правил, приказ №766н). Конкретные модели подбираются по классам защиты, указанным в графе 4.</t>
        </is>
      </c>
    </row>
    <row r="56" ht="30" customHeight="1">
      <c r="B56" s="15" t="inlineStr">
        <is>
          <t>2. Средства защиты органа слуха выдаются при уровне шума на рабочем месте выше 80 дБА по результатам СОУТ/ОПР; тип и SNR подбираются по фактическому уровню шума.</t>
        </is>
      </c>
    </row>
    <row r="57" ht="30" customHeight="1">
      <c r="B57" s="15" t="inlineStr">
        <is>
          <t>3. Работа в перчатках на станках с вращающимися частями (шпиндель, патрон, заготовка) запрещена (Правила по охране труда при обработке металлов, приказ Минтруда России №887н). Перчатки применяются при установке/снятии заготовок, уборке стружки, слесарных операциях.</t>
        </is>
      </c>
    </row>
    <row r="58" ht="30" customHeight="1">
      <c r="B58" s="15" t="inlineStr">
        <is>
          <t>4. СИЗ по строкам «При …» выдаются работникам, фактически выполняющим указанные работы (перечень утверждается распоряжением по участку).</t>
        </is>
      </c>
    </row>
    <row r="59" ht="30" customHeight="1">
      <c r="B59" s="15" t="inlineStr">
        <is>
          <t>5. Нормы подлежат сверке с результатами СОУТ и ОПР (п.14, п.19 Правил, приказ №766н).</t>
        </is>
      </c>
    </row>
    <row r="60" ht="15" customHeight="1"/>
    <row r="61" ht="15" customHeight="1">
      <c r="B61" s="4" t="inlineStr">
        <is>
          <t>Разработал:</t>
        </is>
      </c>
    </row>
    <row r="62" ht="32" customHeight="1">
      <c r="B62" s="16" t="inlineStr">
        <is>
          <t>Начальник отдела охраны труда и промышленной безопасности</t>
        </is>
      </c>
      <c r="D62" s="16" t="inlineStr">
        <is>
          <t>________________ / ____________</t>
        </is>
      </c>
    </row>
    <row r="63" ht="15" customHeight="1">
      <c r="B63" s="4" t="inlineStr">
        <is>
          <t>Согласовано:</t>
        </is>
      </c>
    </row>
    <row r="64" ht="32" customHeight="1">
      <c r="B64" s="16" t="inlineStr">
        <is>
          <t>Директор по производству</t>
        </is>
      </c>
      <c r="D64" s="16" t="inlineStr">
        <is>
          <t>________________ / ____________</t>
        </is>
      </c>
    </row>
    <row r="65" ht="32" customHeight="1">
      <c r="B65" s="16" t="inlineStr">
        <is>
          <t>Начальник участка</t>
        </is>
      </c>
      <c r="D65" s="16" t="inlineStr">
        <is>
          <t>________________ / ____________</t>
        </is>
      </c>
    </row>
    <row r="66" ht="32" customHeight="1">
      <c r="B66" s="16" t="inlineStr">
        <is>
          <t>Мастер участка</t>
        </is>
      </c>
      <c r="D66" s="16" t="inlineStr">
        <is>
          <t>________________ / ____________</t>
        </is>
      </c>
    </row>
    <row r="67" ht="32" customHeight="1">
      <c r="B67" s="16" t="inlineStr">
        <is>
          <t>Представитель выборного органа первичной профсоюзной организации (при наличии)</t>
        </is>
      </c>
      <c r="D67" s="16" t="inlineStr">
        <is>
          <t>________________ / ____________</t>
        </is>
      </c>
    </row>
  </sheetData>
  <mergeCells count="36">
    <mergeCell ref="D2:F2"/>
    <mergeCell ref="B62:C62"/>
    <mergeCell ref="C48:F48"/>
    <mergeCell ref="B7:F7"/>
    <mergeCell ref="C39:F39"/>
    <mergeCell ref="B54:F54"/>
    <mergeCell ref="B13:B19"/>
    <mergeCell ref="A20:A29"/>
    <mergeCell ref="B20:B29"/>
    <mergeCell ref="B59:F59"/>
    <mergeCell ref="B66:C66"/>
    <mergeCell ref="C37:F37"/>
    <mergeCell ref="B56:F56"/>
    <mergeCell ref="B58:F58"/>
    <mergeCell ref="C28:F28"/>
    <mergeCell ref="C18:F18"/>
    <mergeCell ref="A13:A19"/>
    <mergeCell ref="F30:F35"/>
    <mergeCell ref="D4:F4"/>
    <mergeCell ref="B67:C67"/>
    <mergeCell ref="F20:F23"/>
    <mergeCell ref="B41:B52"/>
    <mergeCell ref="D3:F3"/>
    <mergeCell ref="B57:F57"/>
    <mergeCell ref="F41:F46"/>
    <mergeCell ref="D5:F5"/>
    <mergeCell ref="B30:B40"/>
    <mergeCell ref="C26:F26"/>
    <mergeCell ref="A41:A52"/>
    <mergeCell ref="D1:F1"/>
    <mergeCell ref="B65:C65"/>
    <mergeCell ref="C9:F9"/>
    <mergeCell ref="B55:F55"/>
    <mergeCell ref="B64:C64"/>
    <mergeCell ref="C51:F51"/>
    <mergeCell ref="A30:A40"/>
  </mergeCells>
  <pageMargins left="0.75" right="0.75" top="1" bottom="1" header="0.5" footer="0.5"/>
  <pageSetup orientation="landscape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F54"/>
  <sheetViews>
    <sheetView workbookViewId="0">
      <pane ySplit="12" topLeftCell="A13" activePane="bottomLeft" state="frozen"/>
      <selection pane="bottomLeft" activeCell="A1" sqref="A1"/>
    </sheetView>
  </sheetViews>
  <sheetFormatPr baseColWidth="8" defaultRowHeight="15"/>
  <cols>
    <col width="6.3" customWidth="1" min="1" max="1"/>
    <col width="26" customWidth="1" min="2" max="2"/>
    <col width="30" customWidth="1" min="3" max="3"/>
    <col width="62" customWidth="1" min="4" max="4"/>
    <col width="19" customWidth="1" min="5" max="5"/>
    <col width="36" customWidth="1" min="6" max="6"/>
  </cols>
  <sheetData>
    <row r="1">
      <c r="D1" s="1" t="inlineStr">
        <is>
          <t>УТВЕРЖДАЮ</t>
        </is>
      </c>
    </row>
    <row r="2">
      <c r="D2" s="2" t="inlineStr">
        <is>
          <t>Управляющий директор</t>
        </is>
      </c>
    </row>
    <row r="3">
      <c r="D3" s="2" t="inlineStr">
        <is>
          <t>«Авиационные интерьеры специального назначения»</t>
        </is>
      </c>
    </row>
    <row r="4" ht="15" customHeight="1">
      <c r="D4" s="2" t="inlineStr">
        <is>
          <t>______________________ /________________/</t>
        </is>
      </c>
    </row>
    <row r="5" ht="15" customHeight="1">
      <c r="D5" s="2" t="inlineStr">
        <is>
          <t>«_____» _______________ 2026 г.</t>
        </is>
      </c>
    </row>
    <row r="6" ht="15" customHeight="1"/>
    <row r="7" ht="48" customHeight="1">
      <c r="B7" s="3" t="inlineStr">
        <is>
          <t>Нормы бесплатной выдачи средств индивидуальной защиты работникам «Авиационные интерьеры специального назначения»
(в соответствии с Едиными типовыми нормами выдачи средств индивидуальной защиты, утвержденными приказом Министерства труда и социальной защиты РФ от 29.10.2021 г. №767н)</t>
        </is>
      </c>
    </row>
    <row r="8" ht="15" customHeight="1"/>
    <row r="9" ht="15" customHeight="1">
      <c r="B9" s="4" t="inlineStr">
        <is>
          <t>Подразделение:</t>
        </is>
      </c>
      <c r="C9" s="4" t="inlineStr">
        <is>
          <t>Производственный департамент. Сборочный участок</t>
        </is>
      </c>
    </row>
    <row r="10" ht="15" customHeight="1"/>
    <row r="11" ht="64" customHeight="1">
      <c r="A11" s="5" t="inlineStr">
        <is>
          <t>№ п/п</t>
        </is>
      </c>
      <c r="B11" s="5" t="inlineStr">
        <is>
          <t>Должность работника</t>
        </is>
      </c>
      <c r="C11" s="5" t="inlineStr">
        <is>
          <t>Тип СИЗ</t>
        </is>
      </c>
      <c r="D11" s="5" t="inlineStr">
        <is>
          <t>Наименование СИЗ (с указанием конкретных данных о конструкции, классе защиты, категориях эффективности и/или эксплуатационных уровнях)</t>
        </is>
      </c>
      <c r="E11" s="5" t="inlineStr">
        <is>
          <t>Нормы выдачи на год (период), единицы измерения (штуки, пары, комплекты)</t>
        </is>
      </c>
      <c r="F11" s="5" t="inlineStr">
        <is>
          <t>Основание выдачи СИЗ (пункты Единых типовых норм (ЕТН), правил по охране труда и иных документов)</t>
        </is>
      </c>
    </row>
    <row r="12" ht="15" customHeight="1">
      <c r="A12" s="5" t="n">
        <v>1</v>
      </c>
      <c r="B12" s="5" t="n">
        <v>2</v>
      </c>
      <c r="C12" s="5" t="n">
        <v>3</v>
      </c>
      <c r="D12" s="5" t="n">
        <v>4</v>
      </c>
      <c r="E12" s="5" t="n">
        <v>5</v>
      </c>
      <c r="F12" s="5" t="n">
        <v>6</v>
      </c>
    </row>
    <row r="13" ht="40.5" customHeight="1">
      <c r="A13" s="6" t="n">
        <v>1</v>
      </c>
      <c r="B13" s="7" t="inlineStr">
        <is>
          <t>Начальник участка</t>
        </is>
      </c>
      <c r="C13" s="8" t="inlineStr">
        <is>
          <t>Одежда специальная защитная</t>
        </is>
      </c>
      <c r="D13" s="8" t="inlineStr">
        <is>
          <t>Костюм для защиты от общих производственных загрязнений (З)</t>
        </is>
      </c>
      <c r="E13" s="9" t="inlineStr">
        <is>
          <t>1 шт.</t>
        </is>
      </c>
      <c r="F13" s="8" t="inlineStr">
        <is>
          <t>Приложение №2 ЕТН, п.2.1.1; п.18 Правил обеспечения работников СИЗ (приказ Минтруда №766н)</t>
        </is>
      </c>
    </row>
    <row r="14" ht="27" customHeight="1">
      <c r="A14" s="12" t="n"/>
      <c r="B14" s="12" t="n"/>
      <c r="C14" s="8" t="inlineStr">
        <is>
          <t>Средства защиты ног</t>
        </is>
      </c>
      <c r="D14" s="8" t="inlineStr">
        <is>
          <t>Обувь специальная для защиты от механических воздействий (ударов в носочной части 200 Дж) - ботинки/полуботинки (Мун200)</t>
        </is>
      </c>
      <c r="E14" s="9" t="inlineStr">
        <is>
          <t>1 пара</t>
        </is>
      </c>
      <c r="F14" s="8" t="inlineStr">
        <is>
          <t>Приложение №2 ЕТН, п.1.3.1</t>
        </is>
      </c>
    </row>
    <row r="15" ht="40.5" customHeight="1">
      <c r="A15" s="12" t="n"/>
      <c r="B15" s="12" t="n"/>
      <c r="C15" s="8" t="inlineStr">
        <is>
          <t>Средства индивидуальной защиты глаз и лица от механических воздействий</t>
        </is>
      </c>
      <c r="D15" s="8" t="inlineStr">
        <is>
          <t>Очки защитные открытые от механических воздействий, класс оптики 1, прочность не ниже F, с покрытием от запотевания</t>
        </is>
      </c>
      <c r="E15" s="9" t="inlineStr">
        <is>
          <t>1 шт.</t>
        </is>
      </c>
      <c r="F15" s="8" t="inlineStr">
        <is>
          <t>Приложение №2 ЕТН, п.1.24.1</t>
        </is>
      </c>
    </row>
    <row r="16" ht="15" customHeight="1">
      <c r="A16" s="12" t="n"/>
      <c r="B16" s="12" t="n"/>
      <c r="C16" s="11" t="inlineStr">
        <is>
          <t>При допуске к управлению подъёмными сооружениями (кран-балка, таль) с пола:</t>
        </is>
      </c>
      <c r="D16" s="22" t="n"/>
      <c r="E16" s="22" t="n"/>
      <c r="F16" s="23" t="n"/>
    </row>
    <row r="17" ht="27" customHeight="1">
      <c r="A17" s="13" t="n"/>
      <c r="B17" s="13" t="n"/>
      <c r="C17" s="8" t="inlineStr">
        <is>
          <t>Средства индивидуальной защиты головы от механических воздействий</t>
        </is>
      </c>
      <c r="D17" s="8" t="inlineStr">
        <is>
          <t>Каска защитная</t>
        </is>
      </c>
      <c r="E17" s="9" t="inlineStr">
        <is>
          <t>1 шт. на 2 года</t>
        </is>
      </c>
      <c r="F17" s="8" t="inlineStr">
        <is>
          <t>Приложение №2 ЕТН, п.1.3.1</t>
        </is>
      </c>
    </row>
    <row r="18" ht="40.5" customHeight="1">
      <c r="A18" s="6" t="n">
        <v>2</v>
      </c>
      <c r="B18" s="7" t="inlineStr">
        <is>
          <t>Мастер участка</t>
        </is>
      </c>
      <c r="C18" s="8" t="inlineStr">
        <is>
          <t>Одежда специальная защитная</t>
        </is>
      </c>
      <c r="D18" s="8" t="inlineStr">
        <is>
          <t>Костюм для защиты от механических воздействий (истирания) (Ми)</t>
        </is>
      </c>
      <c r="E18" s="9" t="inlineStr">
        <is>
          <t>1 шт.</t>
        </is>
      </c>
      <c r="F18" s="8" t="inlineStr">
        <is>
          <t>Приложение №1 ЕТН, п.4562 (по виду контролируемых работ); п.18 Правил обеспечения работников СИЗ (приказ Минтруда №766н)</t>
        </is>
      </c>
    </row>
    <row r="19" ht="27" customHeight="1">
      <c r="A19" s="12" t="n"/>
      <c r="B19" s="12" t="n"/>
      <c r="C19" s="8" t="inlineStr">
        <is>
          <t>Средства защиты ног</t>
        </is>
      </c>
      <c r="D19" s="8" t="inlineStr">
        <is>
          <t>Обувь специальная для защиты от механических воздействий (ударов) (Мун200)</t>
        </is>
      </c>
      <c r="E19" s="9" t="inlineStr">
        <is>
          <t>1 пара</t>
        </is>
      </c>
      <c r="F19" s="12" t="n"/>
    </row>
    <row r="20" ht="15" customHeight="1">
      <c r="A20" s="12" t="n"/>
      <c r="B20" s="12" t="n"/>
      <c r="C20" s="8" t="inlineStr">
        <is>
          <t>Средства защиты рук</t>
        </is>
      </c>
      <c r="D20" s="8" t="inlineStr">
        <is>
          <t>Перчатки для защиты от механических воздействий (истирания) (Ми)</t>
        </is>
      </c>
      <c r="E20" s="9" t="inlineStr">
        <is>
          <t>12 пар</t>
        </is>
      </c>
      <c r="F20" s="12" t="n"/>
    </row>
    <row r="21" ht="15" customHeight="1">
      <c r="A21" s="12" t="n"/>
      <c r="B21" s="12" t="n"/>
      <c r="C21" s="8" t="inlineStr">
        <is>
          <t>Средства защиты головы</t>
        </is>
      </c>
      <c r="D21" s="8" t="inlineStr">
        <is>
          <t>Головной убор для защиты от общих производственных загрязнений</t>
        </is>
      </c>
      <c r="E21" s="9" t="inlineStr">
        <is>
          <t>1 шт.</t>
        </is>
      </c>
      <c r="F21" s="12" t="n"/>
    </row>
    <row r="22" ht="27" customHeight="1">
      <c r="A22" s="12" t="n"/>
      <c r="B22" s="12" t="n"/>
      <c r="C22" s="8" t="inlineStr">
        <is>
          <t>Средства защиты глаз</t>
        </is>
      </c>
      <c r="D22" s="8" t="inlineStr">
        <is>
          <t>Очки защитные от механических воздействий, в том числе с покрытием от запотевания</t>
        </is>
      </c>
      <c r="E22" s="9" t="inlineStr">
        <is>
          <t>1 шт.</t>
        </is>
      </c>
      <c r="F22" s="13" t="n"/>
    </row>
    <row r="23" ht="54" customHeight="1">
      <c r="A23" s="12" t="n"/>
      <c r="B23" s="12" t="n"/>
      <c r="C23" s="8" t="inlineStr">
        <is>
          <t>Средства индивидуальной защиты органа слуха</t>
        </is>
      </c>
      <c r="D23" s="8" t="inlineStr">
        <is>
          <t>Противошумные вкладыши (беруши) или противошумные наушники и их комплектующие; подбираются по уровню шума на рабочем месте (SNR по результатам СОУТ/ОПР)</t>
        </is>
      </c>
      <c r="E23" s="9" t="inlineStr">
        <is>
          <t>определяется документами изготовителя (до износа, но не более срока годности)</t>
        </is>
      </c>
      <c r="F23" s="8" t="inlineStr">
        <is>
          <t>Приложение №2 ЕТН, п.10.1.1</t>
        </is>
      </c>
    </row>
    <row r="24" ht="15" customHeight="1">
      <c r="A24" s="12" t="n"/>
      <c r="B24" s="12" t="n"/>
      <c r="C24" s="11" t="inlineStr">
        <is>
          <t>При допуске к управлению подъёмными сооружениями (кран-балка, таль) с пола:</t>
        </is>
      </c>
      <c r="D24" s="22" t="n"/>
      <c r="E24" s="22" t="n"/>
      <c r="F24" s="23" t="n"/>
    </row>
    <row r="25" ht="27" customHeight="1">
      <c r="A25" s="13" t="n"/>
      <c r="B25" s="13" t="n"/>
      <c r="C25" s="8" t="inlineStr">
        <is>
          <t>Средства индивидуальной защиты головы от механических воздействий</t>
        </is>
      </c>
      <c r="D25" s="8" t="inlineStr">
        <is>
          <t>Каска защитная</t>
        </is>
      </c>
      <c r="E25" s="9" t="inlineStr">
        <is>
          <t>1 шт. на 2 года</t>
        </is>
      </c>
      <c r="F25" s="8" t="inlineStr">
        <is>
          <t>Приложение №2 ЕТН, п.1.3.1</t>
        </is>
      </c>
    </row>
    <row r="26" ht="15" customHeight="1">
      <c r="A26" s="6" t="n">
        <v>3</v>
      </c>
      <c r="B26" s="7" t="inlineStr">
        <is>
          <t>Слесарь-сборщик</t>
        </is>
      </c>
      <c r="C26" s="8" t="inlineStr">
        <is>
          <t>Одежда специальная защитная</t>
        </is>
      </c>
      <c r="D26" s="8" t="inlineStr">
        <is>
          <t>Костюм для защиты от механических воздействий (истирания) (Ми)</t>
        </is>
      </c>
      <c r="E26" s="9" t="inlineStr">
        <is>
          <t>1 шт.</t>
        </is>
      </c>
      <c r="F26" s="8" t="inlineStr">
        <is>
          <t>Приложение №1 ЕТН, п.4562</t>
        </is>
      </c>
    </row>
    <row r="27" ht="27" customHeight="1">
      <c r="A27" s="12" t="n"/>
      <c r="B27" s="12" t="n"/>
      <c r="C27" s="8" t="inlineStr">
        <is>
          <t>Средства защиты ног</t>
        </is>
      </c>
      <c r="D27" s="8" t="inlineStr">
        <is>
          <t>Обувь специальная для защиты от механических воздействий (ударов) (Мун200)</t>
        </is>
      </c>
      <c r="E27" s="9" t="inlineStr">
        <is>
          <t>1 пара</t>
        </is>
      </c>
      <c r="F27" s="12" t="n"/>
    </row>
    <row r="28" ht="15" customHeight="1">
      <c r="A28" s="12" t="n"/>
      <c r="B28" s="12" t="n"/>
      <c r="C28" s="8" t="inlineStr">
        <is>
          <t>Средства защиты рук</t>
        </is>
      </c>
      <c r="D28" s="8" t="inlineStr">
        <is>
          <t>Перчатки для защиты от механических воздействий (истирания) (Ми)</t>
        </is>
      </c>
      <c r="E28" s="9" t="inlineStr">
        <is>
          <t>12 пар</t>
        </is>
      </c>
      <c r="F28" s="12" t="n"/>
    </row>
    <row r="29" ht="15" customHeight="1">
      <c r="A29" s="12" t="n"/>
      <c r="B29" s="12" t="n"/>
      <c r="C29" s="8" t="inlineStr">
        <is>
          <t>Средства защиты головы</t>
        </is>
      </c>
      <c r="D29" s="8" t="inlineStr">
        <is>
          <t>Головной убор для защиты от общих производственных загрязнений</t>
        </is>
      </c>
      <c r="E29" s="9" t="inlineStr">
        <is>
          <t>1 шт.</t>
        </is>
      </c>
      <c r="F29" s="12" t="n"/>
    </row>
    <row r="30" ht="27" customHeight="1">
      <c r="A30" s="12" t="n"/>
      <c r="B30" s="12" t="n"/>
      <c r="C30" s="8" t="inlineStr">
        <is>
          <t>Средства защиты глаз</t>
        </is>
      </c>
      <c r="D30" s="8" t="inlineStr">
        <is>
          <t>Очки защитные от механических воздействий, в том числе с покрытием от запотевания</t>
        </is>
      </c>
      <c r="E30" s="9" t="inlineStr">
        <is>
          <t>1 шт.</t>
        </is>
      </c>
      <c r="F30" s="13" t="n"/>
    </row>
    <row r="31" ht="54" customHeight="1">
      <c r="A31" s="12" t="n"/>
      <c r="B31" s="12" t="n"/>
      <c r="C31" s="8" t="inlineStr">
        <is>
          <t>Средства индивидуальной защиты органа слуха</t>
        </is>
      </c>
      <c r="D31" s="8" t="inlineStr">
        <is>
          <t>Противошумные вкладыши (беруши) или противошумные наушники и их комплектующие; подбираются по уровню шума на рабочем месте (SNR по результатам СОУТ/ОПР)</t>
        </is>
      </c>
      <c r="E31" s="9" t="inlineStr">
        <is>
          <t>определяется документами изготовителя (до износа, но не более срока годности)</t>
        </is>
      </c>
      <c r="F31" s="8" t="inlineStr">
        <is>
          <t>Приложение №2 ЕТН, п.10.1.1</t>
        </is>
      </c>
    </row>
    <row r="32" ht="15" customHeight="1">
      <c r="A32" s="12" t="n"/>
      <c r="B32" s="12" t="n"/>
      <c r="C32" s="11" t="inlineStr">
        <is>
          <t>При сверлении, зачистке, опиловке деталей из композиционных материалов и пластиков:</t>
        </is>
      </c>
      <c r="D32" s="22" t="n"/>
      <c r="E32" s="22" t="n"/>
      <c r="F32" s="23" t="n"/>
    </row>
    <row r="33" ht="40.5" customHeight="1">
      <c r="A33" s="12" t="n"/>
      <c r="B33" s="12" t="n"/>
      <c r="C33" s="8" t="inlineStr">
        <is>
          <t>Средства индивидуальной защиты органов дыхания фильтрующего типа противоаэрозольные</t>
        </is>
      </c>
      <c r="D33" s="8" t="inlineStr">
        <is>
          <t>Противоаэрозольные средства индивидуальной защиты органов дыхания с фильтрующей лицевой частью - фильтрующие полумаски, класс защиты не ниже FFP2</t>
        </is>
      </c>
      <c r="E33" s="9" t="inlineStr">
        <is>
          <t>определяется документами изготовителя</t>
        </is>
      </c>
      <c r="F33" s="8" t="inlineStr">
        <is>
          <t>Приложение №2 ЕТН, п.7.1.2</t>
        </is>
      </c>
    </row>
    <row r="34" ht="15" customHeight="1">
      <c r="A34" s="12" t="n"/>
      <c r="B34" s="12" t="n"/>
      <c r="C34" s="11" t="inlineStr">
        <is>
          <t>При работе с клеями, герметиками, обезжиривающими составами:</t>
        </is>
      </c>
      <c r="D34" s="22" t="n"/>
      <c r="E34" s="22" t="n"/>
      <c r="F34" s="23" t="n"/>
    </row>
    <row r="35" ht="27" customHeight="1">
      <c r="A35" s="12" t="n"/>
      <c r="B35" s="12" t="n"/>
      <c r="C35" s="8" t="inlineStr">
        <is>
          <t>Средства индивидуальной защиты глаз от химических факторов</t>
        </is>
      </c>
      <c r="D35" s="8" t="inlineStr">
        <is>
          <t>Очки защитные закрытого типа</t>
        </is>
      </c>
      <c r="E35" s="9" t="inlineStr">
        <is>
          <t>1 шт.</t>
        </is>
      </c>
      <c r="F35" s="8" t="inlineStr">
        <is>
          <t>Приложение №2 ЕТН, п.6.5.1</t>
        </is>
      </c>
    </row>
    <row r="36" ht="27" customHeight="1">
      <c r="A36" s="12" t="n"/>
      <c r="B36" s="12" t="n"/>
      <c r="C36" s="8" t="inlineStr">
        <is>
          <t>Средства защиты рук</t>
        </is>
      </c>
      <c r="D36" s="8" t="inlineStr">
        <is>
          <t>Перчатки для защиты от химических факторов (нитриловые), стойкие к применяемым веществам согласно паспортам безопасности</t>
        </is>
      </c>
      <c r="E36" s="9" t="inlineStr">
        <is>
          <t>определяется документами изготовителя</t>
        </is>
      </c>
      <c r="F36" s="8" t="inlineStr">
        <is>
          <t>Приложение №2 ЕТН, п.6.9</t>
        </is>
      </c>
    </row>
    <row r="37" ht="15" customHeight="1">
      <c r="A37" s="12" t="n"/>
      <c r="B37" s="12" t="n"/>
      <c r="C37" s="8" t="inlineStr">
        <is>
          <t>Одежда специальная защитная</t>
        </is>
      </c>
      <c r="D37" s="8" t="inlineStr">
        <is>
          <t>Фартук для защиты от общих производственных загрязнений</t>
        </is>
      </c>
      <c r="E37" s="9" t="inlineStr">
        <is>
          <t>1 шт.</t>
        </is>
      </c>
      <c r="F37" s="8" t="inlineStr">
        <is>
          <t>Приложение №2 ЕТН, п.2.1.2</t>
        </is>
      </c>
    </row>
    <row r="38" ht="15" customHeight="1">
      <c r="A38" s="12" t="n"/>
      <c r="B38" s="12" t="n"/>
      <c r="C38" s="11" t="inlineStr">
        <is>
          <t>При допуске к управлению подъёмными сооружениями (кран-балка, таль) с пола:</t>
        </is>
      </c>
      <c r="D38" s="22" t="n"/>
      <c r="E38" s="22" t="n"/>
      <c r="F38" s="23" t="n"/>
    </row>
    <row r="39" ht="27" customHeight="1">
      <c r="A39" s="13" t="n"/>
      <c r="B39" s="13" t="n"/>
      <c r="C39" s="8" t="inlineStr">
        <is>
          <t>Средства индивидуальной защиты головы от механических воздействий</t>
        </is>
      </c>
      <c r="D39" s="8" t="inlineStr">
        <is>
          <t>Каска защитная</t>
        </is>
      </c>
      <c r="E39" s="9" t="inlineStr">
        <is>
          <t>1 шт. на 2 года</t>
        </is>
      </c>
      <c r="F39" s="8" t="inlineStr">
        <is>
          <t>Приложение №2 ЕТН, п.1.3.1</t>
        </is>
      </c>
    </row>
    <row r="40" ht="15" customHeight="1"/>
    <row r="41" ht="15" customHeight="1">
      <c r="B41" s="14" t="inlineStr">
        <is>
          <t>Примечания:</t>
        </is>
      </c>
    </row>
    <row r="42" ht="30" customHeight="1">
      <c r="B42" s="15" t="inlineStr">
        <is>
          <t>1. Выдаются СИЗ, имеющие действующий сертификат или декларацию соответствия ТР ТС 019/2011 (п.7 Правил, приказ №766н). Конкретные модели подбираются по классам защиты, указанным в графе 4.</t>
        </is>
      </c>
    </row>
    <row r="43" ht="30" customHeight="1">
      <c r="B43" s="15" t="inlineStr">
        <is>
          <t>2. Средства защиты органа слуха выдаются при уровне шума на рабочем месте выше 80 дБА по результатам СОУТ/ОПР; тип и SNR подбираются по фактическому уровню шума.</t>
        </is>
      </c>
    </row>
    <row r="44" ht="30" customHeight="1">
      <c r="B44" s="15" t="inlineStr">
        <is>
          <t>3. Работа в перчатках на станках с вращающимися частями (шпиндель, патрон, заготовка) запрещена (Правила по охране труда при обработке металлов, приказ Минтруда России №887н). Перчатки применяются при установке/снятии заготовок, уборке стружки, слесарных операциях.</t>
        </is>
      </c>
    </row>
    <row r="45" ht="30" customHeight="1">
      <c r="B45" s="15" t="inlineStr">
        <is>
          <t>4. СИЗ по строкам «При …» выдаются работникам, фактически выполняющим указанные работы (перечень утверждается распоряжением по участку).</t>
        </is>
      </c>
    </row>
    <row r="46" ht="30" customHeight="1">
      <c r="B46" s="15" t="inlineStr">
        <is>
          <t>5. Нормы подлежат сверке с результатами СОУТ и ОПР (п.14, п.19 Правил, приказ №766н).</t>
        </is>
      </c>
    </row>
    <row r="47" ht="15" customHeight="1"/>
    <row r="48" ht="15" customHeight="1">
      <c r="B48" s="4" t="inlineStr">
        <is>
          <t>Разработал:</t>
        </is>
      </c>
    </row>
    <row r="49" ht="32" customHeight="1">
      <c r="B49" s="16" t="inlineStr">
        <is>
          <t>Начальник отдела охраны труда и промышленной безопасности</t>
        </is>
      </c>
      <c r="D49" s="16" t="inlineStr">
        <is>
          <t>________________ / ____________</t>
        </is>
      </c>
    </row>
    <row r="50" ht="15" customHeight="1">
      <c r="B50" s="4" t="inlineStr">
        <is>
          <t>Согласовано:</t>
        </is>
      </c>
    </row>
    <row r="51" ht="32" customHeight="1">
      <c r="B51" s="16" t="inlineStr">
        <is>
          <t>Директор по производству</t>
        </is>
      </c>
      <c r="D51" s="16" t="inlineStr">
        <is>
          <t>________________ / ____________</t>
        </is>
      </c>
    </row>
    <row r="52" ht="32" customHeight="1">
      <c r="B52" s="16" t="inlineStr">
        <is>
          <t>Начальник участка</t>
        </is>
      </c>
      <c r="D52" s="16" t="inlineStr">
        <is>
          <t>________________ / ____________</t>
        </is>
      </c>
    </row>
    <row r="53" ht="32" customHeight="1">
      <c r="B53" s="16" t="inlineStr">
        <is>
          <t>Мастер участка</t>
        </is>
      </c>
      <c r="D53" s="16" t="inlineStr">
        <is>
          <t>________________ / ____________</t>
        </is>
      </c>
    </row>
    <row r="54" ht="32" customHeight="1">
      <c r="B54" s="16" t="inlineStr">
        <is>
          <t>Представитель выборного органа первичной профсоюзной организации (при наличии)</t>
        </is>
      </c>
      <c r="D54" s="16" t="inlineStr">
        <is>
          <t>________________ / ____________</t>
        </is>
      </c>
    </row>
  </sheetData>
  <mergeCells count="31">
    <mergeCell ref="D2:F2"/>
    <mergeCell ref="F26:F30"/>
    <mergeCell ref="B7:F7"/>
    <mergeCell ref="B54:C54"/>
    <mergeCell ref="A26:A39"/>
    <mergeCell ref="C38:F38"/>
    <mergeCell ref="B46:F46"/>
    <mergeCell ref="C32:F32"/>
    <mergeCell ref="B43:F43"/>
    <mergeCell ref="B52:C52"/>
    <mergeCell ref="B18:B25"/>
    <mergeCell ref="C34:F34"/>
    <mergeCell ref="D4:F4"/>
    <mergeCell ref="B42:F42"/>
    <mergeCell ref="D3:F3"/>
    <mergeCell ref="A13:A17"/>
    <mergeCell ref="C24:F24"/>
    <mergeCell ref="B26:B39"/>
    <mergeCell ref="B53:C53"/>
    <mergeCell ref="B44:F44"/>
    <mergeCell ref="D5:F5"/>
    <mergeCell ref="C16:F16"/>
    <mergeCell ref="D1:F1"/>
    <mergeCell ref="A18:A25"/>
    <mergeCell ref="B49:C49"/>
    <mergeCell ref="C9:F9"/>
    <mergeCell ref="B51:C51"/>
    <mergeCell ref="B13:B17"/>
    <mergeCell ref="B45:F45"/>
    <mergeCell ref="F18:F22"/>
    <mergeCell ref="B41:F41"/>
  </mergeCells>
  <pageMargins left="0.75" right="0.75" top="1" bottom="1" header="0.5" footer="0.5"/>
  <pageSetup orientation="landscape" paperSize="9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F52"/>
  <sheetViews>
    <sheetView workbookViewId="0">
      <pane ySplit="12" topLeftCell="A13" activePane="bottomLeft" state="frozen"/>
      <selection pane="bottomLeft" activeCell="A1" sqref="A1"/>
    </sheetView>
  </sheetViews>
  <sheetFormatPr baseColWidth="8" defaultRowHeight="15"/>
  <cols>
    <col width="6.3" customWidth="1" min="1" max="1"/>
    <col width="26" customWidth="1" min="2" max="2"/>
    <col width="30" customWidth="1" min="3" max="3"/>
    <col width="62" customWidth="1" min="4" max="4"/>
    <col width="19" customWidth="1" min="5" max="5"/>
    <col width="36" customWidth="1" min="6" max="6"/>
  </cols>
  <sheetData>
    <row r="1">
      <c r="D1" s="1" t="inlineStr">
        <is>
          <t>УТВЕРЖДАЮ</t>
        </is>
      </c>
    </row>
    <row r="2">
      <c r="D2" s="2" t="inlineStr">
        <is>
          <t>Управляющий директор</t>
        </is>
      </c>
    </row>
    <row r="3">
      <c r="D3" s="2" t="inlineStr">
        <is>
          <t>«Авиационные интерьеры специального назначения»</t>
        </is>
      </c>
    </row>
    <row r="4" ht="15" customHeight="1">
      <c r="D4" s="2" t="inlineStr">
        <is>
          <t>______________________ /________________/</t>
        </is>
      </c>
    </row>
    <row r="5" ht="15" customHeight="1">
      <c r="D5" s="2" t="inlineStr">
        <is>
          <t>«_____» _______________ 2026 г.</t>
        </is>
      </c>
    </row>
    <row r="6" ht="15" customHeight="1"/>
    <row r="7" ht="48" customHeight="1">
      <c r="B7" s="3" t="inlineStr">
        <is>
          <t>Нормы бесплатной выдачи средств индивидуальной защиты работникам «Авиационные интерьеры специального назначения»
(в соответствии с Едиными типовыми нормами выдачи средств индивидуальной защиты, утвержденными приказом Министерства труда и социальной защиты РФ от 29.10.2021 г. №767н)</t>
        </is>
      </c>
    </row>
    <row r="8" ht="15" customHeight="1"/>
    <row r="9" ht="15" customHeight="1">
      <c r="B9" s="4" t="inlineStr">
        <is>
          <t>Подразделение:</t>
        </is>
      </c>
      <c r="C9" s="4" t="inlineStr">
        <is>
          <t>Производственный департамент. Швейный участок</t>
        </is>
      </c>
    </row>
    <row r="10" ht="15" customHeight="1"/>
    <row r="11" ht="64" customHeight="1">
      <c r="A11" s="5" t="inlineStr">
        <is>
          <t>№ п/п</t>
        </is>
      </c>
      <c r="B11" s="5" t="inlineStr">
        <is>
          <t>Должность работника</t>
        </is>
      </c>
      <c r="C11" s="5" t="inlineStr">
        <is>
          <t>Тип СИЗ</t>
        </is>
      </c>
      <c r="D11" s="5" t="inlineStr">
        <is>
          <t>Наименование СИЗ (с указанием конкретных данных о конструкции, классе защиты, категориях эффективности и/или эксплуатационных уровнях)</t>
        </is>
      </c>
      <c r="E11" s="5" t="inlineStr">
        <is>
          <t>Нормы выдачи на год (период), единицы измерения (штуки, пары, комплекты)</t>
        </is>
      </c>
      <c r="F11" s="5" t="inlineStr">
        <is>
          <t>Основание выдачи СИЗ (пункты Единых типовых норм (ЕТН), правил по охране труда и иных документов)</t>
        </is>
      </c>
    </row>
    <row r="12" ht="15" customHeight="1">
      <c r="A12" s="5" t="n">
        <v>1</v>
      </c>
      <c r="B12" s="5" t="n">
        <v>2</v>
      </c>
      <c r="C12" s="5" t="n">
        <v>3</v>
      </c>
      <c r="D12" s="5" t="n">
        <v>4</v>
      </c>
      <c r="E12" s="5" t="n">
        <v>5</v>
      </c>
      <c r="F12" s="5" t="n">
        <v>6</v>
      </c>
    </row>
    <row r="13" ht="40.5" customHeight="1">
      <c r="A13" s="6" t="n">
        <v>1</v>
      </c>
      <c r="B13" s="7" t="inlineStr">
        <is>
          <t>Мастер участка</t>
        </is>
      </c>
      <c r="C13" s="8" t="inlineStr">
        <is>
          <t>Одежда специальная защитная</t>
        </is>
      </c>
      <c r="D13" s="8" t="inlineStr">
        <is>
          <t>Костюм (или халат) для защиты от общих производственных загрязнений и механических воздействий (истирания) (З, Ми)</t>
        </is>
      </c>
      <c r="E13" s="9" t="inlineStr">
        <is>
          <t>1 шт.</t>
        </is>
      </c>
      <c r="F13" s="8" t="inlineStr">
        <is>
          <t>Приложение №2 ЕТН, п.2.1.1; п.18 Правил обеспечения работников СИЗ (приказ Минтруда №766н)</t>
        </is>
      </c>
    </row>
    <row r="14" ht="27" customHeight="1">
      <c r="A14" s="12" t="n"/>
      <c r="B14" s="12" t="n"/>
      <c r="C14" s="8" t="inlineStr">
        <is>
          <t>Средства защиты ног</t>
        </is>
      </c>
      <c r="D14" s="8" t="inlineStr">
        <is>
          <t>Обувь специальная для защиты от общих производственных загрязнений (полуботинки, туфли)</t>
        </is>
      </c>
      <c r="E14" s="9" t="inlineStr">
        <is>
          <t>1 пара</t>
        </is>
      </c>
      <c r="F14" s="8" t="inlineStr">
        <is>
          <t>Приложение №2 ЕТН, п.2.1.1</t>
        </is>
      </c>
    </row>
    <row r="15" ht="27" customHeight="1">
      <c r="A15" s="13" t="n"/>
      <c r="B15" s="13" t="n"/>
      <c r="C15" s="8" t="inlineStr">
        <is>
          <t>Средства защиты головы</t>
        </is>
      </c>
      <c r="D15" s="8" t="inlineStr">
        <is>
          <t>Головной убор для защиты от общих производственных загрязнений (косынка, шапочка)</t>
        </is>
      </c>
      <c r="E15" s="9" t="inlineStr">
        <is>
          <t>1 шт.</t>
        </is>
      </c>
      <c r="F15" s="8" t="inlineStr">
        <is>
          <t>Приложение №2 ЕТН, п.2.1.1</t>
        </is>
      </c>
    </row>
    <row r="16" ht="54" customHeight="1">
      <c r="A16" s="6" t="n">
        <v>2</v>
      </c>
      <c r="B16" s="7" t="inlineStr">
        <is>
          <t>Специалист по пошиву</t>
        </is>
      </c>
      <c r="C16" s="8" t="inlineStr">
        <is>
          <t>Одежда специальная защитная</t>
        </is>
      </c>
      <c r="D16" s="8" t="inlineStr">
        <is>
          <t>Костюм для защиты от механических воздействий (истирания) (Ми)</t>
        </is>
      </c>
      <c r="E16" s="9" t="inlineStr">
        <is>
          <t>1 шт.</t>
        </is>
      </c>
      <c r="F16" s="8" t="inlineStr">
        <is>
          <t>Приложение №1 ЕТН, п.5145 «Швея» (по аналогии выполняемых работ); п.18 Правил обеспечения работников СИЗ (приказ Минтруда №766н)</t>
        </is>
      </c>
    </row>
    <row r="17" ht="27" customHeight="1">
      <c r="A17" s="12" t="n"/>
      <c r="B17" s="12" t="n"/>
      <c r="C17" s="8" t="inlineStr">
        <is>
          <t>Средства защиты ног</t>
        </is>
      </c>
      <c r="D17" s="8" t="inlineStr">
        <is>
          <t>Обувь специальная для защиты от механических воздействий (истирания) (Ми)</t>
        </is>
      </c>
      <c r="E17" s="9" t="inlineStr">
        <is>
          <t>1 пара</t>
        </is>
      </c>
      <c r="F17" s="12" t="n"/>
    </row>
    <row r="18" ht="15" customHeight="1">
      <c r="A18" s="12" t="n"/>
      <c r="B18" s="12" t="n"/>
      <c r="C18" s="8" t="inlineStr">
        <is>
          <t>Средства защиты рук</t>
        </is>
      </c>
      <c r="D18" s="8" t="inlineStr">
        <is>
          <t>Перчатки для защиты от механических воздействий (истирания) (Ми)</t>
        </is>
      </c>
      <c r="E18" s="9" t="inlineStr">
        <is>
          <t>12 пар</t>
        </is>
      </c>
      <c r="F18" s="12" t="n"/>
    </row>
    <row r="19" ht="27" customHeight="1">
      <c r="A19" s="12" t="n"/>
      <c r="B19" s="12" t="n"/>
      <c r="C19" s="8" t="inlineStr">
        <is>
          <t>Средства защиты головы</t>
        </is>
      </c>
      <c r="D19" s="8" t="inlineStr">
        <is>
          <t>Головной убор для защиты от общих производственных загрязнений (косынка, шапочка)</t>
        </is>
      </c>
      <c r="E19" s="9" t="inlineStr">
        <is>
          <t>1 шт.</t>
        </is>
      </c>
      <c r="F19" s="13" t="n"/>
    </row>
    <row r="20" ht="15" customHeight="1">
      <c r="A20" s="12" t="n"/>
      <c r="B20" s="12" t="n"/>
      <c r="C20" s="8" t="inlineStr">
        <is>
          <t>Одежда специальная защитная</t>
        </is>
      </c>
      <c r="D20" s="8" t="inlineStr">
        <is>
          <t>Фартук для защиты от общих производственных загрязнений</t>
        </is>
      </c>
      <c r="E20" s="9" t="inlineStr">
        <is>
          <t>1 шт.</t>
        </is>
      </c>
      <c r="F20" s="8" t="inlineStr">
        <is>
          <t>Приложение №2 ЕТН, п.2.1.2</t>
        </is>
      </c>
    </row>
    <row r="21" ht="15" customHeight="1">
      <c r="A21" s="12" t="n"/>
      <c r="B21" s="12" t="n"/>
      <c r="C21" s="11" t="inlineStr">
        <is>
          <t>При раскрое и пошиве материалов, выделяющих волокна и пыль (стеклоткань, арамидные, огнестойкие ткани, препреги):</t>
        </is>
      </c>
      <c r="D21" s="22" t="n"/>
      <c r="E21" s="22" t="n"/>
      <c r="F21" s="23" t="n"/>
    </row>
    <row r="22" ht="54" customHeight="1">
      <c r="A22" s="12" t="n"/>
      <c r="B22" s="12" t="n"/>
      <c r="C22" s="8" t="inlineStr">
        <is>
          <t>Средства индивидуальной защиты органов дыхания фильтрующего типа противоаэрозольные</t>
        </is>
      </c>
      <c r="D22" s="8" t="inlineStr">
        <is>
          <t>Противоаэрозольные средства индивидуальной защиты органов дыхания с фильтрующей лицевой частью - фильтрующие полумаски, класс защиты не ниже FFP2</t>
        </is>
      </c>
      <c r="E22" s="9" t="inlineStr">
        <is>
          <t>до износа, но не более срока годности (одноразовые - 1 шт. на смену)</t>
        </is>
      </c>
      <c r="F22" s="8" t="inlineStr">
        <is>
          <t>Приложение №2 ЕТН, п.7.1.2</t>
        </is>
      </c>
    </row>
    <row r="23" ht="40.5" customHeight="1">
      <c r="A23" s="12" t="n"/>
      <c r="B23" s="12" t="n"/>
      <c r="C23" s="8" t="inlineStr">
        <is>
          <t>Средства индивидуальной защиты глаз от механических воздействий, от грубодисперсных аэрозолей (пыли)</t>
        </is>
      </c>
      <c r="D23" s="8" t="inlineStr">
        <is>
          <t>Очки защитные закрытые с непрямой вентиляцией, с покрытием от запотевания</t>
        </is>
      </c>
      <c r="E23" s="9" t="inlineStr">
        <is>
          <t>2 шт.</t>
        </is>
      </c>
      <c r="F23" s="8" t="inlineStr">
        <is>
          <t>Приложение №2 ЕТН, п.7.1.1; п.16 Правил (приказ №766н)</t>
        </is>
      </c>
    </row>
    <row r="24" ht="27" customHeight="1">
      <c r="A24" s="12" t="n"/>
      <c r="B24" s="12" t="n"/>
      <c r="C24" s="8" t="inlineStr">
        <is>
          <t>Средства защиты рук</t>
        </is>
      </c>
      <c r="D24" s="8" t="inlineStr">
        <is>
          <t>Перчатки для защиты от механических воздействий (истирания), трикотажные плотной вязки с полимерным покрытием (Ми)</t>
        </is>
      </c>
      <c r="E24" s="9" t="inlineStr">
        <is>
          <t>60 пар</t>
        </is>
      </c>
      <c r="F24" s="8" t="inlineStr">
        <is>
          <t>Приложение №2 ЕТН, п.1.28; п.16 Правил (приказ №766н)</t>
        </is>
      </c>
    </row>
    <row r="25" ht="27" customHeight="1">
      <c r="A25" s="13" t="n"/>
      <c r="B25" s="13" t="n"/>
      <c r="C25" s="8" t="inlineStr">
        <is>
          <t>Одежда специальная защитная</t>
        </is>
      </c>
      <c r="D25" s="8" t="inlineStr">
        <is>
          <t>Фартук из плотной гладкой ткани с ПВХ-покрытием (или полиэфирной ткани с водоотталкивающей пропиткой)</t>
        </is>
      </c>
      <c r="E25" s="9" t="inlineStr">
        <is>
          <t>2 шт.</t>
        </is>
      </c>
      <c r="F25" s="8" t="inlineStr">
        <is>
          <t>Приложение №2 ЕТН, п.2.1.2</t>
        </is>
      </c>
    </row>
    <row r="26" ht="40.5" customHeight="1">
      <c r="A26" s="6" t="n">
        <v>3</v>
      </c>
      <c r="B26" s="7" t="inlineStr">
        <is>
          <t>Оператор станков с программным управлением (автоматизированный раскройный комплекс с ЧПУ)</t>
        </is>
      </c>
      <c r="C26" s="8" t="inlineStr">
        <is>
          <t>Одежда специальная защитная</t>
        </is>
      </c>
      <c r="D26" s="8" t="inlineStr">
        <is>
          <t>Костюм для защиты от механических воздействий (истирания) (Ми)</t>
        </is>
      </c>
      <c r="E26" s="9" t="inlineStr">
        <is>
          <t>1 шт.</t>
        </is>
      </c>
      <c r="F26" s="8" t="inlineStr">
        <is>
          <t>Приложение №1 ЕТН, п.3283</t>
        </is>
      </c>
    </row>
    <row r="27" ht="27" customHeight="1">
      <c r="A27" s="12" t="n"/>
      <c r="B27" s="12" t="n"/>
      <c r="C27" s="8" t="inlineStr">
        <is>
          <t>Средства защиты ног</t>
        </is>
      </c>
      <c r="D27" s="8" t="inlineStr">
        <is>
          <t>Обувь специальная для защиты от механических воздействий (ударов) (Мун200)</t>
        </is>
      </c>
      <c r="E27" s="9" t="inlineStr">
        <is>
          <t>1 пара</t>
        </is>
      </c>
      <c r="F27" s="12" t="n"/>
    </row>
    <row r="28" ht="15" customHeight="1">
      <c r="A28" s="12" t="n"/>
      <c r="B28" s="12" t="n"/>
      <c r="C28" s="8" t="inlineStr">
        <is>
          <t>Средства защиты рук</t>
        </is>
      </c>
      <c r="D28" s="8" t="inlineStr">
        <is>
          <t>Перчатки для защиты от механических воздействий (истирания) (Ми)</t>
        </is>
      </c>
      <c r="E28" s="9" t="inlineStr">
        <is>
          <t>12 пар</t>
        </is>
      </c>
      <c r="F28" s="12" t="n"/>
    </row>
    <row r="29" ht="15" customHeight="1">
      <c r="A29" s="12" t="n"/>
      <c r="B29" s="12" t="n"/>
      <c r="C29" s="8" t="inlineStr">
        <is>
          <t>Средства защиты головы</t>
        </is>
      </c>
      <c r="D29" s="8" t="inlineStr">
        <is>
          <t>Головной убор для защиты от общих производственных загрязнений</t>
        </is>
      </c>
      <c r="E29" s="9" t="inlineStr">
        <is>
          <t>1 шт.</t>
        </is>
      </c>
      <c r="F29" s="13" t="n"/>
    </row>
    <row r="30" ht="54" customHeight="1">
      <c r="A30" s="12" t="n"/>
      <c r="B30" s="12" t="n"/>
      <c r="C30" s="8" t="inlineStr">
        <is>
          <t>Средства индивидуальной защиты органа слуха</t>
        </is>
      </c>
      <c r="D30" s="8" t="inlineStr">
        <is>
          <t>Противошумные вкладыши (беруши) или противошумные наушники и их комплектующие; подбираются по уровню шума на рабочем месте (SNR по результатам СОУТ/ОПР)</t>
        </is>
      </c>
      <c r="E30" s="9" t="inlineStr">
        <is>
          <t>определяется документами изготовителя (до износа, но не более срока годности)</t>
        </is>
      </c>
      <c r="F30" s="8" t="inlineStr">
        <is>
          <t>Приложение №2 ЕТН, п.10.1.1</t>
        </is>
      </c>
    </row>
    <row r="31" ht="15" customHeight="1">
      <c r="A31" s="12" t="n"/>
      <c r="B31" s="12" t="n"/>
      <c r="C31" s="11" t="inlineStr">
        <is>
          <t>При замене ножей, обслуживании режущей головки:</t>
        </is>
      </c>
      <c r="D31" s="22" t="n"/>
      <c r="E31" s="22" t="n"/>
      <c r="F31" s="23" t="n"/>
    </row>
    <row r="32" ht="40.5" customHeight="1">
      <c r="A32" s="12" t="n"/>
      <c r="B32" s="12" t="n"/>
      <c r="C32" s="8" t="inlineStr">
        <is>
          <t>Средства индивидуальной защиты рук для защиты от механических воздействий (порезов)</t>
        </is>
      </c>
      <c r="D32" s="8" t="inlineStr">
        <is>
          <t>Перчатки для защиты от порезов, уровень стойкости к порезу не ниже С по ГОСТ EN 388</t>
        </is>
      </c>
      <c r="E32" s="9" t="inlineStr">
        <is>
          <t>12 пар</t>
        </is>
      </c>
      <c r="F32" s="8" t="inlineStr">
        <is>
          <t>Приложение №2 ЕТН, п.1.18.1</t>
        </is>
      </c>
    </row>
    <row r="33" ht="15" customHeight="1">
      <c r="A33" s="12" t="n"/>
      <c r="B33" s="12" t="n"/>
      <c r="C33" s="11" t="inlineStr">
        <is>
          <t>При раскрое и пошиве материалов, выделяющих волокна и пыль (стеклоткань, арамидные, огнестойкие ткани, препреги):</t>
        </is>
      </c>
      <c r="D33" s="22" t="n"/>
      <c r="E33" s="22" t="n"/>
      <c r="F33" s="23" t="n"/>
    </row>
    <row r="34" ht="54" customHeight="1">
      <c r="A34" s="12" t="n"/>
      <c r="B34" s="12" t="n"/>
      <c r="C34" s="8" t="inlineStr">
        <is>
          <t>Средства индивидуальной защиты органов дыхания фильтрующего типа противоаэрозольные</t>
        </is>
      </c>
      <c r="D34" s="8" t="inlineStr">
        <is>
          <t>Противоаэрозольные средства индивидуальной защиты органов дыхания с фильтрующей лицевой частью - фильтрующие полумаски, класс защиты не ниже FFP2</t>
        </is>
      </c>
      <c r="E34" s="9" t="inlineStr">
        <is>
          <t>до износа, но не более срока годности (одноразовые - 1 шт. на смену)</t>
        </is>
      </c>
      <c r="F34" s="8" t="inlineStr">
        <is>
          <t>Приложение №2 ЕТН, п.7.1.2</t>
        </is>
      </c>
    </row>
    <row r="35" ht="40.5" customHeight="1">
      <c r="A35" s="12" t="n"/>
      <c r="B35" s="12" t="n"/>
      <c r="C35" s="8" t="inlineStr">
        <is>
          <t>Средства индивидуальной защиты глаз от механических воздействий, от грубодисперсных аэрозолей (пыли)</t>
        </is>
      </c>
      <c r="D35" s="8" t="inlineStr">
        <is>
          <t>Очки защитные закрытые с непрямой вентиляцией, с покрытием от запотевания</t>
        </is>
      </c>
      <c r="E35" s="9" t="inlineStr">
        <is>
          <t>2 шт.</t>
        </is>
      </c>
      <c r="F35" s="8" t="inlineStr">
        <is>
          <t>Приложение №2 ЕТН, п.7.1.1; п.16 Правил (приказ №766н)</t>
        </is>
      </c>
    </row>
    <row r="36" ht="27" customHeight="1">
      <c r="A36" s="12" t="n"/>
      <c r="B36" s="12" t="n"/>
      <c r="C36" s="8" t="inlineStr">
        <is>
          <t>Средства защиты рук</t>
        </is>
      </c>
      <c r="D36" s="8" t="inlineStr">
        <is>
          <t>Перчатки для защиты от механических воздействий (истирания), трикотажные плотной вязки с полимерным покрытием (Ми)</t>
        </is>
      </c>
      <c r="E36" s="9" t="inlineStr">
        <is>
          <t>60 пар</t>
        </is>
      </c>
      <c r="F36" s="8" t="inlineStr">
        <is>
          <t>Приложение №2 ЕТН, п.1.28; п.16 Правил (приказ №766н)</t>
        </is>
      </c>
    </row>
    <row r="37" ht="27" customHeight="1">
      <c r="A37" s="13" t="n"/>
      <c r="B37" s="13" t="n"/>
      <c r="C37" s="8" t="inlineStr">
        <is>
          <t>Одежда специальная защитная</t>
        </is>
      </c>
      <c r="D37" s="8" t="inlineStr">
        <is>
          <t>Фартук из плотной гладкой ткани с ПВХ-покрытием (или полиэфирной ткани с водоотталкивающей пропиткой)</t>
        </is>
      </c>
      <c r="E37" s="9" t="inlineStr">
        <is>
          <t>2 шт.</t>
        </is>
      </c>
      <c r="F37" s="8" t="inlineStr">
        <is>
          <t>Приложение №2 ЕТН, п.2.1.2</t>
        </is>
      </c>
    </row>
    <row r="38" ht="15" customHeight="1"/>
    <row r="39" ht="15" customHeight="1">
      <c r="B39" s="14" t="inlineStr">
        <is>
          <t>Примечания:</t>
        </is>
      </c>
    </row>
    <row r="40" ht="30" customHeight="1">
      <c r="B40" s="15" t="inlineStr">
        <is>
          <t>1. Выдаются СИЗ, имеющие действующий сертификат или декларацию соответствия ТР ТС 019/2011 (п.7 Правил, приказ №766н). Конкретные модели подбираются по классам защиты, указанным в графе 4.</t>
        </is>
      </c>
    </row>
    <row r="41" ht="30" customHeight="1">
      <c r="B41" s="15" t="inlineStr">
        <is>
          <t>2. Средства защиты органа слуха выдаются при уровне шума на рабочем месте выше 80 дБА по результатам СОУТ/ОПР; тип и SNR подбираются по фактическому уровню шума.</t>
        </is>
      </c>
    </row>
    <row r="42" ht="30" customHeight="1">
      <c r="B42" s="15" t="inlineStr">
        <is>
          <t>3. Работа в перчатках на станках с вращающимися частями (шпиндель, патрон, заготовка) запрещена (Правила по охране труда при обработке металлов, приказ Минтруда России №887н). Перчатки применяются при установке/снятии заготовок, уборке стружки, слесарных операциях.</t>
        </is>
      </c>
    </row>
    <row r="43" ht="30" customHeight="1">
      <c r="B43" s="15" t="inlineStr">
        <is>
          <t>4. СИЗ по строкам «При …» выдаются работникам, фактически выполняющим указанные работы (перечень утверждается распоряжением по участку).</t>
        </is>
      </c>
    </row>
    <row r="44" ht="30" customHeight="1">
      <c r="B44" s="15" t="inlineStr">
        <is>
          <t>5. Нормы подлежат сверке с результатами СОУТ и ОПР (п.14, п.19 Правил, приказ №766н).</t>
        </is>
      </c>
    </row>
    <row r="45" ht="15" customHeight="1"/>
    <row r="46" ht="15" customHeight="1">
      <c r="B46" s="4" t="inlineStr">
        <is>
          <t>Разработал:</t>
        </is>
      </c>
    </row>
    <row r="47" ht="32" customHeight="1">
      <c r="B47" s="16" t="inlineStr">
        <is>
          <t>Начальник отдела охраны труда и промышленной безопасности</t>
        </is>
      </c>
      <c r="D47" s="16" t="inlineStr">
        <is>
          <t>________________ / ____________</t>
        </is>
      </c>
    </row>
    <row r="48" ht="15" customHeight="1">
      <c r="B48" s="4" t="inlineStr">
        <is>
          <t>Согласовано:</t>
        </is>
      </c>
    </row>
    <row r="49" ht="32" customHeight="1">
      <c r="B49" s="16" t="inlineStr">
        <is>
          <t>Директор по производству</t>
        </is>
      </c>
      <c r="D49" s="16" t="inlineStr">
        <is>
          <t>________________ / ____________</t>
        </is>
      </c>
    </row>
    <row r="50" ht="32" customHeight="1">
      <c r="B50" s="16" t="inlineStr">
        <is>
          <t>Начальник участка</t>
        </is>
      </c>
      <c r="D50" s="16" t="inlineStr">
        <is>
          <t>________________ / ____________</t>
        </is>
      </c>
    </row>
    <row r="51" ht="32" customHeight="1">
      <c r="B51" s="16" t="inlineStr">
        <is>
          <t>Мастер участка</t>
        </is>
      </c>
      <c r="D51" s="16" t="inlineStr">
        <is>
          <t>________________ / ____________</t>
        </is>
      </c>
    </row>
    <row r="52" ht="32" customHeight="1">
      <c r="B52" s="16" t="inlineStr">
        <is>
          <t>Представитель выборного органа первичной профсоюзной организации (при наличии)</t>
        </is>
      </c>
      <c r="D52" s="16" t="inlineStr">
        <is>
          <t>________________ / ____________</t>
        </is>
      </c>
    </row>
  </sheetData>
  <mergeCells count="29">
    <mergeCell ref="D2:F2"/>
    <mergeCell ref="A26:A37"/>
    <mergeCell ref="B47:C47"/>
    <mergeCell ref="B7:F7"/>
    <mergeCell ref="F16:F19"/>
    <mergeCell ref="A13:A15"/>
    <mergeCell ref="B43:F43"/>
    <mergeCell ref="B52:C52"/>
    <mergeCell ref="B39:F39"/>
    <mergeCell ref="B26:B37"/>
    <mergeCell ref="F26:F29"/>
    <mergeCell ref="B42:F42"/>
    <mergeCell ref="D4:F4"/>
    <mergeCell ref="B16:B25"/>
    <mergeCell ref="D3:F3"/>
    <mergeCell ref="C33:F33"/>
    <mergeCell ref="B44:F44"/>
    <mergeCell ref="D5:F5"/>
    <mergeCell ref="A16:A25"/>
    <mergeCell ref="D1:F1"/>
    <mergeCell ref="B40:F40"/>
    <mergeCell ref="B49:C49"/>
    <mergeCell ref="C9:F9"/>
    <mergeCell ref="C31:F31"/>
    <mergeCell ref="B51:C51"/>
    <mergeCell ref="B13:B15"/>
    <mergeCell ref="C21:F21"/>
    <mergeCell ref="B50:C50"/>
    <mergeCell ref="B41:F41"/>
  </mergeCells>
  <pageMargins left="0.75" right="0.75" top="1" bottom="1" header="0.5" footer="0.5"/>
  <pageSetup orientation="landscape" paperSize="9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2:F28"/>
  <sheetViews>
    <sheetView workbookViewId="0">
      <selection activeCell="A1" sqref="A1"/>
    </sheetView>
  </sheetViews>
  <sheetFormatPr baseColWidth="8" defaultRowHeight="15"/>
  <cols>
    <col width="6.3" customWidth="1" min="1" max="1"/>
    <col width="34" customWidth="1" min="2" max="2"/>
    <col width="34" customWidth="1" min="3" max="3"/>
    <col width="62" customWidth="1" min="4" max="4"/>
    <col width="17" customWidth="1" min="5" max="5"/>
    <col width="30" customWidth="1" min="6" max="6"/>
  </cols>
  <sheetData>
    <row r="2" ht="48" customHeight="1">
      <c r="B2" s="3" t="inlineStr">
        <is>
          <t>Нормы бесплатной выдачи дерматологических средств индивидуальной защиты и смывающих средств работникам «Авиационные интерьеры специального назначения»
(Приложение №3 к приказу Минтруда России от 29.10.2021 г. №767н)</t>
        </is>
      </c>
    </row>
    <row r="4" ht="27" customHeight="1">
      <c r="A4" s="5" t="inlineStr">
        <is>
          <t>№ п/п</t>
        </is>
      </c>
      <c r="B4" s="5" t="inlineStr">
        <is>
          <t>Должность / участок</t>
        </is>
      </c>
      <c r="C4" s="5" t="inlineStr">
        <is>
          <t>Вид загрязнения (пункт Табл. Приложения №3 ЕТН)</t>
        </is>
      </c>
      <c r="D4" s="5" t="inlineStr">
        <is>
          <t>Наименование дерматологических СИЗ и смывающих средств</t>
        </is>
      </c>
      <c r="E4" s="5" t="inlineStr">
        <is>
          <t>Норма выдачи на 1 месяц</t>
        </is>
      </c>
      <c r="F4" s="5" t="inlineStr">
        <is>
          <t>Основание</t>
        </is>
      </c>
    </row>
    <row r="5" ht="40.5" customHeight="1">
      <c r="A5" s="6" t="n">
        <v>1</v>
      </c>
      <c r="B5" s="7" t="inlineStr">
        <is>
          <t>Токарь, оператор станков с ПУ, слесарь механосборочных работ (механический участок)</t>
        </is>
      </c>
      <c r="C5" s="8" t="inlineStr">
        <is>
          <t>Смазочно-охлаждающие жидкости на водной основе</t>
        </is>
      </c>
      <c r="D5" s="8" t="inlineStr">
        <is>
          <t>ДСИЗ защитного типа: средства гидрофобного действия</t>
        </is>
      </c>
      <c r="E5" s="9" t="inlineStr">
        <is>
          <t>100 мл</t>
        </is>
      </c>
      <c r="F5" s="8" t="inlineStr">
        <is>
          <t>Приложение №3 ЕТН, Табл. 1</t>
        </is>
      </c>
    </row>
    <row r="6" ht="15" customHeight="1">
      <c r="A6" s="12" t="n"/>
      <c r="B6" s="12" t="n"/>
      <c r="C6" s="12" t="n"/>
      <c r="D6" s="8" t="inlineStr">
        <is>
          <t>Смывающие средства (мыло/жидкие моющие средства)</t>
        </is>
      </c>
      <c r="E6" s="9" t="inlineStr">
        <is>
          <t>250 мл / 200 г</t>
        </is>
      </c>
      <c r="F6" s="12" t="n"/>
    </row>
    <row r="7" ht="15" customHeight="1">
      <c r="A7" s="12" t="n"/>
      <c r="B7" s="12" t="n"/>
      <c r="C7" s="12" t="n"/>
      <c r="D7" s="8" t="inlineStr">
        <is>
          <t>ДСИЗ очищающего типа: средства для очищения от устойчивых загрязнений</t>
        </is>
      </c>
      <c r="E7" s="9" t="inlineStr">
        <is>
          <t>200 мл</t>
        </is>
      </c>
      <c r="F7" s="12" t="n"/>
    </row>
    <row r="8" ht="15" customHeight="1">
      <c r="A8" s="12" t="n"/>
      <c r="B8" s="12" t="n"/>
      <c r="C8" s="13" t="n"/>
      <c r="D8" s="8" t="inlineStr">
        <is>
          <t>ДСИЗ регенерирующего (восстанавливающего) типа</t>
        </is>
      </c>
      <c r="E8" s="9" t="inlineStr">
        <is>
          <t>100 мл</t>
        </is>
      </c>
      <c r="F8" s="13" t="n"/>
    </row>
    <row r="9" ht="27" customHeight="1">
      <c r="A9" s="12" t="n"/>
      <c r="B9" s="12" t="n"/>
      <c r="C9" s="8" t="inlineStr">
        <is>
          <t>Смазочно-охлаждающие жидкости на масляной основе, технические масла, смазки</t>
        </is>
      </c>
      <c r="D9" s="8" t="inlineStr">
        <is>
          <t>ДСИЗ защитного типа: средства гидрофильного действия</t>
        </is>
      </c>
      <c r="E9" s="9" t="inlineStr">
        <is>
          <t>100 мл</t>
        </is>
      </c>
      <c r="F9" s="8" t="inlineStr">
        <is>
          <t>Приложение №3 ЕТН, Табл. 1</t>
        </is>
      </c>
    </row>
    <row r="10" ht="15" customHeight="1">
      <c r="A10" s="12" t="n"/>
      <c r="B10" s="12" t="n"/>
      <c r="C10" s="12" t="n"/>
      <c r="D10" s="8" t="inlineStr">
        <is>
          <t>Смывающие средства (мыло/жидкие моющие средства)</t>
        </is>
      </c>
      <c r="E10" s="9" t="inlineStr">
        <is>
          <t>250 мл / 200 г</t>
        </is>
      </c>
      <c r="F10" s="12" t="n"/>
    </row>
    <row r="11" ht="15" customHeight="1">
      <c r="A11" s="12" t="n"/>
      <c r="B11" s="12" t="n"/>
      <c r="C11" s="12" t="n"/>
      <c r="D11" s="8" t="inlineStr">
        <is>
          <t>ДСИЗ очищающего типа: средства для очищения от устойчивых загрязнений</t>
        </is>
      </c>
      <c r="E11" s="9" t="inlineStr">
        <is>
          <t>200 мл</t>
        </is>
      </c>
      <c r="F11" s="12" t="n"/>
    </row>
    <row r="12" ht="15" customHeight="1">
      <c r="A12" s="13" t="n"/>
      <c r="B12" s="13" t="n"/>
      <c r="C12" s="13" t="n"/>
      <c r="D12" s="8" t="inlineStr">
        <is>
          <t>ДСИЗ регенерирующего (восстанавливающего) типа</t>
        </is>
      </c>
      <c r="E12" s="9" t="inlineStr">
        <is>
          <t>100 мл</t>
        </is>
      </c>
      <c r="F12" s="13" t="n"/>
    </row>
    <row r="13" ht="15" customHeight="1">
      <c r="A13" s="6" t="n">
        <v>2</v>
      </c>
      <c r="B13" s="7" t="inlineStr">
        <is>
          <t>Слесарь-сборщик (сборочный участок)</t>
        </is>
      </c>
      <c r="C13" s="8" t="inlineStr">
        <is>
          <t>Технические масла, смазки</t>
        </is>
      </c>
      <c r="D13" s="8" t="inlineStr">
        <is>
          <t>ДСИЗ защитного типа: средства гидрофильного действия</t>
        </is>
      </c>
      <c r="E13" s="9" t="inlineStr">
        <is>
          <t>100 мл</t>
        </is>
      </c>
      <c r="F13" s="8" t="inlineStr">
        <is>
          <t>Приложение №3 ЕТН, Табл. 1</t>
        </is>
      </c>
    </row>
    <row r="14" ht="15" customHeight="1">
      <c r="A14" s="12" t="n"/>
      <c r="B14" s="12" t="n"/>
      <c r="C14" s="12" t="n"/>
      <c r="D14" s="8" t="inlineStr">
        <is>
          <t>Смывающие средства (мыло/жидкие моющие средства)</t>
        </is>
      </c>
      <c r="E14" s="9" t="inlineStr">
        <is>
          <t>250 мл / 200 г</t>
        </is>
      </c>
      <c r="F14" s="12" t="n"/>
    </row>
    <row r="15" ht="15" customHeight="1">
      <c r="A15" s="12" t="n"/>
      <c r="B15" s="12" t="n"/>
      <c r="C15" s="12" t="n"/>
      <c r="D15" s="8" t="inlineStr">
        <is>
          <t>ДСИЗ очищающего типа: средства для очищения от устойчивых загрязнений</t>
        </is>
      </c>
      <c r="E15" s="9" t="inlineStr">
        <is>
          <t>200 мл</t>
        </is>
      </c>
      <c r="F15" s="12" t="n"/>
    </row>
    <row r="16" ht="15" customHeight="1">
      <c r="A16" s="12" t="n"/>
      <c r="B16" s="12" t="n"/>
      <c r="C16" s="13" t="n"/>
      <c r="D16" s="8" t="inlineStr">
        <is>
          <t>ДСИЗ регенерирующего (восстанавливающего) типа</t>
        </is>
      </c>
      <c r="E16" s="9" t="inlineStr">
        <is>
          <t>100 мл</t>
        </is>
      </c>
      <c r="F16" s="13" t="n"/>
    </row>
    <row r="17" ht="27" customHeight="1">
      <c r="A17" s="13" t="n"/>
      <c r="B17" s="13" t="n"/>
      <c r="C17" s="8" t="inlineStr">
        <is>
          <t>Клей (при работе с клеями, герметиками)</t>
        </is>
      </c>
      <c r="D17" s="8" t="inlineStr">
        <is>
          <t>ДСИЗ очищающего типа: средства для очищения от особо устойчивых загрязнений</t>
        </is>
      </c>
      <c r="E17" s="9" t="inlineStr">
        <is>
          <t>200 мл</t>
        </is>
      </c>
      <c r="F17" s="8" t="inlineStr">
        <is>
          <t>Приложение №3 ЕТН, Табл. 1</t>
        </is>
      </c>
    </row>
    <row r="18" ht="27" customHeight="1">
      <c r="A18" s="6" t="n">
        <v>3</v>
      </c>
      <c r="B18" s="7" t="inlineStr">
        <is>
          <t>Специалист по пошиву, оператор станков с ПУ (швейный участок)</t>
        </is>
      </c>
      <c r="C18" s="8" t="inlineStr">
        <is>
          <t>Общие загрязнения</t>
        </is>
      </c>
      <c r="D18" s="8" t="inlineStr">
        <is>
          <t>Смывающие средства (мыло/жидкие моющие средства)</t>
        </is>
      </c>
      <c r="E18" s="9" t="inlineStr">
        <is>
          <t>250 мл / 200 г</t>
        </is>
      </c>
      <c r="F18" s="8" t="inlineStr">
        <is>
          <t>Приложение №3 ЕТН, Табл. 1</t>
        </is>
      </c>
    </row>
    <row r="19" ht="15" customHeight="1">
      <c r="A19" s="12" t="n"/>
      <c r="B19" s="12" t="n"/>
      <c r="C19" s="13" t="n"/>
      <c r="D19" s="8" t="inlineStr">
        <is>
          <t>ДСИЗ регенерирующего (восстанавливающего) типа</t>
        </is>
      </c>
      <c r="E19" s="9" t="inlineStr">
        <is>
          <t>100 мл</t>
        </is>
      </c>
      <c r="F19" s="13" t="n"/>
    </row>
    <row r="20" ht="27" customHeight="1">
      <c r="A20" s="13" t="n"/>
      <c r="B20" s="13" t="n"/>
      <c r="C20" s="8" t="inlineStr">
        <is>
          <t>Стекловолокно (при раскрое/пошиве стеклоткани)</t>
        </is>
      </c>
      <c r="D20" s="8" t="inlineStr">
        <is>
          <t>ДСИЗ защитного типа: средства гидрофильного действия</t>
        </is>
      </c>
      <c r="E20" s="9" t="inlineStr">
        <is>
          <t>100 мл</t>
        </is>
      </c>
      <c r="F20" s="8" t="inlineStr">
        <is>
          <t>Приложение №3 ЕТН, Табл. 1</t>
        </is>
      </c>
    </row>
    <row r="21" ht="27" customHeight="1">
      <c r="A21" s="6" t="n">
        <v>4</v>
      </c>
      <c r="B21" s="7" t="inlineStr">
        <is>
          <t>Начальник участка, мастера участков</t>
        </is>
      </c>
      <c r="C21" s="8" t="inlineStr">
        <is>
          <t>Общие загрязнения</t>
        </is>
      </c>
      <c r="D21" s="8" t="inlineStr">
        <is>
          <t>Смывающие средства (мыло/жидкие моющие средства)</t>
        </is>
      </c>
      <c r="E21" s="9" t="inlineStr">
        <is>
          <t>250 мл / 200 г</t>
        </is>
      </c>
      <c r="F21" s="8" t="inlineStr">
        <is>
          <t>Приложение №3 ЕТН, Табл. 1; п.37 Правил (приказ №766н)</t>
        </is>
      </c>
    </row>
    <row r="22" ht="27" customHeight="1">
      <c r="A22" s="6" t="n">
        <v>5</v>
      </c>
      <c r="B22" s="7" t="inlineStr">
        <is>
          <t>Все должности, обеспечиваемые закрытой специальной обувью</t>
        </is>
      </c>
      <c r="C22" s="8" t="inlineStr">
        <is>
          <t>Работа в закрытой специальной обуви</t>
        </is>
      </c>
      <c r="D22" s="8" t="inlineStr">
        <is>
          <t>ДСИЗ защитного типа: средства для защиты от биологических факторов (грибов) - противогрибковые</t>
        </is>
      </c>
      <c r="E22" s="9" t="inlineStr">
        <is>
          <t>100 мл</t>
        </is>
      </c>
      <c r="F22" s="8" t="inlineStr">
        <is>
          <t>Приложение №3 ЕТН, Табл. 2</t>
        </is>
      </c>
    </row>
    <row r="23" ht="15" customHeight="1">
      <c r="A23" s="13" t="n"/>
      <c r="B23" s="13" t="n"/>
      <c r="C23" s="13" t="n"/>
      <c r="D23" s="8" t="inlineStr">
        <is>
          <t>ДСИЗ регенерирующего (восстанавливающего) типа</t>
        </is>
      </c>
      <c r="E23" s="9" t="inlineStr">
        <is>
          <t>100 мл</t>
        </is>
      </c>
      <c r="F23" s="13" t="n"/>
    </row>
    <row r="24" ht="15" customHeight="1"/>
    <row r="25" ht="15" customHeight="1">
      <c r="B25" s="14" t="inlineStr">
        <is>
          <t>Примечания:</t>
        </is>
      </c>
    </row>
    <row r="26" ht="30" customHeight="1">
      <c r="B26" s="15" t="inlineStr">
        <is>
          <t>1. Смывающие средства при неустойчивых загрязнениях допускается не выдавать лично, а обеспечить их постоянное наличие в санитарно-бытовых помещениях (п.37 Правил, приказ №766н).</t>
        </is>
      </c>
    </row>
    <row r="27" ht="30" customHeight="1">
      <c r="B27" s="15" t="inlineStr">
        <is>
          <t>2. Для СОЖ выбирается одна из строк (на водной или масляной основе) по фактически применяемой СОЖ. Одинаковые позиции из разных строк не суммируются.</t>
        </is>
      </c>
    </row>
    <row r="28" ht="30" customHeight="1">
      <c r="B28" s="15" t="inlineStr">
        <is>
          <t>3. ДСИЗ в упаковке 250 мл и более выдаются через дозаторы (п.46 Правил). Выдача ежемесячная, кроме периода отпуска (п.47 Правил).</t>
        </is>
      </c>
    </row>
  </sheetData>
  <mergeCells count="31">
    <mergeCell ref="C5:C8"/>
    <mergeCell ref="C17"/>
    <mergeCell ref="B25:F25"/>
    <mergeCell ref="B5:B12"/>
    <mergeCell ref="F5:F8"/>
    <mergeCell ref="B27:F27"/>
    <mergeCell ref="F18:F19"/>
    <mergeCell ref="C22:C23"/>
    <mergeCell ref="C9:C12"/>
    <mergeCell ref="B2:F2"/>
    <mergeCell ref="F22:F23"/>
    <mergeCell ref="A13:A17"/>
    <mergeCell ref="F13:F16"/>
    <mergeCell ref="A22:A23"/>
    <mergeCell ref="C20"/>
    <mergeCell ref="B21"/>
    <mergeCell ref="B28:F28"/>
    <mergeCell ref="F21"/>
    <mergeCell ref="F20"/>
    <mergeCell ref="B18:B20"/>
    <mergeCell ref="C13:C16"/>
    <mergeCell ref="F9:F12"/>
    <mergeCell ref="F17"/>
    <mergeCell ref="A21"/>
    <mergeCell ref="B22:B23"/>
    <mergeCell ref="C21"/>
    <mergeCell ref="B13:B17"/>
    <mergeCell ref="A5:A12"/>
    <mergeCell ref="C18:C19"/>
    <mergeCell ref="B26:F26"/>
    <mergeCell ref="A18:A20"/>
  </mergeCells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I5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" customWidth="1" min="1" max="1"/>
    <col width="30" customWidth="1" min="2" max="2"/>
    <col width="34" customWidth="1" min="3" max="3"/>
    <col width="9" customWidth="1" min="4" max="4"/>
    <col width="42" customWidth="1" min="5" max="5"/>
    <col width="22" customWidth="1" min="6" max="6"/>
    <col width="13" customWidth="1" min="7" max="7"/>
    <col width="14" customWidth="1" min="8" max="8"/>
    <col width="60" customWidth="1" min="9" max="9"/>
  </cols>
  <sheetData>
    <row r="1">
      <c r="A1" s="3" t="inlineStr">
        <is>
          <t>Подбор моделей СИЗ по прайсу спецодежды группы компаний (файл от 24.06) и стоимость на 1 работника в год (служебный расчет, не утверждается)</t>
        </is>
      </c>
    </row>
    <row r="3">
      <c r="A3" s="5" t="inlineStr">
        <is>
          <t>№</t>
        </is>
      </c>
      <c r="B3" s="5" t="inlineStr">
        <is>
          <t>Участок / должность</t>
        </is>
      </c>
      <c r="C3" s="5" t="inlineStr">
        <is>
          <t>Позиция нормы</t>
        </is>
      </c>
      <c r="D3" s="5" t="inlineStr">
        <is>
          <t>Кол-во в год</t>
        </is>
      </c>
      <c r="E3" s="5" t="inlineStr">
        <is>
          <t>Модель из прайса</t>
        </is>
      </c>
      <c r="F3" s="5" t="inlineStr">
        <is>
          <t>Поставщик / лист</t>
        </is>
      </c>
      <c r="G3" s="5" t="inlineStr">
        <is>
          <t>Цена за ед., руб.</t>
        </is>
      </c>
      <c r="H3" s="5" t="inlineStr">
        <is>
          <t>Сумма в год, руб.</t>
        </is>
      </c>
      <c r="I3" s="5" t="inlineStr">
        <is>
          <t>Комментарий (соответствие норме)</t>
        </is>
      </c>
    </row>
    <row r="4" ht="15" customHeight="1">
      <c r="A4" s="17" t="inlineStr">
        <is>
          <t>Механический участок</t>
        </is>
      </c>
      <c r="B4" s="22" t="n"/>
      <c r="C4" s="22" t="n"/>
      <c r="D4" s="22" t="n"/>
      <c r="E4" s="22" t="n"/>
      <c r="F4" s="22" t="n"/>
      <c r="G4" s="22" t="n"/>
      <c r="H4" s="22" t="n"/>
      <c r="I4" s="23" t="n"/>
    </row>
    <row r="5" ht="40.5" customHeight="1">
      <c r="A5" s="6" t="n">
        <v>1</v>
      </c>
      <c r="B5" s="7" t="inlineStr">
        <is>
          <t>Мастер участка</t>
        </is>
      </c>
      <c r="C5" s="8" t="inlineStr">
        <is>
          <t>Костюм от механических воздействий (истирания) (Ми), муж.</t>
        </is>
      </c>
      <c r="D5" s="9" t="n">
        <v>1</v>
      </c>
      <c r="E5" s="8" t="inlineStr">
        <is>
          <t>Куртка летняя арт. 3308 «Дунай» + брюки арт. 3307 «Дунай»</t>
        </is>
      </c>
      <c r="F5" s="8" t="inlineStr">
        <is>
          <t>Техноавиа / лист «АИ_СН»</t>
        </is>
      </c>
      <c r="G5" s="18" t="n">
        <v>10619.49</v>
      </c>
      <c r="H5" s="18">
        <f>D5*G5</f>
        <v/>
      </c>
      <c r="I5" s="8" t="inlineStr">
        <is>
          <t>По прайсу Казани модель заявлена «для защиты от механических воздействий и ОПЗ» - соответствует норме. Вариант с полукомбинезоном арт. 3312: 11 103,22 руб.</t>
        </is>
      </c>
    </row>
    <row r="6" ht="40.5" customHeight="1">
      <c r="A6" s="12" t="n"/>
      <c r="B6" s="12" t="n"/>
      <c r="C6" s="8" t="inlineStr">
        <is>
          <t>Обувь от механических воздействий (ударов) Мун200, муж.</t>
        </is>
      </c>
      <c r="D6" s="9" t="n">
        <v>1</v>
      </c>
      <c r="E6" s="8" t="inlineStr">
        <is>
          <t>Полуботинки с перфорацией «Комус Проф» с поликарбонатным подноском, арт. 2013431</t>
        </is>
      </c>
      <c r="F6" s="8" t="inlineStr">
        <is>
          <t>Комус / лист «АИ_СН»</t>
        </is>
      </c>
      <c r="G6" s="18" t="n">
        <v>3490</v>
      </c>
      <c r="H6" s="18">
        <f>D6*G6</f>
        <v/>
      </c>
      <c r="I6" s="8" t="inlineStr">
        <is>
          <t>Дешевле: полуботинки «ЮКОН» арт. 50.387 (металлический подносок + проколозащитная стелька) - 3 091,20 руб., лист «Казань». Проверить маркировку Мун200</t>
        </is>
      </c>
    </row>
    <row r="7" ht="27" customHeight="1">
      <c r="A7" s="12" t="n"/>
      <c r="B7" s="12" t="n"/>
      <c r="C7" s="8" t="inlineStr">
        <is>
          <t>Головной убор от ОПЗ</t>
        </is>
      </c>
      <c r="D7" s="9" t="n">
        <v>1</v>
      </c>
      <c r="E7" s="8" t="inlineStr">
        <is>
          <t>Головной убор для защиты от общих производственных загрязнений</t>
        </is>
      </c>
      <c r="F7" s="8" t="inlineStr">
        <is>
          <t>Профснаб / лист «Казань»</t>
        </is>
      </c>
      <c r="G7" s="18" t="n">
        <v>405</v>
      </c>
      <c r="H7" s="18">
        <f>D7*G7</f>
        <v/>
      </c>
      <c r="I7" s="8" t="inlineStr">
        <is>
          <t>Альтернатива: кепи-бейсболка «Оператор» арт. 8.022 - 576,84 руб.</t>
        </is>
      </c>
    </row>
    <row r="8" ht="15" customHeight="1">
      <c r="A8" s="13" t="n"/>
      <c r="B8" s="13" t="n"/>
      <c r="C8" s="19" t="inlineStr">
        <is>
          <t>Итого по позициям с ценой (без условных позиций):</t>
        </is>
      </c>
      <c r="D8" s="22" t="n"/>
      <c r="E8" s="22" t="n"/>
      <c r="F8" s="22" t="n"/>
      <c r="G8" s="23" t="n"/>
      <c r="H8" s="20">
        <f>H5+H6+H7</f>
        <v/>
      </c>
      <c r="I8" s="21" t="inlineStr">
        <is>
          <t>Без СИЗ, отсутствующих в прайсе (см. ниже)</t>
        </is>
      </c>
    </row>
    <row r="9" ht="40.5" customHeight="1">
      <c r="A9" s="6" t="n">
        <v>2</v>
      </c>
      <c r="B9" s="7" t="inlineStr">
        <is>
          <t>Оператор станков с программным управлением</t>
        </is>
      </c>
      <c r="C9" s="8" t="inlineStr">
        <is>
          <t>Костюм от механических воздействий (истирания) (Ми), муж.</t>
        </is>
      </c>
      <c r="D9" s="9" t="n">
        <v>1</v>
      </c>
      <c r="E9" s="8" t="inlineStr">
        <is>
          <t>Куртка летняя арт. 3308 «Дунай» + брюки арт. 3307 «Дунай»</t>
        </is>
      </c>
      <c r="F9" s="8" t="inlineStr">
        <is>
          <t>Техноавиа / лист «АИ_СН»</t>
        </is>
      </c>
      <c r="G9" s="18" t="n">
        <v>10619.49</v>
      </c>
      <c r="H9" s="18">
        <f>D9*G9</f>
        <v/>
      </c>
      <c r="I9" s="8" t="inlineStr">
        <is>
          <t>По прайсу Казани модель заявлена «для защиты от механических воздействий и ОПЗ» - соответствует норме. Вариант с полукомбинезоном арт. 3312: 11 103,22 руб.</t>
        </is>
      </c>
    </row>
    <row r="10" ht="40.5" customHeight="1">
      <c r="A10" s="12" t="n"/>
      <c r="B10" s="12" t="n"/>
      <c r="C10" s="8" t="inlineStr">
        <is>
          <t>Обувь от механических воздействий (ударов) Мун200, муж.</t>
        </is>
      </c>
      <c r="D10" s="9" t="n">
        <v>1</v>
      </c>
      <c r="E10" s="8" t="inlineStr">
        <is>
          <t>Полуботинки с перфорацией «Комус Проф» с поликарбонатным подноском, арт. 2013431</t>
        </is>
      </c>
      <c r="F10" s="8" t="inlineStr">
        <is>
          <t>Комус / лист «АИ_СН»</t>
        </is>
      </c>
      <c r="G10" s="18" t="n">
        <v>3490</v>
      </c>
      <c r="H10" s="18">
        <f>D10*G10</f>
        <v/>
      </c>
      <c r="I10" s="8" t="inlineStr">
        <is>
          <t>Дешевле: полуботинки «ЮКОН» арт. 50.387 (металлический подносок + проколозащитная стелька) - 3 091,20 руб., лист «Казань». Проверить маркировку Мун200</t>
        </is>
      </c>
    </row>
    <row r="11" ht="27" customHeight="1">
      <c r="A11" s="12" t="n"/>
      <c r="B11" s="12" t="n"/>
      <c r="C11" s="8" t="inlineStr">
        <is>
          <t>Головной убор от ОПЗ</t>
        </is>
      </c>
      <c r="D11" s="9" t="n">
        <v>1</v>
      </c>
      <c r="E11" s="8" t="inlineStr">
        <is>
          <t>Головной убор для защиты от общих производственных загрязнений</t>
        </is>
      </c>
      <c r="F11" s="8" t="inlineStr">
        <is>
          <t>Профснаб / лист «Казань»</t>
        </is>
      </c>
      <c r="G11" s="18" t="n">
        <v>405</v>
      </c>
      <c r="H11" s="18">
        <f>D11*G11</f>
        <v/>
      </c>
      <c r="I11" s="8" t="inlineStr">
        <is>
          <t>Альтернатива: кепи-бейсболка «Оператор» арт. 8.022 - 576,84 руб.</t>
        </is>
      </c>
    </row>
    <row r="12" ht="27" customHeight="1">
      <c r="A12" s="12" t="n"/>
      <c r="B12" s="12" t="n"/>
      <c r="C12" s="8" t="inlineStr">
        <is>
          <t>Куртка утепленная (условная позиция, 1 шт. на 2 года)</t>
        </is>
      </c>
      <c r="D12" s="9" t="n">
        <v>0.5</v>
      </c>
      <c r="E12" s="8" t="inlineStr">
        <is>
          <t>Куртка мужская зимняя арт. 2326 «Дунай»</t>
        </is>
      </c>
      <c r="F12" s="8" t="inlineStr">
        <is>
          <t>Техноавиа / лист «АИ_СН»</t>
        </is>
      </c>
      <c r="G12" s="18" t="n">
        <v>9941.17</v>
      </c>
      <c r="H12" s="18">
        <f>D12*G12</f>
        <v/>
      </c>
      <c r="I12" s="8" t="inlineStr">
        <is>
          <t>Класс защиты Тн - по климатическому поясу. Условная позиция, в итог не включена</t>
        </is>
      </c>
    </row>
    <row r="13" ht="15" customHeight="1">
      <c r="A13" s="13" t="n"/>
      <c r="B13" s="13" t="n"/>
      <c r="C13" s="19" t="inlineStr">
        <is>
          <t>Итого по позициям с ценой (без условных позиций):</t>
        </is>
      </c>
      <c r="D13" s="22" t="n"/>
      <c r="E13" s="22" t="n"/>
      <c r="F13" s="22" t="n"/>
      <c r="G13" s="23" t="n"/>
      <c r="H13" s="20">
        <f>H9+H10+H11</f>
        <v/>
      </c>
      <c r="I13" s="21" t="inlineStr">
        <is>
          <t>Без СИЗ, отсутствующих в прайсе (см. ниже)</t>
        </is>
      </c>
    </row>
    <row r="14" ht="40.5" customHeight="1">
      <c r="A14" s="6" t="n">
        <v>3</v>
      </c>
      <c r="B14" s="7" t="inlineStr">
        <is>
          <t>Токарь</t>
        </is>
      </c>
      <c r="C14" s="8" t="inlineStr">
        <is>
          <t>Костюм от механических воздействий (истирания) (Ми), муж.</t>
        </is>
      </c>
      <c r="D14" s="9" t="n">
        <v>1</v>
      </c>
      <c r="E14" s="8" t="inlineStr">
        <is>
          <t>Куртка летняя арт. 3308 «Дунай» + брюки арт. 3307 «Дунай»</t>
        </is>
      </c>
      <c r="F14" s="8" t="inlineStr">
        <is>
          <t>Техноавиа / лист «АИ_СН»</t>
        </is>
      </c>
      <c r="G14" s="18" t="n">
        <v>10619.49</v>
      </c>
      <c r="H14" s="18">
        <f>D14*G14</f>
        <v/>
      </c>
      <c r="I14" s="8" t="inlineStr">
        <is>
          <t>По прайсу Казани модель заявлена «для защиты от механических воздействий и ОПЗ» - соответствует норме. Вариант с полукомбинезоном арт. 3312: 11 103,22 руб.</t>
        </is>
      </c>
    </row>
    <row r="15" ht="40.5" customHeight="1">
      <c r="A15" s="12" t="n"/>
      <c r="B15" s="12" t="n"/>
      <c r="C15" s="8" t="inlineStr">
        <is>
          <t>Обувь от механических воздействий (ударов) Мун200, муж.</t>
        </is>
      </c>
      <c r="D15" s="9" t="n">
        <v>1</v>
      </c>
      <c r="E15" s="8" t="inlineStr">
        <is>
          <t>Полуботинки с перфорацией «Комус Проф» с поликарбонатным подноском, арт. 2013431</t>
        </is>
      </c>
      <c r="F15" s="8" t="inlineStr">
        <is>
          <t>Комус / лист «АИ_СН»</t>
        </is>
      </c>
      <c r="G15" s="18" t="n">
        <v>3490</v>
      </c>
      <c r="H15" s="18">
        <f>D15*G15</f>
        <v/>
      </c>
      <c r="I15" s="8" t="inlineStr">
        <is>
          <t>Дешевле: полуботинки «ЮКОН» арт. 50.387 (металлический подносок + проколозащитная стелька) - 3 091,20 руб., лист «Казань». Проверить маркировку Мун200</t>
        </is>
      </c>
    </row>
    <row r="16" ht="27" customHeight="1">
      <c r="A16" s="12" t="n"/>
      <c r="B16" s="12" t="n"/>
      <c r="C16" s="8" t="inlineStr">
        <is>
          <t>Головной убор от ОПЗ</t>
        </is>
      </c>
      <c r="D16" s="9" t="n">
        <v>1</v>
      </c>
      <c r="E16" s="8" t="inlineStr">
        <is>
          <t>Головной убор для защиты от общих производственных загрязнений</t>
        </is>
      </c>
      <c r="F16" s="8" t="inlineStr">
        <is>
          <t>Профснаб / лист «Казань»</t>
        </is>
      </c>
      <c r="G16" s="18" t="n">
        <v>405</v>
      </c>
      <c r="H16" s="18">
        <f>D16*G16</f>
        <v/>
      </c>
      <c r="I16" s="8" t="inlineStr">
        <is>
          <t>Альтернатива: кепи-бейсболка «Оператор» арт. 8.022 - 576,84 руб.</t>
        </is>
      </c>
    </row>
    <row r="17" ht="15" customHeight="1">
      <c r="A17" s="13" t="n"/>
      <c r="B17" s="13" t="n"/>
      <c r="C17" s="19" t="inlineStr">
        <is>
          <t>Итого по позициям с ценой (без условных позиций):</t>
        </is>
      </c>
      <c r="D17" s="22" t="n"/>
      <c r="E17" s="22" t="n"/>
      <c r="F17" s="22" t="n"/>
      <c r="G17" s="23" t="n"/>
      <c r="H17" s="20">
        <f>H14+H15+H16</f>
        <v/>
      </c>
      <c r="I17" s="21" t="inlineStr">
        <is>
          <t>Без СИЗ, отсутствующих в прайсе (см. ниже)</t>
        </is>
      </c>
    </row>
    <row r="18" ht="40.5" customHeight="1">
      <c r="A18" s="6" t="n">
        <v>4</v>
      </c>
      <c r="B18" s="7" t="inlineStr">
        <is>
          <t>Слесарь механосборочных работ</t>
        </is>
      </c>
      <c r="C18" s="8" t="inlineStr">
        <is>
          <t>Костюм от механических воздействий (истирания) (Ми), муж.</t>
        </is>
      </c>
      <c r="D18" s="9" t="n">
        <v>1</v>
      </c>
      <c r="E18" s="8" t="inlineStr">
        <is>
          <t>Куртка летняя арт. 3308 «Дунай» + брюки арт. 3307 «Дунай»</t>
        </is>
      </c>
      <c r="F18" s="8" t="inlineStr">
        <is>
          <t>Техноавиа / лист «АИ_СН»</t>
        </is>
      </c>
      <c r="G18" s="18" t="n">
        <v>10619.49</v>
      </c>
      <c r="H18" s="18">
        <f>D18*G18</f>
        <v/>
      </c>
      <c r="I18" s="8" t="inlineStr">
        <is>
          <t>По прайсу Казани модель заявлена «для защиты от механических воздействий и ОПЗ» - соответствует норме. Вариант с полукомбинезоном арт. 3312: 11 103,22 руб.</t>
        </is>
      </c>
    </row>
    <row r="19" ht="40.5" customHeight="1">
      <c r="A19" s="12" t="n"/>
      <c r="B19" s="12" t="n"/>
      <c r="C19" s="8" t="inlineStr">
        <is>
          <t>Обувь от механических воздействий (ударов) Мун200, муж.</t>
        </is>
      </c>
      <c r="D19" s="9" t="n">
        <v>1</v>
      </c>
      <c r="E19" s="8" t="inlineStr">
        <is>
          <t>Полуботинки с перфорацией «Комус Проф» с поликарбонатным подноском, арт. 2013431</t>
        </is>
      </c>
      <c r="F19" s="8" t="inlineStr">
        <is>
          <t>Комус / лист «АИ_СН»</t>
        </is>
      </c>
      <c r="G19" s="18" t="n">
        <v>3490</v>
      </c>
      <c r="H19" s="18">
        <f>D19*G19</f>
        <v/>
      </c>
      <c r="I19" s="8" t="inlineStr">
        <is>
          <t>Дешевле: полуботинки «ЮКОН» арт. 50.387 (металлический подносок + проколозащитная стелька) - 3 091,20 руб., лист «Казань». Проверить маркировку Мун200</t>
        </is>
      </c>
    </row>
    <row r="20" ht="27" customHeight="1">
      <c r="A20" s="12" t="n"/>
      <c r="B20" s="12" t="n"/>
      <c r="C20" s="8" t="inlineStr">
        <is>
          <t>Головной убор от ОПЗ</t>
        </is>
      </c>
      <c r="D20" s="9" t="n">
        <v>1</v>
      </c>
      <c r="E20" s="8" t="inlineStr">
        <is>
          <t>Головной убор для защиты от общих производственных загрязнений</t>
        </is>
      </c>
      <c r="F20" s="8" t="inlineStr">
        <is>
          <t>Профснаб / лист «Казань»</t>
        </is>
      </c>
      <c r="G20" s="18" t="n">
        <v>405</v>
      </c>
      <c r="H20" s="18">
        <f>D20*G20</f>
        <v/>
      </c>
      <c r="I20" s="8" t="inlineStr">
        <is>
          <t>Альтернатива: кепи-бейсболка «Оператор» арт. 8.022 - 576,84 руб.</t>
        </is>
      </c>
    </row>
    <row r="21" ht="27" customHeight="1">
      <c r="A21" s="12" t="n"/>
      <c r="B21" s="12" t="n"/>
      <c r="C21" s="8" t="inlineStr">
        <is>
          <t>Куртка утепленная (условная позиция, 1 шт. на 2 года)</t>
        </is>
      </c>
      <c r="D21" s="9" t="n">
        <v>0.5</v>
      </c>
      <c r="E21" s="8" t="inlineStr">
        <is>
          <t>Куртка мужская зимняя арт. 2326 «Дунай»</t>
        </is>
      </c>
      <c r="F21" s="8" t="inlineStr">
        <is>
          <t>Техноавиа / лист «АИ_СН»</t>
        </is>
      </c>
      <c r="G21" s="18" t="n">
        <v>9941.17</v>
      </c>
      <c r="H21" s="18">
        <f>D21*G21</f>
        <v/>
      </c>
      <c r="I21" s="8" t="inlineStr">
        <is>
          <t>Класс защиты Тн - по климатическому поясу. Условная позиция, в итог не включена</t>
        </is>
      </c>
    </row>
    <row r="22" ht="15" customHeight="1">
      <c r="A22" s="13" t="n"/>
      <c r="B22" s="13" t="n"/>
      <c r="C22" s="19" t="inlineStr">
        <is>
          <t>Итого по позициям с ценой (без условных позиций):</t>
        </is>
      </c>
      <c r="D22" s="22" t="n"/>
      <c r="E22" s="22" t="n"/>
      <c r="F22" s="22" t="n"/>
      <c r="G22" s="23" t="n"/>
      <c r="H22" s="20">
        <f>H18+H19+H20</f>
        <v/>
      </c>
      <c r="I22" s="21" t="inlineStr">
        <is>
          <t>Без СИЗ, отсутствующих в прайсе (см. ниже)</t>
        </is>
      </c>
    </row>
    <row r="23" ht="15" customHeight="1">
      <c r="A23" s="17" t="inlineStr">
        <is>
          <t>Сборочный участок</t>
        </is>
      </c>
      <c r="B23" s="22" t="n"/>
      <c r="C23" s="22" t="n"/>
      <c r="D23" s="22" t="n"/>
      <c r="E23" s="22" t="n"/>
      <c r="F23" s="22" t="n"/>
      <c r="G23" s="22" t="n"/>
      <c r="H23" s="22" t="n"/>
      <c r="I23" s="23" t="n"/>
    </row>
    <row r="24" ht="40.5" customHeight="1">
      <c r="A24" s="6" t="n">
        <v>5</v>
      </c>
      <c r="B24" s="7" t="inlineStr">
        <is>
          <t>Начальник участка</t>
        </is>
      </c>
      <c r="C24" s="8" t="inlineStr">
        <is>
          <t>Костюм от механических воздействий (истирания) (Ми), муж.</t>
        </is>
      </c>
      <c r="D24" s="9" t="n">
        <v>1</v>
      </c>
      <c r="E24" s="8" t="inlineStr">
        <is>
          <t>Куртка летняя арт. 3308 «Дунай» + брюки арт. 3307 «Дунай»</t>
        </is>
      </c>
      <c r="F24" s="8" t="inlineStr">
        <is>
          <t>Техноавиа / лист «АИ_СН»</t>
        </is>
      </c>
      <c r="G24" s="18" t="n">
        <v>10619.49</v>
      </c>
      <c r="H24" s="18">
        <f>D24*G24</f>
        <v/>
      </c>
      <c r="I24" s="8" t="inlineStr">
        <is>
          <t>По прайсу Казани модель заявлена «для защиты от механических воздействий и ОПЗ» - соответствует норме. Вариант с полукомбинезоном арт. 3312: 11 103,22 руб.</t>
        </is>
      </c>
    </row>
    <row r="25" ht="40.5" customHeight="1">
      <c r="A25" s="12" t="n"/>
      <c r="B25" s="12" t="n"/>
      <c r="C25" s="8" t="inlineStr">
        <is>
          <t>Обувь от механических воздействий (ударов) Мун200, муж.</t>
        </is>
      </c>
      <c r="D25" s="9" t="n">
        <v>1</v>
      </c>
      <c r="E25" s="8" t="inlineStr">
        <is>
          <t>Полуботинки с перфорацией «Комус Проф» с поликарбонатным подноском, арт. 2013431</t>
        </is>
      </c>
      <c r="F25" s="8" t="inlineStr">
        <is>
          <t>Комус / лист «АИ_СН»</t>
        </is>
      </c>
      <c r="G25" s="18" t="n">
        <v>3490</v>
      </c>
      <c r="H25" s="18">
        <f>D25*G25</f>
        <v/>
      </c>
      <c r="I25" s="8" t="inlineStr">
        <is>
          <t>Дешевле: полуботинки «ЮКОН» арт. 50.387 (металлический подносок + проколозащитная стелька) - 3 091,20 руб., лист «Казань». Проверить маркировку Мун200</t>
        </is>
      </c>
    </row>
    <row r="26" ht="15" customHeight="1">
      <c r="A26" s="13" t="n"/>
      <c r="B26" s="13" t="n"/>
      <c r="C26" s="19" t="inlineStr">
        <is>
          <t>Итого по позициям с ценой (без условных позиций):</t>
        </is>
      </c>
      <c r="D26" s="22" t="n"/>
      <c r="E26" s="22" t="n"/>
      <c r="F26" s="22" t="n"/>
      <c r="G26" s="23" t="n"/>
      <c r="H26" s="20">
        <f>H24+H25</f>
        <v/>
      </c>
      <c r="I26" s="21" t="inlineStr">
        <is>
          <t>Без СИЗ, отсутствующих в прайсе (см. ниже)</t>
        </is>
      </c>
    </row>
    <row r="27" ht="40.5" customHeight="1">
      <c r="A27" s="6" t="n">
        <v>6</v>
      </c>
      <c r="B27" s="7" t="inlineStr">
        <is>
          <t>Мастер участка</t>
        </is>
      </c>
      <c r="C27" s="8" t="inlineStr">
        <is>
          <t>Костюм от механических воздействий (истирания) (Ми), муж.</t>
        </is>
      </c>
      <c r="D27" s="9" t="n">
        <v>1</v>
      </c>
      <c r="E27" s="8" t="inlineStr">
        <is>
          <t>Куртка летняя арт. 3308 «Дунай» + брюки арт. 3307 «Дунай»</t>
        </is>
      </c>
      <c r="F27" s="8" t="inlineStr">
        <is>
          <t>Техноавиа / лист «АИ_СН»</t>
        </is>
      </c>
      <c r="G27" s="18" t="n">
        <v>10619.49</v>
      </c>
      <c r="H27" s="18">
        <f>D27*G27</f>
        <v/>
      </c>
      <c r="I27" s="8" t="inlineStr">
        <is>
          <t>По прайсу Казани модель заявлена «для защиты от механических воздействий и ОПЗ» - соответствует норме. Вариант с полукомбинезоном арт. 3312: 11 103,22 руб.</t>
        </is>
      </c>
    </row>
    <row r="28" ht="40.5" customHeight="1">
      <c r="A28" s="12" t="n"/>
      <c r="B28" s="12" t="n"/>
      <c r="C28" s="8" t="inlineStr">
        <is>
          <t>Обувь от механических воздействий (ударов) Мун200, муж.</t>
        </is>
      </c>
      <c r="D28" s="9" t="n">
        <v>1</v>
      </c>
      <c r="E28" s="8" t="inlineStr">
        <is>
          <t>Полуботинки с перфорацией «Комус Проф» с поликарбонатным подноском, арт. 2013431</t>
        </is>
      </c>
      <c r="F28" s="8" t="inlineStr">
        <is>
          <t>Комус / лист «АИ_СН»</t>
        </is>
      </c>
      <c r="G28" s="18" t="n">
        <v>3490</v>
      </c>
      <c r="H28" s="18">
        <f>D28*G28</f>
        <v/>
      </c>
      <c r="I28" s="8" t="inlineStr">
        <is>
          <t>Дешевле: полуботинки «ЮКОН» арт. 50.387 (металлический подносок + проколозащитная стелька) - 3 091,20 руб., лист «Казань». Проверить маркировку Мун200</t>
        </is>
      </c>
    </row>
    <row r="29" ht="27" customHeight="1">
      <c r="A29" s="12" t="n"/>
      <c r="B29" s="12" t="n"/>
      <c r="C29" s="8" t="inlineStr">
        <is>
          <t>Головной убор от ОПЗ</t>
        </is>
      </c>
      <c r="D29" s="9" t="n">
        <v>1</v>
      </c>
      <c r="E29" s="8" t="inlineStr">
        <is>
          <t>Головной убор для защиты от общих производственных загрязнений</t>
        </is>
      </c>
      <c r="F29" s="8" t="inlineStr">
        <is>
          <t>Профснаб / лист «Казань»</t>
        </is>
      </c>
      <c r="G29" s="18" t="n">
        <v>405</v>
      </c>
      <c r="H29" s="18">
        <f>D29*G29</f>
        <v/>
      </c>
      <c r="I29" s="8" t="inlineStr">
        <is>
          <t>Альтернатива: кепи-бейсболка «Оператор» арт. 8.022 - 576,84 руб.</t>
        </is>
      </c>
    </row>
    <row r="30" ht="15" customHeight="1">
      <c r="A30" s="13" t="n"/>
      <c r="B30" s="13" t="n"/>
      <c r="C30" s="19" t="inlineStr">
        <is>
          <t>Итого по позициям с ценой (без условных позиций):</t>
        </is>
      </c>
      <c r="D30" s="22" t="n"/>
      <c r="E30" s="22" t="n"/>
      <c r="F30" s="22" t="n"/>
      <c r="G30" s="23" t="n"/>
      <c r="H30" s="20">
        <f>H27+H28+H29</f>
        <v/>
      </c>
      <c r="I30" s="21" t="inlineStr">
        <is>
          <t>Без СИЗ, отсутствующих в прайсе (см. ниже)</t>
        </is>
      </c>
    </row>
    <row r="31" ht="40.5" customHeight="1">
      <c r="A31" s="6" t="n">
        <v>7</v>
      </c>
      <c r="B31" s="7" t="inlineStr">
        <is>
          <t>Слесарь-сборщик</t>
        </is>
      </c>
      <c r="C31" s="8" t="inlineStr">
        <is>
          <t>Костюм от механических воздействий (истирания) (Ми), муж.</t>
        </is>
      </c>
      <c r="D31" s="9" t="n">
        <v>1</v>
      </c>
      <c r="E31" s="8" t="inlineStr">
        <is>
          <t>Куртка летняя арт. 3308 «Дунай» + брюки арт. 3307 «Дунай»</t>
        </is>
      </c>
      <c r="F31" s="8" t="inlineStr">
        <is>
          <t>Техноавиа / лист «АИ_СН»</t>
        </is>
      </c>
      <c r="G31" s="18" t="n">
        <v>10619.49</v>
      </c>
      <c r="H31" s="18">
        <f>D31*G31</f>
        <v/>
      </c>
      <c r="I31" s="8" t="inlineStr">
        <is>
          <t>По прайсу Казани модель заявлена «для защиты от механических воздействий и ОПЗ» - соответствует норме. Вариант с полукомбинезоном арт. 3312: 11 103,22 руб.</t>
        </is>
      </c>
    </row>
    <row r="32" ht="40.5" customHeight="1">
      <c r="A32" s="12" t="n"/>
      <c r="B32" s="12" t="n"/>
      <c r="C32" s="8" t="inlineStr">
        <is>
          <t>Обувь от механических воздействий (ударов) Мун200, муж.</t>
        </is>
      </c>
      <c r="D32" s="9" t="n">
        <v>1</v>
      </c>
      <c r="E32" s="8" t="inlineStr">
        <is>
          <t>Полуботинки с перфорацией «Комус Проф» с поликарбонатным подноском, арт. 2013431</t>
        </is>
      </c>
      <c r="F32" s="8" t="inlineStr">
        <is>
          <t>Комус / лист «АИ_СН»</t>
        </is>
      </c>
      <c r="G32" s="18" t="n">
        <v>3490</v>
      </c>
      <c r="H32" s="18">
        <f>D32*G32</f>
        <v/>
      </c>
      <c r="I32" s="8" t="inlineStr">
        <is>
          <t>Дешевле: полуботинки «ЮКОН» арт. 50.387 (металлический подносок + проколозащитная стелька) - 3 091,20 руб., лист «Казань». Проверить маркировку Мун200</t>
        </is>
      </c>
    </row>
    <row r="33" ht="27" customHeight="1">
      <c r="A33" s="12" t="n"/>
      <c r="B33" s="12" t="n"/>
      <c r="C33" s="8" t="inlineStr">
        <is>
          <t>Головной убор от ОПЗ</t>
        </is>
      </c>
      <c r="D33" s="9" t="n">
        <v>1</v>
      </c>
      <c r="E33" s="8" t="inlineStr">
        <is>
          <t>Головной убор для защиты от общих производственных загрязнений</t>
        </is>
      </c>
      <c r="F33" s="8" t="inlineStr">
        <is>
          <t>Профснаб / лист «Казань»</t>
        </is>
      </c>
      <c r="G33" s="18" t="n">
        <v>405</v>
      </c>
      <c r="H33" s="18">
        <f>D33*G33</f>
        <v/>
      </c>
      <c r="I33" s="8" t="inlineStr">
        <is>
          <t>Альтернатива: кепи-бейсболка «Оператор» арт. 8.022 - 576,84 руб.</t>
        </is>
      </c>
    </row>
    <row r="34" ht="15" customHeight="1">
      <c r="A34" s="13" t="n"/>
      <c r="B34" s="13" t="n"/>
      <c r="C34" s="19" t="inlineStr">
        <is>
          <t>Итого по позициям с ценой (без условных позиций):</t>
        </is>
      </c>
      <c r="D34" s="22" t="n"/>
      <c r="E34" s="22" t="n"/>
      <c r="F34" s="22" t="n"/>
      <c r="G34" s="23" t="n"/>
      <c r="H34" s="20">
        <f>H31+H32+H33</f>
        <v/>
      </c>
      <c r="I34" s="21" t="inlineStr">
        <is>
          <t>Без СИЗ, отсутствующих в прайсе (см. ниже)</t>
        </is>
      </c>
    </row>
    <row r="35" ht="15" customHeight="1">
      <c r="A35" s="17" t="inlineStr">
        <is>
          <t>Швейный участок</t>
        </is>
      </c>
      <c r="B35" s="22" t="n"/>
      <c r="C35" s="22" t="n"/>
      <c r="D35" s="22" t="n"/>
      <c r="E35" s="22" t="n"/>
      <c r="F35" s="22" t="n"/>
      <c r="G35" s="22" t="n"/>
      <c r="H35" s="22" t="n"/>
      <c r="I35" s="23" t="n"/>
    </row>
    <row r="36" ht="40.5" customHeight="1">
      <c r="A36" s="6" t="n">
        <v>8</v>
      </c>
      <c r="B36" s="7" t="inlineStr">
        <is>
          <t>Мастер участка (жен.)</t>
        </is>
      </c>
      <c r="C36" s="8" t="inlineStr">
        <is>
          <t>Халат/костюм от ОПЗ и истирания (мастер швейного участка, жен.)</t>
        </is>
      </c>
      <c r="D36" s="9" t="n">
        <v>1</v>
      </c>
      <c r="E36" s="8" t="inlineStr">
        <is>
          <t>Халат женский «Бьянка-2» арт. 4.804</t>
        </is>
      </c>
      <c r="F36" s="8" t="inlineStr">
        <is>
          <t>Техноавиа / лист «Казань»</t>
        </is>
      </c>
      <c r="G36" s="18" t="n">
        <v>3782.12</v>
      </c>
      <c r="H36" s="18">
        <f>D36*G36</f>
        <v/>
      </c>
      <c r="I36" s="8" t="inlineStr">
        <is>
          <t>Модель из раздела «медицинская одежда»: проверить, что это СИЗ с декларацией ТР ТС 019/2011 (З, Ми). Если нет - заменить на халат/костюм с защитными свойствами</t>
        </is>
      </c>
    </row>
    <row r="37" ht="40.5" customHeight="1">
      <c r="A37" s="12" t="n"/>
      <c r="B37" s="12" t="n"/>
      <c r="C37" s="8" t="inlineStr">
        <is>
          <t>Обувь от механических воздействий (истирания) Ми, жен. (швейный участок)</t>
        </is>
      </c>
      <c r="D37" s="9" t="n">
        <v>1</v>
      </c>
      <c r="E37" s="8" t="inlineStr">
        <is>
          <t>Ботинки женские летние арт. 50649</t>
        </is>
      </c>
      <c r="F37" s="8" t="inlineStr">
        <is>
          <t>Техноавиа / лист «АИ_СН»</t>
        </is>
      </c>
      <c r="G37" s="18" t="n">
        <v>1619.16</v>
      </c>
      <c r="H37" s="18">
        <f>D37*G37</f>
        <v/>
      </c>
      <c r="I37" s="8" t="inlineStr">
        <is>
          <t>Проверить маркировку Ми. Туфли-сабо «Леон медикал» (Казань, 4 905,44 руб.) - медицинская обувь, требованиям нормы не соответствуют без декларации ТР ТС 019/2011</t>
        </is>
      </c>
    </row>
    <row r="38" ht="15" customHeight="1">
      <c r="A38" s="12" t="n"/>
      <c r="B38" s="12" t="n"/>
      <c r="C38" s="8" t="inlineStr">
        <is>
          <t>Головной убор от ОПЗ (швейный участок)</t>
        </is>
      </c>
      <c r="D38" s="9" t="n">
        <v>1</v>
      </c>
      <c r="E38" s="8" t="inlineStr">
        <is>
          <t>Косынка арт. 8.051</t>
        </is>
      </c>
      <c r="F38" s="8" t="inlineStr">
        <is>
          <t>Техноавиа / лист «Казань»</t>
        </is>
      </c>
      <c r="G38" s="18" t="n">
        <v>107.64</v>
      </c>
      <c r="H38" s="18">
        <f>D38*G38</f>
        <v/>
      </c>
      <c r="I38" s="8" t="inlineStr"/>
    </row>
    <row r="39" ht="15" customHeight="1">
      <c r="A39" s="13" t="n"/>
      <c r="B39" s="13" t="n"/>
      <c r="C39" s="19" t="inlineStr">
        <is>
          <t>Итого по позициям с ценой (без условных позиций):</t>
        </is>
      </c>
      <c r="D39" s="22" t="n"/>
      <c r="E39" s="22" t="n"/>
      <c r="F39" s="22" t="n"/>
      <c r="G39" s="23" t="n"/>
      <c r="H39" s="20">
        <f>H36+H37+H38</f>
        <v/>
      </c>
      <c r="I39" s="21" t="inlineStr">
        <is>
          <t>Без СИЗ, отсутствующих в прайсе (см. ниже)</t>
        </is>
      </c>
    </row>
    <row r="40" ht="27" customHeight="1">
      <c r="A40" s="6" t="n">
        <v>9</v>
      </c>
      <c r="B40" s="7" t="inlineStr">
        <is>
          <t>Специалист по пошиву (жен.)</t>
        </is>
      </c>
      <c r="C40" s="8" t="inlineStr">
        <is>
          <t>Костюм от механических воздействий (истирания) (Ми), жен.</t>
        </is>
      </c>
      <c r="D40" s="9" t="n">
        <v>1</v>
      </c>
      <c r="E40" s="8" t="inlineStr">
        <is>
          <t>Куртка летняя арт. 3310 + брюки арт. 3311</t>
        </is>
      </c>
      <c r="F40" s="8" t="inlineStr">
        <is>
          <t>Техноавиа / лист «АИ_СН»</t>
        </is>
      </c>
      <c r="G40" s="18" t="n">
        <v>10318.76</v>
      </c>
      <c r="H40" s="18">
        <f>D40*G40</f>
        <v/>
      </c>
      <c r="I40" s="8" t="inlineStr">
        <is>
          <t>Проверить в декларации ТР ТС 019/2011 наличие защитных свойств Ми, З</t>
        </is>
      </c>
    </row>
    <row r="41" ht="40.5" customHeight="1">
      <c r="A41" s="12" t="n"/>
      <c r="B41" s="12" t="n"/>
      <c r="C41" s="8" t="inlineStr">
        <is>
          <t>Обувь от механических воздействий (истирания) Ми, жен. (швейный участок)</t>
        </is>
      </c>
      <c r="D41" s="9" t="n">
        <v>1</v>
      </c>
      <c r="E41" s="8" t="inlineStr">
        <is>
          <t>Ботинки женские летние арт. 50649</t>
        </is>
      </c>
      <c r="F41" s="8" t="inlineStr">
        <is>
          <t>Техноавиа / лист «АИ_СН»</t>
        </is>
      </c>
      <c r="G41" s="18" t="n">
        <v>1619.16</v>
      </c>
      <c r="H41" s="18">
        <f>D41*G41</f>
        <v/>
      </c>
      <c r="I41" s="8" t="inlineStr">
        <is>
          <t>Проверить маркировку Ми. Туфли-сабо «Леон медикал» (Казань, 4 905,44 руб.) - медицинская обувь, требованиям нормы не соответствуют без декларации ТР ТС 019/2011</t>
        </is>
      </c>
    </row>
    <row r="42" ht="15" customHeight="1">
      <c r="A42" s="12" t="n"/>
      <c r="B42" s="12" t="n"/>
      <c r="C42" s="8" t="inlineStr">
        <is>
          <t>Головной убор от ОПЗ (швейный участок)</t>
        </is>
      </c>
      <c r="D42" s="9" t="n">
        <v>1</v>
      </c>
      <c r="E42" s="8" t="inlineStr">
        <is>
          <t>Косынка арт. 8.051</t>
        </is>
      </c>
      <c r="F42" s="8" t="inlineStr">
        <is>
          <t>Техноавиа / лист «Казань»</t>
        </is>
      </c>
      <c r="G42" s="18" t="n">
        <v>107.64</v>
      </c>
      <c r="H42" s="18">
        <f>D42*G42</f>
        <v/>
      </c>
      <c r="I42" s="8" t="inlineStr"/>
    </row>
    <row r="43" ht="15" customHeight="1">
      <c r="A43" s="13" t="n"/>
      <c r="B43" s="13" t="n"/>
      <c r="C43" s="19" t="inlineStr">
        <is>
          <t>Итого по позициям с ценой (без условных позиций):</t>
        </is>
      </c>
      <c r="D43" s="22" t="n"/>
      <c r="E43" s="22" t="n"/>
      <c r="F43" s="22" t="n"/>
      <c r="G43" s="23" t="n"/>
      <c r="H43" s="20">
        <f>H40+H41+H42</f>
        <v/>
      </c>
      <c r="I43" s="21" t="inlineStr">
        <is>
          <t>Без СИЗ, отсутствующих в прайсе (см. ниже)</t>
        </is>
      </c>
    </row>
    <row r="44" ht="27" customHeight="1">
      <c r="A44" s="6" t="n">
        <v>10</v>
      </c>
      <c r="B44" s="7" t="inlineStr">
        <is>
          <t>Оператор станков с ПУ, раскройный комплекс (жен.)</t>
        </is>
      </c>
      <c r="C44" s="8" t="inlineStr">
        <is>
          <t>Костюм от механических воздействий (истирания) (Ми), жен.</t>
        </is>
      </c>
      <c r="D44" s="9" t="n">
        <v>1</v>
      </c>
      <c r="E44" s="8" t="inlineStr">
        <is>
          <t>Куртка летняя арт. 3310 + брюки арт. 3311</t>
        </is>
      </c>
      <c r="F44" s="8" t="inlineStr">
        <is>
          <t>Техноавиа / лист «АИ_СН»</t>
        </is>
      </c>
      <c r="G44" s="18" t="n">
        <v>10318.76</v>
      </c>
      <c r="H44" s="18">
        <f>D44*G44</f>
        <v/>
      </c>
      <c r="I44" s="8" t="inlineStr">
        <is>
          <t>Проверить в декларации ТР ТС 019/2011 наличие защитных свойств Ми, З</t>
        </is>
      </c>
    </row>
    <row r="45" ht="27" customHeight="1">
      <c r="A45" s="12" t="n"/>
      <c r="B45" s="12" t="n"/>
      <c r="C45" s="8" t="inlineStr">
        <is>
          <t>Обувь от механических воздействий (ударов) Мун200, жен.</t>
        </is>
      </c>
      <c r="D45" s="9" t="n">
        <v>1</v>
      </c>
      <c r="E45" s="8" t="inlineStr">
        <is>
          <t>Ботинки женские летние арт. 50319</t>
        </is>
      </c>
      <c r="F45" s="8" t="inlineStr">
        <is>
          <t>Техноавиа / лист «АИ_СН»</t>
        </is>
      </c>
      <c r="G45" s="18" t="n">
        <v>5077.64</v>
      </c>
      <c r="H45" s="18">
        <f>D45*G45</f>
        <v/>
      </c>
      <c r="I45" s="8" t="inlineStr">
        <is>
          <t>Проверить наличие защитного подноска 200 Дж</t>
        </is>
      </c>
    </row>
    <row r="46" ht="15" customHeight="1">
      <c r="A46" s="12" t="n"/>
      <c r="B46" s="12" t="n"/>
      <c r="C46" s="8" t="inlineStr">
        <is>
          <t>Головной убор от ОПЗ (швейный участок)</t>
        </is>
      </c>
      <c r="D46" s="9" t="n">
        <v>1</v>
      </c>
      <c r="E46" s="8" t="inlineStr">
        <is>
          <t>Косынка арт. 8.051</t>
        </is>
      </c>
      <c r="F46" s="8" t="inlineStr">
        <is>
          <t>Техноавиа / лист «Казань»</t>
        </is>
      </c>
      <c r="G46" s="18" t="n">
        <v>107.64</v>
      </c>
      <c r="H46" s="18">
        <f>D46*G46</f>
        <v/>
      </c>
      <c r="I46" s="8" t="inlineStr"/>
    </row>
    <row r="47" ht="15" customHeight="1">
      <c r="A47" s="13" t="n"/>
      <c r="B47" s="13" t="n"/>
      <c r="C47" s="19" t="inlineStr">
        <is>
          <t>Итого по позициям с ценой (без условных позиций):</t>
        </is>
      </c>
      <c r="D47" s="22" t="n"/>
      <c r="E47" s="22" t="n"/>
      <c r="F47" s="22" t="n"/>
      <c r="G47" s="23" t="n"/>
      <c r="H47" s="20">
        <f>H44+H45+H46</f>
        <v/>
      </c>
      <c r="I47" s="21" t="inlineStr">
        <is>
          <t>Без СИЗ, отсутствующих в прайсе (см. ниже)</t>
        </is>
      </c>
    </row>
    <row r="48" ht="15" customHeight="1"/>
    <row r="49" ht="15" customHeight="1">
      <c r="A49" s="14" t="inlineStr">
        <is>
          <t>Выводы:</t>
        </is>
      </c>
    </row>
    <row r="50" ht="27" customHeight="1">
      <c r="A50" s="15" t="inlineStr">
        <is>
          <t>1. В прайсе группы есть только спецодежда, спецобувь и головные уборы. Для остальных СИЗ из норм нужен отдельный запрос цен: Перчатки (Ми / Ми, Мп / от порезов); Очки защитные открытые и закрытые; Щиток защитный лицевой; Фильтрующие полумаски FFP1/FFP2; Противошумные вкладыши/наушники; Каска защитная; Фартук; Перчатки химстойкие (нитриловые); Дерматологические СИЗ и смывающие средства.</t>
        </is>
      </c>
    </row>
    <row r="51" ht="15" customHeight="1">
      <c r="A51" s="15" t="inlineStr">
        <is>
          <t>2. На швейном участке Казани выдаются флисовая куртка «Софт-2», брюки «Лагонда», туфли-сабо «Леон медикал», поло. Это не СИЗ по ЕТН п.5145 «Швея» (костюм и обувь с защитой Ми). Для АИ СН этот комплект как образец не использовать без проверки деклараций.</t>
        </is>
      </c>
    </row>
    <row r="52" ht="15" customHeight="1">
      <c r="A52" s="15" t="inlineStr">
        <is>
          <t>3. Перед закупкой по каждой модели проверить декларацию/сертификат ТР ТС 019/2011 (реестр ФГИС Росаккредитации) и маркировку защитных свойств (Ми, З, Мун200, Тн).</t>
        </is>
      </c>
    </row>
    <row r="53" ht="15" customHeight="1">
      <c r="A53" s="15" t="inlineStr">
        <is>
          <t>4. Цены - из прайса (без учета изменения цен после 24.06). Для работников другого пола - подставить соответствующую модель.</t>
        </is>
      </c>
    </row>
  </sheetData>
  <mergeCells count="39">
    <mergeCell ref="A36:A39"/>
    <mergeCell ref="A18:A22"/>
    <mergeCell ref="C30:G30"/>
    <mergeCell ref="C34:G34"/>
    <mergeCell ref="B31:B34"/>
    <mergeCell ref="B9:B13"/>
    <mergeCell ref="B24:B26"/>
    <mergeCell ref="B27:B30"/>
    <mergeCell ref="A50:I50"/>
    <mergeCell ref="C26:G26"/>
    <mergeCell ref="B14:B17"/>
    <mergeCell ref="A9:A13"/>
    <mergeCell ref="C47:G47"/>
    <mergeCell ref="A23:I23"/>
    <mergeCell ref="A24:A26"/>
    <mergeCell ref="A53:I53"/>
    <mergeCell ref="C22:G22"/>
    <mergeCell ref="A4:I4"/>
    <mergeCell ref="A35:I35"/>
    <mergeCell ref="A52:I52"/>
    <mergeCell ref="A27:A30"/>
    <mergeCell ref="B44:B47"/>
    <mergeCell ref="C43:G43"/>
    <mergeCell ref="B40:B43"/>
    <mergeCell ref="A14:A17"/>
    <mergeCell ref="A5:A8"/>
    <mergeCell ref="C39:G39"/>
    <mergeCell ref="C8:G8"/>
    <mergeCell ref="C17:G17"/>
    <mergeCell ref="B5:B8"/>
    <mergeCell ref="B18:B22"/>
    <mergeCell ref="B36:B39"/>
    <mergeCell ref="A44:A47"/>
    <mergeCell ref="A49:I49"/>
    <mergeCell ref="A51:I51"/>
    <mergeCell ref="A31:A34"/>
    <mergeCell ref="A1:I1"/>
    <mergeCell ref="C13:G13"/>
    <mergeCell ref="A40:A43"/>
  </mergeCells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F18"/>
  <sheetViews>
    <sheetView workbookViewId="0">
      <selection activeCell="A1" sqref="A1"/>
    </sheetView>
  </sheetViews>
  <sheetFormatPr baseColWidth="8" defaultRowHeight="15"/>
  <cols>
    <col width="5" customWidth="1" min="1" max="1"/>
    <col width="30" customWidth="1" min="2" max="2"/>
    <col width="30" customWidth="1" min="3" max="3"/>
    <col width="44" customWidth="1" min="4" max="4"/>
    <col width="48" customWidth="1" min="5" max="5"/>
    <col width="40" customWidth="1" min="6" max="6"/>
  </cols>
  <sheetData>
    <row r="1">
      <c r="A1" s="3" t="inlineStr">
        <is>
          <t>Обоснование проекта норм выдачи СИЗ (для служебного пользования, не утверждается)</t>
        </is>
      </c>
    </row>
    <row r="3">
      <c r="A3" s="5" t="inlineStr">
        <is>
          <t>№</t>
        </is>
      </c>
      <c r="B3" s="5" t="inlineStr">
        <is>
          <t>Участок / должность</t>
        </is>
      </c>
      <c r="C3" s="5" t="inlineStr">
        <is>
          <t>Пункт ЕТН (Прил. №1)</t>
        </is>
      </c>
      <c r="D3" s="5" t="inlineStr">
        <is>
          <t>Добавлено сверх Прил. №1 ЕТН (Прил. №2)</t>
        </is>
      </c>
      <c r="E3" s="5" t="inlineStr">
        <is>
          <t>Отличие от норм АО «Авиационные интерьеры – Воронеж»</t>
        </is>
      </c>
      <c r="F3" s="5" t="inlineStr">
        <is>
          <t>Требует подтверждения</t>
        </is>
      </c>
    </row>
    <row r="4" ht="40.5" customHeight="1">
      <c r="A4" s="9" t="n">
        <v>1</v>
      </c>
      <c r="B4" s="8" t="inlineStr">
        <is>
          <t>Механический / Мастер участка</t>
        </is>
      </c>
      <c r="C4" s="8" t="inlineStr">
        <is>
          <t>Нет в Прил. №1 (п.1965 - электросетевой, не применим)</t>
        </is>
      </c>
      <c r="D4" s="8" t="inlineStr">
        <is>
          <t>Костюм З+Ми, обувь Мун200, очки, СИЗ органа слуха, каска (кран-балка)</t>
        </is>
      </c>
      <c r="E4" s="8" t="inlineStr">
        <is>
          <t>Воронеж: только костюм и обувь от ОПЗ (п.2.1.1). Здесь усилено по п.18 Правил 766н: мастеру - СИЗ с теми же защитными свойствами, что у контролируемых работников</t>
        </is>
      </c>
      <c r="F4" s="8" t="inlineStr">
        <is>
          <t>Факт управления кран-балкой</t>
        </is>
      </c>
    </row>
    <row r="5" ht="27" customHeight="1">
      <c r="A5" s="9" t="n">
        <v>2</v>
      </c>
      <c r="B5" s="8" t="inlineStr">
        <is>
          <t>Механический / Оператор станков с ПУ</t>
        </is>
      </c>
      <c r="C5" s="8" t="inlineStr">
        <is>
          <t>п.3283</t>
        </is>
      </c>
      <c r="D5" s="8" t="inlineStr">
        <is>
          <t>Очки (1.24.1), СИЗ органа слуха (10.1.1), каска (кран-балка), куртка утепленная (условно)</t>
        </is>
      </c>
      <c r="E5" s="8" t="inlineStr">
        <is>
          <t>Совпадает с Воронежем (мех. и мебельный участки). Куртка утепленная переведена в условную позицию</t>
        </is>
      </c>
      <c r="F5" s="8" t="inlineStr">
        <is>
          <t>Уровень шума (СОУТ); работа в неотапливаемых помещениях</t>
        </is>
      </c>
    </row>
    <row r="6" ht="27" customHeight="1">
      <c r="A6" s="9" t="n">
        <v>3</v>
      </c>
      <c r="B6" s="8" t="inlineStr">
        <is>
          <t>Механический / Токарь</t>
        </is>
      </c>
      <c r="C6" s="8" t="inlineStr">
        <is>
          <t>п.4872</t>
        </is>
      </c>
      <c r="D6" s="8" t="inlineStr">
        <is>
          <t>СИЗ органа слуха, щиток (сливная стружка), каска (кран-балка)</t>
        </is>
      </c>
      <c r="E6" s="8" t="inlineStr">
        <is>
          <t>В образцах Воронежа должности нет</t>
        </is>
      </c>
      <c r="F6" s="8" t="inlineStr">
        <is>
          <t>Уровень шума (СОУТ)</t>
        </is>
      </c>
    </row>
    <row r="7" ht="40.5" customHeight="1">
      <c r="A7" s="9" t="n">
        <v>4</v>
      </c>
      <c r="B7" s="8" t="inlineStr">
        <is>
          <t>Механический / Слесарь механосборочных работ</t>
        </is>
      </c>
      <c r="C7" s="8" t="inlineStr">
        <is>
          <t>п.4516</t>
        </is>
      </c>
      <c r="D7" s="8" t="inlineStr">
        <is>
          <t>СИЗ органа слуха, щиток и полумаска FFP2 (абразивный инструмент), куртка утепленная (условно)</t>
        </is>
      </c>
      <c r="E7" s="8" t="inlineStr">
        <is>
          <t>Воронеж (слесарный участок): п.4516 + куртка утепленная. Добавлены шум и абразивные работы</t>
        </is>
      </c>
      <c r="F7" s="8" t="inlineStr">
        <is>
          <t>Отнесение должности к механическому участку (может быть перенесена на сборочный без изменения состава СИЗ)</t>
        </is>
      </c>
    </row>
    <row r="8" ht="27" customHeight="1">
      <c r="A8" s="9" t="n">
        <v>5</v>
      </c>
      <c r="B8" s="8" t="inlineStr">
        <is>
          <t>Сборочный / Начальник участка</t>
        </is>
      </c>
      <c r="C8" s="8" t="inlineStr">
        <is>
          <t>Нет в Прил. №1</t>
        </is>
      </c>
      <c r="D8" s="8" t="inlineStr">
        <is>
          <t>Костюм ОПЗ, обувь Мун200, очки, каска (кран-балка)</t>
        </is>
      </c>
      <c r="E8" s="8" t="inlineStr">
        <is>
          <t>Воронеж: костюм и обувь от ОПЗ. Обувь усилена до защиты от ударов (перемещение крупногабаритных узлов)</t>
        </is>
      </c>
      <c r="F8" s="8" t="inlineStr">
        <is>
          <t>-</t>
        </is>
      </c>
    </row>
    <row r="9" ht="27" customHeight="1">
      <c r="A9" s="9" t="n">
        <v>6</v>
      </c>
      <c r="B9" s="8" t="inlineStr">
        <is>
          <t>Сборочный / Мастер участка</t>
        </is>
      </c>
      <c r="C9" s="8" t="inlineStr">
        <is>
          <t>По аналогии п.4562 (п.18 Правил 766н)</t>
        </is>
      </c>
      <c r="D9" s="8" t="inlineStr">
        <is>
          <t>СИЗ органа слуха, каска (кран-балка)</t>
        </is>
      </c>
      <c r="E9" s="8" t="inlineStr">
        <is>
          <t>Воронеж: костюм и обувь от ОПЗ. Усилено по п.18 Правил 766н</t>
        </is>
      </c>
      <c r="F9" s="8" t="inlineStr">
        <is>
          <t>-</t>
        </is>
      </c>
    </row>
    <row r="10" ht="40.5" customHeight="1">
      <c r="A10" s="9" t="n">
        <v>7</v>
      </c>
      <c r="B10" s="8" t="inlineStr">
        <is>
          <t>Сборочный / Слесарь-сборщик</t>
        </is>
      </c>
      <c r="C10" s="8" t="inlineStr">
        <is>
          <t>п.4562</t>
        </is>
      </c>
      <c r="D10" s="8" t="inlineStr">
        <is>
          <t>СИЗ органа слуха, полумаска FFP2 (композиты), очки закрытые, химстойкие перчатки, фартук (клеи/герметики), каска (кран-балка)</t>
        </is>
      </c>
      <c r="E10" s="8" t="inlineStr">
        <is>
          <t>Воронеж (участок сборки): п.4562 + полумаска по п.6.9. Здесь основание уточнено на п.7.1.2 (пыль)</t>
        </is>
      </c>
      <c r="F10" s="8" t="inlineStr">
        <is>
          <t>Перечень применяемых клеев/герметиков и их паспорта безопасности</t>
        </is>
      </c>
    </row>
    <row r="11" ht="15" customHeight="1">
      <c r="A11" s="9" t="n">
        <v>8</v>
      </c>
      <c r="B11" s="8" t="inlineStr">
        <is>
          <t>Швейный / Мастер участка</t>
        </is>
      </c>
      <c r="C11" s="8" t="inlineStr">
        <is>
          <t>Нет в Прил. №1</t>
        </is>
      </c>
      <c r="D11" s="8" t="inlineStr">
        <is>
          <t>Костюм/халат, обувь, головной убор от ОПЗ</t>
        </is>
      </c>
      <c r="E11" s="8" t="inlineStr">
        <is>
          <t>В образцах Воронежа участка нет</t>
        </is>
      </c>
      <c r="F11" s="8" t="inlineStr">
        <is>
          <t>-</t>
        </is>
      </c>
    </row>
    <row r="12" ht="54" customHeight="1">
      <c r="A12" s="9" t="n">
        <v>9</v>
      </c>
      <c r="B12" s="8" t="inlineStr">
        <is>
          <t>Швейный / Специалист по пошиву</t>
        </is>
      </c>
      <c r="C12" s="8" t="inlineStr">
        <is>
          <t>Нет в Прил. №1. Применён п.5145 «Швея» (абз. 6 п.18 Правил 766н - по аналогии трудовых функций)</t>
        </is>
      </c>
      <c r="D12" s="8" t="inlineStr">
        <is>
          <t>Фартук; при работе с материалами, выделяющими волокна: FFP2, очки закрытые, перчатки с полимерным покрытием 60 пар, фартук с ПВХ 2 шт. (по вашей служебной записке)</t>
        </is>
      </c>
      <c r="E12" s="8" t="inlineStr">
        <is>
          <t>В образцах Воронежа должности нет</t>
        </is>
      </c>
      <c r="F12" s="8" t="inlineStr">
        <is>
          <t>Какие материалы шьются (стеклоткань, арамид и т.п.); количества 60 пар / 2 шт. превышают ЕТН - допустимо по п.16 Правил, но требует решения по бюджету</t>
        </is>
      </c>
    </row>
    <row r="13" ht="54" customHeight="1">
      <c r="A13" s="9" t="n">
        <v>10</v>
      </c>
      <c r="B13" s="8" t="inlineStr">
        <is>
          <t>Швейный / Оператор станков с ПУ (раскройный комплекс)</t>
        </is>
      </c>
      <c r="C13" s="8" t="inlineStr">
        <is>
          <t>п.3283</t>
        </is>
      </c>
      <c r="D13" s="8" t="inlineStr">
        <is>
          <t>СИЗ органа слуха, перчатки от порезов (замена ножей), блок «волокна и пыль»</t>
        </is>
      </c>
      <c r="E13" s="8" t="inlineStr">
        <is>
          <t>В образцах Воронежа должности на швейном участке нет</t>
        </is>
      </c>
      <c r="F13" s="8" t="inlineStr">
        <is>
          <t>Что именно означает «оператор ЧПУ» в вашем штатном расписании: раскройный комплекс швейного участка или второй станочник механического участка</t>
        </is>
      </c>
    </row>
    <row r="14" ht="15" customHeight="1"/>
    <row r="15" ht="15" customHeight="1">
      <c r="A15" s="14" t="inlineStr">
        <is>
          <t>Использованные документы:</t>
        </is>
      </c>
    </row>
    <row r="16" ht="30" customHeight="1">
      <c r="A16" s="15" t="inlineStr">
        <is>
          <t>- Приказ Минтруда России от 29.10.2021 №767н (ЕТН): Приложение №1 пп.3283, 4516, 4562, 4872, 5145; Приложение №2 пп.1.3.1, 1.18.1, 1.21.1, 1.24.1, 1.28, 2.1.1, 2.1.2, 4.7.1, 6.5.1, 6.9, 7.1.1, 7.1.2, 10.1.1; Приложение №3 Табл. 1, 2.</t>
        </is>
      </c>
    </row>
    <row r="17" ht="30" customHeight="1">
      <c r="A17" s="15" t="inlineStr">
        <is>
          <t>- Приказ Минтруда России от 29.10.2021 №766н (Правила): пп.7, 14, 16, 17, 18, 19, 37, 46, 47.</t>
        </is>
      </c>
    </row>
    <row r="18" ht="30" customHeight="1">
      <c r="A18" s="15" t="inlineStr">
        <is>
          <t>- Утвержденные нормы АО «Авиационные интерьеры – Воронеж» 2026 г. (механический, слесарный, сборки, мебельный, композиционных материалов и др. участки) - как образец формы и практики группы компаний.</t>
        </is>
      </c>
    </row>
  </sheetData>
  <mergeCells count="5">
    <mergeCell ref="A16:F16"/>
    <mergeCell ref="A1:F1"/>
    <mergeCell ref="A17:F17"/>
    <mergeCell ref="A18:F18"/>
    <mergeCell ref="A15:F15"/>
  </mergeCells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2026-09-25T09:23:26Z</dcterms:created>
  <dcterms:modified xmlns:dcterms="http://purl.org/dc/terms/" xmlns:xsi="http://www.w3.org/2001/XMLSchema-instance" xsi:type="dcterms:W3CDTF">2026-09-25T09:23:27Z</dcterms:modified>
</cp:coreProperties>
</file>