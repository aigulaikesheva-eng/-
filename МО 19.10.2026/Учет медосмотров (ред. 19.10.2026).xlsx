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.aikesheva\Desktop\"/>
    </mc:Choice>
  </mc:AlternateContent>
  <xr:revisionPtr revIDLastSave="0" documentId="13_ncr:1_{3E49ACB9-F359-494A-9328-D37109E8EE77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Инструкция" sheetId="1" r:id="rId1"/>
    <sheet name="Сводка" sheetId="2" r:id="rId2"/>
    <sheet name="Учёт медосмотров" sheetId="3" r:id="rId3"/>
    <sheet name="Перечень" sheetId="4" r:id="rId4"/>
    <sheet name="Соответствие" sheetId="5" state="hidden" r:id="rId5"/>
  </sheets>
  <definedNames>
    <definedName name="_xlnm._FilterDatabase" localSheetId="2" hidden="1">'Учёт медосмотров'!$A$5:$S$405</definedName>
    <definedName name="_xlnm.Print_Titles" localSheetId="3">Перечень!$5:$5</definedName>
    <definedName name="_xlnm.Print_Titles" localSheetId="2">'Учёт медосмотров'!$4:$5</definedName>
  </definedNames>
  <calcPr calcId="191029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5" authorId="0" shapeId="0" xr:uid="{00000000-0006-0000-0200-000001000000}">
      <text>
        <r>
          <rPr>
            <sz val="10"/>
            <rFont val="Arial"/>
            <family val="2"/>
          </rPr>
          <t>Дата фактического прохождения предварительного осмотра.</t>
        </r>
      </text>
    </comment>
    <comment ref="L5" authorId="0" shapeId="0" xr:uid="{00000000-0006-0000-0200-000002000000}">
      <text>
        <r>
          <rPr>
            <sz val="10"/>
            <rFont val="Arial"/>
            <family val="2"/>
          </rPr>
          <t>Дата последнего пройденного периодического осмотра. При прохождении нового — заменить.</t>
        </r>
      </text>
    </comment>
    <comment ref="M5" authorId="0" shapeId="0" xr:uid="{00000000-0006-0000-0200-000003000000}">
      <text>
        <r>
          <rPr>
            <sz val="10"/>
            <rFont val="Arial"/>
            <family val="2"/>
          </rPr>
          <t>Рассчитывается от наиболее поздней из дат предварительного и периодического осмотра.</t>
        </r>
      </text>
    </comment>
    <comment ref="P5" authorId="0" shapeId="0" xr:uid="{00000000-0006-0000-0200-000004000000}">
      <text>
        <r>
          <rPr>
            <sz val="10"/>
            <rFont val="Arial"/>
            <family val="2"/>
          </rPr>
          <t>Внутренний контрольный срок (5 лет). Приказом №342н периодичность не установлена.</t>
        </r>
      </text>
    </comment>
    <comment ref="Q5" authorId="0" shapeId="0" xr:uid="{00000000-0006-0000-0200-000005000000}">
      <text>
        <r>
          <rPr>
            <sz val="10"/>
            <rFont val="Arial"/>
            <family val="2"/>
          </rPr>
          <t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<sst xmlns="http://schemas.openxmlformats.org/spreadsheetml/2006/main" count="1887" uniqueCount="812">
  <si>
    <t>Порядок ведения учёта медицинских осмотров</t>
  </si>
  <si>
    <t>ООО «Авиационные интерьеры-СН». Редакция от 15.10.2026.</t>
  </si>
  <si>
    <t>1. Общие положения</t>
  </si>
  <si>
    <t>Назначение</t>
  </si>
  <si>
    <t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</si>
  <si>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>Состав файла</t>
  </si>
  <si>
    <t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</si>
  <si>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>Ответственный</t>
  </si>
  <si>
    <t>Отдел охраны труда и промышленной безопасности.</t>
  </si>
  <si>
    <t>2. Порядок заполнения</t>
  </si>
  <si>
    <t>Приём работника</t>
  </si>
  <si>
    <t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</si>
  <si>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>Предварительный осмотр</t>
  </si>
  <si>
    <t>Дата — в графу «Предварительный».</t>
  </si>
  <si>
    <t>Периодический осмотр</t>
  </si>
  <si>
    <t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</si>
  <si>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>Психиатрическое освид.</t>
  </si>
  <si>
    <t>Дата — в графу «Дата прохождения». Требуется, если в графе «Подлежит» стоит «Да».</t>
  </si>
  <si>
    <t>Увольнение, перевод</t>
  </si>
  <si>
    <t>Строку работника удалить целиком (правая кнопка мыши → «Удалить» → «Строку»). При переводе — изменить должность и подразделение.</t>
  </si>
  <si>
    <t>Новая должность</t>
  </si>
  <si>
    <t>Если в графе «№ по Перечню» появился знак «?», должность отсутствует в Перечне — требуется внести её в Приказ №43 и в лист «Перечень».</t>
  </si>
  <si>
    <t>Контроль сроков</t>
  </si>
  <si>
    <t>Фильтр по графе «Периодический осмотр»: «Просрочен», «Истекает», «Нет сведений». По графе «Психиатр. освид.»: «Не пройдено».</t>
  </si>
  <si>
    <t>Резерв строк</t>
  </si>
  <si>
    <t>В конце журнала подготовлено 35 пустых строк. При их исчерпании — вставлять строки внутри таблицы, выше последней заполненной.</t>
  </si>
  <si>
    <t>3. Условные обозначения</t>
  </si>
  <si>
    <t>Поле для заполнения.</t>
  </si>
  <si>
    <t>Срок не наступил.</t>
  </si>
  <si>
    <t>Срок наступает в течение 30 дней; нет даты предварительного осмотра при наличии периодического.</t>
  </si>
  <si>
    <t>Срок прошёл; нет сведений об осмотрах; осмотр пройден позже даты приёма.</t>
  </si>
  <si>
    <t>Подлежит психиатрическому освидетельствованию / освидетельствование не пройдено.</t>
  </si>
  <si>
    <t>4. Психиатрическое освидетельствование</t>
  </si>
  <si>
    <t>Подлежат</t>
  </si>
  <si>
    <t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 — п.1 Приложения №2.</t>
  </si>
  <si>
    <t>Не подлежат</t>
  </si>
  <si>
    <t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</si>
  <si>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>Периодичность</t>
  </si>
  <si>
    <t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</si>
  <si>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>5. Нормативные документы</t>
  </si>
  <si>
    <t>ТК РФ</t>
  </si>
  <si>
    <t>ст. 76, 214, 220.</t>
  </si>
  <si>
    <t>Приказ №29н</t>
  </si>
  <si>
    <t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</si>
  <si>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>Приказ №988н/1420н</t>
  </si>
  <si>
    <t>Минтруда России / Минздрава России от 31.12.2020 — перечень вредных и (или) опасных производственных факторов и работ.</t>
  </si>
  <si>
    <t>Приказ №342н</t>
  </si>
  <si>
    <t>Минздрава России от 20.05.2022 — порядок прохождения обязательного психиатрического освидетельствования (изм. Приказ №392н от 02.07.2025).</t>
  </si>
  <si>
    <t>Приказ №43</t>
  </si>
  <si>
    <t>от 03.04.2026 — перечень должностей и профессий, подлежащих медицинским осмотрам.</t>
  </si>
  <si>
    <t>6. Вопросы к решению</t>
  </si>
  <si>
    <t>Внести должности «Техник-сборщик» и «Техник» (Машково; учитываются по п.21 и п.36). Уточнить подпункт п.18 для водителя-экспедитора (п.38): 18.1 или 18.2.</t>
  </si>
  <si>
    <t>Сверить номера пунктов Приложения №2 с редакцией Приказа №392н.</t>
  </si>
  <si>
    <t>Даты осмотров</t>
  </si>
  <si>
    <t>Запросить в медицинском центре сведения об осмотрах работников, по которым дат нет.</t>
  </si>
  <si>
    <t>7. Лист регистрации изменений</t>
  </si>
  <si>
    <t>10.09.2026</t>
  </si>
  <si>
    <t>Журнал сформирован по штатному расписанию на 04.09.2026.</t>
  </si>
  <si>
    <t>13.10.2026</t>
  </si>
  <si>
    <t>Сверка со штатным расписанием на 05.10.2026: добавлено 12 работников, исключено 6.</t>
  </si>
  <si>
    <t>15.10.2026</t>
  </si>
  <si>
    <t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</si>
  <si>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</si>
  <si>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>Подтверждены даты предварительного осмотра 11.04.2022: Зеленов М.В., Ковалёв А.А., Солмин А.Ю., Павлов А.С.</t>
  </si>
  <si>
    <t>Сводка по медицинским осмотрам</t>
  </si>
  <si>
    <t>ООО «Авиационные интерьеры-СН»</t>
  </si>
  <si>
    <t>по состоянию на</t>
  </si>
  <si>
    <t>Медицинские осмотры</t>
  </si>
  <si>
    <t>Показатель</t>
  </si>
  <si>
    <t>чел.</t>
  </si>
  <si>
    <t>%</t>
  </si>
  <si>
    <t>Всего работников, подлежащих осмотру</t>
  </si>
  <si>
    <t>Указана дата предварительного осмотра</t>
  </si>
  <si>
    <t>Не указана дата предварительного осмотра</t>
  </si>
  <si>
    <t xml:space="preserve">      в т.ч. принятые более года назад</t>
  </si>
  <si>
    <t>Указана дата периодического осмотра</t>
  </si>
  <si>
    <t>Периодический осмотр: в срок</t>
  </si>
  <si>
    <t>Периодический осмотр: истекает в течение 30 дней</t>
  </si>
  <si>
    <t>Периодический осмотр: просрочен</t>
  </si>
  <si>
    <t>Нет сведений об осмотрах</t>
  </si>
  <si>
    <t>Предварительный осмотр пройден позже даты приёма</t>
  </si>
  <si>
    <t>Психиатрическое освидетельствование</t>
  </si>
  <si>
    <t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</si>
  <si>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</si>
  <si>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</si>
  <si>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>Истёк внутренний контрольный срок (5 лет)</t>
  </si>
  <si>
    <t>По площадкам</t>
  </si>
  <si>
    <t>Площадка</t>
  </si>
  <si>
    <t>Всего</t>
  </si>
  <si>
    <t>В срок</t>
  </si>
  <si>
    <t>Истекает (30 дн.)</t>
  </si>
  <si>
    <t>Просрочен</t>
  </si>
  <si>
    <t>Нет сведений</t>
  </si>
  <si>
    <t>Психиатр.: подлежат</t>
  </si>
  <si>
    <t>Психиатр.: не пройдено</t>
  </si>
  <si>
    <t>Внуково</t>
  </si>
  <si>
    <t>Воронеж</t>
  </si>
  <si>
    <t>Жуковский</t>
  </si>
  <si>
    <t>Казань</t>
  </si>
  <si>
    <t>Машково</t>
  </si>
  <si>
    <t>Москва</t>
  </si>
  <si>
    <t>Руднево</t>
  </si>
  <si>
    <t>Ульяновск</t>
  </si>
  <si>
    <t>Итого</t>
  </si>
  <si>
    <t>на дату:</t>
  </si>
  <si>
    <t>Работник</t>
  </si>
  <si>
    <t>Перечень (Приказ №43)</t>
  </si>
  <si>
    <t>Медицинский осмотр, дата</t>
  </si>
  <si>
    <t>Контроль</t>
  </si>
  <si>
    <t>№</t>
  </si>
  <si>
    <t>ФИО работника</t>
  </si>
  <si>
    <t>Должность (профессия)</t>
  </si>
  <si>
    <t>Структурное подразделение</t>
  </si>
  <si>
    <t>Дата приёма</t>
  </si>
  <si>
    <t>ключ</t>
  </si>
  <si>
    <t>№ по Перечню</t>
  </si>
  <si>
    <t>Пункты приказа №29н</t>
  </si>
  <si>
    <t>Период., мес.</t>
  </si>
  <si>
    <t>Предварительный</t>
  </si>
  <si>
    <t>Последний периодический</t>
  </si>
  <si>
    <t>Следующий (план)</t>
  </si>
  <si>
    <t>Подлежит</t>
  </si>
  <si>
    <t>Дата прохождения</t>
  </si>
  <si>
    <t>Контрольная дата</t>
  </si>
  <si>
    <t>Осмотр позже приёма</t>
  </si>
  <si>
    <t>Психиатр. освид.</t>
  </si>
  <si>
    <t>Юдакова Регина Юрьевна</t>
  </si>
  <si>
    <t>Инженер 3 категории</t>
  </si>
  <si>
    <t>Отдел технического контроля М</t>
  </si>
  <si>
    <t>Петрунина Людмила Александровна</t>
  </si>
  <si>
    <t>Инженер 1 категории</t>
  </si>
  <si>
    <t>Ястребов Александр Сергеевич</t>
  </si>
  <si>
    <t>Гудумак Анастасия Сергеевна</t>
  </si>
  <si>
    <t>Инженер 2 категории</t>
  </si>
  <si>
    <t>Ермакова Наталья Васильевна</t>
  </si>
  <si>
    <t>Контролер 1 категории</t>
  </si>
  <si>
    <t>Шрамко Наталья Викторовна</t>
  </si>
  <si>
    <t>Высокий Владимир Евгеньевич</t>
  </si>
  <si>
    <t>Водитель автомобиля (персональный 2 категории)</t>
  </si>
  <si>
    <t>Отдел транспортного обеспечения (М н/д)</t>
  </si>
  <si>
    <t>Киреева Вера Антоновна</t>
  </si>
  <si>
    <t>Старший технический работник</t>
  </si>
  <si>
    <t>Административно-хозяйственный отдел М</t>
  </si>
  <si>
    <t>Лебедева Валентина Михайловна</t>
  </si>
  <si>
    <t>Никонова Наталия Евгеньевна</t>
  </si>
  <si>
    <t>Кукин Эрнст Валерьевич</t>
  </si>
  <si>
    <t>Реставратор</t>
  </si>
  <si>
    <t>Производственное подразделение Внуково М</t>
  </si>
  <si>
    <t>Туманов Сергей Дмитриевич</t>
  </si>
  <si>
    <t>Электромонтажник 4 разряда</t>
  </si>
  <si>
    <t>Алфимов Дмитрий Юрьевич</t>
  </si>
  <si>
    <t>Электромонтажник 5 разряда</t>
  </si>
  <si>
    <t>Зосимов Александр Геннадиевич</t>
  </si>
  <si>
    <t>Слесарь-сборщик 6 разряда</t>
  </si>
  <si>
    <t>Шевченко Сергей Васильевич</t>
  </si>
  <si>
    <t>Ведущий специалист по реставрации</t>
  </si>
  <si>
    <t>Нитяговский Сергей Александрович</t>
  </si>
  <si>
    <t>Слесарь-сборщик 5 разряда</t>
  </si>
  <si>
    <t>Постульгин Александр Валентинович</t>
  </si>
  <si>
    <t>Луданцев Алексей Владимирович</t>
  </si>
  <si>
    <t>Слесарь-сборщик 4 разряда</t>
  </si>
  <si>
    <t>Варламов Олег Владимирович</t>
  </si>
  <si>
    <t>Менеджер-комплектовщик</t>
  </si>
  <si>
    <t>Климачев Сергей Валерьевич</t>
  </si>
  <si>
    <t>Заместитель директора департамента-Начальник производственного подразделения</t>
  </si>
  <si>
    <t>Заворотный Дмитрий Дмитриевич</t>
  </si>
  <si>
    <t>Старший оперативный дежурный</t>
  </si>
  <si>
    <t>Отдел режима М</t>
  </si>
  <si>
    <t>Горбушин Сергей Юрьевич</t>
  </si>
  <si>
    <t>Оперативный дежурный</t>
  </si>
  <si>
    <t>Кисельников Николай Михайлович</t>
  </si>
  <si>
    <t>Сорокин Виктор Фомич</t>
  </si>
  <si>
    <t>Боровенский Андрей Алексеевич</t>
  </si>
  <si>
    <t>Слесарь - сборщик 4 разряда</t>
  </si>
  <si>
    <t>Производственное подразделение №6 (В н/д)</t>
  </si>
  <si>
    <t>Гаршин Сергей Александрович</t>
  </si>
  <si>
    <t>Голев Вадим Алексеевич</t>
  </si>
  <si>
    <t>Участок сборки В</t>
  </si>
  <si>
    <t>Гринёв Игорь Сергеевич</t>
  </si>
  <si>
    <t>Гунькин Юрий Игоревич</t>
  </si>
  <si>
    <t>Долгих Георгий Дмитриевич</t>
  </si>
  <si>
    <t>Зиновьев Вадим Дмитриевич</t>
  </si>
  <si>
    <t>Зубарев Владимир Владимирович</t>
  </si>
  <si>
    <t>Ковряков Дмитрий Александрович</t>
  </si>
  <si>
    <t>Косменко Игорь Юрьевич</t>
  </si>
  <si>
    <t>Кумицкий Алексей Иванович</t>
  </si>
  <si>
    <t>Михайлов Никита Алексеевич</t>
  </si>
  <si>
    <t>Попов Андрей Михайлович</t>
  </si>
  <si>
    <t>Попов Роман Юрьевич</t>
  </si>
  <si>
    <t>Потамошнев Константин Сергеевич</t>
  </si>
  <si>
    <t>Самодуров Алексей Юрьевич</t>
  </si>
  <si>
    <t>Сидоренко Сергей Владимирович</t>
  </si>
  <si>
    <t>Сорокин Олег Владимирович</t>
  </si>
  <si>
    <t>Сухинин Андрей Алексеевич</t>
  </si>
  <si>
    <t>Червяков Владислав Вячеславович</t>
  </si>
  <si>
    <t>Юрьев Александр Николаевич</t>
  </si>
  <si>
    <t>Белоусова Людмила Владимировна</t>
  </si>
  <si>
    <t>Кладовщик</t>
  </si>
  <si>
    <t>Склад В</t>
  </si>
  <si>
    <t>Басов Вадим Романович</t>
  </si>
  <si>
    <t>Участок РЭО В</t>
  </si>
  <si>
    <t>Левин Александр Владимирович</t>
  </si>
  <si>
    <t>Лисунов Кирилл Андреевич</t>
  </si>
  <si>
    <t>Попов Денис Игоревич</t>
  </si>
  <si>
    <t>Тимофеев Владимир Николаевич</t>
  </si>
  <si>
    <t>Труфанов Павел Игоревич</t>
  </si>
  <si>
    <t>Ячмень Евгений Григорьевич</t>
  </si>
  <si>
    <t>Воробьев Николай Александрович</t>
  </si>
  <si>
    <t>Зеленов Михаил Валерьевич</t>
  </si>
  <si>
    <t>Золотарев Сергей Константинович</t>
  </si>
  <si>
    <t>Ковалёв Алексей Александрович</t>
  </si>
  <si>
    <t>Силуянов Виктор Ильич</t>
  </si>
  <si>
    <t>Соболев Виталий Юрьевич</t>
  </si>
  <si>
    <t>Солмин Александр Юрьевич</t>
  </si>
  <si>
    <t>Толстоплётов Денис Анатольевич</t>
  </si>
  <si>
    <t>Самсонов Виталий Игоревич</t>
  </si>
  <si>
    <t>Слесарь-сборщик 3 разряда</t>
  </si>
  <si>
    <t>Аралов Евгений Васильевич</t>
  </si>
  <si>
    <t>Вечканов Константин Дмитриевич</t>
  </si>
  <si>
    <t>Галактионов Александр Александрович</t>
  </si>
  <si>
    <t>Слесарь - сборщик 5 разряда</t>
  </si>
  <si>
    <t>Иванов Алексей Николаевич</t>
  </si>
  <si>
    <t>Мелконян Нерсес Эдвардович</t>
  </si>
  <si>
    <t>Мысовских Александр Александрович</t>
  </si>
  <si>
    <t>Петренко Дмитрий Сергеевич</t>
  </si>
  <si>
    <t>Попов Олег Владимирович</t>
  </si>
  <si>
    <t>Роговский Александр Викторович</t>
  </si>
  <si>
    <t>Русанов Александр Евгеньевич</t>
  </si>
  <si>
    <t>Рябинин Александр Анатольевич</t>
  </si>
  <si>
    <t>Тимошкин Сергей Александрович</t>
  </si>
  <si>
    <t>Шпилев Михаил Сергеевич</t>
  </si>
  <si>
    <t>Будавских Вадим Григорьевич</t>
  </si>
  <si>
    <t>Мастер участка сборки интерьера</t>
  </si>
  <si>
    <t>Бысенко Юрий Павлович</t>
  </si>
  <si>
    <t>Мастер участка</t>
  </si>
  <si>
    <t>Деревянченко Андрей Павлович</t>
  </si>
  <si>
    <t>Студеникин Михаил Вячеславович</t>
  </si>
  <si>
    <t>Павлов Александр Сергеевич</t>
  </si>
  <si>
    <t>Мастер участка электромонтажных работ</t>
  </si>
  <si>
    <t>Дуленков Александр Вячеславович</t>
  </si>
  <si>
    <t>Инженер по авиационному и радиоэлектронному оборудованию</t>
  </si>
  <si>
    <t>Производственное подразделение Воронеж</t>
  </si>
  <si>
    <t>Петина Ирина Викторовна</t>
  </si>
  <si>
    <t>Оператор склада</t>
  </si>
  <si>
    <t>Склад (МШ н/д)</t>
  </si>
  <si>
    <t>Рузайкин Юрий Андреевич</t>
  </si>
  <si>
    <t>Инженер</t>
  </si>
  <si>
    <t>Планово-диспетчерский отдел (МШ н/д)</t>
  </si>
  <si>
    <t>Хлыщенко Александр Александрович</t>
  </si>
  <si>
    <t>Абрамович Светлана Николаевна</t>
  </si>
  <si>
    <t>Диспетчер</t>
  </si>
  <si>
    <t>Баранникова Елена Александровна</t>
  </si>
  <si>
    <t>Гришин Алексей Владимирович</t>
  </si>
  <si>
    <t>Зубехин Григорий Александрович</t>
  </si>
  <si>
    <t>Кадиева Наталья Борисовна</t>
  </si>
  <si>
    <t>Лапкин Виталий Олегович</t>
  </si>
  <si>
    <t>Лапкина Анастасия Владимировна</t>
  </si>
  <si>
    <t>Гришина Неля Евгеньевна</t>
  </si>
  <si>
    <t>Ведущий диспетчер</t>
  </si>
  <si>
    <t>Запотылок Алена Владимировна</t>
  </si>
  <si>
    <t>Паукова Наталья Владимировна</t>
  </si>
  <si>
    <t>Полозов Василий Борисович</t>
  </si>
  <si>
    <t>Ведущий инженер</t>
  </si>
  <si>
    <t>Попова Юлия Александровна</t>
  </si>
  <si>
    <t>Ведущий специалист по учету</t>
  </si>
  <si>
    <t>Агапов Максим Владимирович</t>
  </si>
  <si>
    <t>Токарь 6 разряда</t>
  </si>
  <si>
    <t>Механический участок (МШ н/д)</t>
  </si>
  <si>
    <t>Артёмов Антон Анатольевич</t>
  </si>
  <si>
    <t>Потапкин Илья Анатольевич</t>
  </si>
  <si>
    <t>Назин Владислав Сергеевич</t>
  </si>
  <si>
    <t>Оператор станка с ЧПУ 4 разряда</t>
  </si>
  <si>
    <t>Орлов Михаил Юрьевич</t>
  </si>
  <si>
    <t>Тарасов Борис Анатольевич</t>
  </si>
  <si>
    <t>Фрезеровщик 6 разряда</t>
  </si>
  <si>
    <t>Механический участок МШ</t>
  </si>
  <si>
    <t>Фокина Светлана Геннадиевна</t>
  </si>
  <si>
    <t>Бондин Денис Игоревич</t>
  </si>
  <si>
    <t>Оператор станка с ЧПУ 5 разряда</t>
  </si>
  <si>
    <t>Саранцев Петр Дмитриевич</t>
  </si>
  <si>
    <t>Токарь 5 разряда</t>
  </si>
  <si>
    <t>Юдаков Алексей Викторович</t>
  </si>
  <si>
    <t>Клюг Андрей Эдуардович</t>
  </si>
  <si>
    <t>Фрезеровщик 5 разряда</t>
  </si>
  <si>
    <t>Бугаев Сергей Петрович</t>
  </si>
  <si>
    <t>Слесарь механосборочных работ 6 разряда</t>
  </si>
  <si>
    <t>Слесарный участок МШ</t>
  </si>
  <si>
    <t>Макаренков Святослав Михайлович</t>
  </si>
  <si>
    <t>Савичев Сергей Сергеевич</t>
  </si>
  <si>
    <t>Сафонов Роман Валерьевич</t>
  </si>
  <si>
    <t>Филимонов Андрей Владимирович</t>
  </si>
  <si>
    <t>Епифанов Александр Сергеевич</t>
  </si>
  <si>
    <t>Слесарь механосборочных работ 5 разряда</t>
  </si>
  <si>
    <t>Семененко Александр Михайлович</t>
  </si>
  <si>
    <t>Сорокин Игорь Анатольевич</t>
  </si>
  <si>
    <t>Горелов Андрей Сергеевич</t>
  </si>
  <si>
    <t>Оператор-наладчик станков с ЧПУ</t>
  </si>
  <si>
    <t>Зинченко Денис Андреевич</t>
  </si>
  <si>
    <t>Кулешов Руслан Викторович</t>
  </si>
  <si>
    <t>Нагаев Дмитрий Александрович</t>
  </si>
  <si>
    <t>Виноградов Валерий Валерьевич</t>
  </si>
  <si>
    <t>Слесарь механосборочных работ 4 разряда</t>
  </si>
  <si>
    <t>Карантышов Андрей Витальевич</t>
  </si>
  <si>
    <t>Рыскин Вадим Вячеславович</t>
  </si>
  <si>
    <t>Терёхин Кирилл Павлович</t>
  </si>
  <si>
    <t>Кокорев Анатолий Сергеевич</t>
  </si>
  <si>
    <t>Участок РЭО (МШ н/д)</t>
  </si>
  <si>
    <t>Богданов Александр Викторович</t>
  </si>
  <si>
    <t>Озорнов Игорь Валерьевич</t>
  </si>
  <si>
    <t>Романов Дмитрий Евгеньевич</t>
  </si>
  <si>
    <t>Участок РЭО МШ</t>
  </si>
  <si>
    <t>Шабалин Александр Сергеевич</t>
  </si>
  <si>
    <t>Бабенко Олег Анатольевич</t>
  </si>
  <si>
    <t>Техник-сборщик 5 разряда</t>
  </si>
  <si>
    <t>Мебельный участок МШ</t>
  </si>
  <si>
    <t>Макарский Станислав Иванович</t>
  </si>
  <si>
    <t>Мураев Вадим Викторович</t>
  </si>
  <si>
    <t>Мебельный участок (МШ н/д)</t>
  </si>
  <si>
    <t>Алманов Вячеслав Михайлович</t>
  </si>
  <si>
    <t>Техник-сборщик 3 разряда</t>
  </si>
  <si>
    <t>Кротков Александр Юрьевич</t>
  </si>
  <si>
    <t>Столяр 4 разряда</t>
  </si>
  <si>
    <t>Семенов Александр Александрович</t>
  </si>
  <si>
    <t>Морозов Олег Валерьевич</t>
  </si>
  <si>
    <t>Оператор станков с ЧПУ 4 разряда</t>
  </si>
  <si>
    <t>Нерозников Роман Анатольевич</t>
  </si>
  <si>
    <t>Никитин Валерий Сергеевич</t>
  </si>
  <si>
    <t>Бутузов Вадим Владимирович</t>
  </si>
  <si>
    <t>Оператор станков с ЧПУ 5 разряда</t>
  </si>
  <si>
    <t>Анненков Олег Викторович</t>
  </si>
  <si>
    <t>Техник-сборщик 6 разряда</t>
  </si>
  <si>
    <t>Захаров Юрий Викторович</t>
  </si>
  <si>
    <t>Малышкин Сергей Константинович</t>
  </si>
  <si>
    <t>Маркарян Роман Рубикович</t>
  </si>
  <si>
    <t>Савельев Станислав Юрьевич</t>
  </si>
  <si>
    <t>Селиванов Алексей Алексеевич</t>
  </si>
  <si>
    <t>Трушков Сергей Викторович</t>
  </si>
  <si>
    <t>Черносвитов Дмитрий Львович</t>
  </si>
  <si>
    <t>Кукушкин Дмитрий Вячеславович</t>
  </si>
  <si>
    <t>Техник-сборщик 4 разряда</t>
  </si>
  <si>
    <t>Михиенков Валерий Евгеньевич</t>
  </si>
  <si>
    <t>Петушков Дмитрий Сергеевич</t>
  </si>
  <si>
    <t>Полудкин Роман Владимирович</t>
  </si>
  <si>
    <t>Рыжков Олег Николаевич</t>
  </si>
  <si>
    <t>Степанов Валентин Владимирович</t>
  </si>
  <si>
    <t>Цибин Николай Дмитриевич</t>
  </si>
  <si>
    <t>Бригадир</t>
  </si>
  <si>
    <t>Шеин Андрей Геннадьевич</t>
  </si>
  <si>
    <t>Балалаев Сергей Викторович</t>
  </si>
  <si>
    <t>Сборщик стеклопластиковых изделий 6 разряда</t>
  </si>
  <si>
    <t>Матухно Константин Викторович</t>
  </si>
  <si>
    <t>Анисимов Игорь Владимирович</t>
  </si>
  <si>
    <t>Сборщик стеклопластиковых изделий 3 разряда</t>
  </si>
  <si>
    <t>Кукушкин Максим Дмитриевич</t>
  </si>
  <si>
    <t>Антропов Иван Юрьевич</t>
  </si>
  <si>
    <t>Сборщик стеклопластиковых изделий 5 разряда</t>
  </si>
  <si>
    <t>Ветлянский Александр Александрович</t>
  </si>
  <si>
    <t>Арифулин Александр Александрович</t>
  </si>
  <si>
    <t>Облицовщик деталей мебели 4 разряда</t>
  </si>
  <si>
    <t>Пантюхов Вячеслав Владимирович</t>
  </si>
  <si>
    <t>Хасянов Ильфат Шамильевич</t>
  </si>
  <si>
    <t>Бредихин Евгений Васильевич</t>
  </si>
  <si>
    <t>Сборщик стеклопластиковых изделий 4 разряда</t>
  </si>
  <si>
    <t>Зайцев Андрей Александрович</t>
  </si>
  <si>
    <t>Облицовщик деталей мебели 3 разряда</t>
  </si>
  <si>
    <t>Пичугин Александр Владимирович</t>
  </si>
  <si>
    <t>Тимошенко Александр Олегович</t>
  </si>
  <si>
    <t>Чусов Иван Леонидович</t>
  </si>
  <si>
    <t>Техник-сборщик 2 разряда</t>
  </si>
  <si>
    <t>Попов Виктор Михайлович</t>
  </si>
  <si>
    <t>Участок декоративной отделки (МШ н/д)</t>
  </si>
  <si>
    <t>Габбасов Евгений Рафисович</t>
  </si>
  <si>
    <t>Калинкин Анатолий Сергеевич</t>
  </si>
  <si>
    <t>Морев Александр Михайлович</t>
  </si>
  <si>
    <t>Облицовщик деталей мебели 6 разряда</t>
  </si>
  <si>
    <t>Участок декоративной отделки МШ</t>
  </si>
  <si>
    <t>Морев Владимир Александрович</t>
  </si>
  <si>
    <t>Первушин Максим Александрович</t>
  </si>
  <si>
    <t>Техник 6 разряда</t>
  </si>
  <si>
    <t>Солодков Максим Юрьевич</t>
  </si>
  <si>
    <t>Маляр 6 разряда</t>
  </si>
  <si>
    <t>Алманова Дойна Виореловна</t>
  </si>
  <si>
    <t>Долинская Валерия Александровна</t>
  </si>
  <si>
    <t>Маляр 4 разряда</t>
  </si>
  <si>
    <t>Симонова Виктория Александровна</t>
  </si>
  <si>
    <t>Тимохин Александр Владимирович</t>
  </si>
  <si>
    <t>Техник 4 разряда</t>
  </si>
  <si>
    <t>Караваев Игорь Александрович</t>
  </si>
  <si>
    <t>Лисовский Александр Валерьевич</t>
  </si>
  <si>
    <t>Лысенко Анатолий Алексеевич</t>
  </si>
  <si>
    <t>Никитин Марат Николаевич</t>
  </si>
  <si>
    <t>Техник 5 разряда</t>
  </si>
  <si>
    <t>Ожерельев Сергей Николаевич</t>
  </si>
  <si>
    <t>Гимадиев Евгений Искандерович</t>
  </si>
  <si>
    <t>Техник 3 разряда</t>
  </si>
  <si>
    <t>Китов Алексей Геннадьевич</t>
  </si>
  <si>
    <t>Тишин Алексей Владимирович</t>
  </si>
  <si>
    <t>Пухова Жанна Аслановна</t>
  </si>
  <si>
    <t>Техник 2 разряда</t>
  </si>
  <si>
    <t>Иванов Андрей Петрович</t>
  </si>
  <si>
    <t>Рабочий по комплексному обслуживанию и ремонту зданий 3 разряда</t>
  </si>
  <si>
    <t>Служба главного инженера (МШ н/д)</t>
  </si>
  <si>
    <t>Божьева Ирина Вячеславовна</t>
  </si>
  <si>
    <t>Отдел технического контроля МШ</t>
  </si>
  <si>
    <t>Васильева Алина Владимировна</t>
  </si>
  <si>
    <t>Райкова Ирина Алексеевна</t>
  </si>
  <si>
    <t>Трушаков Владимир Александрович</t>
  </si>
  <si>
    <t>Механик</t>
  </si>
  <si>
    <t>Служба главного инженера МШ</t>
  </si>
  <si>
    <t>Иванов Владимир Максимович</t>
  </si>
  <si>
    <t>Найденов Андрей Александрович</t>
  </si>
  <si>
    <t>Королев Владислав Владимирович</t>
  </si>
  <si>
    <t>Разнорабочий</t>
  </si>
  <si>
    <t>Омельченко Вячеслав Васильевич</t>
  </si>
  <si>
    <t>Калинин Дмитрий Александрович</t>
  </si>
  <si>
    <t>Главный энергетик</t>
  </si>
  <si>
    <t>Старовойтов Владимир Владимирович</t>
  </si>
  <si>
    <t>Главный механик</t>
  </si>
  <si>
    <t>Долженко Александр Сергеевич</t>
  </si>
  <si>
    <t>Электромонтер по ремонту и обслуживанию электрооборудования 4 разряда</t>
  </si>
  <si>
    <t>Климов Дмитрий Николаевич</t>
  </si>
  <si>
    <t>Кармазин Александр Николаевич</t>
  </si>
  <si>
    <t>Инженер по эксплуатации зданий и сооружений</t>
  </si>
  <si>
    <t>Бизюков Сергей Иванович</t>
  </si>
  <si>
    <t>Электромонтер по ремонту и обслуживанию электрооборудования 5 разряда</t>
  </si>
  <si>
    <t>Хромов Павел Николаевич</t>
  </si>
  <si>
    <t>Механик-наладчик</t>
  </si>
  <si>
    <t>Жусев Алексей Анатольевич</t>
  </si>
  <si>
    <t>Инженер-электрик</t>
  </si>
  <si>
    <t>Захарова Любовь Владимировна</t>
  </si>
  <si>
    <t>Специалист</t>
  </si>
  <si>
    <t>Административно-хозяйственный отдел МШ</t>
  </si>
  <si>
    <t>Гросс Елена Владимировна</t>
  </si>
  <si>
    <t>Уборщик производственных и служебных помещений</t>
  </si>
  <si>
    <t>Декун Лидия Петровна</t>
  </si>
  <si>
    <t>Михеева Наталия Петровна</t>
  </si>
  <si>
    <t>Новоторцева Наталия Николаевна</t>
  </si>
  <si>
    <t>Савичева Марина Анатольевна</t>
  </si>
  <si>
    <t>Хилинская Анна Александровна</t>
  </si>
  <si>
    <t>Беспалов Виталий Анатольевич</t>
  </si>
  <si>
    <t>Сторож</t>
  </si>
  <si>
    <t>Отдел режима МШ</t>
  </si>
  <si>
    <t>Волгин Анатолий Иванович</t>
  </si>
  <si>
    <t>Гусев Александр Николаевич</t>
  </si>
  <si>
    <t>Дудукин Сергей Вячеславович</t>
  </si>
  <si>
    <t>Звягин Евгений Иванович</t>
  </si>
  <si>
    <t>Макаренко Алексей Иванович</t>
  </si>
  <si>
    <t>Матвицкий Виктор Владимирович</t>
  </si>
  <si>
    <t>Камбулатов Эсенбулат Камбулатович</t>
  </si>
  <si>
    <t>Старший сторож</t>
  </si>
  <si>
    <t>Рукин Денис Игоревич</t>
  </si>
  <si>
    <t>Старший охраны объекта</t>
  </si>
  <si>
    <t>Балкивская Людмила Алексеевна</t>
  </si>
  <si>
    <t>Старший кладовщик</t>
  </si>
  <si>
    <t>Склад МШ</t>
  </si>
  <si>
    <t>Карпачева Татьяна Владимировна</t>
  </si>
  <si>
    <t>Нестеров Аркадий Николаевич</t>
  </si>
  <si>
    <t>Густов Александр Витальевич</t>
  </si>
  <si>
    <t>Дягин Александр Александрович</t>
  </si>
  <si>
    <t>Евменчук Елизавета Александровна</t>
  </si>
  <si>
    <t>Ноженко Екатерина Сергеевна</t>
  </si>
  <si>
    <t>Прохорова Маргарита Александровна</t>
  </si>
  <si>
    <t>Султанов Тимур Боирович</t>
  </si>
  <si>
    <t>Богатырев Николай Владимирович</t>
  </si>
  <si>
    <t>Лаборант</t>
  </si>
  <si>
    <t>Агалиев Рафаэл Рашидович</t>
  </si>
  <si>
    <t>Кладовщик-комплектовщик</t>
  </si>
  <si>
    <t>Каменев Дмитрий Викторович</t>
  </si>
  <si>
    <t>Ласкавый Андрей Викторович</t>
  </si>
  <si>
    <t>Моряков Константин Викторович</t>
  </si>
  <si>
    <t>Хохлов Александр Николаевич</t>
  </si>
  <si>
    <t>Кирбенева Татьяна Александровна</t>
  </si>
  <si>
    <t>Лягинова Анастасия Витальевна</t>
  </si>
  <si>
    <t>Акимов Михаил Александрович</t>
  </si>
  <si>
    <t>Водитель автомобиля-экспедитор</t>
  </si>
  <si>
    <t>Отдел транспортного обеспечения МШ</t>
  </si>
  <si>
    <t>Батуревич Юрий Викторович</t>
  </si>
  <si>
    <t>Василенко Александр Иванович</t>
  </si>
  <si>
    <t>Грязнов Анатолий Николаевич</t>
  </si>
  <si>
    <t>Евдокимов Игорь Валентинович</t>
  </si>
  <si>
    <t>Ерофеев Олег Игоревич</t>
  </si>
  <si>
    <t>Жигунов Вячеслав Владимирович</t>
  </si>
  <si>
    <t>Крутяков Сергей Владимирович</t>
  </si>
  <si>
    <t>Лучкин Евгений Иванович</t>
  </si>
  <si>
    <t>Карандаев Юрий Александрович</t>
  </si>
  <si>
    <t>Обособленное подразделение Казань</t>
  </si>
  <si>
    <t>Мефтахутдинов Ильнар Гаптильнурович</t>
  </si>
  <si>
    <t>Саваидис Егор Викторович</t>
  </si>
  <si>
    <t>Гаранина Светлана Владимировна</t>
  </si>
  <si>
    <t>Хасипова Гульнара Ильясовна</t>
  </si>
  <si>
    <t>Николаева Ксения Ивановна</t>
  </si>
  <si>
    <t>Филимонова Эльвира Идрисовна</t>
  </si>
  <si>
    <t>Аюпов Булат Фаилевич</t>
  </si>
  <si>
    <t>Андреев Алексей Владимирович</t>
  </si>
  <si>
    <t>Обухов Андрей Евгеньевич</t>
  </si>
  <si>
    <t>Гимранов Ильдор Фанизович</t>
  </si>
  <si>
    <t>Матвеев Александр Николаевич</t>
  </si>
  <si>
    <t>Мастер электромонтажного участка</t>
  </si>
  <si>
    <t>Булатова Лия Рустэмовна</t>
  </si>
  <si>
    <t>Электромонтажник 3 разряда</t>
  </si>
  <si>
    <t>Юсупов Азат Рафаэлевич</t>
  </si>
  <si>
    <t>Галиуллин Руслан Рустамович</t>
  </si>
  <si>
    <t>Слесарь-клепальщик 6 разряда</t>
  </si>
  <si>
    <t>Казаченко Алексей Владимирович</t>
  </si>
  <si>
    <t>Планово-диспетчерская группа (У н/д)</t>
  </si>
  <si>
    <t>Абрамов Дмитрий Владимирович</t>
  </si>
  <si>
    <t>Сборочный участок (У н/д)</t>
  </si>
  <si>
    <t>Ахметов Эдуард Ильдарович</t>
  </si>
  <si>
    <t>Березин Андрей Дмитриевич</t>
  </si>
  <si>
    <t>Китин Дмитрий Витальевич</t>
  </si>
  <si>
    <t>Мамедов Рустам Рамизович</t>
  </si>
  <si>
    <t>Прохоров Антон Анатольевич</t>
  </si>
  <si>
    <t>Терентьев Владислав Вячеславович</t>
  </si>
  <si>
    <t>Якупов Искандер Дамирович</t>
  </si>
  <si>
    <t>Ефремов Алексей Витальевич</t>
  </si>
  <si>
    <t>Слесарь-сборщик</t>
  </si>
  <si>
    <t>Новиков Александр Анатольевич</t>
  </si>
  <si>
    <t>Трофимов Валерий Дмитриевич</t>
  </si>
  <si>
    <t>Куликов Рауф Зэферович</t>
  </si>
  <si>
    <t>Электромонтажный участок (У н/д)</t>
  </si>
  <si>
    <t>Ветров Игорь Евгеньевич</t>
  </si>
  <si>
    <t>Дубровский Дмитрий Сергеевич</t>
  </si>
  <si>
    <t>Кныш Елена Леонидовна</t>
  </si>
  <si>
    <t>Рычков Александр Анатольевич</t>
  </si>
  <si>
    <t>Грицкова Елена Анатольевна</t>
  </si>
  <si>
    <t>Склад (У н/д)</t>
  </si>
  <si>
    <t>Крючкова Мария Ивановна</t>
  </si>
  <si>
    <t>Технический работник</t>
  </si>
  <si>
    <t>Административно-хозяйственный отдел У</t>
  </si>
  <si>
    <t>Тимофеева Галина Петровна</t>
  </si>
  <si>
    <t>Административно-хозяйственный отдел Ж</t>
  </si>
  <si>
    <t>Галимзянова Гузель Раисовна</t>
  </si>
  <si>
    <t>Административно-хозяйственный отдел Р</t>
  </si>
  <si>
    <t>Донин Алексей Валентинович</t>
  </si>
  <si>
    <t>Иванова Светлана Васильевна</t>
  </si>
  <si>
    <t>Раззакова Светлана Владимировна</t>
  </si>
  <si>
    <t>Терешкина Татьяна Викторовна</t>
  </si>
  <si>
    <t>Шибатина Елена Васильевна</t>
  </si>
  <si>
    <t>Болденкова Анна Сергеевна</t>
  </si>
  <si>
    <t>Уборщик служебных помещений</t>
  </si>
  <si>
    <t>Улумбеков Руслан Бинарович</t>
  </si>
  <si>
    <t>Служба главного инженера Р</t>
  </si>
  <si>
    <t>Гришин Алексей Валерьевич</t>
  </si>
  <si>
    <t>Слесарь-ремонтник 5 разряда</t>
  </si>
  <si>
    <t>Поливанов Иван Юрьевич</t>
  </si>
  <si>
    <t>Механический участок Р</t>
  </si>
  <si>
    <t>Степанов Максим Анатольевич</t>
  </si>
  <si>
    <t>Янышев Тимур Ильгизович</t>
  </si>
  <si>
    <t>Геращенко Сергей Владимирович</t>
  </si>
  <si>
    <t>Куликов Сергей Сергеевич</t>
  </si>
  <si>
    <t>Пак Игорь Трофимович</t>
  </si>
  <si>
    <t>Герасимов Александр Александрович</t>
  </si>
  <si>
    <t>Кашкаров Сергей Евгеньевич</t>
  </si>
  <si>
    <t>Павозков Евгений Александрович</t>
  </si>
  <si>
    <t>Баев Сергей Александрович</t>
  </si>
  <si>
    <t>Слесарный участок Р</t>
  </si>
  <si>
    <t>Корнеев Виктор Николаевич</t>
  </si>
  <si>
    <t>Горнеев Никита Сергеевич</t>
  </si>
  <si>
    <t>Оператор листогибочного оборудования 5 разряда</t>
  </si>
  <si>
    <t>Панков Иван Валерьевич</t>
  </si>
  <si>
    <t>Воркунов Егор Дмитриевич</t>
  </si>
  <si>
    <t>Оператор лазерных установок 5 разряда</t>
  </si>
  <si>
    <t>Птицын Юрий Юрьевич</t>
  </si>
  <si>
    <t>Семячко Константин Григорьевич</t>
  </si>
  <si>
    <t>Андреев Кирилл Владимирович</t>
  </si>
  <si>
    <t>Оператор станка с ЧПУ 3 разряда</t>
  </si>
  <si>
    <t>Федышен Валерий Васильевич</t>
  </si>
  <si>
    <t>Козлов Алексей Викторович</t>
  </si>
  <si>
    <t>Чепуштанов Александр Геннадьевич</t>
  </si>
  <si>
    <t>Участок сборки Р</t>
  </si>
  <si>
    <t>Житников Андрей Николаевич</t>
  </si>
  <si>
    <t>Зайцев Дмитрий Евгеньевич</t>
  </si>
  <si>
    <t>Мартынов Гавриил Викторович</t>
  </si>
  <si>
    <t>Николаев Никита Андреевич</t>
  </si>
  <si>
    <t>Бузаев Дмитрий Анатольевич</t>
  </si>
  <si>
    <t>Еремеев Сергей Анатольевич</t>
  </si>
  <si>
    <t>Балковский Сергей Вадимович</t>
  </si>
  <si>
    <t>Гурьянов Евгений Николаевич</t>
  </si>
  <si>
    <t>Зайцев Евгений Геннадьевич</t>
  </si>
  <si>
    <t>Швецов Андрей Витальевич</t>
  </si>
  <si>
    <t>Богатырева Наталья Геннадьевна</t>
  </si>
  <si>
    <t>Старший специалист по пошиву</t>
  </si>
  <si>
    <t>Швейный участок Р</t>
  </si>
  <si>
    <t>Большаков Сергей Александрович</t>
  </si>
  <si>
    <t>Долженко Ольга Васильевна</t>
  </si>
  <si>
    <t>Кульков Павел Петрович</t>
  </si>
  <si>
    <t>Путилина Ирина Михайловна</t>
  </si>
  <si>
    <t>Андрякова Надежда Дмитриевна</t>
  </si>
  <si>
    <t>Специалист по пошиву 5 разряда</t>
  </si>
  <si>
    <t>Антонова Елена Анатольевна</t>
  </si>
  <si>
    <t>Ахмедов Яшар Закир Оглы</t>
  </si>
  <si>
    <t>Долматова Екатерина Владимировна</t>
  </si>
  <si>
    <t>Китаева Венера Минигалеевна</t>
  </si>
  <si>
    <t>Пичугина Оксана Валерьевна</t>
  </si>
  <si>
    <t>Треусов Сергей Юрьевич</t>
  </si>
  <si>
    <t>Горбушина Венера Энверовна</t>
  </si>
  <si>
    <t>Специалист по пошиву 4 разряда</t>
  </si>
  <si>
    <t>Кулешова Виктория Викторовна</t>
  </si>
  <si>
    <t>Сабирова Альфия Фаузиевна</t>
  </si>
  <si>
    <t>Планово-диспетчерский отдел Р</t>
  </si>
  <si>
    <t>Стребкова Наталья Ивановна</t>
  </si>
  <si>
    <t>Оболонина Ирина Валерьевна</t>
  </si>
  <si>
    <t>Первоченков Виктор Владимирович</t>
  </si>
  <si>
    <t>Яковлева Анастасия Юрьевна</t>
  </si>
  <si>
    <t>Юдина Анна Владимировна</t>
  </si>
  <si>
    <t>Склад Р</t>
  </si>
  <si>
    <t>Садыгова Елена Васильевна</t>
  </si>
  <si>
    <t>Трофимов Максим Михайлович</t>
  </si>
  <si>
    <t>Гагарин Алексей Владимирович</t>
  </si>
  <si>
    <t>Иванов Дмитрий Сергеевич</t>
  </si>
  <si>
    <t>Поляков Александр Валентинович</t>
  </si>
  <si>
    <t>Козлов Никита Андреевич</t>
  </si>
  <si>
    <t>Отдел технического контроля Р</t>
  </si>
  <si>
    <t>Милованов Александр Сергеевич</t>
  </si>
  <si>
    <t>Елсуков Имант Арьевич</t>
  </si>
  <si>
    <t>Свиридова Ирина Александровна</t>
  </si>
  <si>
    <t>Планово-диспетчерский отдел В</t>
  </si>
  <si>
    <t>Хабаров Алексей Владимирович</t>
  </si>
  <si>
    <t>Гуровская Ирина Александровна</t>
  </si>
  <si>
    <t>Отдел технического контроля В</t>
  </si>
  <si>
    <t>Симоненко Дмитрий Андреевич</t>
  </si>
  <si>
    <t>Картузов Павел Борисович</t>
  </si>
  <si>
    <t>Кляцкин Антон Борисович</t>
  </si>
  <si>
    <t>Каретников Роман Григорьевич</t>
  </si>
  <si>
    <t>Дубинкин Александр Сергеевич</t>
  </si>
  <si>
    <t>Иванов Юрий Сергеевич</t>
  </si>
  <si>
    <t>Серебреников Артем Андреевич</t>
  </si>
  <si>
    <t>Оператор станков с ЧПУ 3 разряда</t>
  </si>
  <si>
    <t>Тверитин Сергей Алексеевич</t>
  </si>
  <si>
    <t>Инженер-механик</t>
  </si>
  <si>
    <t>Коровин Сергей Юрьевич</t>
  </si>
  <si>
    <t>Власова Ольга Вячеславовна</t>
  </si>
  <si>
    <t>Ефременко Роман Вадимович</t>
  </si>
  <si>
    <t>Проглядов Евгений Александрович</t>
  </si>
  <si>
    <t>Канавец Михаил Сергеевич</t>
  </si>
  <si>
    <t>Перечень должностей и профессий, подлежащих обязательным медицинским осмотрам</t>
  </si>
  <si>
    <t>Приложение №1 к Приказу №43 от 03.04.2026. Психиатрическое освидетельствование — по Приложению №2 к Приказу Минздрава России №342н.</t>
  </si>
  <si>
    <t>Должность, профессия</t>
  </si>
  <si>
    <t>Пункты приказов №988н/1420н, №29н</t>
  </si>
  <si>
    <t>Пункты с периодичностью 1 раз в год</t>
  </si>
  <si>
    <t>Основание / условие</t>
  </si>
  <si>
    <t>Числен-ность, чел.</t>
  </si>
  <si>
    <t>Рабочий по комплексному обслуживанию и ремонту зданий</t>
  </si>
  <si>
    <t>п.4.3.1, п.4.4, п.4.7, п.4.8, п.5.1, п.6.1</t>
  </si>
  <si>
    <t>п.4.4, п.5.1, п.6.1</t>
  </si>
  <si>
    <t>-</t>
  </si>
  <si>
    <t>Электромонтер по ремонту и обслуживанию электрооборудования, инженер-электрик</t>
  </si>
  <si>
    <t>п.4.2.3, п.4.3.1, п.4.3.2, п.4.4, п.5.1, п.5.2, п.6.2, п.9</t>
  </si>
  <si>
    <t>п.4.4, п.5.1, п.6.2</t>
  </si>
  <si>
    <t>Да</t>
  </si>
  <si>
    <t>п.11 Прил.№2: обслуживание электроустановок предприятия.</t>
  </si>
  <si>
    <t>п.1.50, п.4.3.2, п.4.4, п.4.7, п.4.8, п.5.1, п.5.2, п.6.2, п.15</t>
  </si>
  <si>
    <t>п.4.3.1, п.4.4, п.5.1, п.5.2, п.6.2</t>
  </si>
  <si>
    <t>п.4.4, п.5.2, п.6.2</t>
  </si>
  <si>
    <t>п.4.4, п.6.2</t>
  </si>
  <si>
    <t>п.11–12 Прил.№2: электроустановки и объекты теплоснабжения.</t>
  </si>
  <si>
    <t>Нет</t>
  </si>
  <si>
    <t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</si>
  <si>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>Слесарь-ремонтник</t>
  </si>
  <si>
    <t>п.4.3.1, п.4.4, п.5.1, п.6.2, п.15</t>
  </si>
  <si>
    <t>Ведущий специалист по реставрации, реставратор</t>
  </si>
  <si>
    <t>п.4.3.1, п.4.4, п.5.1, п.5.2, п.15</t>
  </si>
  <si>
    <t>п.4.4, п.5.1</t>
  </si>
  <si>
    <t>Уборщик производственных и служебных помещений, уборщик служебных помещений, старший технический работник, технический работник</t>
  </si>
  <si>
    <t>п.1.48, п.4.3.1, п.4.4, п.5.1</t>
  </si>
  <si>
    <t>Инженер-механик, механик-наладчик</t>
  </si>
  <si>
    <t>п.4.3.1, п.4.3.2, п.4.4, п.4.6, п.5.1, п.6.2</t>
  </si>
  <si>
    <t>п.4.4, п.4.6, п.5.1, п.6.2</t>
  </si>
  <si>
    <t>п.4.4, п.5.1, п.5.2</t>
  </si>
  <si>
    <t>Инженер ОТК, контролер ОТК</t>
  </si>
  <si>
    <t>Старший кладовщик, кладовщик, кладовщик-комплектовщик</t>
  </si>
  <si>
    <t>Подлежит только при управлении кранами, поставленными на учёт в Ростехнадзоре (п.6 Прил.№2).</t>
  </si>
  <si>
    <t>п.1.49.2, п.1.49.14, п.1.50, п.4.3.1, п.4.4, п.6.2</t>
  </si>
  <si>
    <t>п.4.3.1, п.4.3.2, п.4.4, п.5.1, п.6.2, п.18.1</t>
  </si>
  <si>
    <t>Инженер по эксплуатации</t>
  </si>
  <si>
    <t>п.4.3.1, п.4.4, п.5.1, п.6.2</t>
  </si>
  <si>
    <t>Мастер участка, бригадир</t>
  </si>
  <si>
    <t>Слесарь-сборщик, слесарь-сборщик (бригадир)</t>
  </si>
  <si>
    <t>п.4.3.1, п.4.3.2, п.4.4, п.5.1, п.6.2, п.15</t>
  </si>
  <si>
    <t>Электромонтажник</t>
  </si>
  <si>
    <t>п.4.3.1, п.4.3.2, п.4.4, п.4.9, п.5.1, п.5.2, п.6.2, п.9</t>
  </si>
  <si>
    <t>п.11 Прил.№2: монтаж, наладка, техническое обслуживание, ремонт электроустановок.</t>
  </si>
  <si>
    <t>Столяр</t>
  </si>
  <si>
    <t>п.1.49.2, п.1.49.14, п.4.3.1, п.4.3.2, п.4.4, п.5.1, п.15</t>
  </si>
  <si>
    <t>Облицовщик деталей мебели</t>
  </si>
  <si>
    <t>Столяр-краснодеревщик</t>
  </si>
  <si>
    <t>п.4.3.1, п.4.3.2, п.4.4, п.5.1, п.5.2, п.15</t>
  </si>
  <si>
    <t>Сборщик стеклопластиковых изделий</t>
  </si>
  <si>
    <t>п.1.37.1, п.3.1.8.3, п.4.3.1, п.4.4, п.5.1, п.15</t>
  </si>
  <si>
    <t>п.1.37.1, п.4.4, п.5.1</t>
  </si>
  <si>
    <t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</si>
  <si>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>Ведущий специалист по учёту ПДО, ведущий инженер ПДО, инженер ПДО</t>
  </si>
  <si>
    <t>Ведущий диспетчер ПДО, диспетчер ПДО</t>
  </si>
  <si>
    <t>Мастер электромонтажного участка, мастер участка электромонтажных работ</t>
  </si>
  <si>
    <t>п.11 Прил.№2: руководство работами по монтажу, наладке, ремонту электроустановок. Относится также мастер участка РЭО.</t>
  </si>
  <si>
    <t>Оператор станка с ЧПУ</t>
  </si>
  <si>
    <t>Оператор лазерных установок</t>
  </si>
  <si>
    <t>п.4.2.1, п.4.3.1, п.4.3.2, п.4.4, п.5.1, п.5.2, п.15</t>
  </si>
  <si>
    <t>Слесарь механосборочных работ</t>
  </si>
  <si>
    <t>п.4.3.1, п.4.3.2, п.4.4, п.5.1, п.15</t>
  </si>
  <si>
    <t>Фрезеровщик</t>
  </si>
  <si>
    <t>Токарь</t>
  </si>
  <si>
    <t>Оператор листогибочного оборудования</t>
  </si>
  <si>
    <t>Маляр</t>
  </si>
  <si>
    <t>п.1.14.2, п.1.36, п.1.37.1, п.1.45.1, п.1.45.2, п.1.50, п.4.3.1, п.4.4, п.5.1, п.17</t>
  </si>
  <si>
    <t>п.1.14.2, п.1.36, п.1.37.1, п.1.45.1, п.1.45.2, п.4.4, п.5.1</t>
  </si>
  <si>
    <t>Монтажник электрооборудования летательных аппаратов</t>
  </si>
  <si>
    <t>п.1.8.4, п.1.12, п.1.15, п.1.25, п.1.27, п.1.44, п.4.3.1, п.4.4, п.4.6, п.5.1, п.5.2, п.6.2</t>
  </si>
  <si>
    <t>п.1.8.4, п.1.12, п.1.15, п.1.27, п.1.44, п.4.4, п.4.6, п.5.1, п.6.2</t>
  </si>
  <si>
    <t>п.4.3.1, п.4.3.2, п.4.4, п.5.1, п.5.2, п.18</t>
  </si>
  <si>
    <t>п.1 Прил.№2: управление транспортными средствами.</t>
  </si>
  <si>
    <t>п.4.3.1, п.4.3.2, п.4.4, п.5.1, п.5.2, п.18.1</t>
  </si>
  <si>
    <t>Слесарь-клепальщик</t>
  </si>
  <si>
    <t>Заместитель директора департамента - Начальник производственного подразделения № 5</t>
  </si>
  <si>
    <t>п.4.3.2, п.4.4, п.5.1, п.5.2, п.6.2</t>
  </si>
  <si>
    <t>Оператор термопластавтомата</t>
  </si>
  <si>
    <t>п.4.3.1, п.4.3.2, п.4.4, п.4.8, п.5.1, п.5.2, п.15</t>
  </si>
  <si>
    <t>Старший специалист по пошиву, специалист по пошиву</t>
  </si>
  <si>
    <t>Старший сторож, сторож, старший оперативный дежурный, оперативный дежурный, старший охраны объекта</t>
  </si>
  <si>
    <t>п.4.7, п.4.8, п.5.1, п.5.2</t>
  </si>
  <si>
    <t>п.5.1</t>
  </si>
  <si>
    <t>Не подлежит (решение ОТиПБ).</t>
  </si>
  <si>
    <t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</si>
  <si>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</si>
  <si>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>Значения графы «Психиатр. освид.»: Да — подлежит; Нет — не подлежит по решению ОТиПБ; «-» — вид деятельности не входит в Приложение №2.</t>
  </si>
  <si>
    <t>Ключ (нормализованная должность)</t>
  </si>
  <si>
    <t>№ п/п по Перечню</t>
  </si>
  <si>
    <t>Справочник сопоставления должностей с Перечнем.</t>
  </si>
  <si>
    <t>бригадир</t>
  </si>
  <si>
    <t>бригадир, слесарь-сборщик</t>
  </si>
  <si>
    <t>ведущий диспетчер</t>
  </si>
  <si>
    <t>ведущий диспетчер пдо</t>
  </si>
  <si>
    <t>ведущий инженер пдо</t>
  </si>
  <si>
    <t>ведущий специалист по реставрации</t>
  </si>
  <si>
    <t>ведущий специалист по учету</t>
  </si>
  <si>
    <t>ведущий специалист по учету пдо</t>
  </si>
  <si>
    <t>водитель автомобиля (персональный 2 категории)</t>
  </si>
  <si>
    <t>водитель автомобиля (персональный)</t>
  </si>
  <si>
    <t>водитель автомобиля-экспедитор</t>
  </si>
  <si>
    <t>главный механик</t>
  </si>
  <si>
    <t>главный энергетик</t>
  </si>
  <si>
    <t>диспетчер</t>
  </si>
  <si>
    <t>диспетчер пдо</t>
  </si>
  <si>
    <t>заместитель директора департамента-начальник производственного подразделения</t>
  </si>
  <si>
    <t>заместитель директора департамента-начальник производственного подразделения № 5</t>
  </si>
  <si>
    <t>инженер отк</t>
  </si>
  <si>
    <t>инженер пдо</t>
  </si>
  <si>
    <t>инженер по авиационному и радиоэлектронному оборудованию</t>
  </si>
  <si>
    <t>инженер по эксплуатации</t>
  </si>
  <si>
    <t>инженер по эксплуатации зданий и сооружений</t>
  </si>
  <si>
    <t>инженер-механик</t>
  </si>
  <si>
    <t>инженер-электрик</t>
  </si>
  <si>
    <t>кладовщик</t>
  </si>
  <si>
    <t>кладовщик-комплектовщик</t>
  </si>
  <si>
    <t>контролер отк</t>
  </si>
  <si>
    <t>лаборант</t>
  </si>
  <si>
    <t>маляр</t>
  </si>
  <si>
    <t>мастер участка</t>
  </si>
  <si>
    <t>мастер участка сборки интерьера</t>
  </si>
  <si>
    <t>мастер участка электромонтажных работ</t>
  </si>
  <si>
    <t>мастер электромонтажного участка</t>
  </si>
  <si>
    <t>менеджер-комплектовщик</t>
  </si>
  <si>
    <t>механик</t>
  </si>
  <si>
    <t>механик-наладчик</t>
  </si>
  <si>
    <t>монтажник электрооборудования летательных аппаратов</t>
  </si>
  <si>
    <t>облицовщик деталей мебели</t>
  </si>
  <si>
    <t>оперативный дежурный</t>
  </si>
  <si>
    <t>оператор лазерных установок</t>
  </si>
  <si>
    <t>оператор листогибочного оборудования</t>
  </si>
  <si>
    <t>оператор склада</t>
  </si>
  <si>
    <t>оператор станка с чпу</t>
  </si>
  <si>
    <t>оператор термопластавтомата</t>
  </si>
  <si>
    <t>оператор-наладчик станков с чпу</t>
  </si>
  <si>
    <t>рабочий по комплексному обслуживанию и ремонту зданий</t>
  </si>
  <si>
    <t>разнорабочий</t>
  </si>
  <si>
    <t>реставратор</t>
  </si>
  <si>
    <t>сборщик стеклопластиковых изделий</t>
  </si>
  <si>
    <t>слесарь механосборочных работ</t>
  </si>
  <si>
    <t>слесарь-клепальщик</t>
  </si>
  <si>
    <t>слесарь-ремонтник</t>
  </si>
  <si>
    <t>слесарь-сборщик</t>
  </si>
  <si>
    <t>слесарь-сборщик (бригадир)</t>
  </si>
  <si>
    <t>специалист</t>
  </si>
  <si>
    <t>специалист по пошиву</t>
  </si>
  <si>
    <t>старший кладовщик</t>
  </si>
  <si>
    <t>старший оперативный дежурный</t>
  </si>
  <si>
    <t>старший охраны объекта</t>
  </si>
  <si>
    <t>старший специалист по пошиву</t>
  </si>
  <si>
    <t>старший сторож</t>
  </si>
  <si>
    <t>старший технический работник</t>
  </si>
  <si>
    <t>столяр</t>
  </si>
  <si>
    <t>столяр-краснодеревщик</t>
  </si>
  <si>
    <t>сторож</t>
  </si>
  <si>
    <t>технический работник</t>
  </si>
  <si>
    <t>токарь</t>
  </si>
  <si>
    <t>уборщик производственных и служебных помещений</t>
  </si>
  <si>
    <t>уборщик служебных помещений</t>
  </si>
  <si>
    <t>фрезеровщик</t>
  </si>
  <si>
    <t>электромонтажник</t>
  </si>
  <si>
    <t>электромонтер по ремонту и обслуживанию электрооборудования</t>
  </si>
  <si>
    <t>оператор станков с чпу</t>
  </si>
  <si>
    <t>техник-сборщик</t>
  </si>
  <si>
    <t>техник</t>
  </si>
  <si>
    <t xml:space="preserve"> основание: Приказ №43 от 03.04.2026, Приказ Минздрава России №29н от 28.01.2021, Приказ №342н от 20.05.2022</t>
  </si>
  <si>
    <t>Учет обязательных медицинских осмотров работников</t>
  </si>
  <si>
    <t xml:space="preserve">Старший кладовщик, кладовщик</t>
  </si>
  <si>
    <t xml:space="preserve">п.1 Прил.№2: управление транспортными средствами (п.18.1 приложения к Приказу №29н).</t>
  </si>
  <si>
    <t xml:space="preserve">Кладовщик-комплектовщик</t>
  </si>
  <si>
    <t xml:space="preserve">ООО «Авиационные интерьеры-СН». Редакция от 19.10.2026.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</si>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</sst>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9" x14ac:knownFonts="1">
    <font>
      <sz val="11"/>
      <color theme="1"/>
      <name val="Calibri"/>
      <family val="2"/>
      <charset val="1"/>
    </font>
    <font>
      <b/>
      <sz val="14"/>
      <color rgb="FF34506E"/>
      <name val="Arial"/>
      <charset val="1"/>
    </font>
    <font>
      <sz val="9"/>
      <color rgb="FF5B6875"/>
      <name val="Arial"/>
      <charset val="1"/>
    </font>
    <font>
      <b/>
      <sz val="11"/>
      <color rgb="FF2B3A4A"/>
      <name val="Arial"/>
      <charset val="1"/>
    </font>
    <font>
      <b/>
      <sz val="10"/>
      <color rgb="FF2B3A4A"/>
      <name val="Arial"/>
      <charset val="1"/>
    </font>
    <font>
      <sz val="10"/>
      <color rgb="FF222222"/>
      <name val="Arial"/>
      <charset val="1"/>
    </font>
    <font>
      <b/>
      <sz val="9"/>
      <color rgb="FF5B6875"/>
      <name val="Arial"/>
      <charset val="1"/>
    </font>
    <font>
      <b/>
      <sz val="11"/>
      <color rgb="FF86600F"/>
      <name val="Arial"/>
      <charset val="1"/>
    </font>
    <font>
      <b/>
      <sz val="11"/>
      <color rgb="FF2F6A40"/>
      <name val="Arial"/>
      <charset val="1"/>
    </font>
    <font>
      <b/>
      <sz val="11"/>
      <color rgb="FF9A3A35"/>
      <name val="Arial"/>
      <charset val="1"/>
    </font>
    <font>
      <b/>
      <sz val="11"/>
      <color rgb="FF574887"/>
      <name val="Arial"/>
      <charset val="1"/>
    </font>
    <font>
      <b/>
      <sz val="9"/>
      <color rgb="FF9A3A35"/>
      <name val="Arial"/>
      <charset val="1"/>
    </font>
    <font>
      <i/>
      <sz val="9"/>
      <color rgb="FF5B6875"/>
      <name val="Arial"/>
      <charset val="1"/>
    </font>
    <font>
      <b/>
      <sz val="9"/>
      <color rgb="FF2B3A4A"/>
      <name val="Arial"/>
      <charset val="1"/>
    </font>
    <font>
      <sz val="8"/>
      <color rgb="FFA0A0A0"/>
      <name val="Arial"/>
      <charset val="1"/>
    </font>
    <font>
      <sz val="10"/>
      <name val="Arial"/>
      <family val="2"/>
    </font>
    <font>
      <b/>
      <sz val="10"/>
      <color rgb="FF222222"/>
      <name val="Arial"/>
      <charset val="1"/>
    </font>
    <font>
      <b/>
      <sz val="9"/>
      <color rgb="FF222222"/>
      <name val="Arial"/>
      <charset val="1"/>
    </font>
    <font>
      <sz val="9"/>
      <color rgb="FF222222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>
      <left/>
      <right/>
      <top/>
      <bottom/>
      <diagonal/>
    </border>
    <border>
      <left/>
      <right/>
      <top/>
      <bottom style="thin">
        <color rgb="FFD3DAE2"/>
      </bottom>
      <diagonal/>
    </border>
    <border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 indent="1"/>
    </xf>
    <xf numFmtId="0" fontId="4" fillId="4" borderId="1" xfId="0" applyFont="1" applyFill="1" applyBorder="1" applyAlignment="1">
      <alignment vertical="top" wrapText="1" indent="1"/>
    </xf>
    <xf numFmtId="0" fontId="4" fillId="5" borderId="1" xfId="0" applyFont="1" applyFill="1" applyBorder="1" applyAlignment="1">
      <alignment vertical="top" wrapText="1" indent="1"/>
    </xf>
    <xf numFmtId="0" fontId="4" fillId="6" borderId="1" xfId="0" applyFont="1" applyFill="1" applyBorder="1" applyAlignment="1">
      <alignment vertical="top" wrapText="1" indent="1"/>
    </xf>
    <xf numFmtId="0" fontId="4" fillId="7" borderId="1" xfId="0" applyFont="1" applyFill="1" applyBorder="1" applyAlignment="1">
      <alignment vertical="top" wrapText="1" indent="1"/>
    </xf>
    <xf numFmtId="164" fontId="4" fillId="0" borderId="0" xfId="0" applyNumberFormat="1" applyFont="1" applyAlignment="1">
      <alignment horizontal="center"/>
    </xf>
    <xf numFmtId="0" fontId="6" fillId="0" borderId="2" xfId="0" applyFont="1" applyBorder="1" applyAlignment="1">
      <alignment vertical="center" inden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vertical="center" indent="1"/>
    </xf>
    <xf numFmtId="0" fontId="3" fillId="0" borderId="2" xfId="0" applyFont="1" applyBorder="1" applyAlignment="1">
      <alignment horizontal="center" vertical="center" wrapText="1"/>
    </xf>
    <xf numFmtId="9" fontId="2" fillId="0" borderId="2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vertical="center" indent="1"/>
    </xf>
    <xf numFmtId="0" fontId="4" fillId="8" borderId="2" xfId="0" applyFont="1" applyFill="1" applyBorder="1" applyAlignment="1">
      <alignment horizontal="center" vertical="center" wrapText="1"/>
    </xf>
    <xf numFmtId="0" fontId="11" fillId="0" borderId="0" xfId="0" applyFont="1"/>
    <xf numFmtId="0" fontId="2" fillId="0" borderId="0" xfId="0" applyFont="1" applyAlignment="1">
      <alignment horizontal="right" vertical="center"/>
    </xf>
    <xf numFmtId="164" fontId="4" fillId="0" borderId="0" xfId="0" applyNumberFormat="1" applyFont="1"/>
    <xf numFmtId="0" fontId="12" fillId="0" borderId="0" xfId="0" applyFont="1"/>
    <xf numFmtId="0" fontId="13" fillId="8" borderId="2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0" fillId="8" borderId="2" xfId="0" applyFill="1" applyBorder="1"/>
    <xf numFmtId="0" fontId="16" fillId="8" borderId="2" xfId="0" applyFont="1" applyFill="1" applyBorder="1"/>
    <xf numFmtId="0" fontId="16" fillId="8" borderId="2" xfId="0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indent="1"/>
    </xf>
    <xf numFmtId="0" fontId="2" fillId="0" borderId="0" xfId="0" applyFont="1" applyAlignment="1">
      <alignment vertical="top" wrapText="1"/>
    </xf>
  </cellXfs>
  <cellStyles count="1">
    <cellStyle name="Обычный" xfId="0" builtinId="0"/>
  </cellStyles>
  <dxfs count="23">
    <dxf>
      <font>
        <b/>
        <color rgb="FF86600F"/>
      </font>
      <fill>
        <patternFill>
          <bgColor rgb="FFFBEFD5"/>
        </patternFill>
      </fill>
    </dxf>
    <dxf>
      <font>
        <b/>
        <color rgb="FF574887"/>
      </font>
      <fill>
        <patternFill>
          <bgColor rgb="FFECE7F4"/>
        </patternFill>
      </fill>
    </dxf>
    <dxf>
      <font>
        <color rgb="FF574887"/>
      </font>
      <fill>
        <patternFill>
          <bgColor rgb="FFECE7F4"/>
        </patternFill>
      </fill>
    </dxf>
    <dxf>
      <font>
        <color rgb="FF2F6A40"/>
      </font>
      <fill>
        <patternFill>
          <bgColor rgb="FFE1F0E4"/>
        </patternFill>
      </fill>
    </dxf>
    <dxf>
      <font>
        <b/>
        <color rgb="FF86600F"/>
      </font>
      <fill>
        <patternFill>
          <bgColor rgb="FFFBEFD5"/>
        </patternFill>
      </fill>
    </dxf>
    <dxf>
      <font>
        <color rgb="FF9A3A35"/>
      </font>
      <fill>
        <patternFill>
          <bgColor rgb="FFF8E1DF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color rgb="FF2F6A40"/>
      </font>
      <fill>
        <patternFill>
          <bgColor rgb="FFE1F0E4"/>
        </patternFill>
      </fill>
    </dxf>
    <dxf>
      <font>
        <b/>
        <color rgb="FF86600F"/>
      </font>
      <fill>
        <patternFill>
          <bgColor rgb="FFFBEFD5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b/>
        <color rgb="FF86600F"/>
      </font>
      <fill>
        <patternFill>
          <bgColor rgb="FFFBEFD5"/>
        </patternFill>
      </fill>
    </dxf>
    <dxf>
      <font>
        <b/>
        <color rgb="FF574887"/>
      </font>
      <fill>
        <patternFill>
          <bgColor rgb="FFECE7F4"/>
        </patternFill>
      </fill>
    </dxf>
    <dxf>
      <font>
        <color rgb="FF2F6A40"/>
      </font>
      <fill>
        <patternFill>
          <bgColor rgb="FFE1F0E4"/>
        </patternFill>
      </fill>
    </dxf>
    <dxf>
      <font>
        <b/>
        <color rgb="FF86600F"/>
      </font>
      <fill>
        <patternFill>
          <bgColor rgb="FFFBEFD5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9A3A35"/>
      </font>
      <fill>
        <patternFill>
          <bgColor rgb="FFF8E1DF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b/>
        <color rgb="FF574887"/>
      </font>
      <fill>
        <patternFill>
          <bgColor rgb="FFECE7F4"/>
        </patternFill>
      </fill>
    </dxf>
    <dxf>
      <font>
        <b/>
        <color rgb="FF9A3A35"/>
      </font>
      <fill>
        <patternFill>
          <bgColor rgb="FFF8E1DF"/>
        </patternFill>
      </fill>
    </dxf>
    <dxf>
      <font>
        <b/>
        <color rgb="FF86600F"/>
      </font>
      <fill>
        <patternFill>
          <bgColor rgb="FFFBEFD5"/>
        </patternFill>
      </fill>
    </dxf>
    <dxf>
      <font>
        <b/>
        <color rgb="FF2F6A40"/>
      </font>
      <fill>
        <patternFill>
          <bgColor rgb="FFE1F0E4"/>
        </patternFill>
      </fill>
    </dxf>
  </dxfs>
  <tableStyles count="0" defaultTableStyle="TableStyleMedium2" defaultPivotStyle="PivotStyleLight16"/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A3B8"/>
    <pageSetUpPr fitToPage="1"/>
  </sheetPr>
  <dimension ref="A1:B49"/>
  <sheetViews>
    <sheetView showGridLines="0" zoomScaleNormal="100" workbookViewId="0"/>
  </sheetViews>
  <sheetFormatPr defaultColWidth="8.6640625" defaultRowHeight="14.4" x14ac:dyDescent="0.3"/>
  <cols>
    <col min="1" max="1" width="27" customWidth="1"/>
    <col min="2" max="2" width="95" customWidth="1"/>
  </cols>
  <sheetData>
    <row r="1" spans="1:2" ht="17.399999999999999" x14ac:dyDescent="0.3">
      <c r="A1" s="1" t="s">
        <v>0</v>
      </c>
    </row>
    <row r="2" spans="1:2" x14ac:dyDescent="0.3">
      <c r="A2" s="2" t="s">
        <v>808</v>
      </c>
    </row>
    <row r="4" spans="1:2" ht="21.75" customHeight="1" x14ac:dyDescent="0.3">
      <c r="A4" s="48" t="s">
        <v>2</v>
      </c>
      <c r="B4" s="48"/>
    </row>
    <row r="5" spans="1:2" ht="30" customHeight="1" x14ac:dyDescent="0.3">
      <c r="A5" s="3" t="s">
        <v>3</v>
      </c>
      <c r="B5" s="4" t="s">
        <v>4</v>
      </c>
    </row>
    <row r="6" spans="1:2" ht="42.75" customHeight="1" x14ac:dyDescent="0.3">
      <c r="A6" s="3" t="s">
        <v>5</v>
      </c>
      <c r="B6" s="4" t="s">
        <v>6</v>
      </c>
    </row>
    <row r="7" spans="1:2" ht="16.5" customHeight="1" x14ac:dyDescent="0.3">
      <c r="A7" s="3" t="s">
        <v>7</v>
      </c>
      <c r="B7" s="4" t="s">
        <v>8</v>
      </c>
    </row>
    <row r="9" spans="1:2" ht="21.75" customHeight="1" x14ac:dyDescent="0.3">
      <c r="A9" s="48" t="s">
        <v>9</v>
      </c>
      <c r="B9" s="48"/>
    </row>
    <row r="10" spans="1:2" ht="42.75" customHeight="1" x14ac:dyDescent="0.3">
      <c r="A10" s="3" t="s">
        <v>10</v>
      </c>
      <c r="B10" s="4" t="s">
        <v>11</v>
      </c>
    </row>
    <row r="11" spans="1:2" ht="16.5" customHeight="1" x14ac:dyDescent="0.3">
      <c r="A11" s="3" t="s">
        <v>12</v>
      </c>
      <c r="B11" s="4" t="s">
        <v>13</v>
      </c>
    </row>
    <row r="12" spans="1:2" ht="42.75" customHeight="1" x14ac:dyDescent="0.3">
      <c r="A12" s="3" t="s">
        <v>14</v>
      </c>
      <c r="B12" s="4" t="s">
        <v>15</v>
      </c>
    </row>
    <row r="13" spans="1:2" ht="16.5" customHeight="1" x14ac:dyDescent="0.3">
      <c r="A13" s="3" t="s">
        <v>16</v>
      </c>
      <c r="B13" s="4" t="s">
        <v>17</v>
      </c>
    </row>
    <row r="14" spans="1:2" ht="30" customHeight="1" x14ac:dyDescent="0.3">
      <c r="A14" s="3" t="s">
        <v>18</v>
      </c>
      <c r="B14" s="4" t="s">
        <v>19</v>
      </c>
    </row>
    <row r="15" spans="1:2" ht="30" customHeight="1" x14ac:dyDescent="0.3">
      <c r="A15" s="3" t="s">
        <v>20</v>
      </c>
      <c r="B15" s="4" t="s">
        <v>21</v>
      </c>
    </row>
    <row r="16" spans="1:2" ht="30" customHeight="1" x14ac:dyDescent="0.3">
      <c r="A16" s="3" t="s">
        <v>22</v>
      </c>
      <c r="B16" s="4" t="s">
        <v>23</v>
      </c>
    </row>
    <row r="17" spans="1:2" ht="30" customHeight="1" x14ac:dyDescent="0.3">
      <c r="A17" s="3" t="s">
        <v>24</v>
      </c>
      <c r="B17" s="4" t="s">
        <v>25</v>
      </c>
    </row>
    <row r="19" spans="1:2" ht="21.75" customHeight="1" x14ac:dyDescent="0.3">
      <c r="A19" s="48" t="s">
        <v>26</v>
      </c>
      <c r="B19" s="48"/>
    </row>
    <row r="20" spans="1:2" ht="16.5" customHeight="1" x14ac:dyDescent="0.3">
      <c r="A20" s="5"/>
      <c r="B20" s="4" t="s">
        <v>27</v>
      </c>
    </row>
    <row r="21" spans="1:2" ht="16.5" customHeight="1" x14ac:dyDescent="0.3">
      <c r="A21" s="6"/>
      <c r="B21" s="4" t="s">
        <v>28</v>
      </c>
    </row>
    <row r="22" spans="1:2" ht="30" customHeight="1" x14ac:dyDescent="0.3">
      <c r="A22" s="7"/>
      <c r="B22" s="4" t="s">
        <v>29</v>
      </c>
    </row>
    <row r="23" spans="1:2" ht="16.5" customHeight="1" x14ac:dyDescent="0.3">
      <c r="A23" s="8"/>
      <c r="B23" s="4" t="s">
        <v>30</v>
      </c>
    </row>
    <row r="24" spans="1:2" ht="16.5" customHeight="1" x14ac:dyDescent="0.3">
      <c r="A24" s="9"/>
      <c r="B24" s="4" t="s">
        <v>31</v>
      </c>
    </row>
    <row r="26" spans="1:2" ht="21.75" customHeight="1" x14ac:dyDescent="0.3">
      <c r="A26" s="48" t="s">
        <v>32</v>
      </c>
      <c r="B26" s="48"/>
    </row>
    <row r="27" spans="1:2" ht="57" customHeight="1" x14ac:dyDescent="0.3">
      <c r="A27" s="3" t="s">
        <v>33</v>
      </c>
      <c r="B27" s="4" t="s">
        <v>809</v>
      </c>
    </row>
    <row r="28" spans="1:2" ht="55.5" customHeight="1" x14ac:dyDescent="0.3">
      <c r="A28" s="3" t="s">
        <v>35</v>
      </c>
      <c r="B28" s="4" t="s">
        <v>36</v>
      </c>
    </row>
    <row r="29" spans="1:2" ht="42.75" customHeight="1" x14ac:dyDescent="0.3">
      <c r="A29" s="3" t="s">
        <v>37</v>
      </c>
      <c r="B29" s="4" t="s">
        <v>38</v>
      </c>
    </row>
    <row r="31" spans="1:2" ht="21.75" customHeight="1" x14ac:dyDescent="0.3">
      <c r="A31" s="48" t="s">
        <v>39</v>
      </c>
      <c r="B31" s="48"/>
    </row>
    <row r="32" spans="1:2" ht="16.5" customHeight="1" x14ac:dyDescent="0.3">
      <c r="A32" s="3" t="s">
        <v>40</v>
      </c>
      <c r="B32" s="4" t="s">
        <v>41</v>
      </c>
    </row>
    <row r="33" spans="1:2" ht="30" customHeight="1" x14ac:dyDescent="0.3">
      <c r="A33" s="3" t="s">
        <v>42</v>
      </c>
      <c r="B33" s="4" t="s">
        <v>43</v>
      </c>
    </row>
    <row r="34" spans="1:2" ht="30" customHeight="1" x14ac:dyDescent="0.3">
      <c r="A34" s="3" t="s">
        <v>44</v>
      </c>
      <c r="B34" s="4" t="s">
        <v>45</v>
      </c>
    </row>
    <row r="35" spans="1:2" ht="30" customHeight="1" x14ac:dyDescent="0.3">
      <c r="A35" s="3" t="s">
        <v>46</v>
      </c>
      <c r="B35" s="4" t="s">
        <v>47</v>
      </c>
    </row>
    <row r="36" spans="1:2" ht="16.5" customHeight="1" x14ac:dyDescent="0.3">
      <c r="A36" s="3" t="s">
        <v>48</v>
      </c>
      <c r="B36" s="4" t="s">
        <v>49</v>
      </c>
    </row>
    <row r="38" spans="1:2" ht="21.75" customHeight="1" x14ac:dyDescent="0.3">
      <c r="A38" s="48" t="s">
        <v>50</v>
      </c>
      <c r="B38" s="48"/>
    </row>
    <row r="39" spans="1:2" ht="30" customHeight="1" x14ac:dyDescent="0.3">
      <c r="A39" s="3" t="s">
        <v>48</v>
      </c>
      <c r="B39" s="4" t="s">
        <v>51</v>
      </c>
    </row>
    <row r="40" spans="1:2" ht="16.5" customHeight="1" x14ac:dyDescent="0.3">
      <c r="A40" s="3" t="s">
        <v>46</v>
      </c>
      <c r="B40" s="4" t="s">
        <v>52</v>
      </c>
    </row>
    <row r="41" spans="1:2" ht="16.5" customHeight="1" x14ac:dyDescent="0.3">
      <c r="A41" s="3" t="s">
        <v>53</v>
      </c>
      <c r="B41" s="4" t="s">
        <v>54</v>
      </c>
    </row>
    <row r="43" spans="1:2" ht="21.75" customHeight="1" x14ac:dyDescent="0.3">
      <c r="A43" s="48" t="s">
        <v>55</v>
      </c>
      <c r="B43" s="48"/>
    </row>
    <row r="44" spans="1:2" ht="16.5" customHeight="1" x14ac:dyDescent="0.3">
      <c r="A44" s="3" t="s">
        <v>56</v>
      </c>
      <c r="B44" s="4" t="s">
        <v>57</v>
      </c>
    </row>
    <row r="45" spans="1:2" ht="16.5" customHeight="1" x14ac:dyDescent="0.3">
      <c r="A45" s="3" t="s">
        <v>58</v>
      </c>
      <c r="B45" s="4" t="s">
        <v>59</v>
      </c>
    </row>
    <row r="46" spans="1:2" ht="30" customHeight="1" x14ac:dyDescent="0.3">
      <c r="A46" s="3" t="s">
        <v>60</v>
      </c>
      <c r="B46" s="4" t="s">
        <v>61</v>
      </c>
    </row>
    <row r="47" spans="1:2" ht="30" customHeight="1" x14ac:dyDescent="0.3">
      <c r="A47" s="3" t="s">
        <v>60</v>
      </c>
      <c r="B47" s="4" t="s">
        <v>62</v>
      </c>
    </row>
    <row r="48" spans="1:2" ht="30" customHeight="1" x14ac:dyDescent="0.3">
      <c r="A48" s="3" t="s">
        <v>60</v>
      </c>
      <c r="B48" s="4" t="s">
        <v>63</v>
      </c>
    </row>
    <row r="49" spans="1:2" ht="57" customHeight="1" x14ac:dyDescent="0.3">
      <c r="A49" s="3" t="s">
        <v>810</v>
      </c>
      <c r="B49" s="4" t="s">
        <v>811</v>
      </c>
    </row>
  </sheetData>
  <mergeCells count="7">
    <mergeCell ref="A38:B38"/>
    <mergeCell ref="A43:B43"/>
    <mergeCell ref="A4:B4"/>
    <mergeCell ref="A9:B9"/>
    <mergeCell ref="A19:B19"/>
    <mergeCell ref="A26:B26"/>
    <mergeCell ref="A31:B31"/>
  </mergeCells>
  <pageMargins left="0.4" right="0.4" top="0.5" bottom="0.5" header="0.511811023622047" footer="0.5"/>
  <pageSetup paperSize="9" fitToHeight="0" orientation="portrait" horizontalDpi="300" verticalDpi="300"/>
  <headerFooter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DB8A4"/>
    <pageSetUpPr fitToPage="1"/>
  </sheetPr>
  <dimension ref="A1:H36"/>
  <sheetViews>
    <sheetView showGridLines="0" zoomScaleNormal="100" workbookViewId="0"/>
  </sheetViews>
  <sheetFormatPr defaultColWidth="8.6640625" defaultRowHeight="14.4" x14ac:dyDescent="0.3"/>
  <cols>
    <col min="1" max="1" width="50" customWidth="1"/>
    <col min="2" max="3" width="10" customWidth="1"/>
    <col min="4" max="6" width="11" customWidth="1"/>
    <col min="7" max="8" width="12" customWidth="1"/>
  </cols>
  <sheetData>
    <row r="1" spans="1:3" ht="17.399999999999999" x14ac:dyDescent="0.3">
      <c r="A1" s="1" t="s">
        <v>64</v>
      </c>
    </row>
    <row r="2" spans="1:3" x14ac:dyDescent="0.3">
      <c r="A2" s="2" t="s">
        <v>65</v>
      </c>
    </row>
    <row r="3" spans="1:3" x14ac:dyDescent="0.3">
      <c r="A3" s="2" t="s">
        <v>66</v>
      </c>
      <c r="B3" s="10">
        <f ca="1">TODAY()</f>
        <v>46314</v>
      </c>
    </row>
    <row r="5" spans="1:3" ht="21.75" customHeight="1" x14ac:dyDescent="0.3">
      <c r="A5" s="48" t="s">
        <v>67</v>
      </c>
      <c r="B5" s="48"/>
      <c r="C5" s="48"/>
    </row>
    <row r="6" spans="1:3" x14ac:dyDescent="0.3">
      <c r="A6" s="11" t="s">
        <v>68</v>
      </c>
      <c r="B6" s="12" t="s">
        <v>69</v>
      </c>
      <c r="C6" s="12" t="s">
        <v>70</v>
      </c>
    </row>
    <row r="7" spans="1:3" x14ac:dyDescent="0.3">
      <c r="A7" s="13" t="s">
        <v>71</v>
      </c>
      <c r="B7" s="14">
        <f>COUNTA('Учёт медосмотров'!$C$6:$C$405)</f>
        <v>365</v>
      </c>
      <c r="C7" s="15">
        <f t="shared" ref="C7:C16" si="0">IF($B$7=0,"",B7/$B$7)</f>
        <v>1</v>
      </c>
    </row>
    <row r="8" spans="1:3" x14ac:dyDescent="0.3">
      <c r="A8" s="13" t="s">
        <v>72</v>
      </c>
      <c r="B8" s="14">
        <f>COUNTIF('Учёт медосмотров'!$K$6:$K$405,"&lt;&gt;")</f>
        <v>77</v>
      </c>
      <c r="C8" s="15">
        <f t="shared" si="0"/>
        <v>0.210958904109589</v>
      </c>
    </row>
    <row r="9" spans="1:3" x14ac:dyDescent="0.3">
      <c r="A9" s="13" t="s">
        <v>73</v>
      </c>
      <c r="B9" s="16">
        <f>COUNTIFS('Учёт медосмотров'!$C$6:$C$405,"&lt;&gt;",'Учёт медосмотров'!$K$6:$K$405,"")</f>
        <v>288</v>
      </c>
      <c r="C9" s="15">
        <f t="shared" si="0"/>
        <v>0.789041095890411</v>
      </c>
    </row>
    <row r="10" spans="1:3" x14ac:dyDescent="0.3">
      <c r="A10" s="13" t="s">
        <v>74</v>
      </c>
      <c r="B10" s="16">
        <f ca="1">COUNTIFS('Учёт медосмотров'!$C$6:$C$405,"&lt;&gt;",'Учёт медосмотров'!$F$6:$F$405,"&lt;"&amp;(TODAY()-365),'Учёт медосмотров'!$K$6:$K$405,"")</f>
        <v>223</v>
      </c>
      <c r="C10" s="15">
        <f t="shared" ca="1" si="0"/>
        <v>0.610958904109589</v>
      </c>
    </row>
    <row r="11" spans="1:3" x14ac:dyDescent="0.3">
      <c r="A11" s="13" t="s">
        <v>75</v>
      </c>
      <c r="B11" s="14">
        <f>COUNTIF('Учёт медосмотров'!$L$6:$L$405,"&lt;&gt;")</f>
        <v>0</v>
      </c>
      <c r="C11" s="15">
        <f t="shared" si="0"/>
        <v>0</v>
      </c>
    </row>
    <row r="12" spans="1:3" x14ac:dyDescent="0.3">
      <c r="A12" s="13" t="s">
        <v>76</v>
      </c>
      <c r="B12" s="17">
        <f ca="1">COUNTIF('Учёт медосмотров'!$R$6:$R$405,"В срок")</f>
        <v>37</v>
      </c>
      <c r="C12" s="15">
        <f t="shared" ca="1" si="0"/>
        <v>0.101369863013699</v>
      </c>
    </row>
    <row r="13" spans="1:3" x14ac:dyDescent="0.3">
      <c r="A13" s="13" t="s">
        <v>77</v>
      </c>
      <c r="B13" s="16">
        <f ca="1">COUNTIF('Учёт медосмотров'!$R$6:$R$405,"Истекает")</f>
        <v>5</v>
      </c>
      <c r="C13" s="15">
        <f t="shared" ca="1" si="0"/>
        <v>0.0136986301369863</v>
      </c>
    </row>
    <row r="14" spans="1:3" x14ac:dyDescent="0.3">
      <c r="A14" s="13" t="s">
        <v>78</v>
      </c>
      <c r="B14" s="18">
        <f ca="1">COUNTIF('Учёт медосмотров'!$R$6:$R$405,"Просрочен")</f>
        <v>35</v>
      </c>
      <c r="C14" s="15">
        <f t="shared" ca="1" si="0"/>
        <v>0.0958904109589041</v>
      </c>
    </row>
    <row r="15" spans="1:3" x14ac:dyDescent="0.3">
      <c r="A15" s="13" t="s">
        <v>79</v>
      </c>
      <c r="B15" s="18">
        <f ca="1">COUNTIF('Учёт медосмотров'!$R$6:$R$405,"Нет сведений")</f>
        <v>288</v>
      </c>
      <c r="C15" s="15">
        <f t="shared" ca="1" si="0"/>
        <v>0.789041095890411</v>
      </c>
    </row>
    <row r="16" spans="1:3" x14ac:dyDescent="0.3">
      <c r="A16" s="13" t="s">
        <v>80</v>
      </c>
      <c r="B16" s="18">
        <f>COUNTIF('Учёт медосмотров'!$Q$6:$Q$405,"Да")</f>
        <v>5</v>
      </c>
      <c r="C16" s="15">
        <f t="shared" si="0"/>
        <v>0.0136986301369863</v>
      </c>
    </row>
    <row r="18" spans="1:8" ht="21.75" customHeight="1" x14ac:dyDescent="0.3">
      <c r="A18" s="48" t="s">
        <v>81</v>
      </c>
      <c r="B18" s="48"/>
      <c r="C18" s="48"/>
    </row>
    <row r="19" spans="1:8" x14ac:dyDescent="0.3">
      <c r="A19" s="11" t="s">
        <v>68</v>
      </c>
      <c r="B19" s="12" t="s">
        <v>69</v>
      </c>
      <c r="C19" s="12" t="s">
        <v>70</v>
      </c>
    </row>
    <row r="20" spans="1:8" x14ac:dyDescent="0.3">
      <c r="A20" s="13" t="s">
        <v>82</v>
      </c>
      <c r="B20" s="19">
        <f>COUNTIF('Учёт медосмотров'!$N$6:$N$405,"Да")</f>
        <v>59</v>
      </c>
      <c r="C20" s="15">
        <f>IF($B$7=0,"",B20/$B$7)</f>
        <v>0.161643835616438</v>
      </c>
    </row>
    <row r="21" spans="1:8" x14ac:dyDescent="0.3">
      <c r="A21" s="13" t="s">
        <v>83</v>
      </c>
      <c r="B21" s="17">
        <f>COUNTIFS('Учёт медосмотров'!$N$6:$N$405,"Да",'Учёт медосмотров'!$O$6:$O$405,"&lt;&gt;")</f>
        <v>0</v>
      </c>
      <c r="C21" s="15">
        <f>IF($B$7=0,"",B21/$B$7)</f>
        <v>0</v>
      </c>
    </row>
    <row r="22" spans="1:8" x14ac:dyDescent="0.3">
      <c r="A22" s="13" t="s">
        <v>84</v>
      </c>
      <c r="B22" s="18">
        <f>COUNTIF('Учёт медосмотров'!$S$6:$S$405,"Не пройдено")</f>
        <v>59</v>
      </c>
      <c r="C22" s="15">
        <f>IF($B$7=0,"",B22/$B$7)</f>
        <v>0.161643835616438</v>
      </c>
    </row>
    <row r="23" spans="1:8" x14ac:dyDescent="0.3">
      <c r="A23" s="13" t="s">
        <v>85</v>
      </c>
      <c r="B23" s="14">
        <f ca="1">COUNTIFS('Учёт медосмотров'!$P$6:$P$405,"&lt;&gt;",'Учёт медосмотров'!$P$6:$P$405,"&lt;"&amp;TODAY())</f>
        <v>0</v>
      </c>
      <c r="C23" s="15">
        <f ca="1">IF($B$7=0,"",B23/$B$7)</f>
        <v>0</v>
      </c>
    </row>
    <row r="25" spans="1:8" ht="21.75" customHeight="1" x14ac:dyDescent="0.3">
      <c r="A25" s="48" t="s">
        <v>86</v>
      </c>
      <c r="B25" s="48"/>
      <c r="C25" s="48"/>
      <c r="D25" s="48"/>
      <c r="E25" s="48"/>
      <c r="F25" s="48"/>
      <c r="G25" s="48"/>
      <c r="H25" s="48"/>
    </row>
    <row r="26" spans="1:8" ht="30" customHeight="1" x14ac:dyDescent="0.3">
      <c r="A26" s="12" t="s">
        <v>87</v>
      </c>
      <c r="B26" s="12" t="s">
        <v>88</v>
      </c>
      <c r="C26" s="12" t="s">
        <v>89</v>
      </c>
      <c r="D26" s="12" t="s">
        <v>90</v>
      </c>
      <c r="E26" s="12" t="s">
        <v>91</v>
      </c>
      <c r="F26" s="12" t="s">
        <v>92</v>
      </c>
      <c r="G26" s="12" t="s">
        <v>93</v>
      </c>
      <c r="H26" s="12" t="s">
        <v>94</v>
      </c>
    </row>
    <row r="27" spans="1:8" x14ac:dyDescent="0.3">
      <c r="A27" s="13" t="s">
        <v>95</v>
      </c>
      <c r="B27" s="20">
        <f>COUNTIF('Учёт медосмотров'!$B$6:$B$405,$A27)</f>
        <v>10</v>
      </c>
      <c r="C27" s="20">
        <f ca="1">COUNTIFS('Учёт медосмотров'!$B$6:$B$405,$A27,'Учёт медосмотров'!$R$6:$R$405,"В срок")</f>
        <v>0</v>
      </c>
      <c r="D27" s="20">
        <f ca="1">COUNTIFS('Учёт медосмотров'!$B$6:$B$405,$A27,'Учёт медосмотров'!$R$6:$R$405,"Истекает")</f>
        <v>0</v>
      </c>
      <c r="E27" s="20">
        <f ca="1">COUNTIFS('Учёт медосмотров'!$B$6:$B$405,$A27,'Учёт медосмотров'!$R$6:$R$405,"Просрочен")</f>
        <v>1</v>
      </c>
      <c r="F27" s="20">
        <f ca="1">COUNTIFS('Учёт медосмотров'!$B$6:$B$405,$A27,'Учёт медосмотров'!$R$6:$R$405,"Нет сведений")</f>
        <v>9</v>
      </c>
      <c r="G27" s="20">
        <f>COUNTIFS('Учёт медосмотров'!$B$6:$B$405,$A27,'Учёт медосмотров'!$N$6:$N$405,"Да")</f>
        <v>2</v>
      </c>
      <c r="H27" s="20">
        <f>COUNTIFS('Учёт медосмотров'!$B$6:$B$405,$A27,'Учёт медосмотров'!$S$6:$S$405,"Не пройдено")</f>
        <v>2</v>
      </c>
    </row>
    <row r="28" spans="1:8" x14ac:dyDescent="0.3">
      <c r="A28" s="13" t="s">
        <v>96</v>
      </c>
      <c r="B28" s="20">
        <f>COUNTIF('Учёт медосмотров'!$B$6:$B$405,$A28)</f>
        <v>65</v>
      </c>
      <c r="C28" s="20">
        <f ca="1">COUNTIFS('Учёт медосмотров'!$B$6:$B$405,$A28,'Учёт медосмотров'!$R$6:$R$405,"В срок")</f>
        <v>4</v>
      </c>
      <c r="D28" s="20">
        <f ca="1">COUNTIFS('Учёт медосмотров'!$B$6:$B$405,$A28,'Учёт медосмотров'!$R$6:$R$405,"Истекает")</f>
        <v>0</v>
      </c>
      <c r="E28" s="20">
        <f ca="1">COUNTIFS('Учёт медосмотров'!$B$6:$B$405,$A28,'Учёт медосмотров'!$R$6:$R$405,"Просрочен")</f>
        <v>15</v>
      </c>
      <c r="F28" s="20">
        <f ca="1">COUNTIFS('Учёт медосмотров'!$B$6:$B$405,$A28,'Учёт медосмотров'!$R$6:$R$405,"Нет сведений")</f>
        <v>46</v>
      </c>
      <c r="G28" s="20">
        <f>COUNTIFS('Учёт медосмотров'!$B$6:$B$405,$A28,'Учёт медосмотров'!$N$6:$N$405,"Да")</f>
        <v>17</v>
      </c>
      <c r="H28" s="20">
        <f>COUNTIFS('Учёт медосмотров'!$B$6:$B$405,$A28,'Учёт медосмотров'!$S$6:$S$405,"Не пройдено")</f>
        <v>17</v>
      </c>
    </row>
    <row r="29" spans="1:8" x14ac:dyDescent="0.3">
      <c r="A29" s="13" t="s">
        <v>97</v>
      </c>
      <c r="B29" s="20">
        <f>COUNTIF('Учёт медосмотров'!$B$6:$B$405,$A29)</f>
        <v>1</v>
      </c>
      <c r="C29" s="20">
        <f ca="1">COUNTIFS('Учёт медосмотров'!$B$6:$B$405,$A29,'Учёт медосмотров'!$R$6:$R$405,"В срок")</f>
        <v>0</v>
      </c>
      <c r="D29" s="20">
        <f ca="1">COUNTIFS('Учёт медосмотров'!$B$6:$B$405,$A29,'Учёт медосмотров'!$R$6:$R$405,"Истекает")</f>
        <v>0</v>
      </c>
      <c r="E29" s="20">
        <f ca="1">COUNTIFS('Учёт медосмотров'!$B$6:$B$405,$A29,'Учёт медосмотров'!$R$6:$R$405,"Просрочен")</f>
        <v>0</v>
      </c>
      <c r="F29" s="20">
        <f ca="1">COUNTIFS('Учёт медосмотров'!$B$6:$B$405,$A29,'Учёт медосмотров'!$R$6:$R$405,"Нет сведений")</f>
        <v>1</v>
      </c>
      <c r="G29" s="20">
        <f>COUNTIFS('Учёт медосмотров'!$B$6:$B$405,$A29,'Учёт медосмотров'!$N$6:$N$405,"Да")</f>
        <v>0</v>
      </c>
      <c r="H29" s="20">
        <f>COUNTIFS('Учёт медосмотров'!$B$6:$B$405,$A29,'Учёт медосмотров'!$S$6:$S$405,"Не пройдено")</f>
        <v>0</v>
      </c>
    </row>
    <row r="30" spans="1:8" x14ac:dyDescent="0.3">
      <c r="A30" s="13" t="s">
        <v>98</v>
      </c>
      <c r="B30" s="20">
        <f>COUNTIF('Учёт медосмотров'!$B$6:$B$405,$A30)</f>
        <v>16</v>
      </c>
      <c r="C30" s="20">
        <f ca="1">COUNTIFS('Учёт медосмотров'!$B$6:$B$405,$A30,'Учёт медосмотров'!$R$6:$R$405,"В срок")</f>
        <v>2</v>
      </c>
      <c r="D30" s="20">
        <f ca="1">COUNTIFS('Учёт медосмотров'!$B$6:$B$405,$A30,'Учёт медосмотров'!$R$6:$R$405,"Истекает")</f>
        <v>2</v>
      </c>
      <c r="E30" s="20">
        <f ca="1">COUNTIFS('Учёт медосмотров'!$B$6:$B$405,$A30,'Учёт медосмотров'!$R$6:$R$405,"Просрочен")</f>
        <v>4</v>
      </c>
      <c r="F30" s="20">
        <f ca="1">COUNTIFS('Учёт медосмотров'!$B$6:$B$405,$A30,'Учёт медосмотров'!$R$6:$R$405,"Нет сведений")</f>
        <v>8</v>
      </c>
      <c r="G30" s="20">
        <f>COUNTIFS('Учёт медосмотров'!$B$6:$B$405,$A30,'Учёт медосмотров'!$N$6:$N$405,"Да")</f>
        <v>6</v>
      </c>
      <c r="H30" s="20">
        <f>COUNTIFS('Учёт медосмотров'!$B$6:$B$405,$A30,'Учёт медосмотров'!$S$6:$S$405,"Не пройдено")</f>
        <v>6</v>
      </c>
    </row>
    <row r="31" spans="1:8" x14ac:dyDescent="0.3">
      <c r="A31" s="13" t="s">
        <v>99</v>
      </c>
      <c r="B31" s="20">
        <f>COUNTIF('Учёт медосмотров'!$B$6:$B$405,$A31)</f>
        <v>175</v>
      </c>
      <c r="C31" s="20">
        <f ca="1">COUNTIFS('Учёт медосмотров'!$B$6:$B$405,$A31,'Учёт медосмотров'!$R$6:$R$405,"В срок")</f>
        <v>10</v>
      </c>
      <c r="D31" s="20">
        <f ca="1">COUNTIFS('Учёт медосмотров'!$B$6:$B$405,$A31,'Учёт медосмотров'!$R$6:$R$405,"Истекает")</f>
        <v>0</v>
      </c>
      <c r="E31" s="20">
        <f ca="1">COUNTIFS('Учёт медосмотров'!$B$6:$B$405,$A31,'Учёт медосмотров'!$R$6:$R$405,"Просрочен")</f>
        <v>6</v>
      </c>
      <c r="F31" s="20">
        <f ca="1">COUNTIFS('Учёт медосмотров'!$B$6:$B$405,$A31,'Учёт медосмотров'!$R$6:$R$405,"Нет сведений")</f>
        <v>159</v>
      </c>
      <c r="G31" s="20">
        <f>COUNTIFS('Учёт медосмотров'!$B$6:$B$405,$A31,'Учёт медосмотров'!$N$6:$N$405,"Да")</f>
        <v>24</v>
      </c>
      <c r="H31" s="20">
        <f>COUNTIFS('Учёт медосмотров'!$B$6:$B$405,$A31,'Учёт медосмотров'!$S$6:$S$405,"Не пройдено")</f>
        <v>24</v>
      </c>
    </row>
    <row r="32" spans="1:8" x14ac:dyDescent="0.3">
      <c r="A32" s="13" t="s">
        <v>100</v>
      </c>
      <c r="B32" s="20">
        <f>COUNTIF('Учёт медосмотров'!$B$6:$B$405,$A32)</f>
        <v>9</v>
      </c>
      <c r="C32" s="20">
        <f ca="1">COUNTIFS('Учёт медосмотров'!$B$6:$B$405,$A32,'Учёт медосмотров'!$R$6:$R$405,"В срок")</f>
        <v>0</v>
      </c>
      <c r="D32" s="20">
        <f ca="1">COUNTIFS('Учёт медосмотров'!$B$6:$B$405,$A32,'Учёт медосмотров'!$R$6:$R$405,"Истекает")</f>
        <v>0</v>
      </c>
      <c r="E32" s="20">
        <f ca="1">COUNTIFS('Учёт медосмотров'!$B$6:$B$405,$A32,'Учёт медосмотров'!$R$6:$R$405,"Просрочен")</f>
        <v>0</v>
      </c>
      <c r="F32" s="20">
        <f ca="1">COUNTIFS('Учёт медосмотров'!$B$6:$B$405,$A32,'Учёт медосмотров'!$R$6:$R$405,"Нет сведений")</f>
        <v>9</v>
      </c>
      <c r="G32" s="20">
        <f>COUNTIFS('Учёт медосмотров'!$B$6:$B$405,$A32,'Учёт медосмотров'!$N$6:$N$405,"Да")</f>
        <v>1</v>
      </c>
      <c r="H32" s="20">
        <f>COUNTIFS('Учёт медосмотров'!$B$6:$B$405,$A32,'Учёт медосмотров'!$S$6:$S$405,"Не пройдено")</f>
        <v>1</v>
      </c>
    </row>
    <row r="33" spans="1:8" x14ac:dyDescent="0.3">
      <c r="A33" s="13" t="s">
        <v>101</v>
      </c>
      <c r="B33" s="20">
        <f>COUNTIF('Учёт медосмотров'!$B$6:$B$405,$A33)</f>
        <v>69</v>
      </c>
      <c r="C33" s="20">
        <f ca="1">COUNTIFS('Учёт медосмотров'!$B$6:$B$405,$A33,'Учёт медосмотров'!$R$6:$R$405,"В срок")</f>
        <v>15</v>
      </c>
      <c r="D33" s="20">
        <f ca="1">COUNTIFS('Учёт медосмотров'!$B$6:$B$405,$A33,'Учёт медосмотров'!$R$6:$R$405,"Истекает")</f>
        <v>1</v>
      </c>
      <c r="E33" s="20">
        <f ca="1">COUNTIFS('Учёт медосмотров'!$B$6:$B$405,$A33,'Учёт медосмотров'!$R$6:$R$405,"Просрочен")</f>
        <v>5</v>
      </c>
      <c r="F33" s="20">
        <f ca="1">COUNTIFS('Учёт медосмотров'!$B$6:$B$405,$A33,'Учёт медосмотров'!$R$6:$R$405,"Нет сведений")</f>
        <v>48</v>
      </c>
      <c r="G33" s="20">
        <f>COUNTIFS('Учёт медосмотров'!$B$6:$B$405,$A33,'Учёт медосмотров'!$N$6:$N$405,"Да")</f>
        <v>4</v>
      </c>
      <c r="H33" s="20">
        <f>COUNTIFS('Учёт медосмотров'!$B$6:$B$405,$A33,'Учёт медосмотров'!$S$6:$S$405,"Не пройдено")</f>
        <v>4</v>
      </c>
    </row>
    <row r="34" spans="1:8" x14ac:dyDescent="0.3">
      <c r="A34" s="13" t="s">
        <v>102</v>
      </c>
      <c r="B34" s="20">
        <f>COUNTIF('Учёт медосмотров'!$B$6:$B$405,$A34)</f>
        <v>20</v>
      </c>
      <c r="C34" s="20">
        <f ca="1">COUNTIFS('Учёт медосмотров'!$B$6:$B$405,$A34,'Учёт медосмотров'!$R$6:$R$405,"В срок")</f>
        <v>6</v>
      </c>
      <c r="D34" s="20">
        <f ca="1">COUNTIFS('Учёт медосмотров'!$B$6:$B$405,$A34,'Учёт медосмотров'!$R$6:$R$405,"Истекает")</f>
        <v>2</v>
      </c>
      <c r="E34" s="20">
        <f ca="1">COUNTIFS('Учёт медосмотров'!$B$6:$B$405,$A34,'Учёт медосмотров'!$R$6:$R$405,"Просрочен")</f>
        <v>4</v>
      </c>
      <c r="F34" s="20">
        <f ca="1">COUNTIFS('Учёт медосмотров'!$B$6:$B$405,$A34,'Учёт медосмотров'!$R$6:$R$405,"Нет сведений")</f>
        <v>8</v>
      </c>
      <c r="G34" s="20">
        <f>COUNTIFS('Учёт медосмотров'!$B$6:$B$405,$A34,'Учёт медосмотров'!$N$6:$N$405,"Да")</f>
        <v>5</v>
      </c>
      <c r="H34" s="20">
        <f>COUNTIFS('Учёт медосмотров'!$B$6:$B$405,$A34,'Учёт медосмотров'!$S$6:$S$405,"Не пройдено")</f>
        <v>5</v>
      </c>
    </row>
    <row r="35" spans="1:8" x14ac:dyDescent="0.3">
      <c r="A35" s="21" t="s">
        <v>103</v>
      </c>
      <c r="B35" s="22">
        <f t="shared" ref="B35:H35" si="1">SUM(B27:B34)</f>
        <v>365</v>
      </c>
      <c r="C35" s="22">
        <f t="shared" ca="1" si="1"/>
        <v>37</v>
      </c>
      <c r="D35" s="22">
        <f t="shared" ca="1" si="1"/>
        <v>5</v>
      </c>
      <c r="E35" s="22">
        <f t="shared" ca="1" si="1"/>
        <v>35</v>
      </c>
      <c r="F35" s="22">
        <f t="shared" ca="1" si="1"/>
        <v>288</v>
      </c>
      <c r="G35" s="22">
        <f t="shared" si="1"/>
        <v>59</v>
      </c>
      <c r="H35" s="22">
        <f t="shared" si="1"/>
        <v>59</v>
      </c>
    </row>
    <row r="36" spans="1:8" x14ac:dyDescent="0.3">
      <c r="A36" s="23" t="str">
        <f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dxfId="22" priority="2">
      <formula>C27&gt;0</formula>
    </cfRule>
  </conditionalFormatting>
  <conditionalFormatting sqref="D27:D34">
    <cfRule type="expression" dxfId="21" priority="3">
      <formula>D27&gt;0</formula>
    </cfRule>
  </conditionalFormatting>
  <conditionalFormatting sqref="E27:F34">
    <cfRule type="expression" dxfId="20" priority="4">
      <formula>E27&gt;0</formula>
    </cfRule>
  </conditionalFormatting>
  <conditionalFormatting sqref="G27:G34">
    <cfRule type="expression" dxfId="19" priority="6">
      <formula>G27&gt;0</formula>
    </cfRule>
  </conditionalFormatting>
  <conditionalFormatting sqref="H27:H34">
    <cfRule type="expression" dxfId="18" priority="7">
      <formula>H27&gt;0</formula>
    </cfRule>
  </conditionalFormatting>
  <pageMargins left="0.4" right="0.4" top="0.5" bottom="0.5" header="0.511811023622047" footer="0.5"/>
  <pageSetup paperSize="9" fitToHeight="0" orientation="portrait" horizontalDpi="300" verticalDpi="300"/>
  <headerFooter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8A9CF"/>
    <pageSetUpPr fitToPage="1"/>
  </sheetPr>
  <dimension ref="A1:S405"/>
  <sheetViews>
    <sheetView showGridLines="0" tabSelected="1" zoomScale="90" zoomScaleNormal="90" workbookViewId="0">
      <pane xSplit="3" ySplit="5" topLeftCell="D309" activePane="bottomRight" state="frozen"/>
      <selection pane="topRight" activeCell="D1" sqref="D1"/>
      <selection pane="bottomLeft" activeCell="A6" sqref="A6"/>
      <selection pane="bottomRight" activeCell="C365" sqref="C365"/>
    </sheetView>
  </sheetViews>
  <sheetFormatPr defaultColWidth="8.6640625" defaultRowHeight="14.4" outlineLevelCol="1" x14ac:dyDescent="0.3"/>
  <cols>
    <col min="1" max="1" width="5" customWidth="1"/>
    <col min="2" max="2" width="12" customWidth="1"/>
    <col min="3" max="3" width="34" customWidth="1"/>
    <col min="4" max="4" width="38" customWidth="1"/>
    <col min="5" max="5" width="34" customWidth="1"/>
    <col min="6" max="6" width="11.44140625" customWidth="1"/>
    <col min="7" max="7" width="2" hidden="1" customWidth="1"/>
    <col min="8" max="8" width="8.44140625" customWidth="1" outlineLevel="1"/>
    <col min="9" max="9" width="26" customWidth="1" outlineLevel="1"/>
    <col min="10" max="10" width="8" customWidth="1" outlineLevel="1"/>
    <col min="11" max="13" width="13" customWidth="1"/>
    <col min="14" max="14" width="10" customWidth="1"/>
    <col min="15" max="16" width="13" customWidth="1"/>
    <col min="17" max="17" width="11" customWidth="1"/>
    <col min="18" max="18" width="15" customWidth="1"/>
    <col min="19" max="19" width="13" customWidth="1"/>
  </cols>
  <sheetData>
    <row r="1" spans="1:19" ht="17.399999999999999" x14ac:dyDescent="0.3">
      <c r="A1" s="1" t="s">
        <v>804</v>
      </c>
      <c r="P1" s="24" t="s">
        <v>104</v>
      </c>
      <c r="Q1" s="25">
        <f ca="1">TODAY()</f>
        <v>46314</v>
      </c>
    </row>
    <row r="2" spans="1:19" x14ac:dyDescent="0.3">
      <c r="A2" s="2" t="s">
        <v>803</v>
      </c>
    </row>
    <row r="3" spans="1:19" x14ac:dyDescent="0.3">
      <c r="A3" s="26"/>
    </row>
    <row r="4" spans="1:19" ht="30" customHeight="1" x14ac:dyDescent="0.3">
      <c r="A4" s="43" t="s">
        <v>105</v>
      </c>
      <c r="B4" s="43"/>
      <c r="C4" s="43"/>
      <c r="D4" s="43"/>
      <c r="E4" s="43"/>
      <c r="F4" s="43"/>
      <c r="G4" s="43"/>
      <c r="H4" s="44" t="s">
        <v>106</v>
      </c>
      <c r="I4" s="44"/>
      <c r="J4" s="44"/>
      <c r="K4" s="45" t="s">
        <v>107</v>
      </c>
      <c r="L4" s="45"/>
      <c r="M4" s="45"/>
      <c r="N4" s="46" t="s">
        <v>81</v>
      </c>
      <c r="O4" s="46"/>
      <c r="P4" s="46"/>
      <c r="Q4" s="47" t="s">
        <v>108</v>
      </c>
      <c r="R4" s="47"/>
      <c r="S4" s="47"/>
    </row>
    <row r="5" spans="1:19" ht="42" customHeight="1" x14ac:dyDescent="0.3">
      <c r="A5" s="27" t="s">
        <v>109</v>
      </c>
      <c r="B5" s="27" t="s">
        <v>87</v>
      </c>
      <c r="C5" s="27" t="s">
        <v>110</v>
      </c>
      <c r="D5" s="27" t="s">
        <v>111</v>
      </c>
      <c r="E5" s="27" t="s">
        <v>112</v>
      </c>
      <c r="F5" s="27" t="s">
        <v>113</v>
      </c>
      <c r="G5" s="27" t="s">
        <v>114</v>
      </c>
      <c r="H5" s="27" t="s">
        <v>115</v>
      </c>
      <c r="I5" s="27" t="s">
        <v>116</v>
      </c>
      <c r="J5" s="27" t="s">
        <v>117</v>
      </c>
      <c r="K5" s="28" t="s">
        <v>118</v>
      </c>
      <c r="L5" s="28" t="s">
        <v>119</v>
      </c>
      <c r="M5" s="27" t="s">
        <v>120</v>
      </c>
      <c r="N5" s="27" t="s">
        <v>121</v>
      </c>
      <c r="O5" s="28" t="s">
        <v>122</v>
      </c>
      <c r="P5" s="27" t="s">
        <v>123</v>
      </c>
      <c r="Q5" s="27" t="s">
        <v>124</v>
      </c>
      <c r="R5" s="27" t="s">
        <v>14</v>
      </c>
      <c r="S5" s="27" t="s">
        <v>125</v>
      </c>
    </row>
    <row r="6" spans="1:19" x14ac:dyDescent="0.3">
      <c r="A6" s="29">
        <f t="shared" ref="A6:A69" si="0">IF(C6="","",ROW()-5)</f>
        <v>1</v>
      </c>
      <c r="B6" s="30" t="s">
        <v>102</v>
      </c>
      <c r="C6" s="30" t="s">
        <v>126</v>
      </c>
      <c r="D6" s="30" t="s">
        <v>127</v>
      </c>
      <c r="E6" s="30" t="s">
        <v>128</v>
      </c>
      <c r="F6" s="31">
        <v>45874</v>
      </c>
      <c r="G6" s="32" t="str">
        <f t="shared" ref="G6:G69" si="1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29">
        <f>IF(C6="","",IF(AND(G6="мастер участка",ISNUMBER(SEARCH("РЭО",E6))),29,IFERROR(INDEX(Соответствие!$B$2:$B$100,MATCH(G6,Соответствие!$A$2:$A$100,0)),"?")))</f>
        <v>13</v>
      </c>
      <c r="I6" s="33" t="str">
        <f>IF(C6="","",IFERROR(INDEX(Перечень!$C$6:$C$51,MATCH(H6,Перечень!$A$6:$A$51,0)),""))</f>
        <v>п.4.4, п.5.1, п.5.2</v>
      </c>
      <c r="J6" s="29">
        <f>IF(C6="","",IFERROR(INDEX(Перечень!$D$6:$D$51,MATCH(H6,Перечень!$A$6:$A$51,0)),12))</f>
        <v>12</v>
      </c>
      <c r="K6" s="34"/>
      <c r="L6" s="34"/>
      <c r="M6" s="31" t="str">
        <f t="shared" ref="M6:M69" si="2">IF(AND(K6="",L6=""),"",EDATE(MAX(K6,L6),J6))</f>
        <v/>
      </c>
      <c r="N6" s="29" t="str">
        <f>IF(C6="","",IFERROR(INDEX(Перечень!$F$6:$F$51,MATCH(H6,Перечень!$A$6:$A$51,0)),""))</f>
        <v>-</v>
      </c>
      <c r="O6" s="34"/>
      <c r="P6" s="31" t="str">
        <f t="shared" ref="P6:P69" si="3">IF(O6="","",EDATE(O6,60))</f>
        <v/>
      </c>
      <c r="Q6" s="29" t="str">
        <f t="shared" ref="Q6:Q69" si="4">IF(AND(K6&lt;&gt;"",F6&lt;&gt;"",K6&gt;F6),"Да","")</f>
        <v/>
      </c>
      <c r="R6" s="29" t="str">
        <f t="shared" ref="R6:R69" ca="1" si="5">IF(C6="","",IF(M6="","Нет сведений",IF(M6&lt;TODAY(),"Просрочен",IF(M6-TODAY()&lt;=30,"Истекает","В срок"))))</f>
        <v>Нет сведений</v>
      </c>
      <c r="S6" s="29" t="str">
        <f t="shared" ref="S6:S69" si="6">IF(AND(N6="Да",O6=""),"Не пройдено","")</f>
        <v/>
      </c>
    </row>
    <row r="7" spans="1:19" x14ac:dyDescent="0.3">
      <c r="A7" s="29">
        <f t="shared" si="0"/>
        <v>2</v>
      </c>
      <c r="B7" s="30" t="s">
        <v>98</v>
      </c>
      <c r="C7" s="30" t="s">
        <v>129</v>
      </c>
      <c r="D7" s="30" t="s">
        <v>130</v>
      </c>
      <c r="E7" s="30" t="s">
        <v>128</v>
      </c>
      <c r="F7" s="31">
        <v>45870</v>
      </c>
      <c r="G7" s="32" t="str">
        <f t="shared" si="1"/>
        <v>инженер отк</v>
      </c>
      <c r="H7" s="29">
        <f>IF(C7="","",IF(AND(G7="мастер участка",ISNUMBER(SEARCH("РЭО",E7))),29,IFERROR(INDEX(Соответствие!$B$2:$B$100,MATCH(G7,Соответствие!$A$2:$A$100,0)),"?")))</f>
        <v>13</v>
      </c>
      <c r="I7" s="33" t="str">
        <f>IF(C7="","",IFERROR(INDEX(Перечень!$C$6:$C$51,MATCH(H7,Перечень!$A$6:$A$51,0)),""))</f>
        <v>п.4.4, п.5.1, п.5.2</v>
      </c>
      <c r="J7" s="29">
        <f>IF(C7="","",IFERROR(INDEX(Перечень!$D$6:$D$51,MATCH(H7,Перечень!$A$6:$A$51,0)),12))</f>
        <v>12</v>
      </c>
      <c r="K7" s="34"/>
      <c r="L7" s="34"/>
      <c r="M7" s="31" t="str">
        <f t="shared" si="2"/>
        <v/>
      </c>
      <c r="N7" s="29" t="str">
        <f>IF(C7="","",IFERROR(INDEX(Перечень!$F$6:$F$51,MATCH(H7,Перечень!$A$6:$A$51,0)),""))</f>
        <v>-</v>
      </c>
      <c r="O7" s="34"/>
      <c r="P7" s="31" t="str">
        <f t="shared" si="3"/>
        <v/>
      </c>
      <c r="Q7" s="29" t="str">
        <f t="shared" si="4"/>
        <v/>
      </c>
      <c r="R7" s="29" t="str">
        <f t="shared" ca="1" si="5"/>
        <v>Нет сведений</v>
      </c>
      <c r="S7" s="29" t="str">
        <f t="shared" si="6"/>
        <v/>
      </c>
    </row>
    <row r="8" spans="1:19" x14ac:dyDescent="0.3">
      <c r="A8" s="29">
        <f t="shared" si="0"/>
        <v>3</v>
      </c>
      <c r="B8" s="30" t="s">
        <v>99</v>
      </c>
      <c r="C8" s="30" t="s">
        <v>131</v>
      </c>
      <c r="D8" s="30" t="s">
        <v>130</v>
      </c>
      <c r="E8" s="30" t="s">
        <v>128</v>
      </c>
      <c r="F8" s="31">
        <v>38664</v>
      </c>
      <c r="G8" s="32" t="str">
        <f t="shared" si="1"/>
        <v>инженер отк</v>
      </c>
      <c r="H8" s="29">
        <f>IF(C8="","",IF(AND(G8="мастер участка",ISNUMBER(SEARCH("РЭО",E8))),29,IFERROR(INDEX(Соответствие!$B$2:$B$100,MATCH(G8,Соответствие!$A$2:$A$100,0)),"?")))</f>
        <v>13</v>
      </c>
      <c r="I8" s="33" t="str">
        <f>IF(C8="","",IFERROR(INDEX(Перечень!$C$6:$C$51,MATCH(H8,Перечень!$A$6:$A$51,0)),""))</f>
        <v>п.4.4, п.5.1, п.5.2</v>
      </c>
      <c r="J8" s="29">
        <f>IF(C8="","",IFERROR(INDEX(Перечень!$D$6:$D$51,MATCH(H8,Перечень!$A$6:$A$51,0)),12))</f>
        <v>12</v>
      </c>
      <c r="K8" s="34"/>
      <c r="L8" s="34"/>
      <c r="M8" s="31" t="str">
        <f t="shared" si="2"/>
        <v/>
      </c>
      <c r="N8" s="29" t="str">
        <f>IF(C8="","",IFERROR(INDEX(Перечень!$F$6:$F$51,MATCH(H8,Перечень!$A$6:$A$51,0)),""))</f>
        <v>-</v>
      </c>
      <c r="O8" s="34"/>
      <c r="P8" s="31" t="str">
        <f t="shared" si="3"/>
        <v/>
      </c>
      <c r="Q8" s="29" t="str">
        <f t="shared" si="4"/>
        <v/>
      </c>
      <c r="R8" s="29" t="str">
        <f t="shared" ca="1" si="5"/>
        <v>Нет сведений</v>
      </c>
      <c r="S8" s="29" t="str">
        <f t="shared" si="6"/>
        <v/>
      </c>
    </row>
    <row r="9" spans="1:19" x14ac:dyDescent="0.3">
      <c r="A9" s="29">
        <f t="shared" si="0"/>
        <v>4</v>
      </c>
      <c r="B9" s="30" t="s">
        <v>100</v>
      </c>
      <c r="C9" s="30" t="s">
        <v>132</v>
      </c>
      <c r="D9" s="30" t="s">
        <v>133</v>
      </c>
      <c r="E9" s="30" t="s">
        <v>128</v>
      </c>
      <c r="F9" s="31">
        <v>44970</v>
      </c>
      <c r="G9" s="32" t="str">
        <f t="shared" si="1"/>
        <v>инженер отк</v>
      </c>
      <c r="H9" s="29">
        <f>IF(C9="","",IF(AND(G9="мастер участка",ISNUMBER(SEARCH("РЭО",E9))),29,IFERROR(INDEX(Соответствие!$B$2:$B$100,MATCH(G9,Соответствие!$A$2:$A$100,0)),"?")))</f>
        <v>13</v>
      </c>
      <c r="I9" s="33" t="str">
        <f>IF(C9="","",IFERROR(INDEX(Перечень!$C$6:$C$51,MATCH(H9,Перечень!$A$6:$A$51,0)),""))</f>
        <v>п.4.4, п.5.1, п.5.2</v>
      </c>
      <c r="J9" s="29">
        <f>IF(C9="","",IFERROR(INDEX(Перечень!$D$6:$D$51,MATCH(H9,Перечень!$A$6:$A$51,0)),12))</f>
        <v>12</v>
      </c>
      <c r="K9" s="34"/>
      <c r="L9" s="34"/>
      <c r="M9" s="31" t="str">
        <f t="shared" si="2"/>
        <v/>
      </c>
      <c r="N9" s="29" t="str">
        <f>IF(C9="","",IFERROR(INDEX(Перечень!$F$6:$F$51,MATCH(H9,Перечень!$A$6:$A$51,0)),""))</f>
        <v>-</v>
      </c>
      <c r="O9" s="34"/>
      <c r="P9" s="31" t="str">
        <f t="shared" si="3"/>
        <v/>
      </c>
      <c r="Q9" s="29" t="str">
        <f t="shared" si="4"/>
        <v/>
      </c>
      <c r="R9" s="29" t="str">
        <f t="shared" ca="1" si="5"/>
        <v>Нет сведений</v>
      </c>
      <c r="S9" s="29" t="str">
        <f t="shared" si="6"/>
        <v/>
      </c>
    </row>
    <row r="10" spans="1:19" x14ac:dyDescent="0.3">
      <c r="A10" s="29">
        <f t="shared" si="0"/>
        <v>5</v>
      </c>
      <c r="B10" s="30" t="s">
        <v>99</v>
      </c>
      <c r="C10" s="30" t="s">
        <v>134</v>
      </c>
      <c r="D10" s="30" t="s">
        <v>135</v>
      </c>
      <c r="E10" s="30" t="s">
        <v>128</v>
      </c>
      <c r="F10" s="31">
        <v>45720</v>
      </c>
      <c r="G10" s="32" t="str">
        <f t="shared" si="1"/>
        <v>контролер отк</v>
      </c>
      <c r="H10" s="29">
        <f>IF(C10="","",IF(AND(G10="мастер участка",ISNUMBER(SEARCH("РЭО",E10))),29,IFERROR(INDEX(Соответствие!$B$2:$B$100,MATCH(G10,Соответствие!$A$2:$A$100,0)),"?")))</f>
        <v>13</v>
      </c>
      <c r="I10" s="33" t="str">
        <f>IF(C10="","",IFERROR(INDEX(Перечень!$C$6:$C$51,MATCH(H10,Перечень!$A$6:$A$51,0)),""))</f>
        <v>п.4.4, п.5.1, п.5.2</v>
      </c>
      <c r="J10" s="29">
        <f>IF(C10="","",IFERROR(INDEX(Перечень!$D$6:$D$51,MATCH(H10,Перечень!$A$6:$A$51,0)),12))</f>
        <v>12</v>
      </c>
      <c r="K10" s="34"/>
      <c r="L10" s="34"/>
      <c r="M10" s="31" t="str">
        <f t="shared" si="2"/>
        <v/>
      </c>
      <c r="N10" s="29" t="str">
        <f>IF(C10="","",IFERROR(INDEX(Перечень!$F$6:$F$51,MATCH(H10,Перечень!$A$6:$A$51,0)),""))</f>
        <v>-</v>
      </c>
      <c r="O10" s="34"/>
      <c r="P10" s="31" t="str">
        <f t="shared" si="3"/>
        <v/>
      </c>
      <c r="Q10" s="29" t="str">
        <f t="shared" si="4"/>
        <v/>
      </c>
      <c r="R10" s="29" t="str">
        <f t="shared" ca="1" si="5"/>
        <v>Нет сведений</v>
      </c>
      <c r="S10" s="29" t="str">
        <f t="shared" si="6"/>
        <v/>
      </c>
    </row>
    <row r="11" spans="1:19" x14ac:dyDescent="0.3">
      <c r="A11" s="29">
        <f t="shared" si="0"/>
        <v>6</v>
      </c>
      <c r="B11" s="30" t="s">
        <v>99</v>
      </c>
      <c r="C11" s="30" t="s">
        <v>136</v>
      </c>
      <c r="D11" s="30" t="s">
        <v>135</v>
      </c>
      <c r="E11" s="30" t="s">
        <v>128</v>
      </c>
      <c r="F11" s="31">
        <v>45908</v>
      </c>
      <c r="G11" s="32" t="str">
        <f t="shared" si="1"/>
        <v>контролер отк</v>
      </c>
      <c r="H11" s="29">
        <f>IF(C11="","",IF(AND(G11="мастер участка",ISNUMBER(SEARCH("РЭО",E11))),29,IFERROR(INDEX(Соответствие!$B$2:$B$100,MATCH(G11,Соответствие!$A$2:$A$100,0)),"?")))</f>
        <v>13</v>
      </c>
      <c r="I11" s="33" t="str">
        <f>IF(C11="","",IFERROR(INDEX(Перечень!$C$6:$C$51,MATCH(H11,Перечень!$A$6:$A$51,0)),""))</f>
        <v>п.4.4, п.5.1, п.5.2</v>
      </c>
      <c r="J11" s="29">
        <f>IF(C11="","",IFERROR(INDEX(Перечень!$D$6:$D$51,MATCH(H11,Перечень!$A$6:$A$51,0)),12))</f>
        <v>12</v>
      </c>
      <c r="K11" s="34"/>
      <c r="L11" s="34"/>
      <c r="M11" s="31" t="str">
        <f t="shared" si="2"/>
        <v/>
      </c>
      <c r="N11" s="29" t="str">
        <f>IF(C11="","",IFERROR(INDEX(Перечень!$F$6:$F$51,MATCH(H11,Перечень!$A$6:$A$51,0)),""))</f>
        <v>-</v>
      </c>
      <c r="O11" s="34"/>
      <c r="P11" s="31" t="str">
        <f t="shared" si="3"/>
        <v/>
      </c>
      <c r="Q11" s="29" t="str">
        <f t="shared" si="4"/>
        <v/>
      </c>
      <c r="R11" s="29" t="str">
        <f t="shared" ca="1" si="5"/>
        <v>Нет сведений</v>
      </c>
      <c r="S11" s="29" t="str">
        <f t="shared" si="6"/>
        <v/>
      </c>
    </row>
    <row r="12" spans="1:19" x14ac:dyDescent="0.3">
      <c r="A12" s="29">
        <f t="shared" si="0"/>
        <v>7</v>
      </c>
      <c r="B12" s="30" t="s">
        <v>100</v>
      </c>
      <c r="C12" s="30" t="s">
        <v>137</v>
      </c>
      <c r="D12" s="30" t="s">
        <v>138</v>
      </c>
      <c r="E12" s="30" t="s">
        <v>139</v>
      </c>
      <c r="F12" s="31">
        <v>41365</v>
      </c>
      <c r="G12" s="32" t="str">
        <f t="shared" si="1"/>
        <v>водитель автомобиля (персональный)</v>
      </c>
      <c r="H12" s="29">
        <f>IF(C12="","",IF(AND(G12="мастер участка",ISNUMBER(SEARCH("РЭО",E12))),29,IFERROR(INDEX(Соответствие!$B$2:$B$100,MATCH(G12,Соответствие!$A$2:$A$100,0)),"?")))</f>
        <v>39</v>
      </c>
      <c r="I12" s="33" t="str">
        <f>IF(C12="","",IFERROR(INDEX(Перечень!$C$6:$C$51,MATCH(H12,Перечень!$A$6:$A$51,0)),""))</f>
        <v>п.4.3.1, п.4.3.2, п.4.4, п.5.1, п.5.2, п.18.1</v>
      </c>
      <c r="J12" s="29">
        <f>IF(C12="","",IFERROR(INDEX(Перечень!$D$6:$D$51,MATCH(H12,Перечень!$A$6:$A$51,0)),12))</f>
        <v>12</v>
      </c>
      <c r="K12" s="34"/>
      <c r="L12" s="34"/>
      <c r="M12" s="31" t="str">
        <f t="shared" si="2"/>
        <v/>
      </c>
      <c r="N12" s="29" t="str">
        <f>IF(C12="","",IFERROR(INDEX(Перечень!$F$6:$F$51,MATCH(H12,Перечень!$A$6:$A$51,0)),""))</f>
        <v>Да</v>
      </c>
      <c r="O12" s="34"/>
      <c r="P12" s="31" t="str">
        <f t="shared" si="3"/>
        <v/>
      </c>
      <c r="Q12" s="29" t="str">
        <f t="shared" si="4"/>
        <v/>
      </c>
      <c r="R12" s="29" t="str">
        <f t="shared" ca="1" si="5"/>
        <v>Нет сведений</v>
      </c>
      <c r="S12" s="29" t="str">
        <f t="shared" si="6"/>
        <v>Не пройдено</v>
      </c>
    </row>
    <row r="13" spans="1:19" x14ac:dyDescent="0.3">
      <c r="A13" s="29">
        <f t="shared" si="0"/>
        <v>8</v>
      </c>
      <c r="B13" s="30" t="s">
        <v>100</v>
      </c>
      <c r="C13" s="30" t="s">
        <v>140</v>
      </c>
      <c r="D13" s="30" t="s">
        <v>141</v>
      </c>
      <c r="E13" s="30" t="s">
        <v>142</v>
      </c>
      <c r="F13" s="31">
        <v>43283</v>
      </c>
      <c r="G13" s="32" t="str">
        <f t="shared" si="1"/>
        <v>старший технический работник</v>
      </c>
      <c r="H13" s="29">
        <f>IF(C13="","",IF(AND(G13="мастер участка",ISNUMBER(SEARCH("РЭО",E13))),29,IFERROR(INDEX(Соответствие!$B$2:$B$100,MATCH(G13,Соответствие!$A$2:$A$100,0)),"?")))</f>
        <v>10</v>
      </c>
      <c r="I13" s="33" t="str">
        <f>IF(C13="","",IFERROR(INDEX(Перечень!$C$6:$C$51,MATCH(H13,Перечень!$A$6:$A$51,0)),""))</f>
        <v>п.1.48, п.4.3.1, п.4.4, п.5.1</v>
      </c>
      <c r="J13" s="29">
        <f>IF(C13="","",IFERROR(INDEX(Перечень!$D$6:$D$51,MATCH(H13,Перечень!$A$6:$A$51,0)),12))</f>
        <v>12</v>
      </c>
      <c r="K13" s="34"/>
      <c r="L13" s="34"/>
      <c r="M13" s="31" t="str">
        <f t="shared" si="2"/>
        <v/>
      </c>
      <c r="N13" s="29" t="str">
        <f>IF(C13="","",IFERROR(INDEX(Перечень!$F$6:$F$51,MATCH(H13,Перечень!$A$6:$A$51,0)),""))</f>
        <v>-</v>
      </c>
      <c r="O13" s="34"/>
      <c r="P13" s="31" t="str">
        <f t="shared" si="3"/>
        <v/>
      </c>
      <c r="Q13" s="29" t="str">
        <f t="shared" si="4"/>
        <v/>
      </c>
      <c r="R13" s="29" t="str">
        <f t="shared" ca="1" si="5"/>
        <v>Нет сведений</v>
      </c>
      <c r="S13" s="29" t="str">
        <f t="shared" si="6"/>
        <v/>
      </c>
    </row>
    <row r="14" spans="1:19" x14ac:dyDescent="0.3">
      <c r="A14" s="29">
        <f t="shared" si="0"/>
        <v>9</v>
      </c>
      <c r="B14" s="30" t="s">
        <v>100</v>
      </c>
      <c r="C14" s="30" t="s">
        <v>143</v>
      </c>
      <c r="D14" s="30" t="s">
        <v>141</v>
      </c>
      <c r="E14" s="30" t="s">
        <v>142</v>
      </c>
      <c r="F14" s="31">
        <v>46065</v>
      </c>
      <c r="G14" s="32" t="str">
        <f t="shared" si="1"/>
        <v>старший технический работник</v>
      </c>
      <c r="H14" s="29">
        <f>IF(C14="","",IF(AND(G14="мастер участка",ISNUMBER(SEARCH("РЭО",E14))),29,IFERROR(INDEX(Соответствие!$B$2:$B$100,MATCH(G14,Соответствие!$A$2:$A$100,0)),"?")))</f>
        <v>10</v>
      </c>
      <c r="I14" s="33" t="str">
        <f>IF(C14="","",IFERROR(INDEX(Перечень!$C$6:$C$51,MATCH(H14,Перечень!$A$6:$A$51,0)),""))</f>
        <v>п.1.48, п.4.3.1, п.4.4, п.5.1</v>
      </c>
      <c r="J14" s="29">
        <f>IF(C14="","",IFERROR(INDEX(Перечень!$D$6:$D$51,MATCH(H14,Перечень!$A$6:$A$51,0)),12))</f>
        <v>12</v>
      </c>
      <c r="K14" s="34"/>
      <c r="L14" s="34"/>
      <c r="M14" s="31" t="str">
        <f t="shared" si="2"/>
        <v/>
      </c>
      <c r="N14" s="29" t="str">
        <f>IF(C14="","",IFERROR(INDEX(Перечень!$F$6:$F$51,MATCH(H14,Перечень!$A$6:$A$51,0)),""))</f>
        <v>-</v>
      </c>
      <c r="O14" s="34"/>
      <c r="P14" s="31" t="str">
        <f t="shared" si="3"/>
        <v/>
      </c>
      <c r="Q14" s="29" t="str">
        <f t="shared" si="4"/>
        <v/>
      </c>
      <c r="R14" s="29" t="str">
        <f t="shared" ca="1" si="5"/>
        <v>Нет сведений</v>
      </c>
      <c r="S14" s="29" t="str">
        <f t="shared" si="6"/>
        <v/>
      </c>
    </row>
    <row r="15" spans="1:19" x14ac:dyDescent="0.3">
      <c r="A15" s="29">
        <f t="shared" si="0"/>
        <v>10</v>
      </c>
      <c r="B15" s="30" t="s">
        <v>100</v>
      </c>
      <c r="C15" s="30" t="s">
        <v>144</v>
      </c>
      <c r="D15" s="30" t="s">
        <v>141</v>
      </c>
      <c r="E15" s="30" t="s">
        <v>142</v>
      </c>
      <c r="F15" s="31">
        <v>43845</v>
      </c>
      <c r="G15" s="32" t="str">
        <f t="shared" si="1"/>
        <v>старший технический работник</v>
      </c>
      <c r="H15" s="29">
        <f>IF(C15="","",IF(AND(G15="мастер участка",ISNUMBER(SEARCH("РЭО",E15))),29,IFERROR(INDEX(Соответствие!$B$2:$B$100,MATCH(G15,Соответствие!$A$2:$A$100,0)),"?")))</f>
        <v>10</v>
      </c>
      <c r="I15" s="33" t="str">
        <f>IF(C15="","",IFERROR(INDEX(Перечень!$C$6:$C$51,MATCH(H15,Перечень!$A$6:$A$51,0)),""))</f>
        <v>п.1.48, п.4.3.1, п.4.4, п.5.1</v>
      </c>
      <c r="J15" s="29">
        <f>IF(C15="","",IFERROR(INDEX(Перечень!$D$6:$D$51,MATCH(H15,Перечень!$A$6:$A$51,0)),12))</f>
        <v>12</v>
      </c>
      <c r="K15" s="34"/>
      <c r="L15" s="34"/>
      <c r="M15" s="31" t="str">
        <f t="shared" si="2"/>
        <v/>
      </c>
      <c r="N15" s="29" t="str">
        <f>IF(C15="","",IFERROR(INDEX(Перечень!$F$6:$F$51,MATCH(H15,Перечень!$A$6:$A$51,0)),""))</f>
        <v>-</v>
      </c>
      <c r="O15" s="34"/>
      <c r="P15" s="31" t="str">
        <f t="shared" si="3"/>
        <v/>
      </c>
      <c r="Q15" s="29" t="str">
        <f t="shared" si="4"/>
        <v/>
      </c>
      <c r="R15" s="29" t="str">
        <f t="shared" ca="1" si="5"/>
        <v>Нет сведений</v>
      </c>
      <c r="S15" s="29" t="str">
        <f t="shared" si="6"/>
        <v/>
      </c>
    </row>
    <row r="16" spans="1:19" x14ac:dyDescent="0.3">
      <c r="A16" s="29">
        <f t="shared" si="0"/>
        <v>11</v>
      </c>
      <c r="B16" s="30" t="s">
        <v>95</v>
      </c>
      <c r="C16" s="30" t="s">
        <v>145</v>
      </c>
      <c r="D16" s="30" t="s">
        <v>146</v>
      </c>
      <c r="E16" s="30" t="s">
        <v>147</v>
      </c>
      <c r="F16" s="31">
        <v>45789</v>
      </c>
      <c r="G16" s="32" t="str">
        <f t="shared" si="1"/>
        <v>реставратор</v>
      </c>
      <c r="H16" s="29">
        <f>IF(C16="","",IF(AND(G16="мастер участка",ISNUMBER(SEARCH("РЭО",E16))),29,IFERROR(INDEX(Соответствие!$B$2:$B$100,MATCH(G16,Соответствие!$A$2:$A$100,0)),"?")))</f>
        <v>9</v>
      </c>
      <c r="I16" s="33" t="str">
        <f>IF(C16="","",IFERROR(INDEX(Перечень!$C$6:$C$51,MATCH(H16,Перечень!$A$6:$A$51,0)),""))</f>
        <v>п.4.3.1, п.4.4, п.5.1, п.5.2, п.15</v>
      </c>
      <c r="J16" s="29">
        <f>IF(C16="","",IFERROR(INDEX(Перечень!$D$6:$D$51,MATCH(H16,Перечень!$A$6:$A$51,0)),12))</f>
        <v>12</v>
      </c>
      <c r="K16" s="34"/>
      <c r="L16" s="34"/>
      <c r="M16" s="31" t="str">
        <f t="shared" si="2"/>
        <v/>
      </c>
      <c r="N16" s="29" t="str">
        <f>IF(C16="","",IFERROR(INDEX(Перечень!$F$6:$F$51,MATCH(H16,Перечень!$A$6:$A$51,0)),""))</f>
        <v>-</v>
      </c>
      <c r="O16" s="34"/>
      <c r="P16" s="31" t="str">
        <f t="shared" si="3"/>
        <v/>
      </c>
      <c r="Q16" s="29" t="str">
        <f t="shared" si="4"/>
        <v/>
      </c>
      <c r="R16" s="29" t="str">
        <f t="shared" ca="1" si="5"/>
        <v>Нет сведений</v>
      </c>
      <c r="S16" s="29" t="str">
        <f t="shared" si="6"/>
        <v/>
      </c>
    </row>
    <row r="17" spans="1:19" x14ac:dyDescent="0.3">
      <c r="A17" s="29">
        <f t="shared" si="0"/>
        <v>12</v>
      </c>
      <c r="B17" s="30" t="s">
        <v>95</v>
      </c>
      <c r="C17" s="30" t="s">
        <v>148</v>
      </c>
      <c r="D17" s="30" t="s">
        <v>149</v>
      </c>
      <c r="E17" s="30" t="s">
        <v>147</v>
      </c>
      <c r="F17" s="31">
        <v>45429</v>
      </c>
      <c r="G17" s="32" t="str">
        <f t="shared" si="1"/>
        <v>электромонтажник</v>
      </c>
      <c r="H17" s="29">
        <f>IF(C17="","",IF(AND(G17="мастер участка",ISNUMBER(SEARCH("РЭО",E17))),29,IFERROR(INDEX(Соответствие!$B$2:$B$100,MATCH(G17,Соответствие!$A$2:$A$100,0)),"?")))</f>
        <v>20</v>
      </c>
      <c r="I17" s="33" t="str">
        <f>IF(C17="","",IFERROR(INDEX(Перечень!$C$6:$C$51,MATCH(H17,Перечень!$A$6:$A$51,0)),""))</f>
        <v>п.4.3.1, п.4.3.2, п.4.4, п.4.9, п.5.1, п.5.2, п.6.2, п.9</v>
      </c>
      <c r="J17" s="29">
        <f>IF(C17="","",IFERROR(INDEX(Перечень!$D$6:$D$51,MATCH(H17,Перечень!$A$6:$A$51,0)),12))</f>
        <v>12</v>
      </c>
      <c r="K17" s="34"/>
      <c r="L17" s="34"/>
      <c r="M17" s="31" t="str">
        <f t="shared" si="2"/>
        <v/>
      </c>
      <c r="N17" s="29" t="str">
        <f>IF(C17="","",IFERROR(INDEX(Перечень!$F$6:$F$51,MATCH(H17,Перечень!$A$6:$A$51,0)),""))</f>
        <v>Да</v>
      </c>
      <c r="O17" s="34"/>
      <c r="P17" s="31" t="str">
        <f t="shared" si="3"/>
        <v/>
      </c>
      <c r="Q17" s="29" t="str">
        <f t="shared" si="4"/>
        <v/>
      </c>
      <c r="R17" s="29" t="str">
        <f t="shared" ca="1" si="5"/>
        <v>Нет сведений</v>
      </c>
      <c r="S17" s="29" t="str">
        <f t="shared" si="6"/>
        <v>Не пройдено</v>
      </c>
    </row>
    <row r="18" spans="1:19" x14ac:dyDescent="0.3">
      <c r="A18" s="29">
        <f t="shared" si="0"/>
        <v>13</v>
      </c>
      <c r="B18" s="30" t="s">
        <v>95</v>
      </c>
      <c r="C18" s="30" t="s">
        <v>150</v>
      </c>
      <c r="D18" s="30" t="s">
        <v>151</v>
      </c>
      <c r="E18" s="30" t="s">
        <v>147</v>
      </c>
      <c r="F18" s="31">
        <v>44327</v>
      </c>
      <c r="G18" s="32" t="str">
        <f t="shared" si="1"/>
        <v>электромонтажник</v>
      </c>
      <c r="H18" s="29">
        <f>IF(C18="","",IF(AND(G18="мастер участка",ISNUMBER(SEARCH("РЭО",E18))),29,IFERROR(INDEX(Соответствие!$B$2:$B$100,MATCH(G18,Соответствие!$A$2:$A$100,0)),"?")))</f>
        <v>20</v>
      </c>
      <c r="I18" s="33" t="str">
        <f>IF(C18="","",IFERROR(INDEX(Перечень!$C$6:$C$51,MATCH(H18,Перечень!$A$6:$A$51,0)),""))</f>
        <v>п.4.3.1, п.4.3.2, п.4.4, п.4.9, п.5.1, п.5.2, п.6.2, п.9</v>
      </c>
      <c r="J18" s="29">
        <f>IF(C18="","",IFERROR(INDEX(Перечень!$D$6:$D$51,MATCH(H18,Перечень!$A$6:$A$51,0)),12))</f>
        <v>12</v>
      </c>
      <c r="K18" s="34"/>
      <c r="L18" s="34"/>
      <c r="M18" s="31" t="str">
        <f t="shared" si="2"/>
        <v/>
      </c>
      <c r="N18" s="29" t="str">
        <f>IF(C18="","",IFERROR(INDEX(Перечень!$F$6:$F$51,MATCH(H18,Перечень!$A$6:$A$51,0)),""))</f>
        <v>Да</v>
      </c>
      <c r="O18" s="34"/>
      <c r="P18" s="31" t="str">
        <f t="shared" si="3"/>
        <v/>
      </c>
      <c r="Q18" s="29" t="str">
        <f t="shared" si="4"/>
        <v/>
      </c>
      <c r="R18" s="29" t="str">
        <f t="shared" ca="1" si="5"/>
        <v>Нет сведений</v>
      </c>
      <c r="S18" s="29" t="str">
        <f t="shared" si="6"/>
        <v>Не пройдено</v>
      </c>
    </row>
    <row r="19" spans="1:19" x14ac:dyDescent="0.3">
      <c r="A19" s="29">
        <f t="shared" si="0"/>
        <v>14</v>
      </c>
      <c r="B19" s="30" t="s">
        <v>95</v>
      </c>
      <c r="C19" s="30" t="s">
        <v>152</v>
      </c>
      <c r="D19" s="30" t="s">
        <v>153</v>
      </c>
      <c r="E19" s="30" t="s">
        <v>147</v>
      </c>
      <c r="F19" s="31">
        <v>40087</v>
      </c>
      <c r="G19" s="32" t="str">
        <f t="shared" si="1"/>
        <v>слесарь-сборщик</v>
      </c>
      <c r="H19" s="29">
        <f>IF(C19="","",IF(AND(G19="мастер участка",ISNUMBER(SEARCH("РЭО",E19))),29,IFERROR(INDEX(Соответствие!$B$2:$B$100,MATCH(G19,Соответствие!$A$2:$A$100,0)),"?")))</f>
        <v>19</v>
      </c>
      <c r="I19" s="33" t="str">
        <f>IF(C19="","",IFERROR(INDEX(Перечень!$C$6:$C$51,MATCH(H19,Перечень!$A$6:$A$51,0)),""))</f>
        <v>п.4.3.1, п.4.3.2, п.4.4, п.5.1, п.6.2, п.15</v>
      </c>
      <c r="J19" s="29">
        <f>IF(C19="","",IFERROR(INDEX(Перечень!$D$6:$D$51,MATCH(H19,Перечень!$A$6:$A$51,0)),12))</f>
        <v>12</v>
      </c>
      <c r="K19" s="34"/>
      <c r="L19" s="34"/>
      <c r="M19" s="31" t="str">
        <f t="shared" si="2"/>
        <v/>
      </c>
      <c r="N19" s="29" t="str">
        <f>IF(C19="","",IFERROR(INDEX(Перечень!$F$6:$F$51,MATCH(H19,Перечень!$A$6:$A$51,0)),""))</f>
        <v>-</v>
      </c>
      <c r="O19" s="34"/>
      <c r="P19" s="31" t="str">
        <f t="shared" si="3"/>
        <v/>
      </c>
      <c r="Q19" s="29" t="str">
        <f t="shared" si="4"/>
        <v/>
      </c>
      <c r="R19" s="29" t="str">
        <f t="shared" ca="1" si="5"/>
        <v>Нет сведений</v>
      </c>
      <c r="S19" s="29" t="str">
        <f t="shared" si="6"/>
        <v/>
      </c>
    </row>
    <row r="20" spans="1:19" x14ac:dyDescent="0.3">
      <c r="A20" s="29">
        <f t="shared" si="0"/>
        <v>15</v>
      </c>
      <c r="B20" s="30" t="s">
        <v>95</v>
      </c>
      <c r="C20" s="30" t="s">
        <v>154</v>
      </c>
      <c r="D20" s="30" t="s">
        <v>155</v>
      </c>
      <c r="E20" s="30" t="s">
        <v>147</v>
      </c>
      <c r="F20" s="31">
        <v>40210</v>
      </c>
      <c r="G20" s="32" t="str">
        <f t="shared" si="1"/>
        <v>ведущий специалист по реставрации</v>
      </c>
      <c r="H20" s="29">
        <f>IF(C20="","",IF(AND(G20="мастер участка",ISNUMBER(SEARCH("РЭО",E20))),29,IFERROR(INDEX(Соответствие!$B$2:$B$100,MATCH(G20,Соответствие!$A$2:$A$100,0)),"?")))</f>
        <v>9</v>
      </c>
      <c r="I20" s="33" t="str">
        <f>IF(C20="","",IFERROR(INDEX(Перечень!$C$6:$C$51,MATCH(H20,Перечень!$A$6:$A$51,0)),""))</f>
        <v>п.4.3.1, п.4.4, п.5.1, п.5.2, п.15</v>
      </c>
      <c r="J20" s="29">
        <f>IF(C20="","",IFERROR(INDEX(Перечень!$D$6:$D$51,MATCH(H20,Перечень!$A$6:$A$51,0)),12))</f>
        <v>12</v>
      </c>
      <c r="K20" s="34"/>
      <c r="L20" s="34"/>
      <c r="M20" s="31" t="str">
        <f t="shared" si="2"/>
        <v/>
      </c>
      <c r="N20" s="29" t="str">
        <f>IF(C20="","",IFERROR(INDEX(Перечень!$F$6:$F$51,MATCH(H20,Перечень!$A$6:$A$51,0)),""))</f>
        <v>-</v>
      </c>
      <c r="O20" s="34"/>
      <c r="P20" s="31" t="str">
        <f t="shared" si="3"/>
        <v/>
      </c>
      <c r="Q20" s="29" t="str">
        <f t="shared" si="4"/>
        <v/>
      </c>
      <c r="R20" s="29" t="str">
        <f t="shared" ca="1" si="5"/>
        <v>Нет сведений</v>
      </c>
      <c r="S20" s="29" t="str">
        <f t="shared" si="6"/>
        <v/>
      </c>
    </row>
    <row r="21" spans="1:19" x14ac:dyDescent="0.3">
      <c r="A21" s="29">
        <f t="shared" si="0"/>
        <v>16</v>
      </c>
      <c r="B21" s="30" t="s">
        <v>95</v>
      </c>
      <c r="C21" s="30" t="s">
        <v>156</v>
      </c>
      <c r="D21" s="30" t="s">
        <v>157</v>
      </c>
      <c r="E21" s="30" t="s">
        <v>147</v>
      </c>
      <c r="F21" s="31">
        <v>42438</v>
      </c>
      <c r="G21" s="32" t="str">
        <f t="shared" si="1"/>
        <v>слесарь-сборщик</v>
      </c>
      <c r="H21" s="29">
        <f>IF(C21="","",IF(AND(G21="мастер участка",ISNUMBER(SEARCH("РЭО",E21))),29,IFERROR(INDEX(Соответствие!$B$2:$B$100,MATCH(G21,Соответствие!$A$2:$A$100,0)),"?")))</f>
        <v>19</v>
      </c>
      <c r="I21" s="33" t="str">
        <f>IF(C21="","",IFERROR(INDEX(Перечень!$C$6:$C$51,MATCH(H21,Перечень!$A$6:$A$51,0)),""))</f>
        <v>п.4.3.1, п.4.3.2, п.4.4, п.5.1, п.6.2, п.15</v>
      </c>
      <c r="J21" s="29">
        <f>IF(C21="","",IFERROR(INDEX(Перечень!$D$6:$D$51,MATCH(H21,Перечень!$A$6:$A$51,0)),12))</f>
        <v>12</v>
      </c>
      <c r="K21" s="34"/>
      <c r="L21" s="34"/>
      <c r="M21" s="31" t="str">
        <f t="shared" si="2"/>
        <v/>
      </c>
      <c r="N21" s="29" t="str">
        <f>IF(C21="","",IFERROR(INDEX(Перечень!$F$6:$F$51,MATCH(H21,Перечень!$A$6:$A$51,0)),""))</f>
        <v>-</v>
      </c>
      <c r="O21" s="34"/>
      <c r="P21" s="31" t="str">
        <f t="shared" si="3"/>
        <v/>
      </c>
      <c r="Q21" s="29" t="str">
        <f t="shared" si="4"/>
        <v/>
      </c>
      <c r="R21" s="29" t="str">
        <f t="shared" ca="1" si="5"/>
        <v>Нет сведений</v>
      </c>
      <c r="S21" s="29" t="str">
        <f t="shared" si="6"/>
        <v/>
      </c>
    </row>
    <row r="22" spans="1:19" x14ac:dyDescent="0.3">
      <c r="A22" s="29">
        <f t="shared" si="0"/>
        <v>17</v>
      </c>
      <c r="B22" s="30" t="s">
        <v>95</v>
      </c>
      <c r="C22" s="30" t="s">
        <v>158</v>
      </c>
      <c r="D22" s="30" t="s">
        <v>157</v>
      </c>
      <c r="E22" s="30" t="s">
        <v>147</v>
      </c>
      <c r="F22" s="31">
        <v>45208</v>
      </c>
      <c r="G22" s="32" t="str">
        <f t="shared" si="1"/>
        <v>слесарь-сборщик</v>
      </c>
      <c r="H22" s="29">
        <f>IF(C22="","",IF(AND(G22="мастер участка",ISNUMBER(SEARCH("РЭО",E22))),29,IFERROR(INDEX(Соответствие!$B$2:$B$100,MATCH(G22,Соответствие!$A$2:$A$100,0)),"?")))</f>
        <v>19</v>
      </c>
      <c r="I22" s="33" t="str">
        <f>IF(C22="","",IFERROR(INDEX(Перечень!$C$6:$C$51,MATCH(H22,Перечень!$A$6:$A$51,0)),""))</f>
        <v>п.4.3.1, п.4.3.2, п.4.4, п.5.1, п.6.2, п.15</v>
      </c>
      <c r="J22" s="29">
        <f>IF(C22="","",IFERROR(INDEX(Перечень!$D$6:$D$51,MATCH(H22,Перечень!$A$6:$A$51,0)),12))</f>
        <v>12</v>
      </c>
      <c r="K22" s="34"/>
      <c r="L22" s="34"/>
      <c r="M22" s="31" t="str">
        <f t="shared" si="2"/>
        <v/>
      </c>
      <c r="N22" s="29" t="str">
        <f>IF(C22="","",IFERROR(INDEX(Перечень!$F$6:$F$51,MATCH(H22,Перечень!$A$6:$A$51,0)),""))</f>
        <v>-</v>
      </c>
      <c r="O22" s="34"/>
      <c r="P22" s="31" t="str">
        <f t="shared" si="3"/>
        <v/>
      </c>
      <c r="Q22" s="29" t="str">
        <f t="shared" si="4"/>
        <v/>
      </c>
      <c r="R22" s="29" t="str">
        <f t="shared" ca="1" si="5"/>
        <v>Нет сведений</v>
      </c>
      <c r="S22" s="29" t="str">
        <f t="shared" si="6"/>
        <v/>
      </c>
    </row>
    <row r="23" spans="1:19" x14ac:dyDescent="0.3">
      <c r="A23" s="29">
        <f t="shared" si="0"/>
        <v>18</v>
      </c>
      <c r="B23" s="30" t="s">
        <v>95</v>
      </c>
      <c r="C23" s="30" t="s">
        <v>159</v>
      </c>
      <c r="D23" s="30" t="s">
        <v>160</v>
      </c>
      <c r="E23" s="30" t="s">
        <v>147</v>
      </c>
      <c r="F23" s="31">
        <v>45950</v>
      </c>
      <c r="G23" s="32" t="str">
        <f t="shared" si="1"/>
        <v>слесарь-сборщик</v>
      </c>
      <c r="H23" s="29">
        <f>IF(C23="","",IF(AND(G23="мастер участка",ISNUMBER(SEARCH("РЭО",E23))),29,IFERROR(INDEX(Соответствие!$B$2:$B$100,MATCH(G23,Соответствие!$A$2:$A$100,0)),"?")))</f>
        <v>19</v>
      </c>
      <c r="I23" s="33" t="str">
        <f>IF(C23="","",IFERROR(INDEX(Перечень!$C$6:$C$51,MATCH(H23,Перечень!$A$6:$A$51,0)),""))</f>
        <v>п.4.3.1, п.4.3.2, п.4.4, п.5.1, п.6.2, п.15</v>
      </c>
      <c r="J23" s="29">
        <f>IF(C23="","",IFERROR(INDEX(Перечень!$D$6:$D$51,MATCH(H23,Перечень!$A$6:$A$51,0)),12))</f>
        <v>12</v>
      </c>
      <c r="K23" s="34">
        <v>45940</v>
      </c>
      <c r="L23" s="34"/>
      <c r="M23" s="31">
        <f t="shared" si="2"/>
        <v>46305</v>
      </c>
      <c r="N23" s="29" t="str">
        <f>IF(C23="","",IFERROR(INDEX(Перечень!$F$6:$F$51,MATCH(H23,Перечень!$A$6:$A$51,0)),""))</f>
        <v>-</v>
      </c>
      <c r="O23" s="34"/>
      <c r="P23" s="31" t="str">
        <f t="shared" si="3"/>
        <v/>
      </c>
      <c r="Q23" s="29" t="str">
        <f t="shared" si="4"/>
        <v/>
      </c>
      <c r="R23" s="29" t="str">
        <f t="shared" ca="1" si="5"/>
        <v>Просрочен</v>
      </c>
      <c r="S23" s="29" t="str">
        <f t="shared" si="6"/>
        <v/>
      </c>
    </row>
    <row r="24" spans="1:19" x14ac:dyDescent="0.3">
      <c r="A24" s="29">
        <f t="shared" si="0"/>
        <v>19</v>
      </c>
      <c r="B24" s="30" t="s">
        <v>95</v>
      </c>
      <c r="C24" s="30" t="s">
        <v>161</v>
      </c>
      <c r="D24" s="30" t="s">
        <v>162</v>
      </c>
      <c r="E24" s="30" t="s">
        <v>147</v>
      </c>
      <c r="F24" s="31">
        <v>44152</v>
      </c>
      <c r="G24" s="32" t="str">
        <f t="shared" si="1"/>
        <v>менеджер-комплектовщик</v>
      </c>
      <c r="H24" s="29">
        <f>IF(C24="","",IF(AND(G24="мастер участка",ISNUMBER(SEARCH("РЭО",E24))),29,IFERROR(INDEX(Соответствие!$B$2:$B$100,MATCH(G24,Соответствие!$A$2:$A$100,0)),"?")))</f>
        <v>22</v>
      </c>
      <c r="I24" s="33" t="str">
        <f>IF(C24="","",IFERROR(INDEX(Перечень!$C$6:$C$51,MATCH(H24,Перечень!$A$6:$A$51,0)),""))</f>
        <v>п.4.4, п.5.1, п.6.2</v>
      </c>
      <c r="J24" s="29">
        <f>IF(C24="","",IFERROR(INDEX(Перечень!$D$6:$D$51,MATCH(H24,Перечень!$A$6:$A$51,0)),12))</f>
        <v>12</v>
      </c>
      <c r="K24" s="34"/>
      <c r="L24" s="34"/>
      <c r="M24" s="31" t="str">
        <f t="shared" si="2"/>
        <v/>
      </c>
      <c r="N24" s="29" t="str">
        <f>IF(C24="","",IFERROR(INDEX(Перечень!$F$6:$F$51,MATCH(H24,Перечень!$A$6:$A$51,0)),""))</f>
        <v>-</v>
      </c>
      <c r="O24" s="34"/>
      <c r="P24" s="31" t="str">
        <f t="shared" si="3"/>
        <v/>
      </c>
      <c r="Q24" s="29" t="str">
        <f t="shared" si="4"/>
        <v/>
      </c>
      <c r="R24" s="29" t="str">
        <f t="shared" ca="1" si="5"/>
        <v>Нет сведений</v>
      </c>
      <c r="S24" s="29" t="str">
        <f t="shared" si="6"/>
        <v/>
      </c>
    </row>
    <row r="25" spans="1:19" x14ac:dyDescent="0.3">
      <c r="A25" s="29">
        <f t="shared" si="0"/>
        <v>20</v>
      </c>
      <c r="B25" s="30" t="s">
        <v>95</v>
      </c>
      <c r="C25" s="30" t="s">
        <v>163</v>
      </c>
      <c r="D25" s="30" t="s">
        <v>164</v>
      </c>
      <c r="E25" s="30" t="s">
        <v>147</v>
      </c>
      <c r="F25" s="31">
        <v>41334</v>
      </c>
      <c r="G25" s="32" t="str">
        <f t="shared" si="1"/>
        <v>заместитель директора департамента-начальник производственного подразделения</v>
      </c>
      <c r="H25" s="29">
        <f>IF(C25="","",IF(AND(G25="мастер участка",ISNUMBER(SEARCH("РЭО",E25))),29,IFERROR(INDEX(Соответствие!$B$2:$B$100,MATCH(G25,Соответствие!$A$2:$A$100,0)),"?")))</f>
        <v>42</v>
      </c>
      <c r="I25" s="33" t="str">
        <f>IF(C25="","",IFERROR(INDEX(Перечень!$C$6:$C$51,MATCH(H25,Перечень!$A$6:$A$51,0)),""))</f>
        <v>п.4.3.2, п.4.4, п.5.1, п.5.2, п.6.2</v>
      </c>
      <c r="J25" s="29">
        <f>IF(C25="","",IFERROR(INDEX(Перечень!$D$6:$D$51,MATCH(H25,Перечень!$A$6:$A$51,0)),12))</f>
        <v>12</v>
      </c>
      <c r="K25" s="34"/>
      <c r="L25" s="34"/>
      <c r="M25" s="31" t="str">
        <f t="shared" si="2"/>
        <v/>
      </c>
      <c r="N25" s="29" t="str">
        <f>IF(C25="","",IFERROR(INDEX(Перечень!$F$6:$F$51,MATCH(H25,Перечень!$A$6:$A$51,0)),""))</f>
        <v>-</v>
      </c>
      <c r="O25" s="34"/>
      <c r="P25" s="31" t="str">
        <f t="shared" si="3"/>
        <v/>
      </c>
      <c r="Q25" s="29" t="str">
        <f t="shared" si="4"/>
        <v/>
      </c>
      <c r="R25" s="29" t="str">
        <f t="shared" ca="1" si="5"/>
        <v>Нет сведений</v>
      </c>
      <c r="S25" s="29" t="str">
        <f t="shared" si="6"/>
        <v/>
      </c>
    </row>
    <row r="26" spans="1:19" x14ac:dyDescent="0.3">
      <c r="A26" s="29">
        <f t="shared" si="0"/>
        <v>21</v>
      </c>
      <c r="B26" s="30" t="s">
        <v>100</v>
      </c>
      <c r="C26" s="30" t="s">
        <v>165</v>
      </c>
      <c r="D26" s="30" t="s">
        <v>166</v>
      </c>
      <c r="E26" s="30" t="s">
        <v>167</v>
      </c>
      <c r="F26" s="31">
        <v>45957</v>
      </c>
      <c r="G26" s="32" t="str">
        <f t="shared" si="1"/>
        <v>старший оперативный дежурный</v>
      </c>
      <c r="H26" s="29">
        <f>IF(C26="","",IF(AND(G26="мастер участка",ISNUMBER(SEARCH("РЭО",E26))),29,IFERROR(INDEX(Соответствие!$B$2:$B$100,MATCH(G26,Соответствие!$A$2:$A$100,0)),"?")))</f>
        <v>45</v>
      </c>
      <c r="I26" s="33" t="str">
        <f>IF(C26="","",IFERROR(INDEX(Перечень!$C$6:$C$51,MATCH(H26,Перечень!$A$6:$A$51,0)),""))</f>
        <v>п.4.7, п.4.8, п.5.1, п.5.2</v>
      </c>
      <c r="J26" s="29">
        <f>IF(C26="","",IFERROR(INDEX(Перечень!$D$6:$D$51,MATCH(H26,Перечень!$A$6:$A$51,0)),12))</f>
        <v>12</v>
      </c>
      <c r="K26" s="34"/>
      <c r="L26" s="34"/>
      <c r="M26" s="31" t="str">
        <f t="shared" si="2"/>
        <v/>
      </c>
      <c r="N26" s="29" t="str">
        <f>IF(C26="","",IFERROR(INDEX(Перечень!$F$6:$F$51,MATCH(H26,Перечень!$A$6:$A$51,0)),""))</f>
        <v>Нет</v>
      </c>
      <c r="O26" s="34"/>
      <c r="P26" s="31" t="str">
        <f t="shared" si="3"/>
        <v/>
      </c>
      <c r="Q26" s="29" t="str">
        <f t="shared" si="4"/>
        <v/>
      </c>
      <c r="R26" s="29" t="str">
        <f t="shared" ca="1" si="5"/>
        <v>Нет сведений</v>
      </c>
      <c r="S26" s="29" t="str">
        <f t="shared" si="6"/>
        <v/>
      </c>
    </row>
    <row r="27" spans="1:19" x14ac:dyDescent="0.3">
      <c r="A27" s="29">
        <f t="shared" si="0"/>
        <v>22</v>
      </c>
      <c r="B27" s="30" t="s">
        <v>100</v>
      </c>
      <c r="C27" s="30" t="s">
        <v>168</v>
      </c>
      <c r="D27" s="30" t="s">
        <v>169</v>
      </c>
      <c r="E27" s="30" t="s">
        <v>167</v>
      </c>
      <c r="F27" s="31">
        <v>45551</v>
      </c>
      <c r="G27" s="32" t="str">
        <f t="shared" si="1"/>
        <v>оперативный дежурный</v>
      </c>
      <c r="H27" s="29">
        <f>IF(C27="","",IF(AND(G27="мастер участка",ISNUMBER(SEARCH("РЭО",E27))),29,IFERROR(INDEX(Соответствие!$B$2:$B$100,MATCH(G27,Соответствие!$A$2:$A$100,0)),"?")))</f>
        <v>45</v>
      </c>
      <c r="I27" s="33" t="str">
        <f>IF(C27="","",IFERROR(INDEX(Перечень!$C$6:$C$51,MATCH(H27,Перечень!$A$6:$A$51,0)),""))</f>
        <v>п.4.7, п.4.8, п.5.1, п.5.2</v>
      </c>
      <c r="J27" s="29">
        <f>IF(C27="","",IFERROR(INDEX(Перечень!$D$6:$D$51,MATCH(H27,Перечень!$A$6:$A$51,0)),12))</f>
        <v>12</v>
      </c>
      <c r="K27" s="34"/>
      <c r="L27" s="34"/>
      <c r="M27" s="31" t="str">
        <f t="shared" si="2"/>
        <v/>
      </c>
      <c r="N27" s="29" t="str">
        <f>IF(C27="","",IFERROR(INDEX(Перечень!$F$6:$F$51,MATCH(H27,Перечень!$A$6:$A$51,0)),""))</f>
        <v>Нет</v>
      </c>
      <c r="O27" s="34"/>
      <c r="P27" s="31" t="str">
        <f t="shared" si="3"/>
        <v/>
      </c>
      <c r="Q27" s="29" t="str">
        <f t="shared" si="4"/>
        <v/>
      </c>
      <c r="R27" s="29" t="str">
        <f t="shared" ca="1" si="5"/>
        <v>Нет сведений</v>
      </c>
      <c r="S27" s="29" t="str">
        <f t="shared" si="6"/>
        <v/>
      </c>
    </row>
    <row r="28" spans="1:19" x14ac:dyDescent="0.3">
      <c r="A28" s="29">
        <f t="shared" si="0"/>
        <v>23</v>
      </c>
      <c r="B28" s="30" t="s">
        <v>100</v>
      </c>
      <c r="C28" s="30" t="s">
        <v>170</v>
      </c>
      <c r="D28" s="30" t="s">
        <v>169</v>
      </c>
      <c r="E28" s="30" t="s">
        <v>167</v>
      </c>
      <c r="F28" s="31">
        <v>44092</v>
      </c>
      <c r="G28" s="32" t="str">
        <f t="shared" si="1"/>
        <v>оперативный дежурный</v>
      </c>
      <c r="H28" s="29">
        <f>IF(C28="","",IF(AND(G28="мастер участка",ISNUMBER(SEARCH("РЭО",E28))),29,IFERROR(INDEX(Соответствие!$B$2:$B$100,MATCH(G28,Соответствие!$A$2:$A$100,0)),"?")))</f>
        <v>45</v>
      </c>
      <c r="I28" s="33" t="str">
        <f>IF(C28="","",IFERROR(INDEX(Перечень!$C$6:$C$51,MATCH(H28,Перечень!$A$6:$A$51,0)),""))</f>
        <v>п.4.7, п.4.8, п.5.1, п.5.2</v>
      </c>
      <c r="J28" s="29">
        <f>IF(C28="","",IFERROR(INDEX(Перечень!$D$6:$D$51,MATCH(H28,Перечень!$A$6:$A$51,0)),12))</f>
        <v>12</v>
      </c>
      <c r="K28" s="34"/>
      <c r="L28" s="34"/>
      <c r="M28" s="31" t="str">
        <f t="shared" si="2"/>
        <v/>
      </c>
      <c r="N28" s="29" t="str">
        <f>IF(C28="","",IFERROR(INDEX(Перечень!$F$6:$F$51,MATCH(H28,Перечень!$A$6:$A$51,0)),""))</f>
        <v>Нет</v>
      </c>
      <c r="O28" s="34"/>
      <c r="P28" s="31" t="str">
        <f t="shared" si="3"/>
        <v/>
      </c>
      <c r="Q28" s="29" t="str">
        <f t="shared" si="4"/>
        <v/>
      </c>
      <c r="R28" s="29" t="str">
        <f t="shared" ca="1" si="5"/>
        <v>Нет сведений</v>
      </c>
      <c r="S28" s="29" t="str">
        <f t="shared" si="6"/>
        <v/>
      </c>
    </row>
    <row r="29" spans="1:19" x14ac:dyDescent="0.3">
      <c r="A29" s="29">
        <f t="shared" si="0"/>
        <v>24</v>
      </c>
      <c r="B29" s="30" t="s">
        <v>100</v>
      </c>
      <c r="C29" s="30" t="s">
        <v>171</v>
      </c>
      <c r="D29" s="30" t="s">
        <v>169</v>
      </c>
      <c r="E29" s="30" t="s">
        <v>167</v>
      </c>
      <c r="F29" s="31">
        <v>46052</v>
      </c>
      <c r="G29" s="32" t="str">
        <f t="shared" si="1"/>
        <v>оперативный дежурный</v>
      </c>
      <c r="H29" s="29">
        <f>IF(C29="","",IF(AND(G29="мастер участка",ISNUMBER(SEARCH("РЭО",E29))),29,IFERROR(INDEX(Соответствие!$B$2:$B$100,MATCH(G29,Соответствие!$A$2:$A$100,0)),"?")))</f>
        <v>45</v>
      </c>
      <c r="I29" s="33" t="str">
        <f>IF(C29="","",IFERROR(INDEX(Перечень!$C$6:$C$51,MATCH(H29,Перечень!$A$6:$A$51,0)),""))</f>
        <v>п.4.7, п.4.8, п.5.1, п.5.2</v>
      </c>
      <c r="J29" s="29">
        <f>IF(C29="","",IFERROR(INDEX(Перечень!$D$6:$D$51,MATCH(H29,Перечень!$A$6:$A$51,0)),12))</f>
        <v>12</v>
      </c>
      <c r="K29" s="34"/>
      <c r="L29" s="34"/>
      <c r="M29" s="31" t="str">
        <f t="shared" si="2"/>
        <v/>
      </c>
      <c r="N29" s="29" t="str">
        <f>IF(C29="","",IFERROR(INDEX(Перечень!$F$6:$F$51,MATCH(H29,Перечень!$A$6:$A$51,0)),""))</f>
        <v>Нет</v>
      </c>
      <c r="O29" s="34"/>
      <c r="P29" s="31" t="str">
        <f t="shared" si="3"/>
        <v/>
      </c>
      <c r="Q29" s="29" t="str">
        <f t="shared" si="4"/>
        <v/>
      </c>
      <c r="R29" s="29" t="str">
        <f t="shared" ca="1" si="5"/>
        <v>Нет сведений</v>
      </c>
      <c r="S29" s="29" t="str">
        <f t="shared" si="6"/>
        <v/>
      </c>
    </row>
    <row r="30" spans="1:19" x14ac:dyDescent="0.3">
      <c r="A30" s="29">
        <f t="shared" si="0"/>
        <v>25</v>
      </c>
      <c r="B30" s="30" t="s">
        <v>96</v>
      </c>
      <c r="C30" s="30" t="s">
        <v>172</v>
      </c>
      <c r="D30" s="30" t="s">
        <v>173</v>
      </c>
      <c r="E30" s="30" t="s">
        <v>174</v>
      </c>
      <c r="F30" s="31">
        <v>45693</v>
      </c>
      <c r="G30" s="32" t="str">
        <f t="shared" si="1"/>
        <v>слесарь-сборщик</v>
      </c>
      <c r="H30" s="29">
        <f>IF(C30="","",IF(AND(G30="мастер участка",ISNUMBER(SEARCH("РЭО",E30))),29,IFERROR(INDEX(Соответствие!$B$2:$B$100,MATCH(G30,Соответствие!$A$2:$A$100,0)),"?")))</f>
        <v>19</v>
      </c>
      <c r="I30" s="33" t="str">
        <f>IF(C30="","",IFERROR(INDEX(Перечень!$C$6:$C$51,MATCH(H30,Перечень!$A$6:$A$51,0)),""))</f>
        <v>п.4.3.1, п.4.3.2, п.4.4, п.5.1, п.6.2, п.15</v>
      </c>
      <c r="J30" s="29">
        <f>IF(C30="","",IFERROR(INDEX(Перечень!$D$6:$D$51,MATCH(H30,Перечень!$A$6:$A$51,0)),12))</f>
        <v>12</v>
      </c>
      <c r="K30" s="34"/>
      <c r="L30" s="34"/>
      <c r="M30" s="31" t="str">
        <f t="shared" si="2"/>
        <v/>
      </c>
      <c r="N30" s="29" t="str">
        <f>IF(C30="","",IFERROR(INDEX(Перечень!$F$6:$F$51,MATCH(H30,Перечень!$A$6:$A$51,0)),""))</f>
        <v>-</v>
      </c>
      <c r="O30" s="34"/>
      <c r="P30" s="31" t="str">
        <f t="shared" si="3"/>
        <v/>
      </c>
      <c r="Q30" s="29" t="str">
        <f t="shared" si="4"/>
        <v/>
      </c>
      <c r="R30" s="29" t="str">
        <f t="shared" ca="1" si="5"/>
        <v>Нет сведений</v>
      </c>
      <c r="S30" s="29" t="str">
        <f t="shared" si="6"/>
        <v/>
      </c>
    </row>
    <row r="31" spans="1:19" x14ac:dyDescent="0.3">
      <c r="A31" s="29">
        <f t="shared" si="0"/>
        <v>26</v>
      </c>
      <c r="B31" s="30" t="s">
        <v>96</v>
      </c>
      <c r="C31" s="30" t="s">
        <v>175</v>
      </c>
      <c r="D31" s="30" t="s">
        <v>173</v>
      </c>
      <c r="E31" s="30" t="s">
        <v>174</v>
      </c>
      <c r="F31" s="31">
        <v>45901</v>
      </c>
      <c r="G31" s="32" t="str">
        <f t="shared" si="1"/>
        <v>слесарь-сборщик</v>
      </c>
      <c r="H31" s="29">
        <f>IF(C31="","",IF(AND(G31="мастер участка",ISNUMBER(SEARCH("РЭО",E31))),29,IFERROR(INDEX(Соответствие!$B$2:$B$100,MATCH(G31,Соответствие!$A$2:$A$100,0)),"?")))</f>
        <v>19</v>
      </c>
      <c r="I31" s="33" t="str">
        <f>IF(C31="","",IFERROR(INDEX(Перечень!$C$6:$C$51,MATCH(H31,Перечень!$A$6:$A$51,0)),""))</f>
        <v>п.4.3.1, п.4.3.2, п.4.4, п.5.1, п.6.2, п.15</v>
      </c>
      <c r="J31" s="29">
        <f>IF(C31="","",IFERROR(INDEX(Перечень!$D$6:$D$51,MATCH(H31,Перечень!$A$6:$A$51,0)),12))</f>
        <v>12</v>
      </c>
      <c r="K31" s="34"/>
      <c r="L31" s="34"/>
      <c r="M31" s="31" t="str">
        <f t="shared" si="2"/>
        <v/>
      </c>
      <c r="N31" s="29" t="str">
        <f>IF(C31="","",IFERROR(INDEX(Перечень!$F$6:$F$51,MATCH(H31,Перечень!$A$6:$A$51,0)),""))</f>
        <v>-</v>
      </c>
      <c r="O31" s="34"/>
      <c r="P31" s="31" t="str">
        <f t="shared" si="3"/>
        <v/>
      </c>
      <c r="Q31" s="29" t="str">
        <f t="shared" si="4"/>
        <v/>
      </c>
      <c r="R31" s="29" t="str">
        <f t="shared" ca="1" si="5"/>
        <v>Нет сведений</v>
      </c>
      <c r="S31" s="29" t="str">
        <f t="shared" si="6"/>
        <v/>
      </c>
    </row>
    <row r="32" spans="1:19" x14ac:dyDescent="0.3">
      <c r="A32" s="29">
        <f t="shared" si="0"/>
        <v>27</v>
      </c>
      <c r="B32" s="30" t="s">
        <v>96</v>
      </c>
      <c r="C32" s="30" t="s">
        <v>176</v>
      </c>
      <c r="D32" s="30" t="s">
        <v>160</v>
      </c>
      <c r="E32" s="30" t="s">
        <v>177</v>
      </c>
      <c r="F32" s="31">
        <v>46141</v>
      </c>
      <c r="G32" s="32" t="str">
        <f t="shared" si="1"/>
        <v>слесарь-сборщик</v>
      </c>
      <c r="H32" s="29">
        <f>IF(C32="","",IF(AND(G32="мастер участка",ISNUMBER(SEARCH("РЭО",E32))),29,IFERROR(INDEX(Соответствие!$B$2:$B$100,MATCH(G32,Соответствие!$A$2:$A$100,0)),"?")))</f>
        <v>19</v>
      </c>
      <c r="I32" s="33" t="str">
        <f>IF(C32="","",IFERROR(INDEX(Перечень!$C$6:$C$51,MATCH(H32,Перечень!$A$6:$A$51,0)),""))</f>
        <v>п.4.3.1, п.4.3.2, п.4.4, п.5.1, п.6.2, п.15</v>
      </c>
      <c r="J32" s="29">
        <f>IF(C32="","",IFERROR(INDEX(Перечень!$D$6:$D$51,MATCH(H32,Перечень!$A$6:$A$51,0)),12))</f>
        <v>12</v>
      </c>
      <c r="K32" s="34"/>
      <c r="L32" s="34"/>
      <c r="M32" s="31" t="str">
        <f t="shared" si="2"/>
        <v/>
      </c>
      <c r="N32" s="29" t="str">
        <f>IF(C32="","",IFERROR(INDEX(Перечень!$F$6:$F$51,MATCH(H32,Перечень!$A$6:$A$51,0)),""))</f>
        <v>-</v>
      </c>
      <c r="O32" s="34"/>
      <c r="P32" s="31" t="str">
        <f t="shared" si="3"/>
        <v/>
      </c>
      <c r="Q32" s="29" t="str">
        <f t="shared" si="4"/>
        <v/>
      </c>
      <c r="R32" s="29" t="str">
        <f t="shared" ca="1" si="5"/>
        <v>Нет сведений</v>
      </c>
      <c r="S32" s="29" t="str">
        <f t="shared" si="6"/>
        <v/>
      </c>
    </row>
    <row r="33" spans="1:19" x14ac:dyDescent="0.3">
      <c r="A33" s="29">
        <f t="shared" si="0"/>
        <v>28</v>
      </c>
      <c r="B33" s="30" t="s">
        <v>96</v>
      </c>
      <c r="C33" s="30" t="s">
        <v>178</v>
      </c>
      <c r="D33" s="30" t="s">
        <v>160</v>
      </c>
      <c r="E33" s="30" t="s">
        <v>177</v>
      </c>
      <c r="F33" s="31">
        <v>45551</v>
      </c>
      <c r="G33" s="32" t="str">
        <f t="shared" si="1"/>
        <v>слесарь-сборщик</v>
      </c>
      <c r="H33" s="29">
        <f>IF(C33="","",IF(AND(G33="мастер участка",ISNUMBER(SEARCH("РЭО",E33))),29,IFERROR(INDEX(Соответствие!$B$2:$B$100,MATCH(G33,Соответствие!$A$2:$A$100,0)),"?")))</f>
        <v>19</v>
      </c>
      <c r="I33" s="33" t="str">
        <f>IF(C33="","",IFERROR(INDEX(Перечень!$C$6:$C$51,MATCH(H33,Перечень!$A$6:$A$51,0)),""))</f>
        <v>п.4.3.1, п.4.3.2, п.4.4, п.5.1, п.6.2, п.15</v>
      </c>
      <c r="J33" s="29">
        <f>IF(C33="","",IFERROR(INDEX(Перечень!$D$6:$D$51,MATCH(H33,Перечень!$A$6:$A$51,0)),12))</f>
        <v>12</v>
      </c>
      <c r="K33" s="34"/>
      <c r="L33" s="34"/>
      <c r="M33" s="31" t="str">
        <f t="shared" si="2"/>
        <v/>
      </c>
      <c r="N33" s="29" t="str">
        <f>IF(C33="","",IFERROR(INDEX(Перечень!$F$6:$F$51,MATCH(H33,Перечень!$A$6:$A$51,0)),""))</f>
        <v>-</v>
      </c>
      <c r="O33" s="34"/>
      <c r="P33" s="31" t="str">
        <f t="shared" si="3"/>
        <v/>
      </c>
      <c r="Q33" s="29" t="str">
        <f t="shared" si="4"/>
        <v/>
      </c>
      <c r="R33" s="29" t="str">
        <f t="shared" ca="1" si="5"/>
        <v>Нет сведений</v>
      </c>
      <c r="S33" s="29" t="str">
        <f t="shared" si="6"/>
        <v/>
      </c>
    </row>
    <row r="34" spans="1:19" x14ac:dyDescent="0.3">
      <c r="A34" s="29">
        <f t="shared" si="0"/>
        <v>29</v>
      </c>
      <c r="B34" s="30" t="s">
        <v>96</v>
      </c>
      <c r="C34" s="30" t="s">
        <v>179</v>
      </c>
      <c r="D34" s="30" t="s">
        <v>173</v>
      </c>
      <c r="E34" s="30" t="s">
        <v>174</v>
      </c>
      <c r="F34" s="31">
        <v>46043</v>
      </c>
      <c r="G34" s="32" t="str">
        <f t="shared" si="1"/>
        <v>слесарь-сборщик</v>
      </c>
      <c r="H34" s="29">
        <f>IF(C34="","",IF(AND(G34="мастер участка",ISNUMBER(SEARCH("РЭО",E34))),29,IFERROR(INDEX(Соответствие!$B$2:$B$100,MATCH(G34,Соответствие!$A$2:$A$100,0)),"?")))</f>
        <v>19</v>
      </c>
      <c r="I34" s="33" t="str">
        <f>IF(C34="","",IFERROR(INDEX(Перечень!$C$6:$C$51,MATCH(H34,Перечень!$A$6:$A$51,0)),""))</f>
        <v>п.4.3.1, п.4.3.2, п.4.4, п.5.1, п.6.2, п.15</v>
      </c>
      <c r="J34" s="29">
        <f>IF(C34="","",IFERROR(INDEX(Перечень!$D$6:$D$51,MATCH(H34,Перечень!$A$6:$A$51,0)),12))</f>
        <v>12</v>
      </c>
      <c r="K34" s="34"/>
      <c r="L34" s="34"/>
      <c r="M34" s="31" t="str">
        <f t="shared" si="2"/>
        <v/>
      </c>
      <c r="N34" s="29" t="str">
        <f>IF(C34="","",IFERROR(INDEX(Перечень!$F$6:$F$51,MATCH(H34,Перечень!$A$6:$A$51,0)),""))</f>
        <v>-</v>
      </c>
      <c r="O34" s="34"/>
      <c r="P34" s="31" t="str">
        <f t="shared" si="3"/>
        <v/>
      </c>
      <c r="Q34" s="29" t="str">
        <f t="shared" si="4"/>
        <v/>
      </c>
      <c r="R34" s="29" t="str">
        <f t="shared" ca="1" si="5"/>
        <v>Нет сведений</v>
      </c>
      <c r="S34" s="29" t="str">
        <f t="shared" si="6"/>
        <v/>
      </c>
    </row>
    <row r="35" spans="1:19" x14ac:dyDescent="0.3">
      <c r="A35" s="29">
        <f t="shared" si="0"/>
        <v>30</v>
      </c>
      <c r="B35" s="30" t="s">
        <v>96</v>
      </c>
      <c r="C35" s="30" t="s">
        <v>180</v>
      </c>
      <c r="D35" s="30" t="s">
        <v>160</v>
      </c>
      <c r="E35" s="30" t="s">
        <v>177</v>
      </c>
      <c r="F35" s="31">
        <v>45614</v>
      </c>
      <c r="G35" s="32" t="str">
        <f t="shared" si="1"/>
        <v>слесарь-сборщик</v>
      </c>
      <c r="H35" s="29">
        <f>IF(C35="","",IF(AND(G35="мастер участка",ISNUMBER(SEARCH("РЭО",E35))),29,IFERROR(INDEX(Соответствие!$B$2:$B$100,MATCH(G35,Соответствие!$A$2:$A$100,0)),"?")))</f>
        <v>19</v>
      </c>
      <c r="I35" s="33" t="str">
        <f>IF(C35="","",IFERROR(INDEX(Перечень!$C$6:$C$51,MATCH(H35,Перечень!$A$6:$A$51,0)),""))</f>
        <v>п.4.3.1, п.4.3.2, п.4.4, п.5.1, п.6.2, п.15</v>
      </c>
      <c r="J35" s="29">
        <f>IF(C35="","",IFERROR(INDEX(Перечень!$D$6:$D$51,MATCH(H35,Перечень!$A$6:$A$51,0)),12))</f>
        <v>12</v>
      </c>
      <c r="K35" s="34"/>
      <c r="L35" s="34"/>
      <c r="M35" s="31" t="str">
        <f t="shared" si="2"/>
        <v/>
      </c>
      <c r="N35" s="29" t="str">
        <f>IF(C35="","",IFERROR(INDEX(Перечень!$F$6:$F$51,MATCH(H35,Перечень!$A$6:$A$51,0)),""))</f>
        <v>-</v>
      </c>
      <c r="O35" s="34"/>
      <c r="P35" s="31" t="str">
        <f t="shared" si="3"/>
        <v/>
      </c>
      <c r="Q35" s="29" t="str">
        <f t="shared" si="4"/>
        <v/>
      </c>
      <c r="R35" s="29" t="str">
        <f t="shared" ca="1" si="5"/>
        <v>Нет сведений</v>
      </c>
      <c r="S35" s="29" t="str">
        <f t="shared" si="6"/>
        <v/>
      </c>
    </row>
    <row r="36" spans="1:19" x14ac:dyDescent="0.3">
      <c r="A36" s="29">
        <f t="shared" si="0"/>
        <v>31</v>
      </c>
      <c r="B36" s="30" t="s">
        <v>96</v>
      </c>
      <c r="C36" s="30" t="s">
        <v>181</v>
      </c>
      <c r="D36" s="30" t="s">
        <v>173</v>
      </c>
      <c r="E36" s="30" t="s">
        <v>174</v>
      </c>
      <c r="F36" s="31">
        <v>45911</v>
      </c>
      <c r="G36" s="32" t="str">
        <f t="shared" si="1"/>
        <v>слесарь-сборщик</v>
      </c>
      <c r="H36" s="29">
        <f>IF(C36="","",IF(AND(G36="мастер участка",ISNUMBER(SEARCH("РЭО",E36))),29,IFERROR(INDEX(Соответствие!$B$2:$B$100,MATCH(G36,Соответствие!$A$2:$A$100,0)),"?")))</f>
        <v>19</v>
      </c>
      <c r="I36" s="33" t="str">
        <f>IF(C36="","",IFERROR(INDEX(Перечень!$C$6:$C$51,MATCH(H36,Перечень!$A$6:$A$51,0)),""))</f>
        <v>п.4.3.1, п.4.3.2, п.4.4, п.5.1, п.6.2, п.15</v>
      </c>
      <c r="J36" s="29">
        <f>IF(C36="","",IFERROR(INDEX(Перечень!$D$6:$D$51,MATCH(H36,Перечень!$A$6:$A$51,0)),12))</f>
        <v>12</v>
      </c>
      <c r="K36" s="34"/>
      <c r="L36" s="34"/>
      <c r="M36" s="31" t="str">
        <f t="shared" si="2"/>
        <v/>
      </c>
      <c r="N36" s="29" t="str">
        <f>IF(C36="","",IFERROR(INDEX(Перечень!$F$6:$F$51,MATCH(H36,Перечень!$A$6:$A$51,0)),""))</f>
        <v>-</v>
      </c>
      <c r="O36" s="34"/>
      <c r="P36" s="31" t="str">
        <f t="shared" si="3"/>
        <v/>
      </c>
      <c r="Q36" s="29" t="str">
        <f t="shared" si="4"/>
        <v/>
      </c>
      <c r="R36" s="29" t="str">
        <f t="shared" ca="1" si="5"/>
        <v>Нет сведений</v>
      </c>
      <c r="S36" s="29" t="str">
        <f t="shared" si="6"/>
        <v/>
      </c>
    </row>
    <row r="37" spans="1:19" x14ac:dyDescent="0.3">
      <c r="A37" s="29">
        <f t="shared" si="0"/>
        <v>32</v>
      </c>
      <c r="B37" s="30" t="s">
        <v>96</v>
      </c>
      <c r="C37" s="30" t="s">
        <v>182</v>
      </c>
      <c r="D37" s="30" t="s">
        <v>160</v>
      </c>
      <c r="E37" s="30" t="s">
        <v>177</v>
      </c>
      <c r="F37" s="31">
        <v>45817</v>
      </c>
      <c r="G37" s="32" t="str">
        <f t="shared" si="1"/>
        <v>слесарь-сборщик</v>
      </c>
      <c r="H37" s="29">
        <f>IF(C37="","",IF(AND(G37="мастер участка",ISNUMBER(SEARCH("РЭО",E37))),29,IFERROR(INDEX(Соответствие!$B$2:$B$100,MATCH(G37,Соответствие!$A$2:$A$100,0)),"?")))</f>
        <v>19</v>
      </c>
      <c r="I37" s="33" t="str">
        <f>IF(C37="","",IFERROR(INDEX(Перечень!$C$6:$C$51,MATCH(H37,Перечень!$A$6:$A$51,0)),""))</f>
        <v>п.4.3.1, п.4.3.2, п.4.4, п.5.1, п.6.2, п.15</v>
      </c>
      <c r="J37" s="29">
        <f>IF(C37="","",IFERROR(INDEX(Перечень!$D$6:$D$51,MATCH(H37,Перечень!$A$6:$A$51,0)),12))</f>
        <v>12</v>
      </c>
      <c r="K37" s="34">
        <v>45813</v>
      </c>
      <c r="L37" s="34"/>
      <c r="M37" s="31">
        <f t="shared" si="2"/>
        <v>46178</v>
      </c>
      <c r="N37" s="29" t="str">
        <f>IF(C37="","",IFERROR(INDEX(Перечень!$F$6:$F$51,MATCH(H37,Перечень!$A$6:$A$51,0)),""))</f>
        <v>-</v>
      </c>
      <c r="O37" s="34"/>
      <c r="P37" s="31" t="str">
        <f t="shared" si="3"/>
        <v/>
      </c>
      <c r="Q37" s="29" t="str">
        <f t="shared" si="4"/>
        <v/>
      </c>
      <c r="R37" s="29" t="str">
        <f t="shared" ca="1" si="5"/>
        <v>Просрочен</v>
      </c>
      <c r="S37" s="29" t="str">
        <f t="shared" si="6"/>
        <v/>
      </c>
    </row>
    <row r="38" spans="1:19" x14ac:dyDescent="0.3">
      <c r="A38" s="29">
        <f t="shared" si="0"/>
        <v>33</v>
      </c>
      <c r="B38" s="30" t="s">
        <v>96</v>
      </c>
      <c r="C38" s="30" t="s">
        <v>183</v>
      </c>
      <c r="D38" s="30" t="s">
        <v>173</v>
      </c>
      <c r="E38" s="30" t="s">
        <v>174</v>
      </c>
      <c r="F38" s="31">
        <v>45782</v>
      </c>
      <c r="G38" s="32" t="str">
        <f t="shared" si="1"/>
        <v>слесарь-сборщик</v>
      </c>
      <c r="H38" s="29">
        <f>IF(C38="","",IF(AND(G38="мастер участка",ISNUMBER(SEARCH("РЭО",E38))),29,IFERROR(INDEX(Соответствие!$B$2:$B$100,MATCH(G38,Соответствие!$A$2:$A$100,0)),"?")))</f>
        <v>19</v>
      </c>
      <c r="I38" s="33" t="str">
        <f>IF(C38="","",IFERROR(INDEX(Перечень!$C$6:$C$51,MATCH(H38,Перечень!$A$6:$A$51,0)),""))</f>
        <v>п.4.3.1, п.4.3.2, п.4.4, п.5.1, п.6.2, п.15</v>
      </c>
      <c r="J38" s="29">
        <f>IF(C38="","",IFERROR(INDEX(Перечень!$D$6:$D$51,MATCH(H38,Перечень!$A$6:$A$51,0)),12))</f>
        <v>12</v>
      </c>
      <c r="K38" s="34"/>
      <c r="L38" s="34"/>
      <c r="M38" s="31" t="str">
        <f t="shared" si="2"/>
        <v/>
      </c>
      <c r="N38" s="29" t="str">
        <f>IF(C38="","",IFERROR(INDEX(Перечень!$F$6:$F$51,MATCH(H38,Перечень!$A$6:$A$51,0)),""))</f>
        <v>-</v>
      </c>
      <c r="O38" s="34"/>
      <c r="P38" s="31" t="str">
        <f t="shared" si="3"/>
        <v/>
      </c>
      <c r="Q38" s="29" t="str">
        <f t="shared" si="4"/>
        <v/>
      </c>
      <c r="R38" s="29" t="str">
        <f t="shared" ca="1" si="5"/>
        <v>Нет сведений</v>
      </c>
      <c r="S38" s="29" t="str">
        <f t="shared" si="6"/>
        <v/>
      </c>
    </row>
    <row r="39" spans="1:19" x14ac:dyDescent="0.3">
      <c r="A39" s="29">
        <f t="shared" si="0"/>
        <v>34</v>
      </c>
      <c r="B39" s="30" t="s">
        <v>96</v>
      </c>
      <c r="C39" s="30" t="s">
        <v>184</v>
      </c>
      <c r="D39" s="30" t="s">
        <v>173</v>
      </c>
      <c r="E39" s="30" t="s">
        <v>174</v>
      </c>
      <c r="F39" s="31">
        <v>46073</v>
      </c>
      <c r="G39" s="32" t="str">
        <f t="shared" si="1"/>
        <v>слесарь-сборщик</v>
      </c>
      <c r="H39" s="29">
        <f>IF(C39="","",IF(AND(G39="мастер участка",ISNUMBER(SEARCH("РЭО",E39))),29,IFERROR(INDEX(Соответствие!$B$2:$B$100,MATCH(G39,Соответствие!$A$2:$A$100,0)),"?")))</f>
        <v>19</v>
      </c>
      <c r="I39" s="33" t="str">
        <f>IF(C39="","",IFERROR(INDEX(Перечень!$C$6:$C$51,MATCH(H39,Перечень!$A$6:$A$51,0)),""))</f>
        <v>п.4.3.1, п.4.3.2, п.4.4, п.5.1, п.6.2, п.15</v>
      </c>
      <c r="J39" s="29">
        <f>IF(C39="","",IFERROR(INDEX(Перечень!$D$6:$D$51,MATCH(H39,Перечень!$A$6:$A$51,0)),12))</f>
        <v>12</v>
      </c>
      <c r="K39" s="34">
        <v>46059</v>
      </c>
      <c r="L39" s="34"/>
      <c r="M39" s="31">
        <f t="shared" si="2"/>
        <v>46424</v>
      </c>
      <c r="N39" s="29" t="str">
        <f>IF(C39="","",IFERROR(INDEX(Перечень!$F$6:$F$51,MATCH(H39,Перечень!$A$6:$A$51,0)),""))</f>
        <v>-</v>
      </c>
      <c r="O39" s="34"/>
      <c r="P39" s="31" t="str">
        <f t="shared" si="3"/>
        <v/>
      </c>
      <c r="Q39" s="29" t="str">
        <f t="shared" si="4"/>
        <v/>
      </c>
      <c r="R39" s="29" t="str">
        <f t="shared" ca="1" si="5"/>
        <v>В срок</v>
      </c>
      <c r="S39" s="29" t="str">
        <f t="shared" si="6"/>
        <v/>
      </c>
    </row>
    <row r="40" spans="1:19" x14ac:dyDescent="0.3">
      <c r="A40" s="29">
        <f t="shared" si="0"/>
        <v>35</v>
      </c>
      <c r="B40" s="30" t="s">
        <v>96</v>
      </c>
      <c r="C40" s="30" t="s">
        <v>185</v>
      </c>
      <c r="D40" s="30" t="s">
        <v>173</v>
      </c>
      <c r="E40" s="30" t="s">
        <v>174</v>
      </c>
      <c r="F40" s="31">
        <v>45847</v>
      </c>
      <c r="G40" s="32" t="str">
        <f t="shared" si="1"/>
        <v>слесарь-сборщик</v>
      </c>
      <c r="H40" s="29">
        <f>IF(C40="","",IF(AND(G40="мастер участка",ISNUMBER(SEARCH("РЭО",E40))),29,IFERROR(INDEX(Соответствие!$B$2:$B$100,MATCH(G40,Соответствие!$A$2:$A$100,0)),"?")))</f>
        <v>19</v>
      </c>
      <c r="I40" s="33" t="str">
        <f>IF(C40="","",IFERROR(INDEX(Перечень!$C$6:$C$51,MATCH(H40,Перечень!$A$6:$A$51,0)),""))</f>
        <v>п.4.3.1, п.4.3.2, п.4.4, п.5.1, п.6.2, п.15</v>
      </c>
      <c r="J40" s="29">
        <f>IF(C40="","",IFERROR(INDEX(Перечень!$D$6:$D$51,MATCH(H40,Перечень!$A$6:$A$51,0)),12))</f>
        <v>12</v>
      </c>
      <c r="K40" s="34"/>
      <c r="L40" s="34"/>
      <c r="M40" s="31" t="str">
        <f t="shared" si="2"/>
        <v/>
      </c>
      <c r="N40" s="29" t="str">
        <f>IF(C40="","",IFERROR(INDEX(Перечень!$F$6:$F$51,MATCH(H40,Перечень!$A$6:$A$51,0)),""))</f>
        <v>-</v>
      </c>
      <c r="O40" s="34"/>
      <c r="P40" s="31" t="str">
        <f t="shared" si="3"/>
        <v/>
      </c>
      <c r="Q40" s="29" t="str">
        <f t="shared" si="4"/>
        <v/>
      </c>
      <c r="R40" s="29" t="str">
        <f t="shared" ca="1" si="5"/>
        <v>Нет сведений</v>
      </c>
      <c r="S40" s="29" t="str">
        <f t="shared" si="6"/>
        <v/>
      </c>
    </row>
    <row r="41" spans="1:19" x14ac:dyDescent="0.3">
      <c r="A41" s="29">
        <f t="shared" si="0"/>
        <v>36</v>
      </c>
      <c r="B41" s="30" t="s">
        <v>96</v>
      </c>
      <c r="C41" s="30" t="s">
        <v>186</v>
      </c>
      <c r="D41" s="30" t="s">
        <v>160</v>
      </c>
      <c r="E41" s="30" t="s">
        <v>177</v>
      </c>
      <c r="F41" s="31">
        <v>45969</v>
      </c>
      <c r="G41" s="32" t="str">
        <f t="shared" si="1"/>
        <v>слесарь-сборщик</v>
      </c>
      <c r="H41" s="29">
        <f>IF(C41="","",IF(AND(G41="мастер участка",ISNUMBER(SEARCH("РЭО",E41))),29,IFERROR(INDEX(Соответствие!$B$2:$B$100,MATCH(G41,Соответствие!$A$2:$A$100,0)),"?")))</f>
        <v>19</v>
      </c>
      <c r="I41" s="33" t="str">
        <f>IF(C41="","",IFERROR(INDEX(Перечень!$C$6:$C$51,MATCH(H41,Перечень!$A$6:$A$51,0)),""))</f>
        <v>п.4.3.1, п.4.3.2, п.4.4, п.5.1, п.6.2, п.15</v>
      </c>
      <c r="J41" s="29">
        <f>IF(C41="","",IFERROR(INDEX(Перечень!$D$6:$D$51,MATCH(H41,Перечень!$A$6:$A$51,0)),12))</f>
        <v>12</v>
      </c>
      <c r="K41" s="34">
        <v>45948</v>
      </c>
      <c r="L41" s="34"/>
      <c r="M41" s="31">
        <f t="shared" si="2"/>
        <v>46313</v>
      </c>
      <c r="N41" s="29" t="str">
        <f>IF(C41="","",IFERROR(INDEX(Перечень!$F$6:$F$51,MATCH(H41,Перечень!$A$6:$A$51,0)),""))</f>
        <v>-</v>
      </c>
      <c r="O41" s="34"/>
      <c r="P41" s="31" t="str">
        <f t="shared" si="3"/>
        <v/>
      </c>
      <c r="Q41" s="29" t="str">
        <f t="shared" si="4"/>
        <v/>
      </c>
      <c r="R41" s="29" t="str">
        <f t="shared" ca="1" si="5"/>
        <v>Просрочен</v>
      </c>
      <c r="S41" s="29" t="str">
        <f t="shared" si="6"/>
        <v/>
      </c>
    </row>
    <row r="42" spans="1:19" x14ac:dyDescent="0.3">
      <c r="A42" s="29">
        <f t="shared" si="0"/>
        <v>37</v>
      </c>
      <c r="B42" s="30" t="s">
        <v>96</v>
      </c>
      <c r="C42" s="30" t="s">
        <v>187</v>
      </c>
      <c r="D42" s="30" t="s">
        <v>160</v>
      </c>
      <c r="E42" s="30" t="s">
        <v>177</v>
      </c>
      <c r="F42" s="31">
        <v>45775</v>
      </c>
      <c r="G42" s="32" t="str">
        <f t="shared" si="1"/>
        <v>слесарь-сборщик</v>
      </c>
      <c r="H42" s="29">
        <f>IF(C42="","",IF(AND(G42="мастер участка",ISNUMBER(SEARCH("РЭО",E42))),29,IFERROR(INDEX(Соответствие!$B$2:$B$100,MATCH(G42,Соответствие!$A$2:$A$100,0)),"?")))</f>
        <v>19</v>
      </c>
      <c r="I42" s="33" t="str">
        <f>IF(C42="","",IFERROR(INDEX(Перечень!$C$6:$C$51,MATCH(H42,Перечень!$A$6:$A$51,0)),""))</f>
        <v>п.4.3.1, п.4.3.2, п.4.4, п.5.1, п.6.2, п.15</v>
      </c>
      <c r="J42" s="29">
        <f>IF(C42="","",IFERROR(INDEX(Перечень!$D$6:$D$51,MATCH(H42,Перечень!$A$6:$A$51,0)),12))</f>
        <v>12</v>
      </c>
      <c r="K42" s="34"/>
      <c r="L42" s="34"/>
      <c r="M42" s="31" t="str">
        <f t="shared" si="2"/>
        <v/>
      </c>
      <c r="N42" s="29" t="str">
        <f>IF(C42="","",IFERROR(INDEX(Перечень!$F$6:$F$51,MATCH(H42,Перечень!$A$6:$A$51,0)),""))</f>
        <v>-</v>
      </c>
      <c r="O42" s="34"/>
      <c r="P42" s="31" t="str">
        <f t="shared" si="3"/>
        <v/>
      </c>
      <c r="Q42" s="29" t="str">
        <f t="shared" si="4"/>
        <v/>
      </c>
      <c r="R42" s="29" t="str">
        <f t="shared" ca="1" si="5"/>
        <v>Нет сведений</v>
      </c>
      <c r="S42" s="29" t="str">
        <f t="shared" si="6"/>
        <v/>
      </c>
    </row>
    <row r="43" spans="1:19" x14ac:dyDescent="0.3">
      <c r="A43" s="29">
        <f t="shared" si="0"/>
        <v>38</v>
      </c>
      <c r="B43" s="30" t="s">
        <v>96</v>
      </c>
      <c r="C43" s="30" t="s">
        <v>188</v>
      </c>
      <c r="D43" s="30" t="s">
        <v>160</v>
      </c>
      <c r="E43" s="30" t="s">
        <v>177</v>
      </c>
      <c r="F43" s="31">
        <v>45775</v>
      </c>
      <c r="G43" s="32" t="str">
        <f t="shared" si="1"/>
        <v>слесарь-сборщик</v>
      </c>
      <c r="H43" s="29">
        <f>IF(C43="","",IF(AND(G43="мастер участка",ISNUMBER(SEARCH("РЭО",E43))),29,IFERROR(INDEX(Соответствие!$B$2:$B$100,MATCH(G43,Соответствие!$A$2:$A$100,0)),"?")))</f>
        <v>19</v>
      </c>
      <c r="I43" s="33" t="str">
        <f>IF(C43="","",IFERROR(INDEX(Перечень!$C$6:$C$51,MATCH(H43,Перечень!$A$6:$A$51,0)),""))</f>
        <v>п.4.3.1, п.4.3.2, п.4.4, п.5.1, п.6.2, п.15</v>
      </c>
      <c r="J43" s="29">
        <f>IF(C43="","",IFERROR(INDEX(Перечень!$D$6:$D$51,MATCH(H43,Перечень!$A$6:$A$51,0)),12))</f>
        <v>12</v>
      </c>
      <c r="K43" s="34"/>
      <c r="L43" s="34"/>
      <c r="M43" s="31" t="str">
        <f t="shared" si="2"/>
        <v/>
      </c>
      <c r="N43" s="29" t="str">
        <f>IF(C43="","",IFERROR(INDEX(Перечень!$F$6:$F$51,MATCH(H43,Перечень!$A$6:$A$51,0)),""))</f>
        <v>-</v>
      </c>
      <c r="O43" s="34"/>
      <c r="P43" s="31" t="str">
        <f t="shared" si="3"/>
        <v/>
      </c>
      <c r="Q43" s="29" t="str">
        <f t="shared" si="4"/>
        <v/>
      </c>
      <c r="R43" s="29" t="str">
        <f t="shared" ca="1" si="5"/>
        <v>Нет сведений</v>
      </c>
      <c r="S43" s="29" t="str">
        <f t="shared" si="6"/>
        <v/>
      </c>
    </row>
    <row r="44" spans="1:19" x14ac:dyDescent="0.3">
      <c r="A44" s="29">
        <f t="shared" si="0"/>
        <v>39</v>
      </c>
      <c r="B44" s="30" t="s">
        <v>96</v>
      </c>
      <c r="C44" s="30" t="s">
        <v>189</v>
      </c>
      <c r="D44" s="30" t="s">
        <v>160</v>
      </c>
      <c r="E44" s="30" t="s">
        <v>177</v>
      </c>
      <c r="F44" s="31">
        <v>45995</v>
      </c>
      <c r="G44" s="32" t="str">
        <f t="shared" si="1"/>
        <v>слесарь-сборщик</v>
      </c>
      <c r="H44" s="29">
        <f>IF(C44="","",IF(AND(G44="мастер участка",ISNUMBER(SEARCH("РЭО",E44))),29,IFERROR(INDEX(Соответствие!$B$2:$B$100,MATCH(G44,Соответствие!$A$2:$A$100,0)),"?")))</f>
        <v>19</v>
      </c>
      <c r="I44" s="33" t="str">
        <f>IF(C44="","",IFERROR(INDEX(Перечень!$C$6:$C$51,MATCH(H44,Перечень!$A$6:$A$51,0)),""))</f>
        <v>п.4.3.1, п.4.3.2, п.4.4, п.5.1, п.6.2, п.15</v>
      </c>
      <c r="J44" s="29">
        <f>IF(C44="","",IFERROR(INDEX(Перечень!$D$6:$D$51,MATCH(H44,Перечень!$A$6:$A$51,0)),12))</f>
        <v>12</v>
      </c>
      <c r="K44" s="34"/>
      <c r="L44" s="34"/>
      <c r="M44" s="31" t="str">
        <f t="shared" si="2"/>
        <v/>
      </c>
      <c r="N44" s="29" t="str">
        <f>IF(C44="","",IFERROR(INDEX(Перечень!$F$6:$F$51,MATCH(H44,Перечень!$A$6:$A$51,0)),""))</f>
        <v>-</v>
      </c>
      <c r="O44" s="34"/>
      <c r="P44" s="31" t="str">
        <f t="shared" si="3"/>
        <v/>
      </c>
      <c r="Q44" s="29" t="str">
        <f t="shared" si="4"/>
        <v/>
      </c>
      <c r="R44" s="29" t="str">
        <f t="shared" ca="1" si="5"/>
        <v>Нет сведений</v>
      </c>
      <c r="S44" s="29" t="str">
        <f t="shared" si="6"/>
        <v/>
      </c>
    </row>
    <row r="45" spans="1:19" x14ac:dyDescent="0.3">
      <c r="A45" s="29">
        <f t="shared" si="0"/>
        <v>40</v>
      </c>
      <c r="B45" s="30" t="s">
        <v>96</v>
      </c>
      <c r="C45" s="30" t="s">
        <v>190</v>
      </c>
      <c r="D45" s="30" t="s">
        <v>160</v>
      </c>
      <c r="E45" s="30" t="s">
        <v>177</v>
      </c>
      <c r="F45" s="31">
        <v>44977</v>
      </c>
      <c r="G45" s="32" t="str">
        <f t="shared" si="1"/>
        <v>слесарь-сборщик</v>
      </c>
      <c r="H45" s="29">
        <f>IF(C45="","",IF(AND(G45="мастер участка",ISNUMBER(SEARCH("РЭО",E45))),29,IFERROR(INDEX(Соответствие!$B$2:$B$100,MATCH(G45,Соответствие!$A$2:$A$100,0)),"?")))</f>
        <v>19</v>
      </c>
      <c r="I45" s="33" t="str">
        <f>IF(C45="","",IFERROR(INDEX(Перечень!$C$6:$C$51,MATCH(H45,Перечень!$A$6:$A$51,0)),""))</f>
        <v>п.4.3.1, п.4.3.2, п.4.4, п.5.1, п.6.2, п.15</v>
      </c>
      <c r="J45" s="29">
        <f>IF(C45="","",IFERROR(INDEX(Перечень!$D$6:$D$51,MATCH(H45,Перечень!$A$6:$A$51,0)),12))</f>
        <v>12</v>
      </c>
      <c r="K45" s="34"/>
      <c r="L45" s="34"/>
      <c r="M45" s="31" t="str">
        <f t="shared" si="2"/>
        <v/>
      </c>
      <c r="N45" s="29" t="str">
        <f>IF(C45="","",IFERROR(INDEX(Перечень!$F$6:$F$51,MATCH(H45,Перечень!$A$6:$A$51,0)),""))</f>
        <v>-</v>
      </c>
      <c r="O45" s="34"/>
      <c r="P45" s="31" t="str">
        <f t="shared" si="3"/>
        <v/>
      </c>
      <c r="Q45" s="29" t="str">
        <f t="shared" si="4"/>
        <v/>
      </c>
      <c r="R45" s="29" t="str">
        <f t="shared" ca="1" si="5"/>
        <v>Нет сведений</v>
      </c>
      <c r="S45" s="29" t="str">
        <f t="shared" si="6"/>
        <v/>
      </c>
    </row>
    <row r="46" spans="1:19" x14ac:dyDescent="0.3">
      <c r="A46" s="29">
        <f t="shared" si="0"/>
        <v>41</v>
      </c>
      <c r="B46" s="30" t="s">
        <v>96</v>
      </c>
      <c r="C46" s="30" t="s">
        <v>191</v>
      </c>
      <c r="D46" s="30" t="s">
        <v>160</v>
      </c>
      <c r="E46" s="30" t="s">
        <v>177</v>
      </c>
      <c r="F46" s="31">
        <v>45567</v>
      </c>
      <c r="G46" s="32" t="str">
        <f t="shared" si="1"/>
        <v>слесарь-сборщик</v>
      </c>
      <c r="H46" s="29">
        <f>IF(C46="","",IF(AND(G46="мастер участка",ISNUMBER(SEARCH("РЭО",E46))),29,IFERROR(INDEX(Соответствие!$B$2:$B$100,MATCH(G46,Соответствие!$A$2:$A$100,0)),"?")))</f>
        <v>19</v>
      </c>
      <c r="I46" s="33" t="str">
        <f>IF(C46="","",IFERROR(INDEX(Перечень!$C$6:$C$51,MATCH(H46,Перечень!$A$6:$A$51,0)),""))</f>
        <v>п.4.3.1, п.4.3.2, п.4.4, п.5.1, п.6.2, п.15</v>
      </c>
      <c r="J46" s="29">
        <f>IF(C46="","",IFERROR(INDEX(Перечень!$D$6:$D$51,MATCH(H46,Перечень!$A$6:$A$51,0)),12))</f>
        <v>12</v>
      </c>
      <c r="K46" s="34"/>
      <c r="L46" s="34"/>
      <c r="M46" s="31" t="str">
        <f t="shared" si="2"/>
        <v/>
      </c>
      <c r="N46" s="29" t="str">
        <f>IF(C46="","",IFERROR(INDEX(Перечень!$F$6:$F$51,MATCH(H46,Перечень!$A$6:$A$51,0)),""))</f>
        <v>-</v>
      </c>
      <c r="O46" s="34"/>
      <c r="P46" s="31" t="str">
        <f t="shared" si="3"/>
        <v/>
      </c>
      <c r="Q46" s="29" t="str">
        <f t="shared" si="4"/>
        <v/>
      </c>
      <c r="R46" s="29" t="str">
        <f t="shared" ca="1" si="5"/>
        <v>Нет сведений</v>
      </c>
      <c r="S46" s="29" t="str">
        <f t="shared" si="6"/>
        <v/>
      </c>
    </row>
    <row r="47" spans="1:19" x14ac:dyDescent="0.3">
      <c r="A47" s="29">
        <f t="shared" si="0"/>
        <v>42</v>
      </c>
      <c r="B47" s="30" t="s">
        <v>96</v>
      </c>
      <c r="C47" s="30" t="s">
        <v>192</v>
      </c>
      <c r="D47" s="30" t="s">
        <v>160</v>
      </c>
      <c r="E47" s="30" t="s">
        <v>177</v>
      </c>
      <c r="F47" s="31">
        <v>45896</v>
      </c>
      <c r="G47" s="32" t="str">
        <f t="shared" si="1"/>
        <v>слесарь-сборщик</v>
      </c>
      <c r="H47" s="29">
        <f>IF(C47="","",IF(AND(G47="мастер участка",ISNUMBER(SEARCH("РЭО",E47))),29,IFERROR(INDEX(Соответствие!$B$2:$B$100,MATCH(G47,Соответствие!$A$2:$A$100,0)),"?")))</f>
        <v>19</v>
      </c>
      <c r="I47" s="33" t="str">
        <f>IF(C47="","",IFERROR(INDEX(Перечень!$C$6:$C$51,MATCH(H47,Перечень!$A$6:$A$51,0)),""))</f>
        <v>п.4.3.1, п.4.3.2, п.4.4, п.5.1, п.6.2, п.15</v>
      </c>
      <c r="J47" s="29">
        <f>IF(C47="","",IFERROR(INDEX(Перечень!$D$6:$D$51,MATCH(H47,Перечень!$A$6:$A$51,0)),12))</f>
        <v>12</v>
      </c>
      <c r="K47" s="34"/>
      <c r="L47" s="34"/>
      <c r="M47" s="31" t="str">
        <f t="shared" si="2"/>
        <v/>
      </c>
      <c r="N47" s="29" t="str">
        <f>IF(C47="","",IFERROR(INDEX(Перечень!$F$6:$F$51,MATCH(H47,Перечень!$A$6:$A$51,0)),""))</f>
        <v>-</v>
      </c>
      <c r="O47" s="34"/>
      <c r="P47" s="31" t="str">
        <f t="shared" si="3"/>
        <v/>
      </c>
      <c r="Q47" s="29" t="str">
        <f t="shared" si="4"/>
        <v/>
      </c>
      <c r="R47" s="29" t="str">
        <f t="shared" ca="1" si="5"/>
        <v>Нет сведений</v>
      </c>
      <c r="S47" s="29" t="str">
        <f t="shared" si="6"/>
        <v/>
      </c>
    </row>
    <row r="48" spans="1:19" x14ac:dyDescent="0.3">
      <c r="A48" s="29">
        <f t="shared" si="0"/>
        <v>43</v>
      </c>
      <c r="B48" s="30" t="s">
        <v>96</v>
      </c>
      <c r="C48" s="30" t="s">
        <v>193</v>
      </c>
      <c r="D48" s="30" t="s">
        <v>173</v>
      </c>
      <c r="E48" s="30" t="s">
        <v>174</v>
      </c>
      <c r="F48" s="31">
        <v>45765</v>
      </c>
      <c r="G48" s="32" t="str">
        <f t="shared" si="1"/>
        <v>слесарь-сборщик</v>
      </c>
      <c r="H48" s="29">
        <f>IF(C48="","",IF(AND(G48="мастер участка",ISNUMBER(SEARCH("РЭО",E48))),29,IFERROR(INDEX(Соответствие!$B$2:$B$100,MATCH(G48,Соответствие!$A$2:$A$100,0)),"?")))</f>
        <v>19</v>
      </c>
      <c r="I48" s="33" t="str">
        <f>IF(C48="","",IFERROR(INDEX(Перечень!$C$6:$C$51,MATCH(H48,Перечень!$A$6:$A$51,0)),""))</f>
        <v>п.4.3.1, п.4.3.2, п.4.4, п.5.1, п.6.2, п.15</v>
      </c>
      <c r="J48" s="29">
        <f>IF(C48="","",IFERROR(INDEX(Перечень!$D$6:$D$51,MATCH(H48,Перечень!$A$6:$A$51,0)),12))</f>
        <v>12</v>
      </c>
      <c r="K48" s="34"/>
      <c r="L48" s="34"/>
      <c r="M48" s="31" t="str">
        <f t="shared" si="2"/>
        <v/>
      </c>
      <c r="N48" s="29" t="str">
        <f>IF(C48="","",IFERROR(INDEX(Перечень!$F$6:$F$51,MATCH(H48,Перечень!$A$6:$A$51,0)),""))</f>
        <v>-</v>
      </c>
      <c r="O48" s="34"/>
      <c r="P48" s="31" t="str">
        <f t="shared" si="3"/>
        <v/>
      </c>
      <c r="Q48" s="29" t="str">
        <f t="shared" si="4"/>
        <v/>
      </c>
      <c r="R48" s="29" t="str">
        <f t="shared" ca="1" si="5"/>
        <v>Нет сведений</v>
      </c>
      <c r="S48" s="29" t="str">
        <f t="shared" si="6"/>
        <v/>
      </c>
    </row>
    <row r="49" spans="1:19" x14ac:dyDescent="0.3">
      <c r="A49" s="29">
        <f t="shared" si="0"/>
        <v>44</v>
      </c>
      <c r="B49" s="30" t="s">
        <v>96</v>
      </c>
      <c r="C49" s="30" t="s">
        <v>194</v>
      </c>
      <c r="D49" s="30" t="s">
        <v>173</v>
      </c>
      <c r="E49" s="30" t="s">
        <v>174</v>
      </c>
      <c r="F49" s="31">
        <v>45666</v>
      </c>
      <c r="G49" s="32" t="str">
        <f t="shared" si="1"/>
        <v>слесарь-сборщик</v>
      </c>
      <c r="H49" s="29">
        <f>IF(C49="","",IF(AND(G49="мастер участка",ISNUMBER(SEARCH("РЭО",E49))),29,IFERROR(INDEX(Соответствие!$B$2:$B$100,MATCH(G49,Соответствие!$A$2:$A$100,0)),"?")))</f>
        <v>19</v>
      </c>
      <c r="I49" s="33" t="str">
        <f>IF(C49="","",IFERROR(INDEX(Перечень!$C$6:$C$51,MATCH(H49,Перечень!$A$6:$A$51,0)),""))</f>
        <v>п.4.3.1, п.4.3.2, п.4.4, п.5.1, п.6.2, п.15</v>
      </c>
      <c r="J49" s="29">
        <f>IF(C49="","",IFERROR(INDEX(Перечень!$D$6:$D$51,MATCH(H49,Перечень!$A$6:$A$51,0)),12))</f>
        <v>12</v>
      </c>
      <c r="K49" s="34"/>
      <c r="L49" s="34"/>
      <c r="M49" s="31" t="str">
        <f t="shared" si="2"/>
        <v/>
      </c>
      <c r="N49" s="29" t="str">
        <f>IF(C49="","",IFERROR(INDEX(Перечень!$F$6:$F$51,MATCH(H49,Перечень!$A$6:$A$51,0)),""))</f>
        <v>-</v>
      </c>
      <c r="O49" s="34"/>
      <c r="P49" s="31" t="str">
        <f t="shared" si="3"/>
        <v/>
      </c>
      <c r="Q49" s="29" t="str">
        <f t="shared" si="4"/>
        <v/>
      </c>
      <c r="R49" s="29" t="str">
        <f t="shared" ca="1" si="5"/>
        <v>Нет сведений</v>
      </c>
      <c r="S49" s="29" t="str">
        <f t="shared" si="6"/>
        <v/>
      </c>
    </row>
    <row r="50" spans="1:19" x14ac:dyDescent="0.3">
      <c r="A50" s="29">
        <f t="shared" si="0"/>
        <v>45</v>
      </c>
      <c r="B50" s="30" t="s">
        <v>96</v>
      </c>
      <c r="C50" s="30" t="s">
        <v>195</v>
      </c>
      <c r="D50" s="30" t="s">
        <v>173</v>
      </c>
      <c r="E50" s="30" t="s">
        <v>174</v>
      </c>
      <c r="F50" s="31">
        <v>46062</v>
      </c>
      <c r="G50" s="32" t="str">
        <f t="shared" si="1"/>
        <v>слесарь-сборщик</v>
      </c>
      <c r="H50" s="29">
        <f>IF(C50="","",IF(AND(G50="мастер участка",ISNUMBER(SEARCH("РЭО",E50))),29,IFERROR(INDEX(Соответствие!$B$2:$B$100,MATCH(G50,Соответствие!$A$2:$A$100,0)),"?")))</f>
        <v>19</v>
      </c>
      <c r="I50" s="33" t="str">
        <f>IF(C50="","",IFERROR(INDEX(Перечень!$C$6:$C$51,MATCH(H50,Перечень!$A$6:$A$51,0)),""))</f>
        <v>п.4.3.1, п.4.3.2, п.4.4, п.5.1, п.6.2, п.15</v>
      </c>
      <c r="J50" s="29">
        <f>IF(C50="","",IFERROR(INDEX(Перечень!$D$6:$D$51,MATCH(H50,Перечень!$A$6:$A$51,0)),12))</f>
        <v>12</v>
      </c>
      <c r="K50" s="34"/>
      <c r="L50" s="34"/>
      <c r="M50" s="31" t="str">
        <f t="shared" si="2"/>
        <v/>
      </c>
      <c r="N50" s="29" t="str">
        <f>IF(C50="","",IFERROR(INDEX(Перечень!$F$6:$F$51,MATCH(H50,Перечень!$A$6:$A$51,0)),""))</f>
        <v>-</v>
      </c>
      <c r="O50" s="34"/>
      <c r="P50" s="31" t="str">
        <f t="shared" si="3"/>
        <v/>
      </c>
      <c r="Q50" s="29" t="str">
        <f t="shared" si="4"/>
        <v/>
      </c>
      <c r="R50" s="29" t="str">
        <f t="shared" ca="1" si="5"/>
        <v>Нет сведений</v>
      </c>
      <c r="S50" s="29" t="str">
        <f t="shared" si="6"/>
        <v/>
      </c>
    </row>
    <row r="51" spans="1:19" x14ac:dyDescent="0.3">
      <c r="A51" s="29">
        <f t="shared" si="0"/>
        <v>46</v>
      </c>
      <c r="B51" s="30" t="s">
        <v>96</v>
      </c>
      <c r="C51" s="30" t="s">
        <v>196</v>
      </c>
      <c r="D51" s="30" t="s">
        <v>197</v>
      </c>
      <c r="E51" s="30" t="s">
        <v>198</v>
      </c>
      <c r="F51" s="31">
        <v>46127</v>
      </c>
      <c r="G51" s="32" t="str">
        <f t="shared" si="1"/>
        <v>кладовщик</v>
      </c>
      <c r="H51" s="29">
        <f>IF(C51="","",IF(AND(G51="мастер участка",ISNUMBER(SEARCH("РЭО",E51))),29,IFERROR(INDEX(Соответствие!$B$2:$B$100,MATCH(G51,Соответствие!$A$2:$A$100,0)),"?")))</f>
        <v>14</v>
      </c>
      <c r="I51" s="33" t="str">
        <f>IF(C51="","",IFERROR(INDEX(Перечень!$C$6:$C$51,MATCH(H51,Перечень!$A$6:$A$51,0)),""))</f>
        <v>п.4.4, п.5.1, п.6.2</v>
      </c>
      <c r="J51" s="29">
        <f>IF(C51="","",IFERROR(INDEX(Перечень!$D$6:$D$51,MATCH(H51,Перечень!$A$6:$A$51,0)),12))</f>
        <v>12</v>
      </c>
      <c r="K51" s="34"/>
      <c r="L51" s="34"/>
      <c r="M51" s="31" t="str">
        <f t="shared" si="2"/>
        <v/>
      </c>
      <c r="N51" s="29" t="str">
        <f>IF(C51="","",IFERROR(INDEX(Перечень!$F$6:$F$51,MATCH(H51,Перечень!$A$6:$A$51,0)),""))</f>
        <v>-</v>
      </c>
      <c r="O51" s="34"/>
      <c r="P51" s="31" t="str">
        <f t="shared" si="3"/>
        <v/>
      </c>
      <c r="Q51" s="29" t="str">
        <f t="shared" si="4"/>
        <v/>
      </c>
      <c r="R51" s="29" t="str">
        <f t="shared" ca="1" si="5"/>
        <v>Нет сведений</v>
      </c>
      <c r="S51" s="29" t="str">
        <f t="shared" si="6"/>
        <v/>
      </c>
    </row>
    <row r="52" spans="1:19" x14ac:dyDescent="0.3">
      <c r="A52" s="29">
        <f t="shared" si="0"/>
        <v>47</v>
      </c>
      <c r="B52" s="30" t="s">
        <v>96</v>
      </c>
      <c r="C52" s="30" t="s">
        <v>199</v>
      </c>
      <c r="D52" s="30" t="s">
        <v>151</v>
      </c>
      <c r="E52" s="30" t="s">
        <v>200</v>
      </c>
      <c r="F52" s="31">
        <v>45852</v>
      </c>
      <c r="G52" s="32" t="str">
        <f t="shared" si="1"/>
        <v>электромонтажник</v>
      </c>
      <c r="H52" s="29">
        <f>IF(C52="","",IF(AND(G52="мастер участка",ISNUMBER(SEARCH("РЭО",E52))),29,IFERROR(INDEX(Соответствие!$B$2:$B$100,MATCH(G52,Соответствие!$A$2:$A$100,0)),"?")))</f>
        <v>20</v>
      </c>
      <c r="I52" s="33" t="str">
        <f>IF(C52="","",IFERROR(INDEX(Перечень!$C$6:$C$51,MATCH(H52,Перечень!$A$6:$A$51,0)),""))</f>
        <v>п.4.3.1, п.4.3.2, п.4.4, п.4.9, п.5.1, п.5.2, п.6.2, п.9</v>
      </c>
      <c r="J52" s="29">
        <f>IF(C52="","",IFERROR(INDEX(Перечень!$D$6:$D$51,MATCH(H52,Перечень!$A$6:$A$51,0)),12))</f>
        <v>12</v>
      </c>
      <c r="K52" s="34"/>
      <c r="L52" s="34"/>
      <c r="M52" s="31" t="str">
        <f t="shared" si="2"/>
        <v/>
      </c>
      <c r="N52" s="29" t="str">
        <f>IF(C52="","",IFERROR(INDEX(Перечень!$F$6:$F$51,MATCH(H52,Перечень!$A$6:$A$51,0)),""))</f>
        <v>Да</v>
      </c>
      <c r="O52" s="34"/>
      <c r="P52" s="31" t="str">
        <f t="shared" si="3"/>
        <v/>
      </c>
      <c r="Q52" s="29" t="str">
        <f t="shared" si="4"/>
        <v/>
      </c>
      <c r="R52" s="29" t="str">
        <f t="shared" ca="1" si="5"/>
        <v>Нет сведений</v>
      </c>
      <c r="S52" s="29" t="str">
        <f t="shared" si="6"/>
        <v>Не пройдено</v>
      </c>
    </row>
    <row r="53" spans="1:19" x14ac:dyDescent="0.3">
      <c r="A53" s="29">
        <f t="shared" si="0"/>
        <v>48</v>
      </c>
      <c r="B53" s="30" t="s">
        <v>96</v>
      </c>
      <c r="C53" s="30" t="s">
        <v>201</v>
      </c>
      <c r="D53" s="30" t="s">
        <v>149</v>
      </c>
      <c r="E53" s="30" t="s">
        <v>200</v>
      </c>
      <c r="F53" s="31">
        <v>46140</v>
      </c>
      <c r="G53" s="32" t="str">
        <f t="shared" si="1"/>
        <v>электромонтажник</v>
      </c>
      <c r="H53" s="29">
        <f>IF(C53="","",IF(AND(G53="мастер участка",ISNUMBER(SEARCH("РЭО",E53))),29,IFERROR(INDEX(Соответствие!$B$2:$B$100,MATCH(G53,Соответствие!$A$2:$A$100,0)),"?")))</f>
        <v>20</v>
      </c>
      <c r="I53" s="33" t="str">
        <f>IF(C53="","",IFERROR(INDEX(Перечень!$C$6:$C$51,MATCH(H53,Перечень!$A$6:$A$51,0)),""))</f>
        <v>п.4.3.1, п.4.3.2, п.4.4, п.4.9, п.5.1, п.5.2, п.6.2, п.9</v>
      </c>
      <c r="J53" s="29">
        <f>IF(C53="","",IFERROR(INDEX(Перечень!$D$6:$D$51,MATCH(H53,Перечень!$A$6:$A$51,0)),12))</f>
        <v>12</v>
      </c>
      <c r="K53" s="34"/>
      <c r="L53" s="34"/>
      <c r="M53" s="31" t="str">
        <f t="shared" si="2"/>
        <v/>
      </c>
      <c r="N53" s="29" t="str">
        <f>IF(C53="","",IFERROR(INDEX(Перечень!$F$6:$F$51,MATCH(H53,Перечень!$A$6:$A$51,0)),""))</f>
        <v>Да</v>
      </c>
      <c r="O53" s="34"/>
      <c r="P53" s="31" t="str">
        <f t="shared" si="3"/>
        <v/>
      </c>
      <c r="Q53" s="29" t="str">
        <f t="shared" si="4"/>
        <v/>
      </c>
      <c r="R53" s="29" t="str">
        <f t="shared" ca="1" si="5"/>
        <v>Нет сведений</v>
      </c>
      <c r="S53" s="29" t="str">
        <f t="shared" si="6"/>
        <v>Не пройдено</v>
      </c>
    </row>
    <row r="54" spans="1:19" x14ac:dyDescent="0.3">
      <c r="A54" s="29">
        <f t="shared" si="0"/>
        <v>49</v>
      </c>
      <c r="B54" s="30" t="s">
        <v>96</v>
      </c>
      <c r="C54" s="30" t="s">
        <v>202</v>
      </c>
      <c r="D54" s="30" t="s">
        <v>149</v>
      </c>
      <c r="E54" s="30" t="s">
        <v>200</v>
      </c>
      <c r="F54" s="31">
        <v>45796</v>
      </c>
      <c r="G54" s="32" t="str">
        <f t="shared" si="1"/>
        <v>электромонтажник</v>
      </c>
      <c r="H54" s="29">
        <f>IF(C54="","",IF(AND(G54="мастер участка",ISNUMBER(SEARCH("РЭО",E54))),29,IFERROR(INDEX(Соответствие!$B$2:$B$100,MATCH(G54,Соответствие!$A$2:$A$100,0)),"?")))</f>
        <v>20</v>
      </c>
      <c r="I54" s="33" t="str">
        <f>IF(C54="","",IFERROR(INDEX(Перечень!$C$6:$C$51,MATCH(H54,Перечень!$A$6:$A$51,0)),""))</f>
        <v>п.4.3.1, п.4.3.2, п.4.4, п.4.9, п.5.1, п.5.2, п.6.2, п.9</v>
      </c>
      <c r="J54" s="29">
        <f>IF(C54="","",IFERROR(INDEX(Перечень!$D$6:$D$51,MATCH(H54,Перечень!$A$6:$A$51,0)),12))</f>
        <v>12</v>
      </c>
      <c r="K54" s="34">
        <v>45784</v>
      </c>
      <c r="L54" s="34"/>
      <c r="M54" s="31">
        <f t="shared" si="2"/>
        <v>46149</v>
      </c>
      <c r="N54" s="29" t="str">
        <f>IF(C54="","",IFERROR(INDEX(Перечень!$F$6:$F$51,MATCH(H54,Перечень!$A$6:$A$51,0)),""))</f>
        <v>Да</v>
      </c>
      <c r="O54" s="34"/>
      <c r="P54" s="31" t="str">
        <f t="shared" si="3"/>
        <v/>
      </c>
      <c r="Q54" s="29" t="str">
        <f t="shared" si="4"/>
        <v/>
      </c>
      <c r="R54" s="29" t="str">
        <f t="shared" ca="1" si="5"/>
        <v>Просрочен</v>
      </c>
      <c r="S54" s="29" t="str">
        <f t="shared" si="6"/>
        <v>Не пройдено</v>
      </c>
    </row>
    <row r="55" spans="1:19" x14ac:dyDescent="0.3">
      <c r="A55" s="29">
        <f t="shared" si="0"/>
        <v>50</v>
      </c>
      <c r="B55" s="30" t="s">
        <v>96</v>
      </c>
      <c r="C55" s="30" t="s">
        <v>203</v>
      </c>
      <c r="D55" s="30" t="s">
        <v>149</v>
      </c>
      <c r="E55" s="30" t="s">
        <v>200</v>
      </c>
      <c r="F55" s="31">
        <v>45873</v>
      </c>
      <c r="G55" s="32" t="str">
        <f t="shared" si="1"/>
        <v>электромонтажник</v>
      </c>
      <c r="H55" s="29">
        <f>IF(C55="","",IF(AND(G55="мастер участка",ISNUMBER(SEARCH("РЭО",E55))),29,IFERROR(INDEX(Соответствие!$B$2:$B$100,MATCH(G55,Соответствие!$A$2:$A$100,0)),"?")))</f>
        <v>20</v>
      </c>
      <c r="I55" s="33" t="str">
        <f>IF(C55="","",IFERROR(INDEX(Перечень!$C$6:$C$51,MATCH(H55,Перечень!$A$6:$A$51,0)),""))</f>
        <v>п.4.3.1, п.4.3.2, п.4.4, п.4.9, п.5.1, п.5.2, п.6.2, п.9</v>
      </c>
      <c r="J55" s="29">
        <f>IF(C55="","",IFERROR(INDEX(Перечень!$D$6:$D$51,MATCH(H55,Перечень!$A$6:$A$51,0)),12))</f>
        <v>12</v>
      </c>
      <c r="K55" s="34"/>
      <c r="L55" s="34"/>
      <c r="M55" s="31" t="str">
        <f t="shared" si="2"/>
        <v/>
      </c>
      <c r="N55" s="29" t="str">
        <f>IF(C55="","",IFERROR(INDEX(Перечень!$F$6:$F$51,MATCH(H55,Перечень!$A$6:$A$51,0)),""))</f>
        <v>Да</v>
      </c>
      <c r="O55" s="34"/>
      <c r="P55" s="31" t="str">
        <f t="shared" si="3"/>
        <v/>
      </c>
      <c r="Q55" s="29" t="str">
        <f t="shared" si="4"/>
        <v/>
      </c>
      <c r="R55" s="29" t="str">
        <f t="shared" ca="1" si="5"/>
        <v>Нет сведений</v>
      </c>
      <c r="S55" s="29" t="str">
        <f t="shared" si="6"/>
        <v>Не пройдено</v>
      </c>
    </row>
    <row r="56" spans="1:19" x14ac:dyDescent="0.3">
      <c r="A56" s="29">
        <f t="shared" si="0"/>
        <v>51</v>
      </c>
      <c r="B56" s="30" t="s">
        <v>96</v>
      </c>
      <c r="C56" s="30" t="s">
        <v>204</v>
      </c>
      <c r="D56" s="30" t="s">
        <v>149</v>
      </c>
      <c r="E56" s="30" t="s">
        <v>200</v>
      </c>
      <c r="F56" s="31">
        <v>45813</v>
      </c>
      <c r="G56" s="32" t="str">
        <f t="shared" si="1"/>
        <v>электромонтажник</v>
      </c>
      <c r="H56" s="29">
        <f>IF(C56="","",IF(AND(G56="мастер участка",ISNUMBER(SEARCH("РЭО",E56))),29,IFERROR(INDEX(Соответствие!$B$2:$B$100,MATCH(G56,Соответствие!$A$2:$A$100,0)),"?")))</f>
        <v>20</v>
      </c>
      <c r="I56" s="33" t="str">
        <f>IF(C56="","",IFERROR(INDEX(Перечень!$C$6:$C$51,MATCH(H56,Перечень!$A$6:$A$51,0)),""))</f>
        <v>п.4.3.1, п.4.3.2, п.4.4, п.4.9, п.5.1, п.5.2, п.6.2, п.9</v>
      </c>
      <c r="J56" s="29">
        <f>IF(C56="","",IFERROR(INDEX(Перечень!$D$6:$D$51,MATCH(H56,Перечень!$A$6:$A$51,0)),12))</f>
        <v>12</v>
      </c>
      <c r="K56" s="34">
        <v>45810</v>
      </c>
      <c r="L56" s="34"/>
      <c r="M56" s="31">
        <f t="shared" si="2"/>
        <v>46175</v>
      </c>
      <c r="N56" s="29" t="str">
        <f>IF(C56="","",IFERROR(INDEX(Перечень!$F$6:$F$51,MATCH(H56,Перечень!$A$6:$A$51,0)),""))</f>
        <v>Да</v>
      </c>
      <c r="O56" s="34"/>
      <c r="P56" s="31" t="str">
        <f t="shared" si="3"/>
        <v/>
      </c>
      <c r="Q56" s="29" t="str">
        <f t="shared" si="4"/>
        <v/>
      </c>
      <c r="R56" s="29" t="str">
        <f t="shared" ca="1" si="5"/>
        <v>Просрочен</v>
      </c>
      <c r="S56" s="29" t="str">
        <f t="shared" si="6"/>
        <v>Не пройдено</v>
      </c>
    </row>
    <row r="57" spans="1:19" x14ac:dyDescent="0.3">
      <c r="A57" s="29">
        <f t="shared" si="0"/>
        <v>52</v>
      </c>
      <c r="B57" s="30" t="s">
        <v>96</v>
      </c>
      <c r="C57" s="30" t="s">
        <v>205</v>
      </c>
      <c r="D57" s="30" t="s">
        <v>149</v>
      </c>
      <c r="E57" s="30" t="s">
        <v>200</v>
      </c>
      <c r="F57" s="31">
        <v>45789</v>
      </c>
      <c r="G57" s="32" t="str">
        <f t="shared" si="1"/>
        <v>электромонтажник</v>
      </c>
      <c r="H57" s="29">
        <f>IF(C57="","",IF(AND(G57="мастер участка",ISNUMBER(SEARCH("РЭО",E57))),29,IFERROR(INDEX(Соответствие!$B$2:$B$100,MATCH(G57,Соответствие!$A$2:$A$100,0)),"?")))</f>
        <v>20</v>
      </c>
      <c r="I57" s="33" t="str">
        <f>IF(C57="","",IFERROR(INDEX(Перечень!$C$6:$C$51,MATCH(H57,Перечень!$A$6:$A$51,0)),""))</f>
        <v>п.4.3.1, п.4.3.2, п.4.4, п.4.9, п.5.1, п.5.2, п.6.2, п.9</v>
      </c>
      <c r="J57" s="29">
        <f>IF(C57="","",IFERROR(INDEX(Перечень!$D$6:$D$51,MATCH(H57,Перечень!$A$6:$A$51,0)),12))</f>
        <v>12</v>
      </c>
      <c r="K57" s="34"/>
      <c r="L57" s="34"/>
      <c r="M57" s="31" t="str">
        <f t="shared" si="2"/>
        <v/>
      </c>
      <c r="N57" s="29" t="str">
        <f>IF(C57="","",IFERROR(INDEX(Перечень!$F$6:$F$51,MATCH(H57,Перечень!$A$6:$A$51,0)),""))</f>
        <v>Да</v>
      </c>
      <c r="O57" s="34"/>
      <c r="P57" s="31" t="str">
        <f t="shared" si="3"/>
        <v/>
      </c>
      <c r="Q57" s="29" t="str">
        <f t="shared" si="4"/>
        <v/>
      </c>
      <c r="R57" s="29" t="str">
        <f t="shared" ca="1" si="5"/>
        <v>Нет сведений</v>
      </c>
      <c r="S57" s="29" t="str">
        <f t="shared" si="6"/>
        <v>Не пройдено</v>
      </c>
    </row>
    <row r="58" spans="1:19" x14ac:dyDescent="0.3">
      <c r="A58" s="29">
        <f t="shared" si="0"/>
        <v>53</v>
      </c>
      <c r="B58" s="30" t="s">
        <v>96</v>
      </c>
      <c r="C58" s="30" t="s">
        <v>206</v>
      </c>
      <c r="D58" s="30" t="s">
        <v>149</v>
      </c>
      <c r="E58" s="30" t="s">
        <v>200</v>
      </c>
      <c r="F58" s="31">
        <v>45769</v>
      </c>
      <c r="G58" s="32" t="str">
        <f t="shared" si="1"/>
        <v>электромонтажник</v>
      </c>
      <c r="H58" s="29">
        <f>IF(C58="","",IF(AND(G58="мастер участка",ISNUMBER(SEARCH("РЭО",E58))),29,IFERROR(INDEX(Соответствие!$B$2:$B$100,MATCH(G58,Соответствие!$A$2:$A$100,0)),"?")))</f>
        <v>20</v>
      </c>
      <c r="I58" s="33" t="str">
        <f>IF(C58="","",IFERROR(INDEX(Перечень!$C$6:$C$51,MATCH(H58,Перечень!$A$6:$A$51,0)),""))</f>
        <v>п.4.3.1, п.4.3.2, п.4.4, п.4.9, п.5.1, п.5.2, п.6.2, п.9</v>
      </c>
      <c r="J58" s="29">
        <f>IF(C58="","",IFERROR(INDEX(Перечень!$D$6:$D$51,MATCH(H58,Перечень!$A$6:$A$51,0)),12))</f>
        <v>12</v>
      </c>
      <c r="K58" s="34"/>
      <c r="L58" s="34"/>
      <c r="M58" s="31" t="str">
        <f t="shared" si="2"/>
        <v/>
      </c>
      <c r="N58" s="29" t="str">
        <f>IF(C58="","",IFERROR(INDEX(Перечень!$F$6:$F$51,MATCH(H58,Перечень!$A$6:$A$51,0)),""))</f>
        <v>Да</v>
      </c>
      <c r="O58" s="34"/>
      <c r="P58" s="31" t="str">
        <f t="shared" si="3"/>
        <v/>
      </c>
      <c r="Q58" s="29" t="str">
        <f t="shared" si="4"/>
        <v/>
      </c>
      <c r="R58" s="29" t="str">
        <f t="shared" ca="1" si="5"/>
        <v>Нет сведений</v>
      </c>
      <c r="S58" s="29" t="str">
        <f t="shared" si="6"/>
        <v>Не пройдено</v>
      </c>
    </row>
    <row r="59" spans="1:19" x14ac:dyDescent="0.3">
      <c r="A59" s="29">
        <f t="shared" si="0"/>
        <v>54</v>
      </c>
      <c r="B59" s="30" t="s">
        <v>96</v>
      </c>
      <c r="C59" s="30" t="s">
        <v>207</v>
      </c>
      <c r="D59" s="30" t="s">
        <v>151</v>
      </c>
      <c r="E59" s="30" t="s">
        <v>200</v>
      </c>
      <c r="F59" s="31">
        <v>45797</v>
      </c>
      <c r="G59" s="32" t="str">
        <f t="shared" si="1"/>
        <v>электромонтажник</v>
      </c>
      <c r="H59" s="29">
        <f>IF(C59="","",IF(AND(G59="мастер участка",ISNUMBER(SEARCH("РЭО",E59))),29,IFERROR(INDEX(Соответствие!$B$2:$B$100,MATCH(G59,Соответствие!$A$2:$A$100,0)),"?")))</f>
        <v>20</v>
      </c>
      <c r="I59" s="33" t="str">
        <f>IF(C59="","",IFERROR(INDEX(Перечень!$C$6:$C$51,MATCH(H59,Перечень!$A$6:$A$51,0)),""))</f>
        <v>п.4.3.1, п.4.3.2, п.4.4, п.4.9, п.5.1, п.5.2, п.6.2, п.9</v>
      </c>
      <c r="J59" s="29">
        <f>IF(C59="","",IFERROR(INDEX(Перечень!$D$6:$D$51,MATCH(H59,Перечень!$A$6:$A$51,0)),12))</f>
        <v>12</v>
      </c>
      <c r="K59" s="34">
        <v>45768</v>
      </c>
      <c r="L59" s="34"/>
      <c r="M59" s="31">
        <f t="shared" si="2"/>
        <v>46133</v>
      </c>
      <c r="N59" s="29" t="str">
        <f>IF(C59="","",IFERROR(INDEX(Перечень!$F$6:$F$51,MATCH(H59,Перечень!$A$6:$A$51,0)),""))</f>
        <v>Да</v>
      </c>
      <c r="O59" s="34"/>
      <c r="P59" s="31" t="str">
        <f t="shared" si="3"/>
        <v/>
      </c>
      <c r="Q59" s="29" t="str">
        <f t="shared" si="4"/>
        <v/>
      </c>
      <c r="R59" s="29" t="str">
        <f t="shared" ca="1" si="5"/>
        <v>Просрочен</v>
      </c>
      <c r="S59" s="29" t="str">
        <f t="shared" si="6"/>
        <v>Не пройдено</v>
      </c>
    </row>
    <row r="60" spans="1:19" x14ac:dyDescent="0.3">
      <c r="A60" s="29">
        <f t="shared" si="0"/>
        <v>55</v>
      </c>
      <c r="B60" s="30" t="s">
        <v>96</v>
      </c>
      <c r="C60" s="30" t="s">
        <v>208</v>
      </c>
      <c r="D60" s="30" t="s">
        <v>151</v>
      </c>
      <c r="E60" s="30" t="s">
        <v>174</v>
      </c>
      <c r="F60" s="31">
        <v>44124</v>
      </c>
      <c r="G60" s="32" t="str">
        <f t="shared" si="1"/>
        <v>электромонтажник</v>
      </c>
      <c r="H60" s="29">
        <f>IF(C60="","",IF(AND(G60="мастер участка",ISNUMBER(SEARCH("РЭО",E60))),29,IFERROR(INDEX(Соответствие!$B$2:$B$100,MATCH(G60,Соответствие!$A$2:$A$100,0)),"?")))</f>
        <v>20</v>
      </c>
      <c r="I60" s="33" t="str">
        <f>IF(C60="","",IFERROR(INDEX(Перечень!$C$6:$C$51,MATCH(H60,Перечень!$A$6:$A$51,0)),""))</f>
        <v>п.4.3.1, п.4.3.2, п.4.4, п.4.9, п.5.1, п.5.2, п.6.2, п.9</v>
      </c>
      <c r="J60" s="29">
        <f>IF(C60="","",IFERROR(INDEX(Перечень!$D$6:$D$51,MATCH(H60,Перечень!$A$6:$A$51,0)),12))</f>
        <v>12</v>
      </c>
      <c r="K60" s="34">
        <v>44662</v>
      </c>
      <c r="L60" s="34"/>
      <c r="M60" s="31">
        <f t="shared" si="2"/>
        <v>45027</v>
      </c>
      <c r="N60" s="29" t="str">
        <f>IF(C60="","",IFERROR(INDEX(Перечень!$F$6:$F$51,MATCH(H60,Перечень!$A$6:$A$51,0)),""))</f>
        <v>Да</v>
      </c>
      <c r="O60" s="34"/>
      <c r="P60" s="31" t="str">
        <f t="shared" si="3"/>
        <v/>
      </c>
      <c r="Q60" s="29" t="str">
        <f t="shared" si="4"/>
        <v>Да</v>
      </c>
      <c r="R60" s="29" t="str">
        <f t="shared" ca="1" si="5"/>
        <v>Просрочен</v>
      </c>
      <c r="S60" s="29" t="str">
        <f t="shared" si="6"/>
        <v>Не пройдено</v>
      </c>
    </row>
    <row r="61" spans="1:19" x14ac:dyDescent="0.3">
      <c r="A61" s="29">
        <f t="shared" si="0"/>
        <v>56</v>
      </c>
      <c r="B61" s="30" t="s">
        <v>96</v>
      </c>
      <c r="C61" s="30" t="s">
        <v>209</v>
      </c>
      <c r="D61" s="30" t="s">
        <v>151</v>
      </c>
      <c r="E61" s="30" t="s">
        <v>200</v>
      </c>
      <c r="F61" s="31">
        <v>45793</v>
      </c>
      <c r="G61" s="32" t="str">
        <f t="shared" si="1"/>
        <v>электромонтажник</v>
      </c>
      <c r="H61" s="29">
        <f>IF(C61="","",IF(AND(G61="мастер участка",ISNUMBER(SEARCH("РЭО",E61))),29,IFERROR(INDEX(Соответствие!$B$2:$B$100,MATCH(G61,Соответствие!$A$2:$A$100,0)),"?")))</f>
        <v>20</v>
      </c>
      <c r="I61" s="33" t="str">
        <f>IF(C61="","",IFERROR(INDEX(Перечень!$C$6:$C$51,MATCH(H61,Перечень!$A$6:$A$51,0)),""))</f>
        <v>п.4.3.1, п.4.3.2, п.4.4, п.4.9, п.5.1, п.5.2, п.6.2, п.9</v>
      </c>
      <c r="J61" s="29">
        <f>IF(C61="","",IFERROR(INDEX(Перечень!$D$6:$D$51,MATCH(H61,Перечень!$A$6:$A$51,0)),12))</f>
        <v>12</v>
      </c>
      <c r="K61" s="34">
        <v>45791</v>
      </c>
      <c r="L61" s="34"/>
      <c r="M61" s="31">
        <f t="shared" si="2"/>
        <v>46156</v>
      </c>
      <c r="N61" s="29" t="str">
        <f>IF(C61="","",IFERROR(INDEX(Перечень!$F$6:$F$51,MATCH(H61,Перечень!$A$6:$A$51,0)),""))</f>
        <v>Да</v>
      </c>
      <c r="O61" s="34"/>
      <c r="P61" s="31" t="str">
        <f t="shared" si="3"/>
        <v/>
      </c>
      <c r="Q61" s="29" t="str">
        <f t="shared" si="4"/>
        <v/>
      </c>
      <c r="R61" s="29" t="str">
        <f t="shared" ca="1" si="5"/>
        <v>Просрочен</v>
      </c>
      <c r="S61" s="29" t="str">
        <f t="shared" si="6"/>
        <v>Не пройдено</v>
      </c>
    </row>
    <row r="62" spans="1:19" x14ac:dyDescent="0.3">
      <c r="A62" s="29">
        <f t="shared" si="0"/>
        <v>57</v>
      </c>
      <c r="B62" s="30" t="s">
        <v>96</v>
      </c>
      <c r="C62" s="30" t="s">
        <v>210</v>
      </c>
      <c r="D62" s="30" t="s">
        <v>151</v>
      </c>
      <c r="E62" s="30" t="s">
        <v>200</v>
      </c>
      <c r="F62" s="31">
        <v>44322</v>
      </c>
      <c r="G62" s="32" t="str">
        <f t="shared" si="1"/>
        <v>электромонтажник</v>
      </c>
      <c r="H62" s="29">
        <f>IF(C62="","",IF(AND(G62="мастер участка",ISNUMBER(SEARCH("РЭО",E62))),29,IFERROR(INDEX(Соответствие!$B$2:$B$100,MATCH(G62,Соответствие!$A$2:$A$100,0)),"?")))</f>
        <v>20</v>
      </c>
      <c r="I62" s="33" t="str">
        <f>IF(C62="","",IFERROR(INDEX(Перечень!$C$6:$C$51,MATCH(H62,Перечень!$A$6:$A$51,0)),""))</f>
        <v>п.4.3.1, п.4.3.2, п.4.4, п.4.9, п.5.1, п.5.2, п.6.2, п.9</v>
      </c>
      <c r="J62" s="29">
        <f>IF(C62="","",IFERROR(INDEX(Перечень!$D$6:$D$51,MATCH(H62,Перечень!$A$6:$A$51,0)),12))</f>
        <v>12</v>
      </c>
      <c r="K62" s="34">
        <v>44662</v>
      </c>
      <c r="L62" s="34"/>
      <c r="M62" s="31">
        <f t="shared" si="2"/>
        <v>45027</v>
      </c>
      <c r="N62" s="29" t="str">
        <f>IF(C62="","",IFERROR(INDEX(Перечень!$F$6:$F$51,MATCH(H62,Перечень!$A$6:$A$51,0)),""))</f>
        <v>Да</v>
      </c>
      <c r="O62" s="34"/>
      <c r="P62" s="31" t="str">
        <f t="shared" si="3"/>
        <v/>
      </c>
      <c r="Q62" s="29" t="str">
        <f t="shared" si="4"/>
        <v>Да</v>
      </c>
      <c r="R62" s="29" t="str">
        <f t="shared" ca="1" si="5"/>
        <v>Просрочен</v>
      </c>
      <c r="S62" s="29" t="str">
        <f t="shared" si="6"/>
        <v>Не пройдено</v>
      </c>
    </row>
    <row r="63" spans="1:19" x14ac:dyDescent="0.3">
      <c r="A63" s="29">
        <f t="shared" si="0"/>
        <v>58</v>
      </c>
      <c r="B63" s="30" t="s">
        <v>96</v>
      </c>
      <c r="C63" s="30" t="s">
        <v>211</v>
      </c>
      <c r="D63" s="30" t="s">
        <v>151</v>
      </c>
      <c r="E63" s="30" t="s">
        <v>200</v>
      </c>
      <c r="F63" s="31">
        <v>45810</v>
      </c>
      <c r="G63" s="32" t="str">
        <f t="shared" si="1"/>
        <v>электромонтажник</v>
      </c>
      <c r="H63" s="29">
        <f>IF(C63="","",IF(AND(G63="мастер участка",ISNUMBER(SEARCH("РЭО",E63))),29,IFERROR(INDEX(Соответствие!$B$2:$B$100,MATCH(G63,Соответствие!$A$2:$A$100,0)),"?")))</f>
        <v>20</v>
      </c>
      <c r="I63" s="33" t="str">
        <f>IF(C63="","",IFERROR(INDEX(Перечень!$C$6:$C$51,MATCH(H63,Перечень!$A$6:$A$51,0)),""))</f>
        <v>п.4.3.1, п.4.3.2, п.4.4, п.4.9, п.5.1, п.5.2, п.6.2, п.9</v>
      </c>
      <c r="J63" s="29">
        <f>IF(C63="","",IFERROR(INDEX(Перечень!$D$6:$D$51,MATCH(H63,Перечень!$A$6:$A$51,0)),12))</f>
        <v>12</v>
      </c>
      <c r="K63" s="34">
        <v>45805</v>
      </c>
      <c r="L63" s="34"/>
      <c r="M63" s="31">
        <f t="shared" si="2"/>
        <v>46170</v>
      </c>
      <c r="N63" s="29" t="str">
        <f>IF(C63="","",IFERROR(INDEX(Перечень!$F$6:$F$51,MATCH(H63,Перечень!$A$6:$A$51,0)),""))</f>
        <v>Да</v>
      </c>
      <c r="O63" s="34"/>
      <c r="P63" s="31" t="str">
        <f t="shared" si="3"/>
        <v/>
      </c>
      <c r="Q63" s="29" t="str">
        <f t="shared" si="4"/>
        <v/>
      </c>
      <c r="R63" s="29" t="str">
        <f t="shared" ca="1" si="5"/>
        <v>Просрочен</v>
      </c>
      <c r="S63" s="29" t="str">
        <f t="shared" si="6"/>
        <v>Не пройдено</v>
      </c>
    </row>
    <row r="64" spans="1:19" x14ac:dyDescent="0.3">
      <c r="A64" s="29">
        <f t="shared" si="0"/>
        <v>59</v>
      </c>
      <c r="B64" s="30" t="s">
        <v>96</v>
      </c>
      <c r="C64" s="30" t="s">
        <v>212</v>
      </c>
      <c r="D64" s="30" t="s">
        <v>151</v>
      </c>
      <c r="E64" s="30" t="s">
        <v>200</v>
      </c>
      <c r="F64" s="31">
        <v>45846</v>
      </c>
      <c r="G64" s="32" t="str">
        <f t="shared" si="1"/>
        <v>электромонтажник</v>
      </c>
      <c r="H64" s="29">
        <f>IF(C64="","",IF(AND(G64="мастер участка",ISNUMBER(SEARCH("РЭО",E64))),29,IFERROR(INDEX(Соответствие!$B$2:$B$100,MATCH(G64,Соответствие!$A$2:$A$100,0)),"?")))</f>
        <v>20</v>
      </c>
      <c r="I64" s="33" t="str">
        <f>IF(C64="","",IFERROR(INDEX(Перечень!$C$6:$C$51,MATCH(H64,Перечень!$A$6:$A$51,0)),""))</f>
        <v>п.4.3.1, п.4.3.2, п.4.4, п.4.9, п.5.1, п.5.2, п.6.2, п.9</v>
      </c>
      <c r="J64" s="29">
        <f>IF(C64="","",IFERROR(INDEX(Перечень!$D$6:$D$51,MATCH(H64,Перечень!$A$6:$A$51,0)),12))</f>
        <v>12</v>
      </c>
      <c r="K64" s="34"/>
      <c r="L64" s="34"/>
      <c r="M64" s="31" t="str">
        <f t="shared" si="2"/>
        <v/>
      </c>
      <c r="N64" s="29" t="str">
        <f>IF(C64="","",IFERROR(INDEX(Перечень!$F$6:$F$51,MATCH(H64,Перечень!$A$6:$A$51,0)),""))</f>
        <v>Да</v>
      </c>
      <c r="O64" s="34"/>
      <c r="P64" s="31" t="str">
        <f t="shared" si="3"/>
        <v/>
      </c>
      <c r="Q64" s="29" t="str">
        <f t="shared" si="4"/>
        <v/>
      </c>
      <c r="R64" s="29" t="str">
        <f t="shared" ca="1" si="5"/>
        <v>Нет сведений</v>
      </c>
      <c r="S64" s="29" t="str">
        <f t="shared" si="6"/>
        <v>Не пройдено</v>
      </c>
    </row>
    <row r="65" spans="1:19" x14ac:dyDescent="0.3">
      <c r="A65" s="29">
        <f t="shared" si="0"/>
        <v>60</v>
      </c>
      <c r="B65" s="30" t="s">
        <v>96</v>
      </c>
      <c r="C65" s="30" t="s">
        <v>213</v>
      </c>
      <c r="D65" s="30" t="s">
        <v>151</v>
      </c>
      <c r="E65" s="30" t="s">
        <v>200</v>
      </c>
      <c r="F65" s="31">
        <v>44153</v>
      </c>
      <c r="G65" s="32" t="str">
        <f t="shared" si="1"/>
        <v>электромонтажник</v>
      </c>
      <c r="H65" s="29">
        <f>IF(C65="","",IF(AND(G65="мастер участка",ISNUMBER(SEARCH("РЭО",E65))),29,IFERROR(INDEX(Соответствие!$B$2:$B$100,MATCH(G65,Соответствие!$A$2:$A$100,0)),"?")))</f>
        <v>20</v>
      </c>
      <c r="I65" s="33" t="str">
        <f>IF(C65="","",IFERROR(INDEX(Перечень!$C$6:$C$51,MATCH(H65,Перечень!$A$6:$A$51,0)),""))</f>
        <v>п.4.3.1, п.4.3.2, п.4.4, п.4.9, п.5.1, п.5.2, п.6.2, п.9</v>
      </c>
      <c r="J65" s="29">
        <f>IF(C65="","",IFERROR(INDEX(Перечень!$D$6:$D$51,MATCH(H65,Перечень!$A$6:$A$51,0)),12))</f>
        <v>12</v>
      </c>
      <c r="K65" s="34">
        <v>44662</v>
      </c>
      <c r="L65" s="34"/>
      <c r="M65" s="31">
        <f t="shared" si="2"/>
        <v>45027</v>
      </c>
      <c r="N65" s="29" t="str">
        <f>IF(C65="","",IFERROR(INDEX(Перечень!$F$6:$F$51,MATCH(H65,Перечень!$A$6:$A$51,0)),""))</f>
        <v>Да</v>
      </c>
      <c r="O65" s="34"/>
      <c r="P65" s="31" t="str">
        <f t="shared" si="3"/>
        <v/>
      </c>
      <c r="Q65" s="29" t="str">
        <f t="shared" si="4"/>
        <v>Да</v>
      </c>
      <c r="R65" s="29" t="str">
        <f t="shared" ca="1" si="5"/>
        <v>Просрочен</v>
      </c>
      <c r="S65" s="29" t="str">
        <f t="shared" si="6"/>
        <v>Не пройдено</v>
      </c>
    </row>
    <row r="66" spans="1:19" x14ac:dyDescent="0.3">
      <c r="A66" s="29">
        <f t="shared" si="0"/>
        <v>61</v>
      </c>
      <c r="B66" s="30" t="s">
        <v>96</v>
      </c>
      <c r="C66" s="30" t="s">
        <v>214</v>
      </c>
      <c r="D66" s="30" t="s">
        <v>151</v>
      </c>
      <c r="E66" s="30" t="s">
        <v>200</v>
      </c>
      <c r="F66" s="31">
        <v>45806</v>
      </c>
      <c r="G66" s="32" t="str">
        <f t="shared" si="1"/>
        <v>электромонтажник</v>
      </c>
      <c r="H66" s="29">
        <f>IF(C66="","",IF(AND(G66="мастер участка",ISNUMBER(SEARCH("РЭО",E66))),29,IFERROR(INDEX(Соответствие!$B$2:$B$100,MATCH(G66,Соответствие!$A$2:$A$100,0)),"?")))</f>
        <v>20</v>
      </c>
      <c r="I66" s="33" t="str">
        <f>IF(C66="","",IFERROR(INDEX(Перечень!$C$6:$C$51,MATCH(H66,Перечень!$A$6:$A$51,0)),""))</f>
        <v>п.4.3.1, п.4.3.2, п.4.4, п.4.9, п.5.1, п.5.2, п.6.2, п.9</v>
      </c>
      <c r="J66" s="29">
        <f>IF(C66="","",IFERROR(INDEX(Перечень!$D$6:$D$51,MATCH(H66,Перечень!$A$6:$A$51,0)),12))</f>
        <v>12</v>
      </c>
      <c r="K66" s="34">
        <v>45784</v>
      </c>
      <c r="L66" s="34"/>
      <c r="M66" s="31">
        <f t="shared" si="2"/>
        <v>46149</v>
      </c>
      <c r="N66" s="29" t="str">
        <f>IF(C66="","",IFERROR(INDEX(Перечень!$F$6:$F$51,MATCH(H66,Перечень!$A$6:$A$51,0)),""))</f>
        <v>Да</v>
      </c>
      <c r="O66" s="34"/>
      <c r="P66" s="31" t="str">
        <f t="shared" si="3"/>
        <v/>
      </c>
      <c r="Q66" s="29" t="str">
        <f t="shared" si="4"/>
        <v/>
      </c>
      <c r="R66" s="29" t="str">
        <f t="shared" ca="1" si="5"/>
        <v>Просрочен</v>
      </c>
      <c r="S66" s="29" t="str">
        <f t="shared" si="6"/>
        <v>Не пройдено</v>
      </c>
    </row>
    <row r="67" spans="1:19" x14ac:dyDescent="0.3">
      <c r="A67" s="29">
        <f t="shared" si="0"/>
        <v>62</v>
      </c>
      <c r="B67" s="30" t="s">
        <v>96</v>
      </c>
      <c r="C67" s="30" t="s">
        <v>215</v>
      </c>
      <c r="D67" s="30" t="s">
        <v>216</v>
      </c>
      <c r="E67" s="30" t="s">
        <v>174</v>
      </c>
      <c r="F67" s="31">
        <v>45782</v>
      </c>
      <c r="G67" s="32" t="str">
        <f t="shared" si="1"/>
        <v>слесарь-сборщик</v>
      </c>
      <c r="H67" s="29">
        <f>IF(C67="","",IF(AND(G67="мастер участка",ISNUMBER(SEARCH("РЭО",E67))),29,IFERROR(INDEX(Соответствие!$B$2:$B$100,MATCH(G67,Соответствие!$A$2:$A$100,0)),"?")))</f>
        <v>19</v>
      </c>
      <c r="I67" s="33" t="str">
        <f>IF(C67="","",IFERROR(INDEX(Перечень!$C$6:$C$51,MATCH(H67,Перечень!$A$6:$A$51,0)),""))</f>
        <v>п.4.3.1, п.4.3.2, п.4.4, п.5.1, п.6.2, п.15</v>
      </c>
      <c r="J67" s="29">
        <f>IF(C67="","",IFERROR(INDEX(Перечень!$D$6:$D$51,MATCH(H67,Перечень!$A$6:$A$51,0)),12))</f>
        <v>12</v>
      </c>
      <c r="K67" s="34"/>
      <c r="L67" s="34"/>
      <c r="M67" s="31" t="str">
        <f t="shared" si="2"/>
        <v/>
      </c>
      <c r="N67" s="29" t="str">
        <f>IF(C67="","",IFERROR(INDEX(Перечень!$F$6:$F$51,MATCH(H67,Перечень!$A$6:$A$51,0)),""))</f>
        <v>-</v>
      </c>
      <c r="O67" s="34"/>
      <c r="P67" s="31" t="str">
        <f t="shared" si="3"/>
        <v/>
      </c>
      <c r="Q67" s="29" t="str">
        <f t="shared" si="4"/>
        <v/>
      </c>
      <c r="R67" s="29" t="str">
        <f t="shared" ca="1" si="5"/>
        <v>Нет сведений</v>
      </c>
      <c r="S67" s="29" t="str">
        <f t="shared" si="6"/>
        <v/>
      </c>
    </row>
    <row r="68" spans="1:19" x14ac:dyDescent="0.3">
      <c r="A68" s="29">
        <f t="shared" si="0"/>
        <v>63</v>
      </c>
      <c r="B68" s="30" t="s">
        <v>96</v>
      </c>
      <c r="C68" s="30" t="s">
        <v>217</v>
      </c>
      <c r="D68" s="30" t="s">
        <v>157</v>
      </c>
      <c r="E68" s="30" t="s">
        <v>177</v>
      </c>
      <c r="F68" s="31">
        <v>45852</v>
      </c>
      <c r="G68" s="32" t="str">
        <f t="shared" si="1"/>
        <v>слесарь-сборщик</v>
      </c>
      <c r="H68" s="29">
        <f>IF(C68="","",IF(AND(G68="мастер участка",ISNUMBER(SEARCH("РЭО",E68))),29,IFERROR(INDEX(Соответствие!$B$2:$B$100,MATCH(G68,Соответствие!$A$2:$A$100,0)),"?")))</f>
        <v>19</v>
      </c>
      <c r="I68" s="33" t="str">
        <f>IF(C68="","",IFERROR(INDEX(Перечень!$C$6:$C$51,MATCH(H68,Перечень!$A$6:$A$51,0)),""))</f>
        <v>п.4.3.1, п.4.3.2, п.4.4, п.5.1, п.6.2, п.15</v>
      </c>
      <c r="J68" s="29">
        <f>IF(C68="","",IFERROR(INDEX(Перечень!$D$6:$D$51,MATCH(H68,Перечень!$A$6:$A$51,0)),12))</f>
        <v>12</v>
      </c>
      <c r="K68" s="34"/>
      <c r="L68" s="34"/>
      <c r="M68" s="31" t="str">
        <f t="shared" si="2"/>
        <v/>
      </c>
      <c r="N68" s="29" t="str">
        <f>IF(C68="","",IFERROR(INDEX(Перечень!$F$6:$F$51,MATCH(H68,Перечень!$A$6:$A$51,0)),""))</f>
        <v>-</v>
      </c>
      <c r="O68" s="34"/>
      <c r="P68" s="31" t="str">
        <f t="shared" si="3"/>
        <v/>
      </c>
      <c r="Q68" s="29" t="str">
        <f t="shared" si="4"/>
        <v/>
      </c>
      <c r="R68" s="29" t="str">
        <f t="shared" ca="1" si="5"/>
        <v>Нет сведений</v>
      </c>
      <c r="S68" s="29" t="str">
        <f t="shared" si="6"/>
        <v/>
      </c>
    </row>
    <row r="69" spans="1:19" x14ac:dyDescent="0.3">
      <c r="A69" s="29">
        <f t="shared" si="0"/>
        <v>64</v>
      </c>
      <c r="B69" s="30" t="s">
        <v>96</v>
      </c>
      <c r="C69" s="30" t="s">
        <v>218</v>
      </c>
      <c r="D69" s="30" t="s">
        <v>157</v>
      </c>
      <c r="E69" s="30" t="s">
        <v>177</v>
      </c>
      <c r="F69" s="31">
        <v>45915</v>
      </c>
      <c r="G69" s="32" t="str">
        <f t="shared" si="1"/>
        <v>слесарь-сборщик</v>
      </c>
      <c r="H69" s="29">
        <f>IF(C69="","",IF(AND(G69="мастер участка",ISNUMBER(SEARCH("РЭО",E69))),29,IFERROR(INDEX(Соответствие!$B$2:$B$100,MATCH(G69,Соответствие!$A$2:$A$100,0)),"?")))</f>
        <v>19</v>
      </c>
      <c r="I69" s="33" t="str">
        <f>IF(C69="","",IFERROR(INDEX(Перечень!$C$6:$C$51,MATCH(H69,Перечень!$A$6:$A$51,0)),""))</f>
        <v>п.4.3.1, п.4.3.2, п.4.4, п.5.1, п.6.2, п.15</v>
      </c>
      <c r="J69" s="29">
        <f>IF(C69="","",IFERROR(INDEX(Перечень!$D$6:$D$51,MATCH(H69,Перечень!$A$6:$A$51,0)),12))</f>
        <v>12</v>
      </c>
      <c r="K69" s="34"/>
      <c r="L69" s="34"/>
      <c r="M69" s="31" t="str">
        <f t="shared" si="2"/>
        <v/>
      </c>
      <c r="N69" s="29" t="str">
        <f>IF(C69="","",IFERROR(INDEX(Перечень!$F$6:$F$51,MATCH(H69,Перечень!$A$6:$A$51,0)),""))</f>
        <v>-</v>
      </c>
      <c r="O69" s="34"/>
      <c r="P69" s="31" t="str">
        <f t="shared" si="3"/>
        <v/>
      </c>
      <c r="Q69" s="29" t="str">
        <f t="shared" si="4"/>
        <v/>
      </c>
      <c r="R69" s="29" t="str">
        <f t="shared" ca="1" si="5"/>
        <v>Нет сведений</v>
      </c>
      <c r="S69" s="29" t="str">
        <f t="shared" si="6"/>
        <v/>
      </c>
    </row>
    <row r="70" spans="1:19" x14ac:dyDescent="0.3">
      <c r="A70" s="29">
        <f t="shared" ref="A70:A133" si="7">IF(C70="","",ROW()-5)</f>
        <v>65</v>
      </c>
      <c r="B70" s="30" t="s">
        <v>96</v>
      </c>
      <c r="C70" s="30" t="s">
        <v>219</v>
      </c>
      <c r="D70" s="30" t="s">
        <v>220</v>
      </c>
      <c r="E70" s="30" t="s">
        <v>174</v>
      </c>
      <c r="F70" s="31">
        <v>45425</v>
      </c>
      <c r="G70" s="32" t="str">
        <f t="shared" ref="G70:G133" si="8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29">
        <f>IF(C70="","",IF(AND(G70="мастер участка",ISNUMBER(SEARCH("РЭО",E70))),29,IFERROR(INDEX(Соответствие!$B$2:$B$100,MATCH(G70,Соответствие!$A$2:$A$100,0)),"?")))</f>
        <v>19</v>
      </c>
      <c r="I70" s="33" t="str">
        <f>IF(C70="","",IFERROR(INDEX(Перечень!$C$6:$C$51,MATCH(H70,Перечень!$A$6:$A$51,0)),""))</f>
        <v>п.4.3.1, п.4.3.2, п.4.4, п.5.1, п.6.2, п.15</v>
      </c>
      <c r="J70" s="29">
        <f>IF(C70="","",IFERROR(INDEX(Перечень!$D$6:$D$51,MATCH(H70,Перечень!$A$6:$A$51,0)),12))</f>
        <v>12</v>
      </c>
      <c r="K70" s="34">
        <v>45461</v>
      </c>
      <c r="L70" s="34"/>
      <c r="M70" s="31">
        <f t="shared" ref="M70:M133" si="9">IF(AND(K70="",L70=""),"",EDATE(MAX(K70,L70),J70))</f>
        <v>45826</v>
      </c>
      <c r="N70" s="29" t="str">
        <f>IF(C70="","",IFERROR(INDEX(Перечень!$F$6:$F$51,MATCH(H70,Перечень!$A$6:$A$51,0)),""))</f>
        <v>-</v>
      </c>
      <c r="O70" s="34"/>
      <c r="P70" s="31" t="str">
        <f t="shared" ref="P70:P133" si="10">IF(O70="","",EDATE(O70,60))</f>
        <v/>
      </c>
      <c r="Q70" s="29" t="str">
        <f t="shared" ref="Q70:Q133" si="11">IF(AND(K70&lt;&gt;"",F70&lt;&gt;"",K70&gt;F70),"Да","")</f>
        <v>Да</v>
      </c>
      <c r="R70" s="29" t="str">
        <f t="shared" ref="R70:R133" ca="1" si="12">IF(C70="","",IF(M70="","Нет сведений",IF(M70&lt;TODAY(),"Просрочен",IF(M70-TODAY()&lt;=30,"Истекает","В срок"))))</f>
        <v>Просрочен</v>
      </c>
      <c r="S70" s="29" t="str">
        <f t="shared" ref="S70:S133" si="13">IF(AND(N70="Да",O70=""),"Не пройдено","")</f>
        <v/>
      </c>
    </row>
    <row r="71" spans="1:19" x14ac:dyDescent="0.3">
      <c r="A71" s="29">
        <f t="shared" si="7"/>
        <v>66</v>
      </c>
      <c r="B71" s="30" t="s">
        <v>96</v>
      </c>
      <c r="C71" s="30" t="s">
        <v>221</v>
      </c>
      <c r="D71" s="30" t="s">
        <v>220</v>
      </c>
      <c r="E71" s="30" t="s">
        <v>174</v>
      </c>
      <c r="F71" s="31">
        <v>44368</v>
      </c>
      <c r="G71" s="32" t="str">
        <f t="shared" si="8"/>
        <v>слесарь-сборщик</v>
      </c>
      <c r="H71" s="29">
        <f>IF(C71="","",IF(AND(G71="мастер участка",ISNUMBER(SEARCH("РЭО",E71))),29,IFERROR(INDEX(Соответствие!$B$2:$B$100,MATCH(G71,Соответствие!$A$2:$A$100,0)),"?")))</f>
        <v>19</v>
      </c>
      <c r="I71" s="33" t="str">
        <f>IF(C71="","",IFERROR(INDEX(Перечень!$C$6:$C$51,MATCH(H71,Перечень!$A$6:$A$51,0)),""))</f>
        <v>п.4.3.1, п.4.3.2, п.4.4, п.5.1, п.6.2, п.15</v>
      </c>
      <c r="J71" s="29">
        <f>IF(C71="","",IFERROR(INDEX(Перечень!$D$6:$D$51,MATCH(H71,Перечень!$A$6:$A$51,0)),12))</f>
        <v>12</v>
      </c>
      <c r="K71" s="34"/>
      <c r="L71" s="34"/>
      <c r="M71" s="31" t="str">
        <f t="shared" si="9"/>
        <v/>
      </c>
      <c r="N71" s="29" t="str">
        <f>IF(C71="","",IFERROR(INDEX(Перечень!$F$6:$F$51,MATCH(H71,Перечень!$A$6:$A$51,0)),""))</f>
        <v>-</v>
      </c>
      <c r="O71" s="34"/>
      <c r="P71" s="31" t="str">
        <f t="shared" si="10"/>
        <v/>
      </c>
      <c r="Q71" s="29" t="str">
        <f t="shared" si="11"/>
        <v/>
      </c>
      <c r="R71" s="29" t="str">
        <f t="shared" ca="1" si="12"/>
        <v>Нет сведений</v>
      </c>
      <c r="S71" s="29" t="str">
        <f t="shared" si="13"/>
        <v/>
      </c>
    </row>
    <row r="72" spans="1:19" x14ac:dyDescent="0.3">
      <c r="A72" s="29">
        <f t="shared" si="7"/>
        <v>67</v>
      </c>
      <c r="B72" s="30" t="s">
        <v>96</v>
      </c>
      <c r="C72" s="30" t="s">
        <v>222</v>
      </c>
      <c r="D72" s="30" t="s">
        <v>157</v>
      </c>
      <c r="E72" s="30" t="s">
        <v>177</v>
      </c>
      <c r="F72" s="31">
        <v>44600</v>
      </c>
      <c r="G72" s="32" t="str">
        <f t="shared" si="8"/>
        <v>слесарь-сборщик</v>
      </c>
      <c r="H72" s="29">
        <f>IF(C72="","",IF(AND(G72="мастер участка",ISNUMBER(SEARCH("РЭО",E72))),29,IFERROR(INDEX(Соответствие!$B$2:$B$100,MATCH(G72,Соответствие!$A$2:$A$100,0)),"?")))</f>
        <v>19</v>
      </c>
      <c r="I72" s="33" t="str">
        <f>IF(C72="","",IFERROR(INDEX(Перечень!$C$6:$C$51,MATCH(H72,Перечень!$A$6:$A$51,0)),""))</f>
        <v>п.4.3.1, п.4.3.2, п.4.4, п.5.1, п.6.2, п.15</v>
      </c>
      <c r="J72" s="29">
        <f>IF(C72="","",IFERROR(INDEX(Перечень!$D$6:$D$51,MATCH(H72,Перечень!$A$6:$A$51,0)),12))</f>
        <v>12</v>
      </c>
      <c r="K72" s="34"/>
      <c r="L72" s="34"/>
      <c r="M72" s="31" t="str">
        <f t="shared" si="9"/>
        <v/>
      </c>
      <c r="N72" s="29" t="str">
        <f>IF(C72="","",IFERROR(INDEX(Перечень!$F$6:$F$51,MATCH(H72,Перечень!$A$6:$A$51,0)),""))</f>
        <v>-</v>
      </c>
      <c r="O72" s="34"/>
      <c r="P72" s="31" t="str">
        <f t="shared" si="10"/>
        <v/>
      </c>
      <c r="Q72" s="29" t="str">
        <f t="shared" si="11"/>
        <v/>
      </c>
      <c r="R72" s="29" t="str">
        <f t="shared" ca="1" si="12"/>
        <v>Нет сведений</v>
      </c>
      <c r="S72" s="29" t="str">
        <f t="shared" si="13"/>
        <v/>
      </c>
    </row>
    <row r="73" spans="1:19" x14ac:dyDescent="0.3">
      <c r="A73" s="29">
        <f t="shared" si="7"/>
        <v>68</v>
      </c>
      <c r="B73" s="30" t="s">
        <v>96</v>
      </c>
      <c r="C73" s="30" t="s">
        <v>223</v>
      </c>
      <c r="D73" s="30" t="s">
        <v>157</v>
      </c>
      <c r="E73" s="30" t="s">
        <v>177</v>
      </c>
      <c r="F73" s="31">
        <v>45873</v>
      </c>
      <c r="G73" s="32" t="str">
        <f t="shared" si="8"/>
        <v>слесарь-сборщик</v>
      </c>
      <c r="H73" s="29">
        <f>IF(C73="","",IF(AND(G73="мастер участка",ISNUMBER(SEARCH("РЭО",E73))),29,IFERROR(INDEX(Соответствие!$B$2:$B$100,MATCH(G73,Соответствие!$A$2:$A$100,0)),"?")))</f>
        <v>19</v>
      </c>
      <c r="I73" s="33" t="str">
        <f>IF(C73="","",IFERROR(INDEX(Перечень!$C$6:$C$51,MATCH(H73,Перечень!$A$6:$A$51,0)),""))</f>
        <v>п.4.3.1, п.4.3.2, п.4.4, п.5.1, п.6.2, п.15</v>
      </c>
      <c r="J73" s="29">
        <f>IF(C73="","",IFERROR(INDEX(Перечень!$D$6:$D$51,MATCH(H73,Перечень!$A$6:$A$51,0)),12))</f>
        <v>12</v>
      </c>
      <c r="K73" s="34"/>
      <c r="L73" s="34"/>
      <c r="M73" s="31" t="str">
        <f t="shared" si="9"/>
        <v/>
      </c>
      <c r="N73" s="29" t="str">
        <f>IF(C73="","",IFERROR(INDEX(Перечень!$F$6:$F$51,MATCH(H73,Перечень!$A$6:$A$51,0)),""))</f>
        <v>-</v>
      </c>
      <c r="O73" s="34"/>
      <c r="P73" s="31" t="str">
        <f t="shared" si="10"/>
        <v/>
      </c>
      <c r="Q73" s="29" t="str">
        <f t="shared" si="11"/>
        <v/>
      </c>
      <c r="R73" s="29" t="str">
        <f t="shared" ca="1" si="12"/>
        <v>Нет сведений</v>
      </c>
      <c r="S73" s="29" t="str">
        <f t="shared" si="13"/>
        <v/>
      </c>
    </row>
    <row r="74" spans="1:19" x14ac:dyDescent="0.3">
      <c r="A74" s="29">
        <f t="shared" si="7"/>
        <v>69</v>
      </c>
      <c r="B74" s="30" t="s">
        <v>96</v>
      </c>
      <c r="C74" s="30" t="s">
        <v>224</v>
      </c>
      <c r="D74" s="30" t="s">
        <v>157</v>
      </c>
      <c r="E74" s="30" t="s">
        <v>177</v>
      </c>
      <c r="F74" s="31">
        <v>45425</v>
      </c>
      <c r="G74" s="32" t="str">
        <f t="shared" si="8"/>
        <v>слесарь-сборщик</v>
      </c>
      <c r="H74" s="29">
        <f>IF(C74="","",IF(AND(G74="мастер участка",ISNUMBER(SEARCH("РЭО",E74))),29,IFERROR(INDEX(Соответствие!$B$2:$B$100,MATCH(G74,Соответствие!$A$2:$A$100,0)),"?")))</f>
        <v>19</v>
      </c>
      <c r="I74" s="33" t="str">
        <f>IF(C74="","",IFERROR(INDEX(Перечень!$C$6:$C$51,MATCH(H74,Перечень!$A$6:$A$51,0)),""))</f>
        <v>п.4.3.1, п.4.3.2, п.4.4, п.5.1, п.6.2, п.15</v>
      </c>
      <c r="J74" s="29">
        <f>IF(C74="","",IFERROR(INDEX(Перечень!$D$6:$D$51,MATCH(H74,Перечень!$A$6:$A$51,0)),12))</f>
        <v>12</v>
      </c>
      <c r="K74" s="34"/>
      <c r="L74" s="34"/>
      <c r="M74" s="31" t="str">
        <f t="shared" si="9"/>
        <v/>
      </c>
      <c r="N74" s="29" t="str">
        <f>IF(C74="","",IFERROR(INDEX(Перечень!$F$6:$F$51,MATCH(H74,Перечень!$A$6:$A$51,0)),""))</f>
        <v>-</v>
      </c>
      <c r="O74" s="34"/>
      <c r="P74" s="31" t="str">
        <f t="shared" si="10"/>
        <v/>
      </c>
      <c r="Q74" s="29" t="str">
        <f t="shared" si="11"/>
        <v/>
      </c>
      <c r="R74" s="29" t="str">
        <f t="shared" ca="1" si="12"/>
        <v>Нет сведений</v>
      </c>
      <c r="S74" s="29" t="str">
        <f t="shared" si="13"/>
        <v/>
      </c>
    </row>
    <row r="75" spans="1:19" x14ac:dyDescent="0.3">
      <c r="A75" s="29">
        <f t="shared" si="7"/>
        <v>70</v>
      </c>
      <c r="B75" s="30" t="s">
        <v>96</v>
      </c>
      <c r="C75" s="30" t="s">
        <v>225</v>
      </c>
      <c r="D75" s="30" t="s">
        <v>157</v>
      </c>
      <c r="E75" s="30" t="s">
        <v>177</v>
      </c>
      <c r="F75" s="31">
        <v>45917</v>
      </c>
      <c r="G75" s="32" t="str">
        <f t="shared" si="8"/>
        <v>слесарь-сборщик</v>
      </c>
      <c r="H75" s="29">
        <f>IF(C75="","",IF(AND(G75="мастер участка",ISNUMBER(SEARCH("РЭО",E75))),29,IFERROR(INDEX(Соответствие!$B$2:$B$100,MATCH(G75,Соответствие!$A$2:$A$100,0)),"?")))</f>
        <v>19</v>
      </c>
      <c r="I75" s="33" t="str">
        <f>IF(C75="","",IFERROR(INDEX(Перечень!$C$6:$C$51,MATCH(H75,Перечень!$A$6:$A$51,0)),""))</f>
        <v>п.4.3.1, п.4.3.2, п.4.4, п.5.1, п.6.2, п.15</v>
      </c>
      <c r="J75" s="29">
        <f>IF(C75="","",IFERROR(INDEX(Перечень!$D$6:$D$51,MATCH(H75,Перечень!$A$6:$A$51,0)),12))</f>
        <v>12</v>
      </c>
      <c r="K75" s="34">
        <v>45909</v>
      </c>
      <c r="L75" s="34"/>
      <c r="M75" s="31">
        <f t="shared" si="9"/>
        <v>46274</v>
      </c>
      <c r="N75" s="29" t="str">
        <f>IF(C75="","",IFERROR(INDEX(Перечень!$F$6:$F$51,MATCH(H75,Перечень!$A$6:$A$51,0)),""))</f>
        <v>-</v>
      </c>
      <c r="O75" s="34"/>
      <c r="P75" s="31" t="str">
        <f t="shared" si="10"/>
        <v/>
      </c>
      <c r="Q75" s="29" t="str">
        <f t="shared" si="11"/>
        <v/>
      </c>
      <c r="R75" s="29" t="str">
        <f t="shared" ca="1" si="12"/>
        <v>Просрочен</v>
      </c>
      <c r="S75" s="29" t="str">
        <f t="shared" si="13"/>
        <v/>
      </c>
    </row>
    <row r="76" spans="1:19" x14ac:dyDescent="0.3">
      <c r="A76" s="29">
        <f t="shared" si="7"/>
        <v>71</v>
      </c>
      <c r="B76" s="30" t="s">
        <v>96</v>
      </c>
      <c r="C76" s="30" t="s">
        <v>226</v>
      </c>
      <c r="D76" s="30" t="s">
        <v>157</v>
      </c>
      <c r="E76" s="30" t="s">
        <v>177</v>
      </c>
      <c r="F76" s="31">
        <v>44378</v>
      </c>
      <c r="G76" s="32" t="str">
        <f t="shared" si="8"/>
        <v>слесарь-сборщик</v>
      </c>
      <c r="H76" s="29">
        <f>IF(C76="","",IF(AND(G76="мастер участка",ISNUMBER(SEARCH("РЭО",E76))),29,IFERROR(INDEX(Соответствие!$B$2:$B$100,MATCH(G76,Соответствие!$A$2:$A$100,0)),"?")))</f>
        <v>19</v>
      </c>
      <c r="I76" s="33" t="str">
        <f>IF(C76="","",IFERROR(INDEX(Перечень!$C$6:$C$51,MATCH(H76,Перечень!$A$6:$A$51,0)),""))</f>
        <v>п.4.3.1, п.4.3.2, п.4.4, п.5.1, п.6.2, п.15</v>
      </c>
      <c r="J76" s="29">
        <f>IF(C76="","",IFERROR(INDEX(Перечень!$D$6:$D$51,MATCH(H76,Перечень!$A$6:$A$51,0)),12))</f>
        <v>12</v>
      </c>
      <c r="K76" s="34"/>
      <c r="L76" s="34"/>
      <c r="M76" s="31" t="str">
        <f t="shared" si="9"/>
        <v/>
      </c>
      <c r="N76" s="29" t="str">
        <f>IF(C76="","",IFERROR(INDEX(Перечень!$F$6:$F$51,MATCH(H76,Перечень!$A$6:$A$51,0)),""))</f>
        <v>-</v>
      </c>
      <c r="O76" s="34"/>
      <c r="P76" s="31" t="str">
        <f t="shared" si="10"/>
        <v/>
      </c>
      <c r="Q76" s="29" t="str">
        <f t="shared" si="11"/>
        <v/>
      </c>
      <c r="R76" s="29" t="str">
        <f t="shared" ca="1" si="12"/>
        <v>Нет сведений</v>
      </c>
      <c r="S76" s="29" t="str">
        <f t="shared" si="13"/>
        <v/>
      </c>
    </row>
    <row r="77" spans="1:19" x14ac:dyDescent="0.3">
      <c r="A77" s="29">
        <f t="shared" si="7"/>
        <v>72</v>
      </c>
      <c r="B77" s="30" t="s">
        <v>96</v>
      </c>
      <c r="C77" s="30" t="s">
        <v>227</v>
      </c>
      <c r="D77" s="30" t="s">
        <v>157</v>
      </c>
      <c r="E77" s="30" t="s">
        <v>177</v>
      </c>
      <c r="F77" s="31">
        <v>44789</v>
      </c>
      <c r="G77" s="32" t="str">
        <f t="shared" si="8"/>
        <v>слесарь-сборщик</v>
      </c>
      <c r="H77" s="29">
        <f>IF(C77="","",IF(AND(G77="мастер участка",ISNUMBER(SEARCH("РЭО",E77))),29,IFERROR(INDEX(Соответствие!$B$2:$B$100,MATCH(G77,Соответствие!$A$2:$A$100,0)),"?")))</f>
        <v>19</v>
      </c>
      <c r="I77" s="33" t="str">
        <f>IF(C77="","",IFERROR(INDEX(Перечень!$C$6:$C$51,MATCH(H77,Перечень!$A$6:$A$51,0)),""))</f>
        <v>п.4.3.1, п.4.3.2, п.4.4, п.5.1, п.6.2, п.15</v>
      </c>
      <c r="J77" s="29">
        <f>IF(C77="","",IFERROR(INDEX(Перечень!$D$6:$D$51,MATCH(H77,Перечень!$A$6:$A$51,0)),12))</f>
        <v>12</v>
      </c>
      <c r="K77" s="34"/>
      <c r="L77" s="34"/>
      <c r="M77" s="31" t="str">
        <f t="shared" si="9"/>
        <v/>
      </c>
      <c r="N77" s="29" t="str">
        <f>IF(C77="","",IFERROR(INDEX(Перечень!$F$6:$F$51,MATCH(H77,Перечень!$A$6:$A$51,0)),""))</f>
        <v>-</v>
      </c>
      <c r="O77" s="34"/>
      <c r="P77" s="31" t="str">
        <f t="shared" si="10"/>
        <v/>
      </c>
      <c r="Q77" s="29" t="str">
        <f t="shared" si="11"/>
        <v/>
      </c>
      <c r="R77" s="29" t="str">
        <f t="shared" ca="1" si="12"/>
        <v>Нет сведений</v>
      </c>
      <c r="S77" s="29" t="str">
        <f t="shared" si="13"/>
        <v/>
      </c>
    </row>
    <row r="78" spans="1:19" x14ac:dyDescent="0.3">
      <c r="A78" s="29">
        <f t="shared" si="7"/>
        <v>73</v>
      </c>
      <c r="B78" s="30" t="s">
        <v>96</v>
      </c>
      <c r="C78" s="30" t="s">
        <v>228</v>
      </c>
      <c r="D78" s="30" t="s">
        <v>157</v>
      </c>
      <c r="E78" s="30" t="s">
        <v>177</v>
      </c>
      <c r="F78" s="31">
        <v>44153</v>
      </c>
      <c r="G78" s="32" t="str">
        <f t="shared" si="8"/>
        <v>слесарь-сборщик</v>
      </c>
      <c r="H78" s="29">
        <f>IF(C78="","",IF(AND(G78="мастер участка",ISNUMBER(SEARCH("РЭО",E78))),29,IFERROR(INDEX(Соответствие!$B$2:$B$100,MATCH(G78,Соответствие!$A$2:$A$100,0)),"?")))</f>
        <v>19</v>
      </c>
      <c r="I78" s="33" t="str">
        <f>IF(C78="","",IFERROR(INDEX(Перечень!$C$6:$C$51,MATCH(H78,Перечень!$A$6:$A$51,0)),""))</f>
        <v>п.4.3.1, п.4.3.2, п.4.4, п.5.1, п.6.2, п.15</v>
      </c>
      <c r="J78" s="29">
        <f>IF(C78="","",IFERROR(INDEX(Перечень!$D$6:$D$51,MATCH(H78,Перечень!$A$6:$A$51,0)),12))</f>
        <v>12</v>
      </c>
      <c r="K78" s="34"/>
      <c r="L78" s="34"/>
      <c r="M78" s="31" t="str">
        <f t="shared" si="9"/>
        <v/>
      </c>
      <c r="N78" s="29" t="str">
        <f>IF(C78="","",IFERROR(INDEX(Перечень!$F$6:$F$51,MATCH(H78,Перечень!$A$6:$A$51,0)),""))</f>
        <v>-</v>
      </c>
      <c r="O78" s="34"/>
      <c r="P78" s="31" t="str">
        <f t="shared" si="10"/>
        <v/>
      </c>
      <c r="Q78" s="29" t="str">
        <f t="shared" si="11"/>
        <v/>
      </c>
      <c r="R78" s="29" t="str">
        <f t="shared" ca="1" si="12"/>
        <v>Нет сведений</v>
      </c>
      <c r="S78" s="29" t="str">
        <f t="shared" si="13"/>
        <v/>
      </c>
    </row>
    <row r="79" spans="1:19" x14ac:dyDescent="0.3">
      <c r="A79" s="29">
        <f t="shared" si="7"/>
        <v>74</v>
      </c>
      <c r="B79" s="30" t="s">
        <v>96</v>
      </c>
      <c r="C79" s="30" t="s">
        <v>229</v>
      </c>
      <c r="D79" s="30" t="s">
        <v>157</v>
      </c>
      <c r="E79" s="30" t="s">
        <v>177</v>
      </c>
      <c r="F79" s="31">
        <v>45873</v>
      </c>
      <c r="G79" s="32" t="str">
        <f t="shared" si="8"/>
        <v>слесарь-сборщик</v>
      </c>
      <c r="H79" s="29">
        <f>IF(C79="","",IF(AND(G79="мастер участка",ISNUMBER(SEARCH("РЭО",E79))),29,IFERROR(INDEX(Соответствие!$B$2:$B$100,MATCH(G79,Соответствие!$A$2:$A$100,0)),"?")))</f>
        <v>19</v>
      </c>
      <c r="I79" s="33" t="str">
        <f>IF(C79="","",IFERROR(INDEX(Перечень!$C$6:$C$51,MATCH(H79,Перечень!$A$6:$A$51,0)),""))</f>
        <v>п.4.3.1, п.4.3.2, п.4.4, п.5.1, п.6.2, п.15</v>
      </c>
      <c r="J79" s="29">
        <f>IF(C79="","",IFERROR(INDEX(Перечень!$D$6:$D$51,MATCH(H79,Перечень!$A$6:$A$51,0)),12))</f>
        <v>12</v>
      </c>
      <c r="K79" s="34"/>
      <c r="L79" s="34"/>
      <c r="M79" s="31" t="str">
        <f t="shared" si="9"/>
        <v/>
      </c>
      <c r="N79" s="29" t="str">
        <f>IF(C79="","",IFERROR(INDEX(Перечень!$F$6:$F$51,MATCH(H79,Перечень!$A$6:$A$51,0)),""))</f>
        <v>-</v>
      </c>
      <c r="O79" s="34"/>
      <c r="P79" s="31" t="str">
        <f t="shared" si="10"/>
        <v/>
      </c>
      <c r="Q79" s="29" t="str">
        <f t="shared" si="11"/>
        <v/>
      </c>
      <c r="R79" s="29" t="str">
        <f t="shared" ca="1" si="12"/>
        <v>Нет сведений</v>
      </c>
      <c r="S79" s="29" t="str">
        <f t="shared" si="13"/>
        <v/>
      </c>
    </row>
    <row r="80" spans="1:19" x14ac:dyDescent="0.3">
      <c r="A80" s="29">
        <f t="shared" si="7"/>
        <v>75</v>
      </c>
      <c r="B80" s="30" t="s">
        <v>96</v>
      </c>
      <c r="C80" s="30" t="s">
        <v>230</v>
      </c>
      <c r="D80" s="30" t="s">
        <v>157</v>
      </c>
      <c r="E80" s="30" t="s">
        <v>177</v>
      </c>
      <c r="F80" s="31">
        <v>45425</v>
      </c>
      <c r="G80" s="32" t="str">
        <f t="shared" si="8"/>
        <v>слесарь-сборщик</v>
      </c>
      <c r="H80" s="29">
        <f>IF(C80="","",IF(AND(G80="мастер участка",ISNUMBER(SEARCH("РЭО",E80))),29,IFERROR(INDEX(Соответствие!$B$2:$B$100,MATCH(G80,Соответствие!$A$2:$A$100,0)),"?")))</f>
        <v>19</v>
      </c>
      <c r="I80" s="33" t="str">
        <f>IF(C80="","",IFERROR(INDEX(Перечень!$C$6:$C$51,MATCH(H80,Перечень!$A$6:$A$51,0)),""))</f>
        <v>п.4.3.1, п.4.3.2, п.4.4, п.5.1, п.6.2, п.15</v>
      </c>
      <c r="J80" s="29">
        <f>IF(C80="","",IFERROR(INDEX(Перечень!$D$6:$D$51,MATCH(H80,Перечень!$A$6:$A$51,0)),12))</f>
        <v>12</v>
      </c>
      <c r="K80" s="34"/>
      <c r="L80" s="34"/>
      <c r="M80" s="31" t="str">
        <f t="shared" si="9"/>
        <v/>
      </c>
      <c r="N80" s="29" t="str">
        <f>IF(C80="","",IFERROR(INDEX(Перечень!$F$6:$F$51,MATCH(H80,Перечень!$A$6:$A$51,0)),""))</f>
        <v>-</v>
      </c>
      <c r="O80" s="34"/>
      <c r="P80" s="31" t="str">
        <f t="shared" si="10"/>
        <v/>
      </c>
      <c r="Q80" s="29" t="str">
        <f t="shared" si="11"/>
        <v/>
      </c>
      <c r="R80" s="29" t="str">
        <f t="shared" ca="1" si="12"/>
        <v>Нет сведений</v>
      </c>
      <c r="S80" s="29" t="str">
        <f t="shared" si="13"/>
        <v/>
      </c>
    </row>
    <row r="81" spans="1:19" x14ac:dyDescent="0.3">
      <c r="A81" s="29">
        <f t="shared" si="7"/>
        <v>76</v>
      </c>
      <c r="B81" s="30" t="s">
        <v>96</v>
      </c>
      <c r="C81" s="30" t="s">
        <v>231</v>
      </c>
      <c r="D81" s="30" t="s">
        <v>232</v>
      </c>
      <c r="E81" s="30" t="s">
        <v>174</v>
      </c>
      <c r="F81" s="31">
        <v>42121</v>
      </c>
      <c r="G81" s="32" t="str">
        <f t="shared" si="8"/>
        <v>мастер участка сборки интерьера</v>
      </c>
      <c r="H81" s="29">
        <f>IF(C81="","",IF(AND(G81="мастер участка",ISNUMBER(SEARCH("РЭО",E81))),29,IFERROR(INDEX(Соответствие!$B$2:$B$100,MATCH(G81,Соответствие!$A$2:$A$100,0)),"?")))</f>
        <v>18</v>
      </c>
      <c r="I81" s="33" t="str">
        <f>IF(C81="","",IFERROR(INDEX(Перечень!$C$6:$C$51,MATCH(H81,Перечень!$A$6:$A$51,0)),""))</f>
        <v>п.4.4, п.5.1, п.5.2</v>
      </c>
      <c r="J81" s="29">
        <f>IF(C81="","",IFERROR(INDEX(Перечень!$D$6:$D$51,MATCH(H81,Перечень!$A$6:$A$51,0)),12))</f>
        <v>12</v>
      </c>
      <c r="K81" s="34"/>
      <c r="L81" s="34"/>
      <c r="M81" s="31" t="str">
        <f t="shared" si="9"/>
        <v/>
      </c>
      <c r="N81" s="29" t="str">
        <f>IF(C81="","",IFERROR(INDEX(Перечень!$F$6:$F$51,MATCH(H81,Перечень!$A$6:$A$51,0)),""))</f>
        <v>-</v>
      </c>
      <c r="O81" s="34"/>
      <c r="P81" s="31" t="str">
        <f t="shared" si="10"/>
        <v/>
      </c>
      <c r="Q81" s="29" t="str">
        <f t="shared" si="11"/>
        <v/>
      </c>
      <c r="R81" s="29" t="str">
        <f t="shared" ca="1" si="12"/>
        <v>Нет сведений</v>
      </c>
      <c r="S81" s="29" t="str">
        <f t="shared" si="13"/>
        <v/>
      </c>
    </row>
    <row r="82" spans="1:19" x14ac:dyDescent="0.3">
      <c r="A82" s="29">
        <f t="shared" si="7"/>
        <v>77</v>
      </c>
      <c r="B82" s="30" t="s">
        <v>96</v>
      </c>
      <c r="C82" s="30" t="s">
        <v>233</v>
      </c>
      <c r="D82" s="30" t="s">
        <v>234</v>
      </c>
      <c r="E82" s="30" t="s">
        <v>177</v>
      </c>
      <c r="F82" s="31">
        <v>45700</v>
      </c>
      <c r="G82" s="32" t="str">
        <f t="shared" si="8"/>
        <v>мастер участка</v>
      </c>
      <c r="H82" s="29">
        <f>IF(C82="","",IF(AND(G82="мастер участка",ISNUMBER(SEARCH("РЭО",E82))),29,IFERROR(INDEX(Соответствие!$B$2:$B$100,MATCH(G82,Соответствие!$A$2:$A$100,0)),"?")))</f>
        <v>18</v>
      </c>
      <c r="I82" s="33" t="str">
        <f>IF(C82="","",IFERROR(INDEX(Перечень!$C$6:$C$51,MATCH(H82,Перечень!$A$6:$A$51,0)),""))</f>
        <v>п.4.4, п.5.1, п.5.2</v>
      </c>
      <c r="J82" s="29">
        <f>IF(C82="","",IFERROR(INDEX(Перечень!$D$6:$D$51,MATCH(H82,Перечень!$A$6:$A$51,0)),12))</f>
        <v>12</v>
      </c>
      <c r="K82" s="34"/>
      <c r="L82" s="34"/>
      <c r="M82" s="31" t="str">
        <f t="shared" si="9"/>
        <v/>
      </c>
      <c r="N82" s="29" t="str">
        <f>IF(C82="","",IFERROR(INDEX(Перечень!$F$6:$F$51,MATCH(H82,Перечень!$A$6:$A$51,0)),""))</f>
        <v>-</v>
      </c>
      <c r="O82" s="34"/>
      <c r="P82" s="31" t="str">
        <f t="shared" si="10"/>
        <v/>
      </c>
      <c r="Q82" s="29" t="str">
        <f t="shared" si="11"/>
        <v/>
      </c>
      <c r="R82" s="29" t="str">
        <f t="shared" ca="1" si="12"/>
        <v>Нет сведений</v>
      </c>
      <c r="S82" s="29" t="str">
        <f t="shared" si="13"/>
        <v/>
      </c>
    </row>
    <row r="83" spans="1:19" x14ac:dyDescent="0.3">
      <c r="A83" s="29">
        <f t="shared" si="7"/>
        <v>78</v>
      </c>
      <c r="B83" s="30" t="s">
        <v>96</v>
      </c>
      <c r="C83" s="30" t="s">
        <v>235</v>
      </c>
      <c r="D83" s="30" t="s">
        <v>234</v>
      </c>
      <c r="E83" s="30" t="s">
        <v>177</v>
      </c>
      <c r="F83" s="31">
        <v>45838</v>
      </c>
      <c r="G83" s="32" t="str">
        <f t="shared" si="8"/>
        <v>мастер участка</v>
      </c>
      <c r="H83" s="29">
        <f>IF(C83="","",IF(AND(G83="мастер участка",ISNUMBER(SEARCH("РЭО",E83))),29,IFERROR(INDEX(Соответствие!$B$2:$B$100,MATCH(G83,Соответствие!$A$2:$A$100,0)),"?")))</f>
        <v>18</v>
      </c>
      <c r="I83" s="33" t="str">
        <f>IF(C83="","",IFERROR(INDEX(Перечень!$C$6:$C$51,MATCH(H83,Перечень!$A$6:$A$51,0)),""))</f>
        <v>п.4.4, п.5.1, п.5.2</v>
      </c>
      <c r="J83" s="29">
        <f>IF(C83="","",IFERROR(INDEX(Перечень!$D$6:$D$51,MATCH(H83,Перечень!$A$6:$A$51,0)),12))</f>
        <v>12</v>
      </c>
      <c r="K83" s="34">
        <v>45825</v>
      </c>
      <c r="L83" s="34"/>
      <c r="M83" s="31">
        <f t="shared" si="9"/>
        <v>46190</v>
      </c>
      <c r="N83" s="29" t="str">
        <f>IF(C83="","",IFERROR(INDEX(Перечень!$F$6:$F$51,MATCH(H83,Перечень!$A$6:$A$51,0)),""))</f>
        <v>-</v>
      </c>
      <c r="O83" s="34"/>
      <c r="P83" s="31" t="str">
        <f t="shared" si="10"/>
        <v/>
      </c>
      <c r="Q83" s="29" t="str">
        <f t="shared" si="11"/>
        <v/>
      </c>
      <c r="R83" s="29" t="str">
        <f t="shared" ca="1" si="12"/>
        <v>Просрочен</v>
      </c>
      <c r="S83" s="29" t="str">
        <f t="shared" si="13"/>
        <v/>
      </c>
    </row>
    <row r="84" spans="1:19" x14ac:dyDescent="0.3">
      <c r="A84" s="29">
        <f t="shared" si="7"/>
        <v>79</v>
      </c>
      <c r="B84" s="30" t="s">
        <v>96</v>
      </c>
      <c r="C84" s="30" t="s">
        <v>236</v>
      </c>
      <c r="D84" s="30" t="s">
        <v>234</v>
      </c>
      <c r="E84" s="30" t="s">
        <v>177</v>
      </c>
      <c r="F84" s="31">
        <v>46041</v>
      </c>
      <c r="G84" s="32" t="str">
        <f t="shared" si="8"/>
        <v>мастер участка</v>
      </c>
      <c r="H84" s="29">
        <f>IF(C84="","",IF(AND(G84="мастер участка",ISNUMBER(SEARCH("РЭО",E84))),29,IFERROR(INDEX(Соответствие!$B$2:$B$100,MATCH(G84,Соответствие!$A$2:$A$100,0)),"?")))</f>
        <v>18</v>
      </c>
      <c r="I84" s="33" t="str">
        <f>IF(C84="","",IFERROR(INDEX(Перечень!$C$6:$C$51,MATCH(H84,Перечень!$A$6:$A$51,0)),""))</f>
        <v>п.4.4, п.5.1, п.5.2</v>
      </c>
      <c r="J84" s="29">
        <f>IF(C84="","",IFERROR(INDEX(Перечень!$D$6:$D$51,MATCH(H84,Перечень!$A$6:$A$51,0)),12))</f>
        <v>12</v>
      </c>
      <c r="K84" s="34"/>
      <c r="L84" s="34"/>
      <c r="M84" s="31" t="str">
        <f t="shared" si="9"/>
        <v/>
      </c>
      <c r="N84" s="29" t="str">
        <f>IF(C84="","",IFERROR(INDEX(Перечень!$F$6:$F$51,MATCH(H84,Перечень!$A$6:$A$51,0)),""))</f>
        <v>-</v>
      </c>
      <c r="O84" s="34"/>
      <c r="P84" s="31" t="str">
        <f t="shared" si="10"/>
        <v/>
      </c>
      <c r="Q84" s="29" t="str">
        <f t="shared" si="11"/>
        <v/>
      </c>
      <c r="R84" s="29" t="str">
        <f t="shared" ca="1" si="12"/>
        <v>Нет сведений</v>
      </c>
      <c r="S84" s="29" t="str">
        <f t="shared" si="13"/>
        <v/>
      </c>
    </row>
    <row r="85" spans="1:19" x14ac:dyDescent="0.3">
      <c r="A85" s="29">
        <f t="shared" si="7"/>
        <v>80</v>
      </c>
      <c r="B85" s="30" t="s">
        <v>96</v>
      </c>
      <c r="C85" s="30" t="s">
        <v>237</v>
      </c>
      <c r="D85" s="30" t="s">
        <v>238</v>
      </c>
      <c r="E85" s="30" t="s">
        <v>174</v>
      </c>
      <c r="F85" s="31">
        <v>42983</v>
      </c>
      <c r="G85" s="32" t="str">
        <f t="shared" si="8"/>
        <v>мастер участка электромонтажных работ</v>
      </c>
      <c r="H85" s="29">
        <f>IF(C85="","",IF(AND(G85="мастер участка",ISNUMBER(SEARCH("РЭО",E85))),29,IFERROR(INDEX(Соответствие!$B$2:$B$100,MATCH(G85,Соответствие!$A$2:$A$100,0)),"?")))</f>
        <v>29</v>
      </c>
      <c r="I85" s="33" t="str">
        <f>IF(C85="","",IFERROR(INDEX(Перечень!$C$6:$C$51,MATCH(H85,Перечень!$A$6:$A$51,0)),""))</f>
        <v>п.4.3.1, п.4.3.2, п.4.4, п.4.9, п.5.1, п.5.2, п.6.2, п.9</v>
      </c>
      <c r="J85" s="29">
        <f>IF(C85="","",IFERROR(INDEX(Перечень!$D$6:$D$51,MATCH(H85,Перечень!$A$6:$A$51,0)),12))</f>
        <v>12</v>
      </c>
      <c r="K85" s="34">
        <v>44662</v>
      </c>
      <c r="L85" s="34"/>
      <c r="M85" s="31">
        <f t="shared" si="9"/>
        <v>45027</v>
      </c>
      <c r="N85" s="29" t="str">
        <f>IF(C85="","",IFERROR(INDEX(Перечень!$F$6:$F$51,MATCH(H85,Перечень!$A$6:$A$51,0)),""))</f>
        <v>Да</v>
      </c>
      <c r="O85" s="34"/>
      <c r="P85" s="31" t="str">
        <f t="shared" si="10"/>
        <v/>
      </c>
      <c r="Q85" s="29" t="str">
        <f t="shared" si="11"/>
        <v>Да</v>
      </c>
      <c r="R85" s="29" t="str">
        <f t="shared" ca="1" si="12"/>
        <v>Просрочен</v>
      </c>
      <c r="S85" s="29" t="str">
        <f t="shared" si="13"/>
        <v>Не пройдено</v>
      </c>
    </row>
    <row r="86" spans="1:19" x14ac:dyDescent="0.3">
      <c r="A86" s="29">
        <f t="shared" si="7"/>
        <v>81</v>
      </c>
      <c r="B86" s="30" t="s">
        <v>96</v>
      </c>
      <c r="C86" s="30" t="s">
        <v>239</v>
      </c>
      <c r="D86" s="30" t="s">
        <v>240</v>
      </c>
      <c r="E86" s="30" t="s">
        <v>241</v>
      </c>
      <c r="F86" s="31">
        <v>44966</v>
      </c>
      <c r="G86" s="32" t="str">
        <f t="shared" si="8"/>
        <v>инженер по авиационному и радиоэлектронному оборудованию</v>
      </c>
      <c r="H86" s="29">
        <f>IF(C86="","",IF(AND(G86="мастер участка",ISNUMBER(SEARCH("РЭО",E86))),29,IFERROR(INDEX(Соответствие!$B$2:$B$100,MATCH(G86,Соответствие!$A$2:$A$100,0)),"?")))</f>
        <v>40</v>
      </c>
      <c r="I86" s="33" t="str">
        <f>IF(C86="","",IFERROR(INDEX(Перечень!$C$6:$C$51,MATCH(H86,Перечень!$A$6:$A$51,0)),""))</f>
        <v>п.4.4, п.4.6, п.5.1, п.6.2</v>
      </c>
      <c r="J86" s="29">
        <f>IF(C86="","",IFERROR(INDEX(Перечень!$D$6:$D$51,MATCH(H86,Перечень!$A$6:$A$51,0)),12))</f>
        <v>12</v>
      </c>
      <c r="K86" s="34"/>
      <c r="L86" s="34"/>
      <c r="M86" s="31" t="str">
        <f t="shared" si="9"/>
        <v/>
      </c>
      <c r="N86" s="29" t="str">
        <f>IF(C86="","",IFERROR(INDEX(Перечень!$F$6:$F$51,MATCH(H86,Перечень!$A$6:$A$51,0)),""))</f>
        <v>-</v>
      </c>
      <c r="O86" s="34"/>
      <c r="P86" s="31" t="str">
        <f t="shared" si="10"/>
        <v/>
      </c>
      <c r="Q86" s="29" t="str">
        <f t="shared" si="11"/>
        <v/>
      </c>
      <c r="R86" s="29" t="str">
        <f t="shared" ca="1" si="12"/>
        <v>Нет сведений</v>
      </c>
      <c r="S86" s="29" t="str">
        <f t="shared" si="13"/>
        <v/>
      </c>
    </row>
    <row r="87" spans="1:19" x14ac:dyDescent="0.3">
      <c r="A87" s="29">
        <f t="shared" si="7"/>
        <v>82</v>
      </c>
      <c r="B87" s="30" t="s">
        <v>99</v>
      </c>
      <c r="C87" s="30" t="s">
        <v>242</v>
      </c>
      <c r="D87" s="30" t="s">
        <v>243</v>
      </c>
      <c r="E87" s="30" t="s">
        <v>244</v>
      </c>
      <c r="F87" s="31">
        <v>46139</v>
      </c>
      <c r="G87" s="32" t="str">
        <f t="shared" si="8"/>
        <v>оператор склада</v>
      </c>
      <c r="H87" s="29">
        <f>IF(C87="","",IF(AND(G87="мастер участка",ISNUMBER(SEARCH("РЭО",E87))),29,IFERROR(INDEX(Соответствие!$B$2:$B$100,MATCH(G87,Соответствие!$A$2:$A$100,0)),"?")))</f>
        <v>16</v>
      </c>
      <c r="I87" s="33" t="str">
        <f>IF(C87="","",IFERROR(INDEX(Перечень!$C$6:$C$51,MATCH(H87,Перечень!$A$6:$A$51,0)),""))</f>
        <v>п.4.4, п.5.1, п.6.2</v>
      </c>
      <c r="J87" s="29">
        <f>IF(C87="","",IFERROR(INDEX(Перечень!$D$6:$D$51,MATCH(H87,Перечень!$A$6:$A$51,0)),12))</f>
        <v>12</v>
      </c>
      <c r="K87" s="34"/>
      <c r="L87" s="34"/>
      <c r="M87" s="31" t="str">
        <f t="shared" si="9"/>
        <v/>
      </c>
      <c r="N87" s="29" t="str">
        <f>IF(C87="","",IFERROR(INDEX(Перечень!$F$6:$F$51,MATCH(H87,Перечень!$A$6:$A$51,0)),""))</f>
        <v>-</v>
      </c>
      <c r="O87" s="34"/>
      <c r="P87" s="31" t="str">
        <f t="shared" si="10"/>
        <v/>
      </c>
      <c r="Q87" s="29" t="str">
        <f t="shared" si="11"/>
        <v/>
      </c>
      <c r="R87" s="29" t="str">
        <f t="shared" ca="1" si="12"/>
        <v>Нет сведений</v>
      </c>
      <c r="S87" s="29" t="str">
        <f t="shared" si="13"/>
        <v/>
      </c>
    </row>
    <row r="88" spans="1:19" x14ac:dyDescent="0.3">
      <c r="A88" s="29">
        <f t="shared" si="7"/>
        <v>83</v>
      </c>
      <c r="B88" s="30" t="s">
        <v>101</v>
      </c>
      <c r="C88" s="30" t="s">
        <v>245</v>
      </c>
      <c r="D88" s="30" t="s">
        <v>246</v>
      </c>
      <c r="E88" s="30" t="s">
        <v>247</v>
      </c>
      <c r="F88" s="31">
        <v>45558</v>
      </c>
      <c r="G88" s="32" t="str">
        <f t="shared" si="8"/>
        <v>инженер пдо</v>
      </c>
      <c r="H88" s="29">
        <f>IF(C88="","",IF(AND(G88="мастер участка",ISNUMBER(SEARCH("РЭО",E88))),29,IFERROR(INDEX(Соответствие!$B$2:$B$100,MATCH(G88,Соответствие!$A$2:$A$100,0)),"?")))</f>
        <v>27</v>
      </c>
      <c r="I88" s="33" t="str">
        <f>IF(C88="","",IFERROR(INDEX(Перечень!$C$6:$C$51,MATCH(H88,Перечень!$A$6:$A$51,0)),""))</f>
        <v>п.4.4, п.5.1, п.5.2</v>
      </c>
      <c r="J88" s="29">
        <f>IF(C88="","",IFERROR(INDEX(Перечень!$D$6:$D$51,MATCH(H88,Перечень!$A$6:$A$51,0)),12))</f>
        <v>12</v>
      </c>
      <c r="K88" s="34"/>
      <c r="L88" s="34"/>
      <c r="M88" s="31" t="str">
        <f t="shared" si="9"/>
        <v/>
      </c>
      <c r="N88" s="29" t="str">
        <f>IF(C88="","",IFERROR(INDEX(Перечень!$F$6:$F$51,MATCH(H88,Перечень!$A$6:$A$51,0)),""))</f>
        <v>-</v>
      </c>
      <c r="O88" s="34"/>
      <c r="P88" s="31" t="str">
        <f t="shared" si="10"/>
        <v/>
      </c>
      <c r="Q88" s="29" t="str">
        <f t="shared" si="11"/>
        <v/>
      </c>
      <c r="R88" s="29" t="str">
        <f t="shared" ca="1" si="12"/>
        <v>Нет сведений</v>
      </c>
      <c r="S88" s="29" t="str">
        <f t="shared" si="13"/>
        <v/>
      </c>
    </row>
    <row r="89" spans="1:19" x14ac:dyDescent="0.3">
      <c r="A89" s="29">
        <f t="shared" si="7"/>
        <v>84</v>
      </c>
      <c r="B89" s="30" t="s">
        <v>99</v>
      </c>
      <c r="C89" s="30" t="s">
        <v>248</v>
      </c>
      <c r="D89" s="30" t="s">
        <v>246</v>
      </c>
      <c r="E89" s="30" t="s">
        <v>247</v>
      </c>
      <c r="F89" s="31">
        <v>43031</v>
      </c>
      <c r="G89" s="32" t="str">
        <f t="shared" si="8"/>
        <v>инженер пдо</v>
      </c>
      <c r="H89" s="29">
        <f>IF(C89="","",IF(AND(G89="мастер участка",ISNUMBER(SEARCH("РЭО",E89))),29,IFERROR(INDEX(Соответствие!$B$2:$B$100,MATCH(G89,Соответствие!$A$2:$A$100,0)),"?")))</f>
        <v>27</v>
      </c>
      <c r="I89" s="33" t="str">
        <f>IF(C89="","",IFERROR(INDEX(Перечень!$C$6:$C$51,MATCH(H89,Перечень!$A$6:$A$51,0)),""))</f>
        <v>п.4.4, п.5.1, п.5.2</v>
      </c>
      <c r="J89" s="29">
        <f>IF(C89="","",IFERROR(INDEX(Перечень!$D$6:$D$51,MATCH(H89,Перечень!$A$6:$A$51,0)),12))</f>
        <v>12</v>
      </c>
      <c r="K89" s="34"/>
      <c r="L89" s="34"/>
      <c r="M89" s="31" t="str">
        <f t="shared" si="9"/>
        <v/>
      </c>
      <c r="N89" s="29" t="str">
        <f>IF(C89="","",IFERROR(INDEX(Перечень!$F$6:$F$51,MATCH(H89,Перечень!$A$6:$A$51,0)),""))</f>
        <v>-</v>
      </c>
      <c r="O89" s="34"/>
      <c r="P89" s="31" t="str">
        <f t="shared" si="10"/>
        <v/>
      </c>
      <c r="Q89" s="29" t="str">
        <f t="shared" si="11"/>
        <v/>
      </c>
      <c r="R89" s="29" t="str">
        <f t="shared" ca="1" si="12"/>
        <v>Нет сведений</v>
      </c>
      <c r="S89" s="29" t="str">
        <f t="shared" si="13"/>
        <v/>
      </c>
    </row>
    <row r="90" spans="1:19" x14ac:dyDescent="0.3">
      <c r="A90" s="29">
        <f t="shared" si="7"/>
        <v>85</v>
      </c>
      <c r="B90" s="30" t="s">
        <v>99</v>
      </c>
      <c r="C90" s="30" t="s">
        <v>249</v>
      </c>
      <c r="D90" s="30" t="s">
        <v>250</v>
      </c>
      <c r="E90" s="30" t="s">
        <v>247</v>
      </c>
      <c r="F90" s="31">
        <v>45719</v>
      </c>
      <c r="G90" s="32" t="str">
        <f t="shared" si="8"/>
        <v>диспетчер</v>
      </c>
      <c r="H90" s="29">
        <f>IF(C90="","",IF(AND(G90="мастер участка",ISNUMBER(SEARCH("РЭО",E90))),29,IFERROR(INDEX(Соответствие!$B$2:$B$100,MATCH(G90,Соответствие!$A$2:$A$100,0)),"?")))</f>
        <v>28</v>
      </c>
      <c r="I90" s="33" t="str">
        <f>IF(C90="","",IFERROR(INDEX(Перечень!$C$6:$C$51,MATCH(H90,Перечень!$A$6:$A$51,0)),""))</f>
        <v>п.4.4, п.5.1, п.5.2</v>
      </c>
      <c r="J90" s="29">
        <f>IF(C90="","",IFERROR(INDEX(Перечень!$D$6:$D$51,MATCH(H90,Перечень!$A$6:$A$51,0)),12))</f>
        <v>12</v>
      </c>
      <c r="K90" s="34"/>
      <c r="L90" s="34"/>
      <c r="M90" s="31" t="str">
        <f t="shared" si="9"/>
        <v/>
      </c>
      <c r="N90" s="29" t="str">
        <f>IF(C90="","",IFERROR(INDEX(Перечень!$F$6:$F$51,MATCH(H90,Перечень!$A$6:$A$51,0)),""))</f>
        <v>-</v>
      </c>
      <c r="O90" s="34"/>
      <c r="P90" s="31" t="str">
        <f t="shared" si="10"/>
        <v/>
      </c>
      <c r="Q90" s="29" t="str">
        <f t="shared" si="11"/>
        <v/>
      </c>
      <c r="R90" s="29" t="str">
        <f t="shared" ca="1" si="12"/>
        <v>Нет сведений</v>
      </c>
      <c r="S90" s="29" t="str">
        <f t="shared" si="13"/>
        <v/>
      </c>
    </row>
    <row r="91" spans="1:19" x14ac:dyDescent="0.3">
      <c r="A91" s="29">
        <f t="shared" si="7"/>
        <v>86</v>
      </c>
      <c r="B91" s="30" t="s">
        <v>99</v>
      </c>
      <c r="C91" s="30" t="s">
        <v>251</v>
      </c>
      <c r="D91" s="30" t="s">
        <v>250</v>
      </c>
      <c r="E91" s="30" t="s">
        <v>247</v>
      </c>
      <c r="F91" s="31">
        <v>45803</v>
      </c>
      <c r="G91" s="32" t="str">
        <f t="shared" si="8"/>
        <v>диспетчер</v>
      </c>
      <c r="H91" s="29">
        <f>IF(C91="","",IF(AND(G91="мастер участка",ISNUMBER(SEARCH("РЭО",E91))),29,IFERROR(INDEX(Соответствие!$B$2:$B$100,MATCH(G91,Соответствие!$A$2:$A$100,0)),"?")))</f>
        <v>28</v>
      </c>
      <c r="I91" s="33" t="str">
        <f>IF(C91="","",IFERROR(INDEX(Перечень!$C$6:$C$51,MATCH(H91,Перечень!$A$6:$A$51,0)),""))</f>
        <v>п.4.4, п.5.1, п.5.2</v>
      </c>
      <c r="J91" s="29">
        <f>IF(C91="","",IFERROR(INDEX(Перечень!$D$6:$D$51,MATCH(H91,Перечень!$A$6:$A$51,0)),12))</f>
        <v>12</v>
      </c>
      <c r="K91" s="34"/>
      <c r="L91" s="34"/>
      <c r="M91" s="31" t="str">
        <f t="shared" si="9"/>
        <v/>
      </c>
      <c r="N91" s="29" t="str">
        <f>IF(C91="","",IFERROR(INDEX(Перечень!$F$6:$F$51,MATCH(H91,Перечень!$A$6:$A$51,0)),""))</f>
        <v>-</v>
      </c>
      <c r="O91" s="34"/>
      <c r="P91" s="31" t="str">
        <f t="shared" si="10"/>
        <v/>
      </c>
      <c r="Q91" s="29" t="str">
        <f t="shared" si="11"/>
        <v/>
      </c>
      <c r="R91" s="29" t="str">
        <f t="shared" ca="1" si="12"/>
        <v>Нет сведений</v>
      </c>
      <c r="S91" s="29" t="str">
        <f t="shared" si="13"/>
        <v/>
      </c>
    </row>
    <row r="92" spans="1:19" x14ac:dyDescent="0.3">
      <c r="A92" s="29">
        <f t="shared" si="7"/>
        <v>87</v>
      </c>
      <c r="B92" s="30" t="s">
        <v>99</v>
      </c>
      <c r="C92" s="30" t="s">
        <v>252</v>
      </c>
      <c r="D92" s="30" t="s">
        <v>250</v>
      </c>
      <c r="E92" s="30" t="s">
        <v>247</v>
      </c>
      <c r="F92" s="31">
        <v>45833</v>
      </c>
      <c r="G92" s="32" t="str">
        <f t="shared" si="8"/>
        <v>диспетчер</v>
      </c>
      <c r="H92" s="29">
        <f>IF(C92="","",IF(AND(G92="мастер участка",ISNUMBER(SEARCH("РЭО",E92))),29,IFERROR(INDEX(Соответствие!$B$2:$B$100,MATCH(G92,Соответствие!$A$2:$A$100,0)),"?")))</f>
        <v>28</v>
      </c>
      <c r="I92" s="33" t="str">
        <f>IF(C92="","",IFERROR(INDEX(Перечень!$C$6:$C$51,MATCH(H92,Перечень!$A$6:$A$51,0)),""))</f>
        <v>п.4.4, п.5.1, п.5.2</v>
      </c>
      <c r="J92" s="29">
        <f>IF(C92="","",IFERROR(INDEX(Перечень!$D$6:$D$51,MATCH(H92,Перечень!$A$6:$A$51,0)),12))</f>
        <v>12</v>
      </c>
      <c r="K92" s="34"/>
      <c r="L92" s="34"/>
      <c r="M92" s="31" t="str">
        <f t="shared" si="9"/>
        <v/>
      </c>
      <c r="N92" s="29" t="str">
        <f>IF(C92="","",IFERROR(INDEX(Перечень!$F$6:$F$51,MATCH(H92,Перечень!$A$6:$A$51,0)),""))</f>
        <v>-</v>
      </c>
      <c r="O92" s="34"/>
      <c r="P92" s="31" t="str">
        <f t="shared" si="10"/>
        <v/>
      </c>
      <c r="Q92" s="29" t="str">
        <f t="shared" si="11"/>
        <v/>
      </c>
      <c r="R92" s="29" t="str">
        <f t="shared" ca="1" si="12"/>
        <v>Нет сведений</v>
      </c>
      <c r="S92" s="29" t="str">
        <f t="shared" si="13"/>
        <v/>
      </c>
    </row>
    <row r="93" spans="1:19" x14ac:dyDescent="0.3">
      <c r="A93" s="29">
        <f t="shared" si="7"/>
        <v>88</v>
      </c>
      <c r="B93" s="30" t="s">
        <v>99</v>
      </c>
      <c r="C93" s="30" t="s">
        <v>253</v>
      </c>
      <c r="D93" s="30" t="s">
        <v>250</v>
      </c>
      <c r="E93" s="30" t="s">
        <v>247</v>
      </c>
      <c r="F93" s="31">
        <v>45908</v>
      </c>
      <c r="G93" s="32" t="str">
        <f t="shared" si="8"/>
        <v>диспетчер</v>
      </c>
      <c r="H93" s="29">
        <f>IF(C93="","",IF(AND(G93="мастер участка",ISNUMBER(SEARCH("РЭО",E93))),29,IFERROR(INDEX(Соответствие!$B$2:$B$100,MATCH(G93,Соответствие!$A$2:$A$100,0)),"?")))</f>
        <v>28</v>
      </c>
      <c r="I93" s="33" t="str">
        <f>IF(C93="","",IFERROR(INDEX(Перечень!$C$6:$C$51,MATCH(H93,Перечень!$A$6:$A$51,0)),""))</f>
        <v>п.4.4, п.5.1, п.5.2</v>
      </c>
      <c r="J93" s="29">
        <f>IF(C93="","",IFERROR(INDEX(Перечень!$D$6:$D$51,MATCH(H93,Перечень!$A$6:$A$51,0)),12))</f>
        <v>12</v>
      </c>
      <c r="K93" s="34"/>
      <c r="L93" s="34"/>
      <c r="M93" s="31" t="str">
        <f t="shared" si="9"/>
        <v/>
      </c>
      <c r="N93" s="29" t="str">
        <f>IF(C93="","",IFERROR(INDEX(Перечень!$F$6:$F$51,MATCH(H93,Перечень!$A$6:$A$51,0)),""))</f>
        <v>-</v>
      </c>
      <c r="O93" s="34"/>
      <c r="P93" s="31" t="str">
        <f t="shared" si="10"/>
        <v/>
      </c>
      <c r="Q93" s="29" t="str">
        <f t="shared" si="11"/>
        <v/>
      </c>
      <c r="R93" s="29" t="str">
        <f t="shared" ca="1" si="12"/>
        <v>Нет сведений</v>
      </c>
      <c r="S93" s="29" t="str">
        <f t="shared" si="13"/>
        <v/>
      </c>
    </row>
    <row r="94" spans="1:19" x14ac:dyDescent="0.3">
      <c r="A94" s="29">
        <f t="shared" si="7"/>
        <v>89</v>
      </c>
      <c r="B94" s="30" t="s">
        <v>99</v>
      </c>
      <c r="C94" s="30" t="s">
        <v>254</v>
      </c>
      <c r="D94" s="30" t="s">
        <v>250</v>
      </c>
      <c r="E94" s="30" t="s">
        <v>247</v>
      </c>
      <c r="F94" s="31">
        <v>42360</v>
      </c>
      <c r="G94" s="32" t="str">
        <f t="shared" si="8"/>
        <v>диспетчер</v>
      </c>
      <c r="H94" s="29">
        <f>IF(C94="","",IF(AND(G94="мастер участка",ISNUMBER(SEARCH("РЭО",E94))),29,IFERROR(INDEX(Соответствие!$B$2:$B$100,MATCH(G94,Соответствие!$A$2:$A$100,0)),"?")))</f>
        <v>28</v>
      </c>
      <c r="I94" s="33" t="str">
        <f>IF(C94="","",IFERROR(INDEX(Перечень!$C$6:$C$51,MATCH(H94,Перечень!$A$6:$A$51,0)),""))</f>
        <v>п.4.4, п.5.1, п.5.2</v>
      </c>
      <c r="J94" s="29">
        <f>IF(C94="","",IFERROR(INDEX(Перечень!$D$6:$D$51,MATCH(H94,Перечень!$A$6:$A$51,0)),12))</f>
        <v>12</v>
      </c>
      <c r="K94" s="34"/>
      <c r="L94" s="34"/>
      <c r="M94" s="31" t="str">
        <f t="shared" si="9"/>
        <v/>
      </c>
      <c r="N94" s="29" t="str">
        <f>IF(C94="","",IFERROR(INDEX(Перечень!$F$6:$F$51,MATCH(H94,Перечень!$A$6:$A$51,0)),""))</f>
        <v>-</v>
      </c>
      <c r="O94" s="34"/>
      <c r="P94" s="31" t="str">
        <f t="shared" si="10"/>
        <v/>
      </c>
      <c r="Q94" s="29" t="str">
        <f t="shared" si="11"/>
        <v/>
      </c>
      <c r="R94" s="29" t="str">
        <f t="shared" ca="1" si="12"/>
        <v>Нет сведений</v>
      </c>
      <c r="S94" s="29" t="str">
        <f t="shared" si="13"/>
        <v/>
      </c>
    </row>
    <row r="95" spans="1:19" x14ac:dyDescent="0.3">
      <c r="A95" s="29">
        <f t="shared" si="7"/>
        <v>90</v>
      </c>
      <c r="B95" s="30" t="s">
        <v>99</v>
      </c>
      <c r="C95" s="30" t="s">
        <v>255</v>
      </c>
      <c r="D95" s="30" t="s">
        <v>250</v>
      </c>
      <c r="E95" s="30" t="s">
        <v>247</v>
      </c>
      <c r="F95" s="31">
        <v>45966</v>
      </c>
      <c r="G95" s="32" t="str">
        <f t="shared" si="8"/>
        <v>диспетчер</v>
      </c>
      <c r="H95" s="29">
        <f>IF(C95="","",IF(AND(G95="мастер участка",ISNUMBER(SEARCH("РЭО",E95))),29,IFERROR(INDEX(Соответствие!$B$2:$B$100,MATCH(G95,Соответствие!$A$2:$A$100,0)),"?")))</f>
        <v>28</v>
      </c>
      <c r="I95" s="33" t="str">
        <f>IF(C95="","",IFERROR(INDEX(Перечень!$C$6:$C$51,MATCH(H95,Перечень!$A$6:$A$51,0)),""))</f>
        <v>п.4.4, п.5.1, п.5.2</v>
      </c>
      <c r="J95" s="29">
        <f>IF(C95="","",IFERROR(INDEX(Перечень!$D$6:$D$51,MATCH(H95,Перечень!$A$6:$A$51,0)),12))</f>
        <v>12</v>
      </c>
      <c r="K95" s="34"/>
      <c r="L95" s="34"/>
      <c r="M95" s="31" t="str">
        <f t="shared" si="9"/>
        <v/>
      </c>
      <c r="N95" s="29" t="str">
        <f>IF(C95="","",IFERROR(INDEX(Перечень!$F$6:$F$51,MATCH(H95,Перечень!$A$6:$A$51,0)),""))</f>
        <v>-</v>
      </c>
      <c r="O95" s="34"/>
      <c r="P95" s="31" t="str">
        <f t="shared" si="10"/>
        <v/>
      </c>
      <c r="Q95" s="29" t="str">
        <f t="shared" si="11"/>
        <v/>
      </c>
      <c r="R95" s="29" t="str">
        <f t="shared" ca="1" si="12"/>
        <v>Нет сведений</v>
      </c>
      <c r="S95" s="29" t="str">
        <f t="shared" si="13"/>
        <v/>
      </c>
    </row>
    <row r="96" spans="1:19" x14ac:dyDescent="0.3">
      <c r="A96" s="29">
        <f t="shared" si="7"/>
        <v>91</v>
      </c>
      <c r="B96" s="30" t="s">
        <v>99</v>
      </c>
      <c r="C96" s="30" t="s">
        <v>256</v>
      </c>
      <c r="D96" s="30" t="s">
        <v>250</v>
      </c>
      <c r="E96" s="30" t="s">
        <v>247</v>
      </c>
      <c r="F96" s="31">
        <v>46113</v>
      </c>
      <c r="G96" s="32" t="str">
        <f t="shared" si="8"/>
        <v>диспетчер</v>
      </c>
      <c r="H96" s="29">
        <f>IF(C96="","",IF(AND(G96="мастер участка",ISNUMBER(SEARCH("РЭО",E96))),29,IFERROR(INDEX(Соответствие!$B$2:$B$100,MATCH(G96,Соответствие!$A$2:$A$100,0)),"?")))</f>
        <v>28</v>
      </c>
      <c r="I96" s="33" t="str">
        <f>IF(C96="","",IFERROR(INDEX(Перечень!$C$6:$C$51,MATCH(H96,Перечень!$A$6:$A$51,0)),""))</f>
        <v>п.4.4, п.5.1, п.5.2</v>
      </c>
      <c r="J96" s="29">
        <f>IF(C96="","",IFERROR(INDEX(Перечень!$D$6:$D$51,MATCH(H96,Перечень!$A$6:$A$51,0)),12))</f>
        <v>12</v>
      </c>
      <c r="K96" s="34"/>
      <c r="L96" s="34"/>
      <c r="M96" s="31" t="str">
        <f t="shared" si="9"/>
        <v/>
      </c>
      <c r="N96" s="29" t="str">
        <f>IF(C96="","",IFERROR(INDEX(Перечень!$F$6:$F$51,MATCH(H96,Перечень!$A$6:$A$51,0)),""))</f>
        <v>-</v>
      </c>
      <c r="O96" s="34"/>
      <c r="P96" s="31" t="str">
        <f t="shared" si="10"/>
        <v/>
      </c>
      <c r="Q96" s="29" t="str">
        <f t="shared" si="11"/>
        <v/>
      </c>
      <c r="R96" s="29" t="str">
        <f t="shared" ca="1" si="12"/>
        <v>Нет сведений</v>
      </c>
      <c r="S96" s="29" t="str">
        <f t="shared" si="13"/>
        <v/>
      </c>
    </row>
    <row r="97" spans="1:19" x14ac:dyDescent="0.3">
      <c r="A97" s="29">
        <f t="shared" si="7"/>
        <v>92</v>
      </c>
      <c r="B97" s="30" t="s">
        <v>99</v>
      </c>
      <c r="C97" s="30" t="s">
        <v>257</v>
      </c>
      <c r="D97" s="30" t="s">
        <v>258</v>
      </c>
      <c r="E97" s="30" t="s">
        <v>247</v>
      </c>
      <c r="F97" s="31">
        <v>45691</v>
      </c>
      <c r="G97" s="32" t="str">
        <f t="shared" si="8"/>
        <v>ведущий диспетчер</v>
      </c>
      <c r="H97" s="29">
        <f>IF(C97="","",IF(AND(G97="мастер участка",ISNUMBER(SEARCH("РЭО",E97))),29,IFERROR(INDEX(Соответствие!$B$2:$B$100,MATCH(G97,Соответствие!$A$2:$A$100,0)),"?")))</f>
        <v>28</v>
      </c>
      <c r="I97" s="33" t="str">
        <f>IF(C97="","",IFERROR(INDEX(Перечень!$C$6:$C$51,MATCH(H97,Перечень!$A$6:$A$51,0)),""))</f>
        <v>п.4.4, п.5.1, п.5.2</v>
      </c>
      <c r="J97" s="29">
        <f>IF(C97="","",IFERROR(INDEX(Перечень!$D$6:$D$51,MATCH(H97,Перечень!$A$6:$A$51,0)),12))</f>
        <v>12</v>
      </c>
      <c r="K97" s="34"/>
      <c r="L97" s="34"/>
      <c r="M97" s="31" t="str">
        <f t="shared" si="9"/>
        <v/>
      </c>
      <c r="N97" s="29" t="str">
        <f>IF(C97="","",IFERROR(INDEX(Перечень!$F$6:$F$51,MATCH(H97,Перечень!$A$6:$A$51,0)),""))</f>
        <v>-</v>
      </c>
      <c r="O97" s="34"/>
      <c r="P97" s="31" t="str">
        <f t="shared" si="10"/>
        <v/>
      </c>
      <c r="Q97" s="29" t="str">
        <f t="shared" si="11"/>
        <v/>
      </c>
      <c r="R97" s="29" t="str">
        <f t="shared" ca="1" si="12"/>
        <v>Нет сведений</v>
      </c>
      <c r="S97" s="29" t="str">
        <f t="shared" si="13"/>
        <v/>
      </c>
    </row>
    <row r="98" spans="1:19" x14ac:dyDescent="0.3">
      <c r="A98" s="29">
        <f t="shared" si="7"/>
        <v>93</v>
      </c>
      <c r="B98" s="30" t="s">
        <v>99</v>
      </c>
      <c r="C98" s="30" t="s">
        <v>259</v>
      </c>
      <c r="D98" s="30" t="s">
        <v>258</v>
      </c>
      <c r="E98" s="30" t="s">
        <v>247</v>
      </c>
      <c r="F98" s="31">
        <v>45537</v>
      </c>
      <c r="G98" s="32" t="str">
        <f t="shared" si="8"/>
        <v>ведущий диспетчер</v>
      </c>
      <c r="H98" s="29">
        <f>IF(C98="","",IF(AND(G98="мастер участка",ISNUMBER(SEARCH("РЭО",E98))),29,IFERROR(INDEX(Соответствие!$B$2:$B$100,MATCH(G98,Соответствие!$A$2:$A$100,0)),"?")))</f>
        <v>28</v>
      </c>
      <c r="I98" s="33" t="str">
        <f>IF(C98="","",IFERROR(INDEX(Перечень!$C$6:$C$51,MATCH(H98,Перечень!$A$6:$A$51,0)),""))</f>
        <v>п.4.4, п.5.1, п.5.2</v>
      </c>
      <c r="J98" s="29">
        <f>IF(C98="","",IFERROR(INDEX(Перечень!$D$6:$D$51,MATCH(H98,Перечень!$A$6:$A$51,0)),12))</f>
        <v>12</v>
      </c>
      <c r="K98" s="34"/>
      <c r="L98" s="34"/>
      <c r="M98" s="31" t="str">
        <f t="shared" si="9"/>
        <v/>
      </c>
      <c r="N98" s="29" t="str">
        <f>IF(C98="","",IFERROR(INDEX(Перечень!$F$6:$F$51,MATCH(H98,Перечень!$A$6:$A$51,0)),""))</f>
        <v>-</v>
      </c>
      <c r="O98" s="34"/>
      <c r="P98" s="31" t="str">
        <f t="shared" si="10"/>
        <v/>
      </c>
      <c r="Q98" s="29" t="str">
        <f t="shared" si="11"/>
        <v/>
      </c>
      <c r="R98" s="29" t="str">
        <f t="shared" ca="1" si="12"/>
        <v>Нет сведений</v>
      </c>
      <c r="S98" s="29" t="str">
        <f t="shared" si="13"/>
        <v/>
      </c>
    </row>
    <row r="99" spans="1:19" x14ac:dyDescent="0.3">
      <c r="A99" s="29">
        <f t="shared" si="7"/>
        <v>94</v>
      </c>
      <c r="B99" s="30" t="s">
        <v>99</v>
      </c>
      <c r="C99" s="30" t="s">
        <v>260</v>
      </c>
      <c r="D99" s="30" t="s">
        <v>258</v>
      </c>
      <c r="E99" s="30" t="s">
        <v>247</v>
      </c>
      <c r="F99" s="31">
        <v>45579</v>
      </c>
      <c r="G99" s="32" t="str">
        <f t="shared" si="8"/>
        <v>ведущий диспетчер</v>
      </c>
      <c r="H99" s="29">
        <f>IF(C99="","",IF(AND(G99="мастер участка",ISNUMBER(SEARCH("РЭО",E99))),29,IFERROR(INDEX(Соответствие!$B$2:$B$100,MATCH(G99,Соответствие!$A$2:$A$100,0)),"?")))</f>
        <v>28</v>
      </c>
      <c r="I99" s="33" t="str">
        <f>IF(C99="","",IFERROR(INDEX(Перечень!$C$6:$C$51,MATCH(H99,Перечень!$A$6:$A$51,0)),""))</f>
        <v>п.4.4, п.5.1, п.5.2</v>
      </c>
      <c r="J99" s="29">
        <f>IF(C99="","",IFERROR(INDEX(Перечень!$D$6:$D$51,MATCH(H99,Перечень!$A$6:$A$51,0)),12))</f>
        <v>12</v>
      </c>
      <c r="K99" s="34"/>
      <c r="L99" s="34"/>
      <c r="M99" s="31" t="str">
        <f t="shared" si="9"/>
        <v/>
      </c>
      <c r="N99" s="29" t="str">
        <f>IF(C99="","",IFERROR(INDEX(Перечень!$F$6:$F$51,MATCH(H99,Перечень!$A$6:$A$51,0)),""))</f>
        <v>-</v>
      </c>
      <c r="O99" s="34"/>
      <c r="P99" s="31" t="str">
        <f t="shared" si="10"/>
        <v/>
      </c>
      <c r="Q99" s="29" t="str">
        <f t="shared" si="11"/>
        <v/>
      </c>
      <c r="R99" s="29" t="str">
        <f t="shared" ca="1" si="12"/>
        <v>Нет сведений</v>
      </c>
      <c r="S99" s="29" t="str">
        <f t="shared" si="13"/>
        <v/>
      </c>
    </row>
    <row r="100" spans="1:19" x14ac:dyDescent="0.3">
      <c r="A100" s="29">
        <f t="shared" si="7"/>
        <v>95</v>
      </c>
      <c r="B100" s="30" t="s">
        <v>99</v>
      </c>
      <c r="C100" s="30" t="s">
        <v>261</v>
      </c>
      <c r="D100" s="30" t="s">
        <v>262</v>
      </c>
      <c r="E100" s="30" t="s">
        <v>247</v>
      </c>
      <c r="F100" s="31">
        <v>40616</v>
      </c>
      <c r="G100" s="32" t="str">
        <f t="shared" si="8"/>
        <v>ведущий инженер пдо</v>
      </c>
      <c r="H100" s="29">
        <f>IF(C100="","",IF(AND(G100="мастер участка",ISNUMBER(SEARCH("РЭО",E100))),29,IFERROR(INDEX(Соответствие!$B$2:$B$100,MATCH(G100,Соответствие!$A$2:$A$100,0)),"?")))</f>
        <v>27</v>
      </c>
      <c r="I100" s="33" t="str">
        <f>IF(C100="","",IFERROR(INDEX(Перечень!$C$6:$C$51,MATCH(H100,Перечень!$A$6:$A$51,0)),""))</f>
        <v>п.4.4, п.5.1, п.5.2</v>
      </c>
      <c r="J100" s="29">
        <f>IF(C100="","",IFERROR(INDEX(Перечень!$D$6:$D$51,MATCH(H100,Перечень!$A$6:$A$51,0)),12))</f>
        <v>12</v>
      </c>
      <c r="K100" s="34"/>
      <c r="L100" s="34"/>
      <c r="M100" s="31" t="str">
        <f t="shared" si="9"/>
        <v/>
      </c>
      <c r="N100" s="29" t="str">
        <f>IF(C100="","",IFERROR(INDEX(Перечень!$F$6:$F$51,MATCH(H100,Перечень!$A$6:$A$51,0)),""))</f>
        <v>-</v>
      </c>
      <c r="O100" s="34"/>
      <c r="P100" s="31" t="str">
        <f t="shared" si="10"/>
        <v/>
      </c>
      <c r="Q100" s="29" t="str">
        <f t="shared" si="11"/>
        <v/>
      </c>
      <c r="R100" s="29" t="str">
        <f t="shared" ca="1" si="12"/>
        <v>Нет сведений</v>
      </c>
      <c r="S100" s="29" t="str">
        <f t="shared" si="13"/>
        <v/>
      </c>
    </row>
    <row r="101" spans="1:19" x14ac:dyDescent="0.3">
      <c r="A101" s="29">
        <f t="shared" si="7"/>
        <v>96</v>
      </c>
      <c r="B101" s="30" t="s">
        <v>99</v>
      </c>
      <c r="C101" s="30" t="s">
        <v>263</v>
      </c>
      <c r="D101" s="30" t="s">
        <v>264</v>
      </c>
      <c r="E101" s="30" t="s">
        <v>247</v>
      </c>
      <c r="F101" s="31">
        <v>45397</v>
      </c>
      <c r="G101" s="32" t="str">
        <f t="shared" si="8"/>
        <v>ведущий специалист по учету</v>
      </c>
      <c r="H101" s="29">
        <f>IF(C101="","",IF(AND(G101="мастер участка",ISNUMBER(SEARCH("РЭО",E101))),29,IFERROR(INDEX(Соответствие!$B$2:$B$100,MATCH(G101,Соответствие!$A$2:$A$100,0)),"?")))</f>
        <v>27</v>
      </c>
      <c r="I101" s="33" t="str">
        <f>IF(C101="","",IFERROR(INDEX(Перечень!$C$6:$C$51,MATCH(H101,Перечень!$A$6:$A$51,0)),""))</f>
        <v>п.4.4, п.5.1, п.5.2</v>
      </c>
      <c r="J101" s="29">
        <f>IF(C101="","",IFERROR(INDEX(Перечень!$D$6:$D$51,MATCH(H101,Перечень!$A$6:$A$51,0)),12))</f>
        <v>12</v>
      </c>
      <c r="K101" s="34"/>
      <c r="L101" s="34"/>
      <c r="M101" s="31" t="str">
        <f t="shared" si="9"/>
        <v/>
      </c>
      <c r="N101" s="29" t="str">
        <f>IF(C101="","",IFERROR(INDEX(Перечень!$F$6:$F$51,MATCH(H101,Перечень!$A$6:$A$51,0)),""))</f>
        <v>-</v>
      </c>
      <c r="O101" s="34"/>
      <c r="P101" s="31" t="str">
        <f t="shared" si="10"/>
        <v/>
      </c>
      <c r="Q101" s="29" t="str">
        <f t="shared" si="11"/>
        <v/>
      </c>
      <c r="R101" s="29" t="str">
        <f t="shared" ca="1" si="12"/>
        <v>Нет сведений</v>
      </c>
      <c r="S101" s="29" t="str">
        <f t="shared" si="13"/>
        <v/>
      </c>
    </row>
    <row r="102" spans="1:19" x14ac:dyDescent="0.3">
      <c r="A102" s="29">
        <f t="shared" si="7"/>
        <v>97</v>
      </c>
      <c r="B102" s="30" t="s">
        <v>99</v>
      </c>
      <c r="C102" s="30" t="s">
        <v>265</v>
      </c>
      <c r="D102" s="30" t="s">
        <v>266</v>
      </c>
      <c r="E102" s="30" t="s">
        <v>267</v>
      </c>
      <c r="F102" s="31">
        <v>45509</v>
      </c>
      <c r="G102" s="32" t="str">
        <f t="shared" si="8"/>
        <v>токарь</v>
      </c>
      <c r="H102" s="29">
        <f>IF(C102="","",IF(AND(G102="мастер участка",ISNUMBER(SEARCH("РЭО",E102))),29,IFERROR(INDEX(Соответствие!$B$2:$B$100,MATCH(G102,Соответствие!$A$2:$A$100,0)),"?")))</f>
        <v>34</v>
      </c>
      <c r="I102" s="33" t="str">
        <f>IF(C102="","",IFERROR(INDEX(Перечень!$C$6:$C$51,MATCH(H102,Перечень!$A$6:$A$51,0)),""))</f>
        <v>п.4.3.1, п.4.3.2, п.4.4, п.5.1, п.5.2, п.15</v>
      </c>
      <c r="J102" s="29">
        <f>IF(C102="","",IFERROR(INDEX(Перечень!$D$6:$D$51,MATCH(H102,Перечень!$A$6:$A$51,0)),12))</f>
        <v>12</v>
      </c>
      <c r="K102" s="34"/>
      <c r="L102" s="34"/>
      <c r="M102" s="31" t="str">
        <f t="shared" si="9"/>
        <v/>
      </c>
      <c r="N102" s="29" t="str">
        <f>IF(C102="","",IFERROR(INDEX(Перечень!$F$6:$F$51,MATCH(H102,Перечень!$A$6:$A$51,0)),""))</f>
        <v>-</v>
      </c>
      <c r="O102" s="34"/>
      <c r="P102" s="31" t="str">
        <f t="shared" si="10"/>
        <v/>
      </c>
      <c r="Q102" s="29" t="str">
        <f t="shared" si="11"/>
        <v/>
      </c>
      <c r="R102" s="29" t="str">
        <f t="shared" ca="1" si="12"/>
        <v>Нет сведений</v>
      </c>
      <c r="S102" s="29" t="str">
        <f t="shared" si="13"/>
        <v/>
      </c>
    </row>
    <row r="103" spans="1:19" x14ac:dyDescent="0.3">
      <c r="A103" s="29">
        <f t="shared" si="7"/>
        <v>98</v>
      </c>
      <c r="B103" s="30" t="s">
        <v>99</v>
      </c>
      <c r="C103" s="30" t="s">
        <v>268</v>
      </c>
      <c r="D103" s="30" t="s">
        <v>266</v>
      </c>
      <c r="E103" s="30" t="s">
        <v>267</v>
      </c>
      <c r="F103" s="31">
        <v>45565</v>
      </c>
      <c r="G103" s="32" t="str">
        <f t="shared" si="8"/>
        <v>токарь</v>
      </c>
      <c r="H103" s="29">
        <f>IF(C103="","",IF(AND(G103="мастер участка",ISNUMBER(SEARCH("РЭО",E103))),29,IFERROR(INDEX(Соответствие!$B$2:$B$100,MATCH(G103,Соответствие!$A$2:$A$100,0)),"?")))</f>
        <v>34</v>
      </c>
      <c r="I103" s="33" t="str">
        <f>IF(C103="","",IFERROR(INDEX(Перечень!$C$6:$C$51,MATCH(H103,Перечень!$A$6:$A$51,0)),""))</f>
        <v>п.4.3.1, п.4.3.2, п.4.4, п.5.1, п.5.2, п.15</v>
      </c>
      <c r="J103" s="29">
        <f>IF(C103="","",IFERROR(INDEX(Перечень!$D$6:$D$51,MATCH(H103,Перечень!$A$6:$A$51,0)),12))</f>
        <v>12</v>
      </c>
      <c r="K103" s="34"/>
      <c r="L103" s="34"/>
      <c r="M103" s="31" t="str">
        <f t="shared" si="9"/>
        <v/>
      </c>
      <c r="N103" s="29" t="str">
        <f>IF(C103="","",IFERROR(INDEX(Перечень!$F$6:$F$51,MATCH(H103,Перечень!$A$6:$A$51,0)),""))</f>
        <v>-</v>
      </c>
      <c r="O103" s="34"/>
      <c r="P103" s="31" t="str">
        <f t="shared" si="10"/>
        <v/>
      </c>
      <c r="Q103" s="29" t="str">
        <f t="shared" si="11"/>
        <v/>
      </c>
      <c r="R103" s="29" t="str">
        <f t="shared" ca="1" si="12"/>
        <v>Нет сведений</v>
      </c>
      <c r="S103" s="29" t="str">
        <f t="shared" si="13"/>
        <v/>
      </c>
    </row>
    <row r="104" spans="1:19" x14ac:dyDescent="0.3">
      <c r="A104" s="29">
        <f t="shared" si="7"/>
        <v>99</v>
      </c>
      <c r="B104" s="30" t="s">
        <v>99</v>
      </c>
      <c r="C104" s="30" t="s">
        <v>269</v>
      </c>
      <c r="D104" s="30" t="s">
        <v>266</v>
      </c>
      <c r="E104" s="30" t="s">
        <v>267</v>
      </c>
      <c r="F104" s="31">
        <v>45924</v>
      </c>
      <c r="G104" s="32" t="str">
        <f t="shared" si="8"/>
        <v>токарь</v>
      </c>
      <c r="H104" s="29">
        <f>IF(C104="","",IF(AND(G104="мастер участка",ISNUMBER(SEARCH("РЭО",E104))),29,IFERROR(INDEX(Соответствие!$B$2:$B$100,MATCH(G104,Соответствие!$A$2:$A$100,0)),"?")))</f>
        <v>34</v>
      </c>
      <c r="I104" s="33" t="str">
        <f>IF(C104="","",IFERROR(INDEX(Перечень!$C$6:$C$51,MATCH(H104,Перечень!$A$6:$A$51,0)),""))</f>
        <v>п.4.3.1, п.4.3.2, п.4.4, п.5.1, п.5.2, п.15</v>
      </c>
      <c r="J104" s="29">
        <f>IF(C104="","",IFERROR(INDEX(Перечень!$D$6:$D$51,MATCH(H104,Перечень!$A$6:$A$51,0)),12))</f>
        <v>12</v>
      </c>
      <c r="K104" s="34">
        <v>45882</v>
      </c>
      <c r="L104" s="34"/>
      <c r="M104" s="31">
        <f t="shared" si="9"/>
        <v>46247</v>
      </c>
      <c r="N104" s="29" t="str">
        <f>IF(C104="","",IFERROR(INDEX(Перечень!$F$6:$F$51,MATCH(H104,Перечень!$A$6:$A$51,0)),""))</f>
        <v>-</v>
      </c>
      <c r="O104" s="34"/>
      <c r="P104" s="31" t="str">
        <f t="shared" si="10"/>
        <v/>
      </c>
      <c r="Q104" s="29" t="str">
        <f t="shared" si="11"/>
        <v/>
      </c>
      <c r="R104" s="29" t="str">
        <f t="shared" ca="1" si="12"/>
        <v>Просрочен</v>
      </c>
      <c r="S104" s="29" t="str">
        <f t="shared" si="13"/>
        <v/>
      </c>
    </row>
    <row r="105" spans="1:19" x14ac:dyDescent="0.3">
      <c r="A105" s="29">
        <f t="shared" si="7"/>
        <v>100</v>
      </c>
      <c r="B105" s="30" t="s">
        <v>99</v>
      </c>
      <c r="C105" s="30" t="s">
        <v>270</v>
      </c>
      <c r="D105" s="30" t="s">
        <v>271</v>
      </c>
      <c r="E105" s="30" t="s">
        <v>267</v>
      </c>
      <c r="F105" s="31">
        <v>45638</v>
      </c>
      <c r="G105" s="32" t="str">
        <f t="shared" si="8"/>
        <v>оператор станка с чпу</v>
      </c>
      <c r="H105" s="29">
        <f>IF(C105="","",IF(AND(G105="мастер участка",ISNUMBER(SEARCH("РЭО",E105))),29,IFERROR(INDEX(Соответствие!$B$2:$B$100,MATCH(G105,Соответствие!$A$2:$A$100,0)),"?")))</f>
        <v>30</v>
      </c>
      <c r="I105" s="33" t="str">
        <f>IF(C105="","",IFERROR(INDEX(Перечень!$C$6:$C$51,MATCH(H105,Перечень!$A$6:$A$51,0)),""))</f>
        <v>п.4.3.1, п.4.3.2, п.4.4, п.5.1, п.5.2, п.15</v>
      </c>
      <c r="J105" s="29">
        <f>IF(C105="","",IFERROR(INDEX(Перечень!$D$6:$D$51,MATCH(H105,Перечень!$A$6:$A$51,0)),12))</f>
        <v>12</v>
      </c>
      <c r="K105" s="34"/>
      <c r="L105" s="34"/>
      <c r="M105" s="31" t="str">
        <f t="shared" si="9"/>
        <v/>
      </c>
      <c r="N105" s="29" t="str">
        <f>IF(C105="","",IFERROR(INDEX(Перечень!$F$6:$F$51,MATCH(H105,Перечень!$A$6:$A$51,0)),""))</f>
        <v>-</v>
      </c>
      <c r="O105" s="34"/>
      <c r="P105" s="31" t="str">
        <f t="shared" si="10"/>
        <v/>
      </c>
      <c r="Q105" s="29" t="str">
        <f t="shared" si="11"/>
        <v/>
      </c>
      <c r="R105" s="29" t="str">
        <f t="shared" ca="1" si="12"/>
        <v>Нет сведений</v>
      </c>
      <c r="S105" s="29" t="str">
        <f t="shared" si="13"/>
        <v/>
      </c>
    </row>
    <row r="106" spans="1:19" x14ac:dyDescent="0.3">
      <c r="A106" s="29">
        <f t="shared" si="7"/>
        <v>101</v>
      </c>
      <c r="B106" s="30" t="s">
        <v>99</v>
      </c>
      <c r="C106" s="30" t="s">
        <v>272</v>
      </c>
      <c r="D106" s="30" t="s">
        <v>271</v>
      </c>
      <c r="E106" s="30" t="s">
        <v>267</v>
      </c>
      <c r="F106" s="31">
        <v>45792</v>
      </c>
      <c r="G106" s="32" t="str">
        <f t="shared" si="8"/>
        <v>оператор станка с чпу</v>
      </c>
      <c r="H106" s="29">
        <f>IF(C106="","",IF(AND(G106="мастер участка",ISNUMBER(SEARCH("РЭО",E106))),29,IFERROR(INDEX(Соответствие!$B$2:$B$100,MATCH(G106,Соответствие!$A$2:$A$100,0)),"?")))</f>
        <v>30</v>
      </c>
      <c r="I106" s="33" t="str">
        <f>IF(C106="","",IFERROR(INDEX(Перечень!$C$6:$C$51,MATCH(H106,Перечень!$A$6:$A$51,0)),""))</f>
        <v>п.4.3.1, п.4.3.2, п.4.4, п.5.1, п.5.2, п.15</v>
      </c>
      <c r="J106" s="29">
        <f>IF(C106="","",IFERROR(INDEX(Перечень!$D$6:$D$51,MATCH(H106,Перечень!$A$6:$A$51,0)),12))</f>
        <v>12</v>
      </c>
      <c r="K106" s="34"/>
      <c r="L106" s="34"/>
      <c r="M106" s="31" t="str">
        <f t="shared" si="9"/>
        <v/>
      </c>
      <c r="N106" s="29" t="str">
        <f>IF(C106="","",IFERROR(INDEX(Перечень!$F$6:$F$51,MATCH(H106,Перечень!$A$6:$A$51,0)),""))</f>
        <v>-</v>
      </c>
      <c r="O106" s="34"/>
      <c r="P106" s="31" t="str">
        <f t="shared" si="10"/>
        <v/>
      </c>
      <c r="Q106" s="29" t="str">
        <f t="shared" si="11"/>
        <v/>
      </c>
      <c r="R106" s="29" t="str">
        <f t="shared" ca="1" si="12"/>
        <v>Нет сведений</v>
      </c>
      <c r="S106" s="29" t="str">
        <f t="shared" si="13"/>
        <v/>
      </c>
    </row>
    <row r="107" spans="1:19" x14ac:dyDescent="0.3">
      <c r="A107" s="29">
        <f t="shared" si="7"/>
        <v>102</v>
      </c>
      <c r="B107" s="30" t="s">
        <v>99</v>
      </c>
      <c r="C107" s="30" t="s">
        <v>273</v>
      </c>
      <c r="D107" s="30" t="s">
        <v>274</v>
      </c>
      <c r="E107" s="30" t="s">
        <v>275</v>
      </c>
      <c r="F107" s="31">
        <v>45212</v>
      </c>
      <c r="G107" s="32" t="str">
        <f t="shared" si="8"/>
        <v>фрезеровщик</v>
      </c>
      <c r="H107" s="29">
        <f>IF(C107="","",IF(AND(G107="мастер участка",ISNUMBER(SEARCH("РЭО",E107))),29,IFERROR(INDEX(Соответствие!$B$2:$B$100,MATCH(G107,Соответствие!$A$2:$A$100,0)),"?")))</f>
        <v>33</v>
      </c>
      <c r="I107" s="33" t="str">
        <f>IF(C107="","",IFERROR(INDEX(Перечень!$C$6:$C$51,MATCH(H107,Перечень!$A$6:$A$51,0)),""))</f>
        <v>п.4.3.1, п.4.3.2, п.4.4, п.5.1, п.5.2, п.15</v>
      </c>
      <c r="J107" s="29">
        <f>IF(C107="","",IFERROR(INDEX(Перечень!$D$6:$D$51,MATCH(H107,Перечень!$A$6:$A$51,0)),12))</f>
        <v>12</v>
      </c>
      <c r="K107" s="34"/>
      <c r="L107" s="34"/>
      <c r="M107" s="31" t="str">
        <f t="shared" si="9"/>
        <v/>
      </c>
      <c r="N107" s="29" t="str">
        <f>IF(C107="","",IFERROR(INDEX(Перечень!$F$6:$F$51,MATCH(H107,Перечень!$A$6:$A$51,0)),""))</f>
        <v>-</v>
      </c>
      <c r="O107" s="34"/>
      <c r="P107" s="31" t="str">
        <f t="shared" si="10"/>
        <v/>
      </c>
      <c r="Q107" s="29" t="str">
        <f t="shared" si="11"/>
        <v/>
      </c>
      <c r="R107" s="29" t="str">
        <f t="shared" ca="1" si="12"/>
        <v>Нет сведений</v>
      </c>
      <c r="S107" s="29" t="str">
        <f t="shared" si="13"/>
        <v/>
      </c>
    </row>
    <row r="108" spans="1:19" x14ac:dyDescent="0.3">
      <c r="A108" s="29">
        <f t="shared" si="7"/>
        <v>103</v>
      </c>
      <c r="B108" s="30" t="s">
        <v>99</v>
      </c>
      <c r="C108" s="30" t="s">
        <v>276</v>
      </c>
      <c r="D108" s="30" t="s">
        <v>234</v>
      </c>
      <c r="E108" s="30" t="s">
        <v>275</v>
      </c>
      <c r="F108" s="31">
        <v>39615</v>
      </c>
      <c r="G108" s="32" t="str">
        <f t="shared" si="8"/>
        <v>мастер участка</v>
      </c>
      <c r="H108" s="29">
        <f>IF(C108="","",IF(AND(G108="мастер участка",ISNUMBER(SEARCH("РЭО",E108))),29,IFERROR(INDEX(Соответствие!$B$2:$B$100,MATCH(G108,Соответствие!$A$2:$A$100,0)),"?")))</f>
        <v>18</v>
      </c>
      <c r="I108" s="33" t="str">
        <f>IF(C108="","",IFERROR(INDEX(Перечень!$C$6:$C$51,MATCH(H108,Перечень!$A$6:$A$51,0)),""))</f>
        <v>п.4.4, п.5.1, п.5.2</v>
      </c>
      <c r="J108" s="29">
        <f>IF(C108="","",IFERROR(INDEX(Перечень!$D$6:$D$51,MATCH(H108,Перечень!$A$6:$A$51,0)),12))</f>
        <v>12</v>
      </c>
      <c r="K108" s="34"/>
      <c r="L108" s="34"/>
      <c r="M108" s="31" t="str">
        <f t="shared" si="9"/>
        <v/>
      </c>
      <c r="N108" s="29" t="str">
        <f>IF(C108="","",IFERROR(INDEX(Перечень!$F$6:$F$51,MATCH(H108,Перечень!$A$6:$A$51,0)),""))</f>
        <v>-</v>
      </c>
      <c r="O108" s="34"/>
      <c r="P108" s="31" t="str">
        <f t="shared" si="10"/>
        <v/>
      </c>
      <c r="Q108" s="29" t="str">
        <f t="shared" si="11"/>
        <v/>
      </c>
      <c r="R108" s="29" t="str">
        <f t="shared" ca="1" si="12"/>
        <v>Нет сведений</v>
      </c>
      <c r="S108" s="29" t="str">
        <f t="shared" si="13"/>
        <v/>
      </c>
    </row>
    <row r="109" spans="1:19" x14ac:dyDescent="0.3">
      <c r="A109" s="29">
        <f t="shared" si="7"/>
        <v>104</v>
      </c>
      <c r="B109" s="30" t="s">
        <v>99</v>
      </c>
      <c r="C109" s="30" t="s">
        <v>277</v>
      </c>
      <c r="D109" s="30" t="s">
        <v>278</v>
      </c>
      <c r="E109" s="30" t="s">
        <v>267</v>
      </c>
      <c r="F109" s="31">
        <v>45691</v>
      </c>
      <c r="G109" s="32" t="str">
        <f t="shared" si="8"/>
        <v>оператор станка с чпу</v>
      </c>
      <c r="H109" s="29">
        <f>IF(C109="","",IF(AND(G109="мастер участка",ISNUMBER(SEARCH("РЭО",E109))),29,IFERROR(INDEX(Соответствие!$B$2:$B$100,MATCH(G109,Соответствие!$A$2:$A$100,0)),"?")))</f>
        <v>30</v>
      </c>
      <c r="I109" s="33" t="str">
        <f>IF(C109="","",IFERROR(INDEX(Перечень!$C$6:$C$51,MATCH(H109,Перечень!$A$6:$A$51,0)),""))</f>
        <v>п.4.3.1, п.4.3.2, п.4.4, п.5.1, п.5.2, п.15</v>
      </c>
      <c r="J109" s="29">
        <f>IF(C109="","",IFERROR(INDEX(Перечень!$D$6:$D$51,MATCH(H109,Перечень!$A$6:$A$51,0)),12))</f>
        <v>12</v>
      </c>
      <c r="K109" s="34"/>
      <c r="L109" s="34"/>
      <c r="M109" s="31" t="str">
        <f t="shared" si="9"/>
        <v/>
      </c>
      <c r="N109" s="29" t="str">
        <f>IF(C109="","",IFERROR(INDEX(Перечень!$F$6:$F$51,MATCH(H109,Перечень!$A$6:$A$51,0)),""))</f>
        <v>-</v>
      </c>
      <c r="O109" s="34"/>
      <c r="P109" s="31" t="str">
        <f t="shared" si="10"/>
        <v/>
      </c>
      <c r="Q109" s="29" t="str">
        <f t="shared" si="11"/>
        <v/>
      </c>
      <c r="R109" s="29" t="str">
        <f t="shared" ca="1" si="12"/>
        <v>Нет сведений</v>
      </c>
      <c r="S109" s="29" t="str">
        <f t="shared" si="13"/>
        <v/>
      </c>
    </row>
    <row r="110" spans="1:19" x14ac:dyDescent="0.3">
      <c r="A110" s="29">
        <f t="shared" si="7"/>
        <v>105</v>
      </c>
      <c r="B110" s="30" t="s">
        <v>99</v>
      </c>
      <c r="C110" s="30" t="s">
        <v>279</v>
      </c>
      <c r="D110" s="30" t="s">
        <v>280</v>
      </c>
      <c r="E110" s="30" t="s">
        <v>267</v>
      </c>
      <c r="F110" s="31">
        <v>45930</v>
      </c>
      <c r="G110" s="32" t="str">
        <f t="shared" si="8"/>
        <v>токарь</v>
      </c>
      <c r="H110" s="29">
        <f>IF(C110="","",IF(AND(G110="мастер участка",ISNUMBER(SEARCH("РЭО",E110))),29,IFERROR(INDEX(Соответствие!$B$2:$B$100,MATCH(G110,Соответствие!$A$2:$A$100,0)),"?")))</f>
        <v>34</v>
      </c>
      <c r="I110" s="33" t="str">
        <f>IF(C110="","",IFERROR(INDEX(Перечень!$C$6:$C$51,MATCH(H110,Перечень!$A$6:$A$51,0)),""))</f>
        <v>п.4.3.1, п.4.3.2, п.4.4, п.5.1, п.5.2, п.15</v>
      </c>
      <c r="J110" s="29">
        <f>IF(C110="","",IFERROR(INDEX(Перечень!$D$6:$D$51,MATCH(H110,Перечень!$A$6:$A$51,0)),12))</f>
        <v>12</v>
      </c>
      <c r="K110" s="34">
        <v>45916</v>
      </c>
      <c r="L110" s="34"/>
      <c r="M110" s="31">
        <f t="shared" si="9"/>
        <v>46281</v>
      </c>
      <c r="N110" s="29" t="str">
        <f>IF(C110="","",IFERROR(INDEX(Перечень!$F$6:$F$51,MATCH(H110,Перечень!$A$6:$A$51,0)),""))</f>
        <v>-</v>
      </c>
      <c r="O110" s="34"/>
      <c r="P110" s="31" t="str">
        <f t="shared" si="10"/>
        <v/>
      </c>
      <c r="Q110" s="29" t="str">
        <f t="shared" si="11"/>
        <v/>
      </c>
      <c r="R110" s="29" t="str">
        <f t="shared" ca="1" si="12"/>
        <v>Просрочен</v>
      </c>
      <c r="S110" s="29" t="str">
        <f t="shared" si="13"/>
        <v/>
      </c>
    </row>
    <row r="111" spans="1:19" x14ac:dyDescent="0.3">
      <c r="A111" s="29">
        <f t="shared" si="7"/>
        <v>106</v>
      </c>
      <c r="B111" s="30" t="s">
        <v>99</v>
      </c>
      <c r="C111" s="30" t="s">
        <v>281</v>
      </c>
      <c r="D111" s="30" t="s">
        <v>280</v>
      </c>
      <c r="E111" s="30" t="s">
        <v>267</v>
      </c>
      <c r="F111" s="31">
        <v>45840</v>
      </c>
      <c r="G111" s="32" t="str">
        <f t="shared" si="8"/>
        <v>токарь</v>
      </c>
      <c r="H111" s="29">
        <f>IF(C111="","",IF(AND(G111="мастер участка",ISNUMBER(SEARCH("РЭО",E111))),29,IFERROR(INDEX(Соответствие!$B$2:$B$100,MATCH(G111,Соответствие!$A$2:$A$100,0)),"?")))</f>
        <v>34</v>
      </c>
      <c r="I111" s="33" t="str">
        <f>IF(C111="","",IFERROR(INDEX(Перечень!$C$6:$C$51,MATCH(H111,Перечень!$A$6:$A$51,0)),""))</f>
        <v>п.4.3.1, п.4.3.2, п.4.4, п.5.1, п.5.2, п.15</v>
      </c>
      <c r="J111" s="29">
        <f>IF(C111="","",IFERROR(INDEX(Перечень!$D$6:$D$51,MATCH(H111,Перечень!$A$6:$A$51,0)),12))</f>
        <v>12</v>
      </c>
      <c r="K111" s="34">
        <v>45835</v>
      </c>
      <c r="L111" s="34"/>
      <c r="M111" s="31">
        <f t="shared" si="9"/>
        <v>46200</v>
      </c>
      <c r="N111" s="29" t="str">
        <f>IF(C111="","",IFERROR(INDEX(Перечень!$F$6:$F$51,MATCH(H111,Перечень!$A$6:$A$51,0)),""))</f>
        <v>-</v>
      </c>
      <c r="O111" s="34"/>
      <c r="P111" s="31" t="str">
        <f t="shared" si="10"/>
        <v/>
      </c>
      <c r="Q111" s="29" t="str">
        <f t="shared" si="11"/>
        <v/>
      </c>
      <c r="R111" s="29" t="str">
        <f t="shared" ca="1" si="12"/>
        <v>Просрочен</v>
      </c>
      <c r="S111" s="29" t="str">
        <f t="shared" si="13"/>
        <v/>
      </c>
    </row>
    <row r="112" spans="1:19" x14ac:dyDescent="0.3">
      <c r="A112" s="29">
        <f t="shared" si="7"/>
        <v>107</v>
      </c>
      <c r="B112" s="30" t="s">
        <v>99</v>
      </c>
      <c r="C112" s="30" t="s">
        <v>282</v>
      </c>
      <c r="D112" s="30" t="s">
        <v>283</v>
      </c>
      <c r="E112" s="30" t="s">
        <v>275</v>
      </c>
      <c r="F112" s="31">
        <v>44692</v>
      </c>
      <c r="G112" s="32" t="str">
        <f t="shared" si="8"/>
        <v>фрезеровщик</v>
      </c>
      <c r="H112" s="29">
        <f>IF(C112="","",IF(AND(G112="мастер участка",ISNUMBER(SEARCH("РЭО",E112))),29,IFERROR(INDEX(Соответствие!$B$2:$B$100,MATCH(G112,Соответствие!$A$2:$A$100,0)),"?")))</f>
        <v>33</v>
      </c>
      <c r="I112" s="33" t="str">
        <f>IF(C112="","",IFERROR(INDEX(Перечень!$C$6:$C$51,MATCH(H112,Перечень!$A$6:$A$51,0)),""))</f>
        <v>п.4.3.1, п.4.3.2, п.4.4, п.5.1, п.5.2, п.15</v>
      </c>
      <c r="J112" s="29">
        <f>IF(C112="","",IFERROR(INDEX(Перечень!$D$6:$D$51,MATCH(H112,Перечень!$A$6:$A$51,0)),12))</f>
        <v>12</v>
      </c>
      <c r="K112" s="34"/>
      <c r="L112" s="34"/>
      <c r="M112" s="31" t="str">
        <f t="shared" si="9"/>
        <v/>
      </c>
      <c r="N112" s="29" t="str">
        <f>IF(C112="","",IFERROR(INDEX(Перечень!$F$6:$F$51,MATCH(H112,Перечень!$A$6:$A$51,0)),""))</f>
        <v>-</v>
      </c>
      <c r="O112" s="34"/>
      <c r="P112" s="31" t="str">
        <f t="shared" si="10"/>
        <v/>
      </c>
      <c r="Q112" s="29" t="str">
        <f t="shared" si="11"/>
        <v/>
      </c>
      <c r="R112" s="29" t="str">
        <f t="shared" ca="1" si="12"/>
        <v>Нет сведений</v>
      </c>
      <c r="S112" s="29" t="str">
        <f t="shared" si="13"/>
        <v/>
      </c>
    </row>
    <row r="113" spans="1:19" x14ac:dyDescent="0.3">
      <c r="A113" s="29">
        <f t="shared" si="7"/>
        <v>108</v>
      </c>
      <c r="B113" s="30" t="s">
        <v>99</v>
      </c>
      <c r="C113" s="30" t="s">
        <v>284</v>
      </c>
      <c r="D113" s="30" t="s">
        <v>285</v>
      </c>
      <c r="E113" s="30" t="s">
        <v>286</v>
      </c>
      <c r="F113" s="31">
        <v>41673</v>
      </c>
      <c r="G113" s="32" t="str">
        <f t="shared" si="8"/>
        <v>слесарь механосборочных работ</v>
      </c>
      <c r="H113" s="29">
        <f>IF(C113="","",IF(AND(G113="мастер участка",ISNUMBER(SEARCH("РЭО",E113))),29,IFERROR(INDEX(Соответствие!$B$2:$B$100,MATCH(G113,Соответствие!$A$2:$A$100,0)),"?")))</f>
        <v>32</v>
      </c>
      <c r="I113" s="33" t="str">
        <f>IF(C113="","",IFERROR(INDEX(Перечень!$C$6:$C$51,MATCH(H113,Перечень!$A$6:$A$51,0)),""))</f>
        <v>п.4.3.1, п.4.3.2, п.4.4, п.5.1, п.15</v>
      </c>
      <c r="J113" s="29">
        <f>IF(C113="","",IFERROR(INDEX(Перечень!$D$6:$D$51,MATCH(H113,Перечень!$A$6:$A$51,0)),12))</f>
        <v>12</v>
      </c>
      <c r="K113" s="34"/>
      <c r="L113" s="34"/>
      <c r="M113" s="31" t="str">
        <f t="shared" si="9"/>
        <v/>
      </c>
      <c r="N113" s="29" t="str">
        <f>IF(C113="","",IFERROR(INDEX(Перечень!$F$6:$F$51,MATCH(H113,Перечень!$A$6:$A$51,0)),""))</f>
        <v>-</v>
      </c>
      <c r="O113" s="34"/>
      <c r="P113" s="31" t="str">
        <f t="shared" si="10"/>
        <v/>
      </c>
      <c r="Q113" s="29" t="str">
        <f t="shared" si="11"/>
        <v/>
      </c>
      <c r="R113" s="29" t="str">
        <f t="shared" ca="1" si="12"/>
        <v>Нет сведений</v>
      </c>
      <c r="S113" s="29" t="str">
        <f t="shared" si="13"/>
        <v/>
      </c>
    </row>
    <row r="114" spans="1:19" x14ac:dyDescent="0.3">
      <c r="A114" s="29">
        <f t="shared" si="7"/>
        <v>109</v>
      </c>
      <c r="B114" s="30" t="s">
        <v>99</v>
      </c>
      <c r="C114" s="30" t="s">
        <v>287</v>
      </c>
      <c r="D114" s="30" t="s">
        <v>285</v>
      </c>
      <c r="E114" s="30" t="s">
        <v>286</v>
      </c>
      <c r="F114" s="31">
        <v>45643</v>
      </c>
      <c r="G114" s="32" t="str">
        <f t="shared" si="8"/>
        <v>слесарь механосборочных работ</v>
      </c>
      <c r="H114" s="29">
        <f>IF(C114="","",IF(AND(G114="мастер участка",ISNUMBER(SEARCH("РЭО",E114))),29,IFERROR(INDEX(Соответствие!$B$2:$B$100,MATCH(G114,Соответствие!$A$2:$A$100,0)),"?")))</f>
        <v>32</v>
      </c>
      <c r="I114" s="33" t="str">
        <f>IF(C114="","",IFERROR(INDEX(Перечень!$C$6:$C$51,MATCH(H114,Перечень!$A$6:$A$51,0)),""))</f>
        <v>п.4.3.1, п.4.3.2, п.4.4, п.5.1, п.15</v>
      </c>
      <c r="J114" s="29">
        <f>IF(C114="","",IFERROR(INDEX(Перечень!$D$6:$D$51,MATCH(H114,Перечень!$A$6:$A$51,0)),12))</f>
        <v>12</v>
      </c>
      <c r="K114" s="34"/>
      <c r="L114" s="34"/>
      <c r="M114" s="31" t="str">
        <f t="shared" si="9"/>
        <v/>
      </c>
      <c r="N114" s="29" t="str">
        <f>IF(C114="","",IFERROR(INDEX(Перечень!$F$6:$F$51,MATCH(H114,Перечень!$A$6:$A$51,0)),""))</f>
        <v>-</v>
      </c>
      <c r="O114" s="34"/>
      <c r="P114" s="31" t="str">
        <f t="shared" si="10"/>
        <v/>
      </c>
      <c r="Q114" s="29" t="str">
        <f t="shared" si="11"/>
        <v/>
      </c>
      <c r="R114" s="29" t="str">
        <f t="shared" ca="1" si="12"/>
        <v>Нет сведений</v>
      </c>
      <c r="S114" s="29" t="str">
        <f t="shared" si="13"/>
        <v/>
      </c>
    </row>
    <row r="115" spans="1:19" x14ac:dyDescent="0.3">
      <c r="A115" s="29">
        <f t="shared" si="7"/>
        <v>110</v>
      </c>
      <c r="B115" s="30" t="s">
        <v>99</v>
      </c>
      <c r="C115" s="30" t="s">
        <v>288</v>
      </c>
      <c r="D115" s="30" t="s">
        <v>285</v>
      </c>
      <c r="E115" s="30" t="s">
        <v>286</v>
      </c>
      <c r="F115" s="31">
        <v>45565</v>
      </c>
      <c r="G115" s="32" t="str">
        <f t="shared" si="8"/>
        <v>слесарь механосборочных работ</v>
      </c>
      <c r="H115" s="29">
        <f>IF(C115="","",IF(AND(G115="мастер участка",ISNUMBER(SEARCH("РЭО",E115))),29,IFERROR(INDEX(Соответствие!$B$2:$B$100,MATCH(G115,Соответствие!$A$2:$A$100,0)),"?")))</f>
        <v>32</v>
      </c>
      <c r="I115" s="33" t="str">
        <f>IF(C115="","",IFERROR(INDEX(Перечень!$C$6:$C$51,MATCH(H115,Перечень!$A$6:$A$51,0)),""))</f>
        <v>п.4.3.1, п.4.3.2, п.4.4, п.5.1, п.15</v>
      </c>
      <c r="J115" s="29">
        <f>IF(C115="","",IFERROR(INDEX(Перечень!$D$6:$D$51,MATCH(H115,Перечень!$A$6:$A$51,0)),12))</f>
        <v>12</v>
      </c>
      <c r="K115" s="34"/>
      <c r="L115" s="34"/>
      <c r="M115" s="31" t="str">
        <f t="shared" si="9"/>
        <v/>
      </c>
      <c r="N115" s="29" t="str">
        <f>IF(C115="","",IFERROR(INDEX(Перечень!$F$6:$F$51,MATCH(H115,Перечень!$A$6:$A$51,0)),""))</f>
        <v>-</v>
      </c>
      <c r="O115" s="34"/>
      <c r="P115" s="31" t="str">
        <f t="shared" si="10"/>
        <v/>
      </c>
      <c r="Q115" s="29" t="str">
        <f t="shared" si="11"/>
        <v/>
      </c>
      <c r="R115" s="29" t="str">
        <f t="shared" ca="1" si="12"/>
        <v>Нет сведений</v>
      </c>
      <c r="S115" s="29" t="str">
        <f t="shared" si="13"/>
        <v/>
      </c>
    </row>
    <row r="116" spans="1:19" x14ac:dyDescent="0.3">
      <c r="A116" s="29">
        <f t="shared" si="7"/>
        <v>111</v>
      </c>
      <c r="B116" s="30" t="s">
        <v>99</v>
      </c>
      <c r="C116" s="30" t="s">
        <v>289</v>
      </c>
      <c r="D116" s="30" t="s">
        <v>285</v>
      </c>
      <c r="E116" s="30" t="s">
        <v>286</v>
      </c>
      <c r="F116" s="31">
        <v>44795</v>
      </c>
      <c r="G116" s="32" t="str">
        <f t="shared" si="8"/>
        <v>слесарь механосборочных работ</v>
      </c>
      <c r="H116" s="29">
        <f>IF(C116="","",IF(AND(G116="мастер участка",ISNUMBER(SEARCH("РЭО",E116))),29,IFERROR(INDEX(Соответствие!$B$2:$B$100,MATCH(G116,Соответствие!$A$2:$A$100,0)),"?")))</f>
        <v>32</v>
      </c>
      <c r="I116" s="33" t="str">
        <f>IF(C116="","",IFERROR(INDEX(Перечень!$C$6:$C$51,MATCH(H116,Перечень!$A$6:$A$51,0)),""))</f>
        <v>п.4.3.1, п.4.3.2, п.4.4, п.5.1, п.15</v>
      </c>
      <c r="J116" s="29">
        <f>IF(C116="","",IFERROR(INDEX(Перечень!$D$6:$D$51,MATCH(H116,Перечень!$A$6:$A$51,0)),12))</f>
        <v>12</v>
      </c>
      <c r="K116" s="34"/>
      <c r="L116" s="34"/>
      <c r="M116" s="31" t="str">
        <f t="shared" si="9"/>
        <v/>
      </c>
      <c r="N116" s="29" t="str">
        <f>IF(C116="","",IFERROR(INDEX(Перечень!$F$6:$F$51,MATCH(H116,Перечень!$A$6:$A$51,0)),""))</f>
        <v>-</v>
      </c>
      <c r="O116" s="34"/>
      <c r="P116" s="31" t="str">
        <f t="shared" si="10"/>
        <v/>
      </c>
      <c r="Q116" s="29" t="str">
        <f t="shared" si="11"/>
        <v/>
      </c>
      <c r="R116" s="29" t="str">
        <f t="shared" ca="1" si="12"/>
        <v>Нет сведений</v>
      </c>
      <c r="S116" s="29" t="str">
        <f t="shared" si="13"/>
        <v/>
      </c>
    </row>
    <row r="117" spans="1:19" x14ac:dyDescent="0.3">
      <c r="A117" s="29">
        <f t="shared" si="7"/>
        <v>112</v>
      </c>
      <c r="B117" s="30" t="s">
        <v>99</v>
      </c>
      <c r="C117" s="30" t="s">
        <v>290</v>
      </c>
      <c r="D117" s="30" t="s">
        <v>285</v>
      </c>
      <c r="E117" s="30" t="s">
        <v>286</v>
      </c>
      <c r="F117" s="31">
        <v>42429</v>
      </c>
      <c r="G117" s="32" t="str">
        <f t="shared" si="8"/>
        <v>слесарь механосборочных работ</v>
      </c>
      <c r="H117" s="29">
        <f>IF(C117="","",IF(AND(G117="мастер участка",ISNUMBER(SEARCH("РЭО",E117))),29,IFERROR(INDEX(Соответствие!$B$2:$B$100,MATCH(G117,Соответствие!$A$2:$A$100,0)),"?")))</f>
        <v>32</v>
      </c>
      <c r="I117" s="33" t="str">
        <f>IF(C117="","",IFERROR(INDEX(Перечень!$C$6:$C$51,MATCH(H117,Перечень!$A$6:$A$51,0)),""))</f>
        <v>п.4.3.1, п.4.3.2, п.4.4, п.5.1, п.15</v>
      </c>
      <c r="J117" s="29">
        <f>IF(C117="","",IFERROR(INDEX(Перечень!$D$6:$D$51,MATCH(H117,Перечень!$A$6:$A$51,0)),12))</f>
        <v>12</v>
      </c>
      <c r="K117" s="34"/>
      <c r="L117" s="34"/>
      <c r="M117" s="31" t="str">
        <f t="shared" si="9"/>
        <v/>
      </c>
      <c r="N117" s="29" t="str">
        <f>IF(C117="","",IFERROR(INDEX(Перечень!$F$6:$F$51,MATCH(H117,Перечень!$A$6:$A$51,0)),""))</f>
        <v>-</v>
      </c>
      <c r="O117" s="34"/>
      <c r="P117" s="31" t="str">
        <f t="shared" si="10"/>
        <v/>
      </c>
      <c r="Q117" s="29" t="str">
        <f t="shared" si="11"/>
        <v/>
      </c>
      <c r="R117" s="29" t="str">
        <f t="shared" ca="1" si="12"/>
        <v>Нет сведений</v>
      </c>
      <c r="S117" s="29" t="str">
        <f t="shared" si="13"/>
        <v/>
      </c>
    </row>
    <row r="118" spans="1:19" x14ac:dyDescent="0.3">
      <c r="A118" s="29">
        <f t="shared" si="7"/>
        <v>113</v>
      </c>
      <c r="B118" s="30" t="s">
        <v>99</v>
      </c>
      <c r="C118" s="30" t="s">
        <v>291</v>
      </c>
      <c r="D118" s="30" t="s">
        <v>292</v>
      </c>
      <c r="E118" s="30" t="s">
        <v>286</v>
      </c>
      <c r="F118" s="31">
        <v>45714</v>
      </c>
      <c r="G118" s="32" t="str">
        <f t="shared" si="8"/>
        <v>слесарь механосборочных работ</v>
      </c>
      <c r="H118" s="29">
        <f>IF(C118="","",IF(AND(G118="мастер участка",ISNUMBER(SEARCH("РЭО",E118))),29,IFERROR(INDEX(Соответствие!$B$2:$B$100,MATCH(G118,Соответствие!$A$2:$A$100,0)),"?")))</f>
        <v>32</v>
      </c>
      <c r="I118" s="33" t="str">
        <f>IF(C118="","",IFERROR(INDEX(Перечень!$C$6:$C$51,MATCH(H118,Перечень!$A$6:$A$51,0)),""))</f>
        <v>п.4.3.1, п.4.3.2, п.4.4, п.5.1, п.15</v>
      </c>
      <c r="J118" s="29">
        <f>IF(C118="","",IFERROR(INDEX(Перечень!$D$6:$D$51,MATCH(H118,Перечень!$A$6:$A$51,0)),12))</f>
        <v>12</v>
      </c>
      <c r="K118" s="34"/>
      <c r="L118" s="34"/>
      <c r="M118" s="31" t="str">
        <f t="shared" si="9"/>
        <v/>
      </c>
      <c r="N118" s="29" t="str">
        <f>IF(C118="","",IFERROR(INDEX(Перечень!$F$6:$F$51,MATCH(H118,Перечень!$A$6:$A$51,0)),""))</f>
        <v>-</v>
      </c>
      <c r="O118" s="34"/>
      <c r="P118" s="31" t="str">
        <f t="shared" si="10"/>
        <v/>
      </c>
      <c r="Q118" s="29" t="str">
        <f t="shared" si="11"/>
        <v/>
      </c>
      <c r="R118" s="29" t="str">
        <f t="shared" ca="1" si="12"/>
        <v>Нет сведений</v>
      </c>
      <c r="S118" s="29" t="str">
        <f t="shared" si="13"/>
        <v/>
      </c>
    </row>
    <row r="119" spans="1:19" x14ac:dyDescent="0.3">
      <c r="A119" s="29">
        <f t="shared" si="7"/>
        <v>114</v>
      </c>
      <c r="B119" s="30" t="s">
        <v>99</v>
      </c>
      <c r="C119" s="30" t="s">
        <v>293</v>
      </c>
      <c r="D119" s="30" t="s">
        <v>292</v>
      </c>
      <c r="E119" s="30" t="s">
        <v>286</v>
      </c>
      <c r="F119" s="31">
        <v>45587</v>
      </c>
      <c r="G119" s="32" t="str">
        <f t="shared" si="8"/>
        <v>слесарь механосборочных работ</v>
      </c>
      <c r="H119" s="29">
        <f>IF(C119="","",IF(AND(G119="мастер участка",ISNUMBER(SEARCH("РЭО",E119))),29,IFERROR(INDEX(Соответствие!$B$2:$B$100,MATCH(G119,Соответствие!$A$2:$A$100,0)),"?")))</f>
        <v>32</v>
      </c>
      <c r="I119" s="33" t="str">
        <f>IF(C119="","",IFERROR(INDEX(Перечень!$C$6:$C$51,MATCH(H119,Перечень!$A$6:$A$51,0)),""))</f>
        <v>п.4.3.1, п.4.3.2, п.4.4, п.5.1, п.15</v>
      </c>
      <c r="J119" s="29">
        <f>IF(C119="","",IFERROR(INDEX(Перечень!$D$6:$D$51,MATCH(H119,Перечень!$A$6:$A$51,0)),12))</f>
        <v>12</v>
      </c>
      <c r="K119" s="34"/>
      <c r="L119" s="34"/>
      <c r="M119" s="31" t="str">
        <f t="shared" si="9"/>
        <v/>
      </c>
      <c r="N119" s="29" t="str">
        <f>IF(C119="","",IFERROR(INDEX(Перечень!$F$6:$F$51,MATCH(H119,Перечень!$A$6:$A$51,0)),""))</f>
        <v>-</v>
      </c>
      <c r="O119" s="34"/>
      <c r="P119" s="31" t="str">
        <f t="shared" si="10"/>
        <v/>
      </c>
      <c r="Q119" s="29" t="str">
        <f t="shared" si="11"/>
        <v/>
      </c>
      <c r="R119" s="29" t="str">
        <f t="shared" ca="1" si="12"/>
        <v>Нет сведений</v>
      </c>
      <c r="S119" s="29" t="str">
        <f t="shared" si="13"/>
        <v/>
      </c>
    </row>
    <row r="120" spans="1:19" x14ac:dyDescent="0.3">
      <c r="A120" s="29">
        <f t="shared" si="7"/>
        <v>115</v>
      </c>
      <c r="B120" s="30" t="s">
        <v>99</v>
      </c>
      <c r="C120" s="30" t="s">
        <v>294</v>
      </c>
      <c r="D120" s="30" t="s">
        <v>292</v>
      </c>
      <c r="E120" s="30" t="s">
        <v>286</v>
      </c>
      <c r="F120" s="31">
        <v>37438</v>
      </c>
      <c r="G120" s="32" t="str">
        <f t="shared" si="8"/>
        <v>слесарь механосборочных работ</v>
      </c>
      <c r="H120" s="29">
        <f>IF(C120="","",IF(AND(G120="мастер участка",ISNUMBER(SEARCH("РЭО",E120))),29,IFERROR(INDEX(Соответствие!$B$2:$B$100,MATCH(G120,Соответствие!$A$2:$A$100,0)),"?")))</f>
        <v>32</v>
      </c>
      <c r="I120" s="33" t="str">
        <f>IF(C120="","",IFERROR(INDEX(Перечень!$C$6:$C$51,MATCH(H120,Перечень!$A$6:$A$51,0)),""))</f>
        <v>п.4.3.1, п.4.3.2, п.4.4, п.5.1, п.15</v>
      </c>
      <c r="J120" s="29">
        <f>IF(C120="","",IFERROR(INDEX(Перечень!$D$6:$D$51,MATCH(H120,Перечень!$A$6:$A$51,0)),12))</f>
        <v>12</v>
      </c>
      <c r="K120" s="34"/>
      <c r="L120" s="34"/>
      <c r="M120" s="31" t="str">
        <f t="shared" si="9"/>
        <v/>
      </c>
      <c r="N120" s="29" t="str">
        <f>IF(C120="","",IFERROR(INDEX(Перечень!$F$6:$F$51,MATCH(H120,Перечень!$A$6:$A$51,0)),""))</f>
        <v>-</v>
      </c>
      <c r="O120" s="34"/>
      <c r="P120" s="31" t="str">
        <f t="shared" si="10"/>
        <v/>
      </c>
      <c r="Q120" s="29" t="str">
        <f t="shared" si="11"/>
        <v/>
      </c>
      <c r="R120" s="29" t="str">
        <f t="shared" ca="1" si="12"/>
        <v>Нет сведений</v>
      </c>
      <c r="S120" s="29" t="str">
        <f t="shared" si="13"/>
        <v/>
      </c>
    </row>
    <row r="121" spans="1:19" x14ac:dyDescent="0.3">
      <c r="A121" s="29">
        <f t="shared" si="7"/>
        <v>116</v>
      </c>
      <c r="B121" s="30" t="s">
        <v>99</v>
      </c>
      <c r="C121" s="30" t="s">
        <v>295</v>
      </c>
      <c r="D121" s="30" t="s">
        <v>296</v>
      </c>
      <c r="E121" s="30" t="s">
        <v>267</v>
      </c>
      <c r="F121" s="31">
        <v>45362</v>
      </c>
      <c r="G121" s="32" t="str">
        <f t="shared" si="8"/>
        <v>оператор-наладчик станков с чпу</v>
      </c>
      <c r="H121" s="29">
        <f>IF(C121="","",IF(AND(G121="мастер участка",ISNUMBER(SEARCH("РЭО",E121))),29,IFERROR(INDEX(Соответствие!$B$2:$B$100,MATCH(G121,Соответствие!$A$2:$A$100,0)),"?")))</f>
        <v>25</v>
      </c>
      <c r="I121" s="33" t="str">
        <f>IF(C121="","",IFERROR(INDEX(Перечень!$C$6:$C$51,MATCH(H121,Перечень!$A$6:$A$51,0)),""))</f>
        <v>п.4.3.1, п.4.3.2, п.4.4, п.5.1, п.5.2, п.15</v>
      </c>
      <c r="J121" s="29">
        <f>IF(C121="","",IFERROR(INDEX(Перечень!$D$6:$D$51,MATCH(H121,Перечень!$A$6:$A$51,0)),12))</f>
        <v>12</v>
      </c>
      <c r="K121" s="34"/>
      <c r="L121" s="34"/>
      <c r="M121" s="31" t="str">
        <f t="shared" si="9"/>
        <v/>
      </c>
      <c r="N121" s="29" t="str">
        <f>IF(C121="","",IFERROR(INDEX(Перечень!$F$6:$F$51,MATCH(H121,Перечень!$A$6:$A$51,0)),""))</f>
        <v>-</v>
      </c>
      <c r="O121" s="34"/>
      <c r="P121" s="31" t="str">
        <f t="shared" si="10"/>
        <v/>
      </c>
      <c r="Q121" s="29" t="str">
        <f t="shared" si="11"/>
        <v/>
      </c>
      <c r="R121" s="29" t="str">
        <f t="shared" ca="1" si="12"/>
        <v>Нет сведений</v>
      </c>
      <c r="S121" s="29" t="str">
        <f t="shared" si="13"/>
        <v/>
      </c>
    </row>
    <row r="122" spans="1:19" x14ac:dyDescent="0.3">
      <c r="A122" s="29">
        <f t="shared" si="7"/>
        <v>117</v>
      </c>
      <c r="B122" s="30" t="s">
        <v>99</v>
      </c>
      <c r="C122" s="30" t="s">
        <v>297</v>
      </c>
      <c r="D122" s="30" t="s">
        <v>296</v>
      </c>
      <c r="E122" s="30" t="s">
        <v>267</v>
      </c>
      <c r="F122" s="31">
        <v>45917</v>
      </c>
      <c r="G122" s="32" t="str">
        <f t="shared" si="8"/>
        <v>оператор-наладчик станков с чпу</v>
      </c>
      <c r="H122" s="29">
        <f>IF(C122="","",IF(AND(G122="мастер участка",ISNUMBER(SEARCH("РЭО",E122))),29,IFERROR(INDEX(Соответствие!$B$2:$B$100,MATCH(G122,Соответствие!$A$2:$A$100,0)),"?")))</f>
        <v>25</v>
      </c>
      <c r="I122" s="33" t="str">
        <f>IF(C122="","",IFERROR(INDEX(Перечень!$C$6:$C$51,MATCH(H122,Перечень!$A$6:$A$51,0)),""))</f>
        <v>п.4.3.1, п.4.3.2, п.4.4, п.5.1, п.5.2, п.15</v>
      </c>
      <c r="J122" s="29">
        <f>IF(C122="","",IFERROR(INDEX(Перечень!$D$6:$D$51,MATCH(H122,Перечень!$A$6:$A$51,0)),12))</f>
        <v>12</v>
      </c>
      <c r="K122" s="34"/>
      <c r="L122" s="34"/>
      <c r="M122" s="31" t="str">
        <f t="shared" si="9"/>
        <v/>
      </c>
      <c r="N122" s="29" t="str">
        <f>IF(C122="","",IFERROR(INDEX(Перечень!$F$6:$F$51,MATCH(H122,Перечень!$A$6:$A$51,0)),""))</f>
        <v>-</v>
      </c>
      <c r="O122" s="34"/>
      <c r="P122" s="31" t="str">
        <f t="shared" si="10"/>
        <v/>
      </c>
      <c r="Q122" s="29" t="str">
        <f t="shared" si="11"/>
        <v/>
      </c>
      <c r="R122" s="29" t="str">
        <f t="shared" ca="1" si="12"/>
        <v>Нет сведений</v>
      </c>
      <c r="S122" s="29" t="str">
        <f t="shared" si="13"/>
        <v/>
      </c>
    </row>
    <row r="123" spans="1:19" x14ac:dyDescent="0.3">
      <c r="A123" s="29">
        <f t="shared" si="7"/>
        <v>118</v>
      </c>
      <c r="B123" s="30" t="s">
        <v>99</v>
      </c>
      <c r="C123" s="30" t="s">
        <v>298</v>
      </c>
      <c r="D123" s="30" t="s">
        <v>296</v>
      </c>
      <c r="E123" s="30" t="s">
        <v>267</v>
      </c>
      <c r="F123" s="31">
        <v>45922</v>
      </c>
      <c r="G123" s="32" t="str">
        <f t="shared" si="8"/>
        <v>оператор-наладчик станков с чпу</v>
      </c>
      <c r="H123" s="29">
        <f>IF(C123="","",IF(AND(G123="мастер участка",ISNUMBER(SEARCH("РЭО",E123))),29,IFERROR(INDEX(Соответствие!$B$2:$B$100,MATCH(G123,Соответствие!$A$2:$A$100,0)),"?")))</f>
        <v>25</v>
      </c>
      <c r="I123" s="33" t="str">
        <f>IF(C123="","",IFERROR(INDEX(Перечень!$C$6:$C$51,MATCH(H123,Перечень!$A$6:$A$51,0)),""))</f>
        <v>п.4.3.1, п.4.3.2, п.4.4, п.5.1, п.5.2, п.15</v>
      </c>
      <c r="J123" s="29">
        <f>IF(C123="","",IFERROR(INDEX(Перечень!$D$6:$D$51,MATCH(H123,Перечень!$A$6:$A$51,0)),12))</f>
        <v>12</v>
      </c>
      <c r="K123" s="34"/>
      <c r="L123" s="34"/>
      <c r="M123" s="31" t="str">
        <f t="shared" si="9"/>
        <v/>
      </c>
      <c r="N123" s="29" t="str">
        <f>IF(C123="","",IFERROR(INDEX(Перечень!$F$6:$F$51,MATCH(H123,Перечень!$A$6:$A$51,0)),""))</f>
        <v>-</v>
      </c>
      <c r="O123" s="34"/>
      <c r="P123" s="31" t="str">
        <f t="shared" si="10"/>
        <v/>
      </c>
      <c r="Q123" s="29" t="str">
        <f t="shared" si="11"/>
        <v/>
      </c>
      <c r="R123" s="29" t="str">
        <f t="shared" ca="1" si="12"/>
        <v>Нет сведений</v>
      </c>
      <c r="S123" s="29" t="str">
        <f t="shared" si="13"/>
        <v/>
      </c>
    </row>
    <row r="124" spans="1:19" x14ac:dyDescent="0.3">
      <c r="A124" s="29">
        <f t="shared" si="7"/>
        <v>119</v>
      </c>
      <c r="B124" s="30" t="s">
        <v>99</v>
      </c>
      <c r="C124" s="30" t="s">
        <v>299</v>
      </c>
      <c r="D124" s="30" t="s">
        <v>296</v>
      </c>
      <c r="E124" s="30" t="s">
        <v>267</v>
      </c>
      <c r="F124" s="31">
        <v>45454</v>
      </c>
      <c r="G124" s="32" t="str">
        <f t="shared" si="8"/>
        <v>оператор-наладчик станков с чпу</v>
      </c>
      <c r="H124" s="29">
        <f>IF(C124="","",IF(AND(G124="мастер участка",ISNUMBER(SEARCH("РЭО",E124))),29,IFERROR(INDEX(Соответствие!$B$2:$B$100,MATCH(G124,Соответствие!$A$2:$A$100,0)),"?")))</f>
        <v>25</v>
      </c>
      <c r="I124" s="33" t="str">
        <f>IF(C124="","",IFERROR(INDEX(Перечень!$C$6:$C$51,MATCH(H124,Перечень!$A$6:$A$51,0)),""))</f>
        <v>п.4.3.1, п.4.3.2, п.4.4, п.5.1, п.5.2, п.15</v>
      </c>
      <c r="J124" s="29">
        <f>IF(C124="","",IFERROR(INDEX(Перечень!$D$6:$D$51,MATCH(H124,Перечень!$A$6:$A$51,0)),12))</f>
        <v>12</v>
      </c>
      <c r="K124" s="34"/>
      <c r="L124" s="34"/>
      <c r="M124" s="31" t="str">
        <f t="shared" si="9"/>
        <v/>
      </c>
      <c r="N124" s="29" t="str">
        <f>IF(C124="","",IFERROR(INDEX(Перечень!$F$6:$F$51,MATCH(H124,Перечень!$A$6:$A$51,0)),""))</f>
        <v>-</v>
      </c>
      <c r="O124" s="34"/>
      <c r="P124" s="31" t="str">
        <f t="shared" si="10"/>
        <v/>
      </c>
      <c r="Q124" s="29" t="str">
        <f t="shared" si="11"/>
        <v/>
      </c>
      <c r="R124" s="29" t="str">
        <f t="shared" ca="1" si="12"/>
        <v>Нет сведений</v>
      </c>
      <c r="S124" s="29" t="str">
        <f t="shared" si="13"/>
        <v/>
      </c>
    </row>
    <row r="125" spans="1:19" x14ac:dyDescent="0.3">
      <c r="A125" s="29">
        <f t="shared" si="7"/>
        <v>120</v>
      </c>
      <c r="B125" s="30" t="s">
        <v>99</v>
      </c>
      <c r="C125" s="30" t="s">
        <v>300</v>
      </c>
      <c r="D125" s="30" t="s">
        <v>301</v>
      </c>
      <c r="E125" s="30" t="s">
        <v>286</v>
      </c>
      <c r="F125" s="31">
        <v>45974</v>
      </c>
      <c r="G125" s="32" t="str">
        <f t="shared" si="8"/>
        <v>слесарь механосборочных работ</v>
      </c>
      <c r="H125" s="29">
        <f>IF(C125="","",IF(AND(G125="мастер участка",ISNUMBER(SEARCH("РЭО",E125))),29,IFERROR(INDEX(Соответствие!$B$2:$B$100,MATCH(G125,Соответствие!$A$2:$A$100,0)),"?")))</f>
        <v>32</v>
      </c>
      <c r="I125" s="33" t="str">
        <f>IF(C125="","",IFERROR(INDEX(Перечень!$C$6:$C$51,MATCH(H125,Перечень!$A$6:$A$51,0)),""))</f>
        <v>п.4.3.1, п.4.3.2, п.4.4, п.5.1, п.15</v>
      </c>
      <c r="J125" s="29">
        <f>IF(C125="","",IFERROR(INDEX(Перечень!$D$6:$D$51,MATCH(H125,Перечень!$A$6:$A$51,0)),12))</f>
        <v>12</v>
      </c>
      <c r="K125" s="34"/>
      <c r="L125" s="34"/>
      <c r="M125" s="31" t="str">
        <f t="shared" si="9"/>
        <v/>
      </c>
      <c r="N125" s="29" t="str">
        <f>IF(C125="","",IFERROR(INDEX(Перечень!$F$6:$F$51,MATCH(H125,Перечень!$A$6:$A$51,0)),""))</f>
        <v>-</v>
      </c>
      <c r="O125" s="34"/>
      <c r="P125" s="31" t="str">
        <f t="shared" si="10"/>
        <v/>
      </c>
      <c r="Q125" s="29" t="str">
        <f t="shared" si="11"/>
        <v/>
      </c>
      <c r="R125" s="29" t="str">
        <f t="shared" ca="1" si="12"/>
        <v>Нет сведений</v>
      </c>
      <c r="S125" s="29" t="str">
        <f t="shared" si="13"/>
        <v/>
      </c>
    </row>
    <row r="126" spans="1:19" x14ac:dyDescent="0.3">
      <c r="A126" s="29">
        <f t="shared" si="7"/>
        <v>121</v>
      </c>
      <c r="B126" s="30" t="s">
        <v>99</v>
      </c>
      <c r="C126" s="30" t="s">
        <v>302</v>
      </c>
      <c r="D126" s="30" t="s">
        <v>301</v>
      </c>
      <c r="E126" s="30" t="s">
        <v>286</v>
      </c>
      <c r="F126" s="31">
        <v>45958</v>
      </c>
      <c r="G126" s="32" t="str">
        <f t="shared" si="8"/>
        <v>слесарь механосборочных работ</v>
      </c>
      <c r="H126" s="29">
        <f>IF(C126="","",IF(AND(G126="мастер участка",ISNUMBER(SEARCH("РЭО",E126))),29,IFERROR(INDEX(Соответствие!$B$2:$B$100,MATCH(G126,Соответствие!$A$2:$A$100,0)),"?")))</f>
        <v>32</v>
      </c>
      <c r="I126" s="33" t="str">
        <f>IF(C126="","",IFERROR(INDEX(Перечень!$C$6:$C$51,MATCH(H126,Перечень!$A$6:$A$51,0)),""))</f>
        <v>п.4.3.1, п.4.3.2, п.4.4, п.5.1, п.15</v>
      </c>
      <c r="J126" s="29">
        <f>IF(C126="","",IFERROR(INDEX(Перечень!$D$6:$D$51,MATCH(H126,Перечень!$A$6:$A$51,0)),12))</f>
        <v>12</v>
      </c>
      <c r="K126" s="34"/>
      <c r="L126" s="34"/>
      <c r="M126" s="31" t="str">
        <f t="shared" si="9"/>
        <v/>
      </c>
      <c r="N126" s="29" t="str">
        <f>IF(C126="","",IFERROR(INDEX(Перечень!$F$6:$F$51,MATCH(H126,Перечень!$A$6:$A$51,0)),""))</f>
        <v>-</v>
      </c>
      <c r="O126" s="34"/>
      <c r="P126" s="31" t="str">
        <f t="shared" si="10"/>
        <v/>
      </c>
      <c r="Q126" s="29" t="str">
        <f t="shared" si="11"/>
        <v/>
      </c>
      <c r="R126" s="29" t="str">
        <f t="shared" ca="1" si="12"/>
        <v>Нет сведений</v>
      </c>
      <c r="S126" s="29" t="str">
        <f t="shared" si="13"/>
        <v/>
      </c>
    </row>
    <row r="127" spans="1:19" x14ac:dyDescent="0.3">
      <c r="A127" s="29">
        <f t="shared" si="7"/>
        <v>122</v>
      </c>
      <c r="B127" s="30" t="s">
        <v>99</v>
      </c>
      <c r="C127" s="30" t="s">
        <v>303</v>
      </c>
      <c r="D127" s="30" t="s">
        <v>301</v>
      </c>
      <c r="E127" s="30" t="s">
        <v>286</v>
      </c>
      <c r="F127" s="31">
        <v>45833</v>
      </c>
      <c r="G127" s="32" t="str">
        <f t="shared" si="8"/>
        <v>слесарь механосборочных работ</v>
      </c>
      <c r="H127" s="29">
        <f>IF(C127="","",IF(AND(G127="мастер участка",ISNUMBER(SEARCH("РЭО",E127))),29,IFERROR(INDEX(Соответствие!$B$2:$B$100,MATCH(G127,Соответствие!$A$2:$A$100,0)),"?")))</f>
        <v>32</v>
      </c>
      <c r="I127" s="33" t="str">
        <f>IF(C127="","",IFERROR(INDEX(Перечень!$C$6:$C$51,MATCH(H127,Перечень!$A$6:$A$51,0)),""))</f>
        <v>п.4.3.1, п.4.3.2, п.4.4, п.5.1, п.15</v>
      </c>
      <c r="J127" s="29">
        <f>IF(C127="","",IFERROR(INDEX(Перечень!$D$6:$D$51,MATCH(H127,Перечень!$A$6:$A$51,0)),12))</f>
        <v>12</v>
      </c>
      <c r="K127" s="34"/>
      <c r="L127" s="34"/>
      <c r="M127" s="31" t="str">
        <f t="shared" si="9"/>
        <v/>
      </c>
      <c r="N127" s="29" t="str">
        <f>IF(C127="","",IFERROR(INDEX(Перечень!$F$6:$F$51,MATCH(H127,Перечень!$A$6:$A$51,0)),""))</f>
        <v>-</v>
      </c>
      <c r="O127" s="34"/>
      <c r="P127" s="31" t="str">
        <f t="shared" si="10"/>
        <v/>
      </c>
      <c r="Q127" s="29" t="str">
        <f t="shared" si="11"/>
        <v/>
      </c>
      <c r="R127" s="29" t="str">
        <f t="shared" ca="1" si="12"/>
        <v>Нет сведений</v>
      </c>
      <c r="S127" s="29" t="str">
        <f t="shared" si="13"/>
        <v/>
      </c>
    </row>
    <row r="128" spans="1:19" x14ac:dyDescent="0.3">
      <c r="A128" s="29">
        <f t="shared" si="7"/>
        <v>123</v>
      </c>
      <c r="B128" s="30" t="s">
        <v>99</v>
      </c>
      <c r="C128" s="30" t="s">
        <v>304</v>
      </c>
      <c r="D128" s="30" t="s">
        <v>301</v>
      </c>
      <c r="E128" s="30" t="s">
        <v>286</v>
      </c>
      <c r="F128" s="31">
        <v>45714</v>
      </c>
      <c r="G128" s="32" t="str">
        <f t="shared" si="8"/>
        <v>слесарь механосборочных работ</v>
      </c>
      <c r="H128" s="29">
        <f>IF(C128="","",IF(AND(G128="мастер участка",ISNUMBER(SEARCH("РЭО",E128))),29,IFERROR(INDEX(Соответствие!$B$2:$B$100,MATCH(G128,Соответствие!$A$2:$A$100,0)),"?")))</f>
        <v>32</v>
      </c>
      <c r="I128" s="33" t="str">
        <f>IF(C128="","",IFERROR(INDEX(Перечень!$C$6:$C$51,MATCH(H128,Перечень!$A$6:$A$51,0)),""))</f>
        <v>п.4.3.1, п.4.3.2, п.4.4, п.5.1, п.15</v>
      </c>
      <c r="J128" s="29">
        <f>IF(C128="","",IFERROR(INDEX(Перечень!$D$6:$D$51,MATCH(H128,Перечень!$A$6:$A$51,0)),12))</f>
        <v>12</v>
      </c>
      <c r="K128" s="34"/>
      <c r="L128" s="34"/>
      <c r="M128" s="31" t="str">
        <f t="shared" si="9"/>
        <v/>
      </c>
      <c r="N128" s="29" t="str">
        <f>IF(C128="","",IFERROR(INDEX(Перечень!$F$6:$F$51,MATCH(H128,Перечень!$A$6:$A$51,0)),""))</f>
        <v>-</v>
      </c>
      <c r="O128" s="34"/>
      <c r="P128" s="31" t="str">
        <f t="shared" si="10"/>
        <v/>
      </c>
      <c r="Q128" s="29" t="str">
        <f t="shared" si="11"/>
        <v/>
      </c>
      <c r="R128" s="29" t="str">
        <f t="shared" ca="1" si="12"/>
        <v>Нет сведений</v>
      </c>
      <c r="S128" s="29" t="str">
        <f t="shared" si="13"/>
        <v/>
      </c>
    </row>
    <row r="129" spans="1:19" x14ac:dyDescent="0.3">
      <c r="A129" s="29">
        <f t="shared" si="7"/>
        <v>124</v>
      </c>
      <c r="B129" s="30" t="s">
        <v>99</v>
      </c>
      <c r="C129" s="30" t="s">
        <v>305</v>
      </c>
      <c r="D129" s="30" t="s">
        <v>234</v>
      </c>
      <c r="E129" s="30" t="s">
        <v>306</v>
      </c>
      <c r="F129" s="31">
        <v>46132</v>
      </c>
      <c r="G129" s="32" t="str">
        <f t="shared" si="8"/>
        <v>мастер участка</v>
      </c>
      <c r="H129" s="29">
        <f>IF(C129="","",IF(AND(G129="мастер участка",ISNUMBER(SEARCH("РЭО",E129))),29,IFERROR(INDEX(Соответствие!$B$2:$B$100,MATCH(G129,Соответствие!$A$2:$A$100,0)),"?")))</f>
        <v>29</v>
      </c>
      <c r="I129" s="33" t="str">
        <f>IF(C129="","",IFERROR(INDEX(Перечень!$C$6:$C$51,MATCH(H129,Перечень!$A$6:$A$51,0)),""))</f>
        <v>п.4.3.1, п.4.3.2, п.4.4, п.4.9, п.5.1, п.5.2, п.6.2, п.9</v>
      </c>
      <c r="J129" s="29">
        <f>IF(C129="","",IFERROR(INDEX(Перечень!$D$6:$D$51,MATCH(H129,Перечень!$A$6:$A$51,0)),12))</f>
        <v>12</v>
      </c>
      <c r="K129" s="34">
        <v>46108</v>
      </c>
      <c r="L129" s="34"/>
      <c r="M129" s="31">
        <f t="shared" si="9"/>
        <v>46473</v>
      </c>
      <c r="N129" s="29" t="str">
        <f>IF(C129="","",IFERROR(INDEX(Перечень!$F$6:$F$51,MATCH(H129,Перечень!$A$6:$A$51,0)),""))</f>
        <v>Да</v>
      </c>
      <c r="O129" s="34"/>
      <c r="P129" s="31" t="str">
        <f t="shared" si="10"/>
        <v/>
      </c>
      <c r="Q129" s="29" t="str">
        <f t="shared" si="11"/>
        <v/>
      </c>
      <c r="R129" s="29" t="str">
        <f t="shared" ca="1" si="12"/>
        <v>В срок</v>
      </c>
      <c r="S129" s="29" t="str">
        <f t="shared" si="13"/>
        <v>Не пройдено</v>
      </c>
    </row>
    <row r="130" spans="1:19" x14ac:dyDescent="0.3">
      <c r="A130" s="29">
        <f t="shared" si="7"/>
        <v>125</v>
      </c>
      <c r="B130" s="30" t="s">
        <v>99</v>
      </c>
      <c r="C130" s="30" t="s">
        <v>307</v>
      </c>
      <c r="D130" s="30" t="s">
        <v>151</v>
      </c>
      <c r="E130" s="30" t="s">
        <v>306</v>
      </c>
      <c r="F130" s="31">
        <v>45846</v>
      </c>
      <c r="G130" s="32" t="str">
        <f t="shared" si="8"/>
        <v>электромонтажник</v>
      </c>
      <c r="H130" s="29">
        <f>IF(C130="","",IF(AND(G130="мастер участка",ISNUMBER(SEARCH("РЭО",E130))),29,IFERROR(INDEX(Соответствие!$B$2:$B$100,MATCH(G130,Соответствие!$A$2:$A$100,0)),"?")))</f>
        <v>20</v>
      </c>
      <c r="I130" s="33" t="str">
        <f>IF(C130="","",IFERROR(INDEX(Перечень!$C$6:$C$51,MATCH(H130,Перечень!$A$6:$A$51,0)),""))</f>
        <v>п.4.3.1, п.4.3.2, п.4.4, п.4.9, п.5.1, п.5.2, п.6.2, п.9</v>
      </c>
      <c r="J130" s="29">
        <f>IF(C130="","",IFERROR(INDEX(Перечень!$D$6:$D$51,MATCH(H130,Перечень!$A$6:$A$51,0)),12))</f>
        <v>12</v>
      </c>
      <c r="K130" s="34">
        <v>45840</v>
      </c>
      <c r="L130" s="34"/>
      <c r="M130" s="31">
        <f t="shared" si="9"/>
        <v>46205</v>
      </c>
      <c r="N130" s="29" t="str">
        <f>IF(C130="","",IFERROR(INDEX(Перечень!$F$6:$F$51,MATCH(H130,Перечень!$A$6:$A$51,0)),""))</f>
        <v>Да</v>
      </c>
      <c r="O130" s="34"/>
      <c r="P130" s="31" t="str">
        <f t="shared" si="10"/>
        <v/>
      </c>
      <c r="Q130" s="29" t="str">
        <f t="shared" si="11"/>
        <v/>
      </c>
      <c r="R130" s="29" t="str">
        <f t="shared" ca="1" si="12"/>
        <v>Просрочен</v>
      </c>
      <c r="S130" s="29" t="str">
        <f t="shared" si="13"/>
        <v>Не пройдено</v>
      </c>
    </row>
    <row r="131" spans="1:19" x14ac:dyDescent="0.3">
      <c r="A131" s="29">
        <f t="shared" si="7"/>
        <v>126</v>
      </c>
      <c r="B131" s="30" t="s">
        <v>99</v>
      </c>
      <c r="C131" s="30" t="s">
        <v>308</v>
      </c>
      <c r="D131" s="30" t="s">
        <v>151</v>
      </c>
      <c r="E131" s="30" t="s">
        <v>306</v>
      </c>
      <c r="F131" s="31">
        <v>45958</v>
      </c>
      <c r="G131" s="32" t="str">
        <f t="shared" si="8"/>
        <v>электромонтажник</v>
      </c>
      <c r="H131" s="29">
        <f>IF(C131="","",IF(AND(G131="мастер участка",ISNUMBER(SEARCH("РЭО",E131))),29,IFERROR(INDEX(Соответствие!$B$2:$B$100,MATCH(G131,Соответствие!$A$2:$A$100,0)),"?")))</f>
        <v>20</v>
      </c>
      <c r="I131" s="33" t="str">
        <f>IF(C131="","",IFERROR(INDEX(Перечень!$C$6:$C$51,MATCH(H131,Перечень!$A$6:$A$51,0)),""))</f>
        <v>п.4.3.1, п.4.3.2, п.4.4, п.4.9, п.5.1, п.5.2, п.6.2, п.9</v>
      </c>
      <c r="J131" s="29">
        <f>IF(C131="","",IFERROR(INDEX(Перечень!$D$6:$D$51,MATCH(H131,Перечень!$A$6:$A$51,0)),12))</f>
        <v>12</v>
      </c>
      <c r="K131" s="34"/>
      <c r="L131" s="34"/>
      <c r="M131" s="31" t="str">
        <f t="shared" si="9"/>
        <v/>
      </c>
      <c r="N131" s="29" t="str">
        <f>IF(C131="","",IFERROR(INDEX(Перечень!$F$6:$F$51,MATCH(H131,Перечень!$A$6:$A$51,0)),""))</f>
        <v>Да</v>
      </c>
      <c r="O131" s="34"/>
      <c r="P131" s="31" t="str">
        <f t="shared" si="10"/>
        <v/>
      </c>
      <c r="Q131" s="29" t="str">
        <f t="shared" si="11"/>
        <v/>
      </c>
      <c r="R131" s="29" t="str">
        <f t="shared" ca="1" si="12"/>
        <v>Нет сведений</v>
      </c>
      <c r="S131" s="29" t="str">
        <f t="shared" si="13"/>
        <v>Не пройдено</v>
      </c>
    </row>
    <row r="132" spans="1:19" x14ac:dyDescent="0.3">
      <c r="A132" s="29">
        <f t="shared" si="7"/>
        <v>127</v>
      </c>
      <c r="B132" s="30" t="s">
        <v>99</v>
      </c>
      <c r="C132" s="30" t="s">
        <v>309</v>
      </c>
      <c r="D132" s="30" t="s">
        <v>151</v>
      </c>
      <c r="E132" s="30" t="s">
        <v>310</v>
      </c>
      <c r="F132" s="31">
        <v>43313</v>
      </c>
      <c r="G132" s="32" t="str">
        <f t="shared" si="8"/>
        <v>электромонтажник</v>
      </c>
      <c r="H132" s="29">
        <f>IF(C132="","",IF(AND(G132="мастер участка",ISNUMBER(SEARCH("РЭО",E132))),29,IFERROR(INDEX(Соответствие!$B$2:$B$100,MATCH(G132,Соответствие!$A$2:$A$100,0)),"?")))</f>
        <v>20</v>
      </c>
      <c r="I132" s="33" t="str">
        <f>IF(C132="","",IFERROR(INDEX(Перечень!$C$6:$C$51,MATCH(H132,Перечень!$A$6:$A$51,0)),""))</f>
        <v>п.4.3.1, п.4.3.2, п.4.4, п.4.9, п.5.1, п.5.2, п.6.2, п.9</v>
      </c>
      <c r="J132" s="29">
        <f>IF(C132="","",IFERROR(INDEX(Перечень!$D$6:$D$51,MATCH(H132,Перечень!$A$6:$A$51,0)),12))</f>
        <v>12</v>
      </c>
      <c r="K132" s="34"/>
      <c r="L132" s="34"/>
      <c r="M132" s="31" t="str">
        <f t="shared" si="9"/>
        <v/>
      </c>
      <c r="N132" s="29" t="str">
        <f>IF(C132="","",IFERROR(INDEX(Перечень!$F$6:$F$51,MATCH(H132,Перечень!$A$6:$A$51,0)),""))</f>
        <v>Да</v>
      </c>
      <c r="O132" s="34"/>
      <c r="P132" s="31" t="str">
        <f t="shared" si="10"/>
        <v/>
      </c>
      <c r="Q132" s="29" t="str">
        <f t="shared" si="11"/>
        <v/>
      </c>
      <c r="R132" s="29" t="str">
        <f t="shared" ca="1" si="12"/>
        <v>Нет сведений</v>
      </c>
      <c r="S132" s="29" t="str">
        <f t="shared" si="13"/>
        <v>Не пройдено</v>
      </c>
    </row>
    <row r="133" spans="1:19" x14ac:dyDescent="0.3">
      <c r="A133" s="29">
        <f t="shared" si="7"/>
        <v>128</v>
      </c>
      <c r="B133" s="30" t="s">
        <v>99</v>
      </c>
      <c r="C133" s="30" t="s">
        <v>311</v>
      </c>
      <c r="D133" s="30" t="s">
        <v>151</v>
      </c>
      <c r="E133" s="30" t="s">
        <v>310</v>
      </c>
      <c r="F133" s="31">
        <v>42289</v>
      </c>
      <c r="G133" s="32" t="str">
        <f t="shared" si="8"/>
        <v>электромонтажник</v>
      </c>
      <c r="H133" s="29">
        <f>IF(C133="","",IF(AND(G133="мастер участка",ISNUMBER(SEARCH("РЭО",E133))),29,IFERROR(INDEX(Соответствие!$B$2:$B$100,MATCH(G133,Соответствие!$A$2:$A$100,0)),"?")))</f>
        <v>20</v>
      </c>
      <c r="I133" s="33" t="str">
        <f>IF(C133="","",IFERROR(INDEX(Перечень!$C$6:$C$51,MATCH(H133,Перечень!$A$6:$A$51,0)),""))</f>
        <v>п.4.3.1, п.4.3.2, п.4.4, п.4.9, п.5.1, п.5.2, п.6.2, п.9</v>
      </c>
      <c r="J133" s="29">
        <f>IF(C133="","",IFERROR(INDEX(Перечень!$D$6:$D$51,MATCH(H133,Перечень!$A$6:$A$51,0)),12))</f>
        <v>12</v>
      </c>
      <c r="K133" s="34"/>
      <c r="L133" s="34"/>
      <c r="M133" s="31" t="str">
        <f t="shared" si="9"/>
        <v/>
      </c>
      <c r="N133" s="29" t="str">
        <f>IF(C133="","",IFERROR(INDEX(Перечень!$F$6:$F$51,MATCH(H133,Перечень!$A$6:$A$51,0)),""))</f>
        <v>Да</v>
      </c>
      <c r="O133" s="34"/>
      <c r="P133" s="31" t="str">
        <f t="shared" si="10"/>
        <v/>
      </c>
      <c r="Q133" s="29" t="str">
        <f t="shared" si="11"/>
        <v/>
      </c>
      <c r="R133" s="29" t="str">
        <f t="shared" ca="1" si="12"/>
        <v>Нет сведений</v>
      </c>
      <c r="S133" s="29" t="str">
        <f t="shared" si="13"/>
        <v>Не пройдено</v>
      </c>
    </row>
    <row r="134" spans="1:19" x14ac:dyDescent="0.3">
      <c r="A134" s="29">
        <f t="shared" ref="A134:A197" si="14">IF(C134="","",ROW()-5)</f>
        <v>129</v>
      </c>
      <c r="B134" s="30" t="s">
        <v>99</v>
      </c>
      <c r="C134" s="30" t="s">
        <v>312</v>
      </c>
      <c r="D134" s="30" t="s">
        <v>313</v>
      </c>
      <c r="E134" s="30" t="s">
        <v>314</v>
      </c>
      <c r="F134" s="31">
        <v>39419</v>
      </c>
      <c r="G134" s="32" t="str">
        <f t="shared" ref="G134:G197" si="15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29">
        <f>IF(C134="","",IF(AND(G134="мастер участка",ISNUMBER(SEARCH("РЭО",E134))),29,IFERROR(INDEX(Соответствие!$B$2:$B$100,MATCH(G134,Соответствие!$A$2:$A$100,0)),"?")))</f>
        <v>21</v>
      </c>
      <c r="I134" s="33" t="str">
        <f>IF(C134="","",IFERROR(INDEX(Перечень!$C$6:$C$51,MATCH(H134,Перечень!$A$6:$A$51,0)),""))</f>
        <v>п.1.49.2, п.1.49.14, п.4.3.1, п.4.3.2, п.4.4, п.5.1, п.15</v>
      </c>
      <c r="J134" s="29">
        <f>IF(C134="","",IFERROR(INDEX(Перечень!$D$6:$D$51,MATCH(H134,Перечень!$A$6:$A$51,0)),12))</f>
        <v>12</v>
      </c>
      <c r="K134" s="34"/>
      <c r="L134" s="34"/>
      <c r="M134" s="31" t="str">
        <f t="shared" ref="M134:M197" si="16">IF(AND(K134="",L134=""),"",EDATE(MAX(K134,L134),J134))</f>
        <v/>
      </c>
      <c r="N134" s="29" t="str">
        <f>IF(C134="","",IFERROR(INDEX(Перечень!$F$6:$F$51,MATCH(H134,Перечень!$A$6:$A$51,0)),""))</f>
        <v>-</v>
      </c>
      <c r="O134" s="34"/>
      <c r="P134" s="31" t="str">
        <f t="shared" ref="P134:P197" si="17">IF(O134="","",EDATE(O134,60))</f>
        <v/>
      </c>
      <c r="Q134" s="29" t="str">
        <f t="shared" ref="Q134:Q197" si="18">IF(AND(K134&lt;&gt;"",F134&lt;&gt;"",K134&gt;F134),"Да","")</f>
        <v/>
      </c>
      <c r="R134" s="29" t="str">
        <f t="shared" ref="R134:R197" ca="1" si="19">IF(C134="","",IF(M134="","Нет сведений",IF(M134&lt;TODAY(),"Просрочен",IF(M134-TODAY()&lt;=30,"Истекает","В срок"))))</f>
        <v>Нет сведений</v>
      </c>
      <c r="S134" s="29" t="str">
        <f t="shared" ref="S134:S197" si="20">IF(AND(N134="Да",O134=""),"Не пройдено","")</f>
        <v/>
      </c>
    </row>
    <row r="135" spans="1:19" x14ac:dyDescent="0.3">
      <c r="A135" s="29">
        <f t="shared" si="14"/>
        <v>130</v>
      </c>
      <c r="B135" s="30" t="s">
        <v>99</v>
      </c>
      <c r="C135" s="30" t="s">
        <v>315</v>
      </c>
      <c r="D135" s="30" t="s">
        <v>313</v>
      </c>
      <c r="E135" s="30" t="s">
        <v>314</v>
      </c>
      <c r="F135" s="31">
        <v>39753</v>
      </c>
      <c r="G135" s="32" t="str">
        <f t="shared" si="15"/>
        <v>техник-сборщик</v>
      </c>
      <c r="H135" s="29">
        <f>IF(C135="","",IF(AND(G135="мастер участка",ISNUMBER(SEARCH("РЭО",E135))),29,IFERROR(INDEX(Соответствие!$B$2:$B$100,MATCH(G135,Соответствие!$A$2:$A$100,0)),"?")))</f>
        <v>21</v>
      </c>
      <c r="I135" s="33" t="str">
        <f>IF(C135="","",IFERROR(INDEX(Перечень!$C$6:$C$51,MATCH(H135,Перечень!$A$6:$A$51,0)),""))</f>
        <v>п.1.49.2, п.1.49.14, п.4.3.1, п.4.3.2, п.4.4, п.5.1, п.15</v>
      </c>
      <c r="J135" s="29">
        <f>IF(C135="","",IFERROR(INDEX(Перечень!$D$6:$D$51,MATCH(H135,Перечень!$A$6:$A$51,0)),12))</f>
        <v>12</v>
      </c>
      <c r="K135" s="34"/>
      <c r="L135" s="34"/>
      <c r="M135" s="31" t="str">
        <f t="shared" si="16"/>
        <v/>
      </c>
      <c r="N135" s="29" t="str">
        <f>IF(C135="","",IFERROR(INDEX(Перечень!$F$6:$F$51,MATCH(H135,Перечень!$A$6:$A$51,0)),""))</f>
        <v>-</v>
      </c>
      <c r="O135" s="34"/>
      <c r="P135" s="31" t="str">
        <f t="shared" si="17"/>
        <v/>
      </c>
      <c r="Q135" s="29" t="str">
        <f t="shared" si="18"/>
        <v/>
      </c>
      <c r="R135" s="29" t="str">
        <f t="shared" ca="1" si="19"/>
        <v>Нет сведений</v>
      </c>
      <c r="S135" s="29" t="str">
        <f t="shared" si="20"/>
        <v/>
      </c>
    </row>
    <row r="136" spans="1:19" x14ac:dyDescent="0.3">
      <c r="A136" s="29">
        <f t="shared" si="14"/>
        <v>131</v>
      </c>
      <c r="B136" s="30" t="s">
        <v>99</v>
      </c>
      <c r="C136" s="30" t="s">
        <v>316</v>
      </c>
      <c r="D136" s="30" t="s">
        <v>313</v>
      </c>
      <c r="E136" s="30" t="s">
        <v>317</v>
      </c>
      <c r="F136" s="31">
        <v>43276</v>
      </c>
      <c r="G136" s="32" t="str">
        <f t="shared" si="15"/>
        <v>техник-сборщик</v>
      </c>
      <c r="H136" s="29">
        <f>IF(C136="","",IF(AND(G136="мастер участка",ISNUMBER(SEARCH("РЭО",E136))),29,IFERROR(INDEX(Соответствие!$B$2:$B$100,MATCH(G136,Соответствие!$A$2:$A$100,0)),"?")))</f>
        <v>21</v>
      </c>
      <c r="I136" s="33" t="str">
        <f>IF(C136="","",IFERROR(INDEX(Перечень!$C$6:$C$51,MATCH(H136,Перечень!$A$6:$A$51,0)),""))</f>
        <v>п.1.49.2, п.1.49.14, п.4.3.1, п.4.3.2, п.4.4, п.5.1, п.15</v>
      </c>
      <c r="J136" s="29">
        <f>IF(C136="","",IFERROR(INDEX(Перечень!$D$6:$D$51,MATCH(H136,Перечень!$A$6:$A$51,0)),12))</f>
        <v>12</v>
      </c>
      <c r="K136" s="34"/>
      <c r="L136" s="34"/>
      <c r="M136" s="31" t="str">
        <f t="shared" si="16"/>
        <v/>
      </c>
      <c r="N136" s="29" t="str">
        <f>IF(C136="","",IFERROR(INDEX(Перечень!$F$6:$F$51,MATCH(H136,Перечень!$A$6:$A$51,0)),""))</f>
        <v>-</v>
      </c>
      <c r="O136" s="34"/>
      <c r="P136" s="31" t="str">
        <f t="shared" si="17"/>
        <v/>
      </c>
      <c r="Q136" s="29" t="str">
        <f t="shared" si="18"/>
        <v/>
      </c>
      <c r="R136" s="29" t="str">
        <f t="shared" ca="1" si="19"/>
        <v>Нет сведений</v>
      </c>
      <c r="S136" s="29" t="str">
        <f t="shared" si="20"/>
        <v/>
      </c>
    </row>
    <row r="137" spans="1:19" x14ac:dyDescent="0.3">
      <c r="A137" s="29">
        <f t="shared" si="14"/>
        <v>132</v>
      </c>
      <c r="B137" s="30" t="s">
        <v>99</v>
      </c>
      <c r="C137" s="30" t="s">
        <v>318</v>
      </c>
      <c r="D137" s="30" t="s">
        <v>319</v>
      </c>
      <c r="E137" s="30" t="s">
        <v>314</v>
      </c>
      <c r="F137" s="31">
        <v>41381</v>
      </c>
      <c r="G137" s="32" t="str">
        <f t="shared" si="15"/>
        <v>техник-сборщик</v>
      </c>
      <c r="H137" s="29">
        <f>IF(C137="","",IF(AND(G137="мастер участка",ISNUMBER(SEARCH("РЭО",E137))),29,IFERROR(INDEX(Соответствие!$B$2:$B$100,MATCH(G137,Соответствие!$A$2:$A$100,0)),"?")))</f>
        <v>21</v>
      </c>
      <c r="I137" s="33" t="str">
        <f>IF(C137="","",IFERROR(INDEX(Перечень!$C$6:$C$51,MATCH(H137,Перечень!$A$6:$A$51,0)),""))</f>
        <v>п.1.49.2, п.1.49.14, п.4.3.1, п.4.3.2, п.4.4, п.5.1, п.15</v>
      </c>
      <c r="J137" s="29">
        <f>IF(C137="","",IFERROR(INDEX(Перечень!$D$6:$D$51,MATCH(H137,Перечень!$A$6:$A$51,0)),12))</f>
        <v>12</v>
      </c>
      <c r="K137" s="34"/>
      <c r="L137" s="34"/>
      <c r="M137" s="31" t="str">
        <f t="shared" si="16"/>
        <v/>
      </c>
      <c r="N137" s="29" t="str">
        <f>IF(C137="","",IFERROR(INDEX(Перечень!$F$6:$F$51,MATCH(H137,Перечень!$A$6:$A$51,0)),""))</f>
        <v>-</v>
      </c>
      <c r="O137" s="34"/>
      <c r="P137" s="31" t="str">
        <f t="shared" si="17"/>
        <v/>
      </c>
      <c r="Q137" s="29" t="str">
        <f t="shared" si="18"/>
        <v/>
      </c>
      <c r="R137" s="29" t="str">
        <f t="shared" ca="1" si="19"/>
        <v>Нет сведений</v>
      </c>
      <c r="S137" s="29" t="str">
        <f t="shared" si="20"/>
        <v/>
      </c>
    </row>
    <row r="138" spans="1:19" x14ac:dyDescent="0.3">
      <c r="A138" s="29">
        <f t="shared" si="14"/>
        <v>133</v>
      </c>
      <c r="B138" s="30" t="s">
        <v>99</v>
      </c>
      <c r="C138" s="30" t="s">
        <v>320</v>
      </c>
      <c r="D138" s="30" t="s">
        <v>321</v>
      </c>
      <c r="E138" s="30" t="s">
        <v>317</v>
      </c>
      <c r="F138" s="31">
        <v>45616</v>
      </c>
      <c r="G138" s="32" t="str">
        <f t="shared" si="15"/>
        <v>столяр</v>
      </c>
      <c r="H138" s="29">
        <f>IF(C138="","",IF(AND(G138="мастер участка",ISNUMBER(SEARCH("РЭО",E138))),29,IFERROR(INDEX(Соответствие!$B$2:$B$100,MATCH(G138,Соответствие!$A$2:$A$100,0)),"?")))</f>
        <v>21</v>
      </c>
      <c r="I138" s="33" t="str">
        <f>IF(C138="","",IFERROR(INDEX(Перечень!$C$6:$C$51,MATCH(H138,Перечень!$A$6:$A$51,0)),""))</f>
        <v>п.1.49.2, п.1.49.14, п.4.3.1, п.4.3.2, п.4.4, п.5.1, п.15</v>
      </c>
      <c r="J138" s="29">
        <f>IF(C138="","",IFERROR(INDEX(Перечень!$D$6:$D$51,MATCH(H138,Перечень!$A$6:$A$51,0)),12))</f>
        <v>12</v>
      </c>
      <c r="K138" s="34"/>
      <c r="L138" s="34"/>
      <c r="M138" s="31" t="str">
        <f t="shared" si="16"/>
        <v/>
      </c>
      <c r="N138" s="29" t="str">
        <f>IF(C138="","",IFERROR(INDEX(Перечень!$F$6:$F$51,MATCH(H138,Перечень!$A$6:$A$51,0)),""))</f>
        <v>-</v>
      </c>
      <c r="O138" s="34"/>
      <c r="P138" s="31" t="str">
        <f t="shared" si="17"/>
        <v/>
      </c>
      <c r="Q138" s="29" t="str">
        <f t="shared" si="18"/>
        <v/>
      </c>
      <c r="R138" s="29" t="str">
        <f t="shared" ca="1" si="19"/>
        <v>Нет сведений</v>
      </c>
      <c r="S138" s="29" t="str">
        <f t="shared" si="20"/>
        <v/>
      </c>
    </row>
    <row r="139" spans="1:19" x14ac:dyDescent="0.3">
      <c r="A139" s="29">
        <f t="shared" si="14"/>
        <v>134</v>
      </c>
      <c r="B139" s="30" t="s">
        <v>99</v>
      </c>
      <c r="C139" s="30" t="s">
        <v>322</v>
      </c>
      <c r="D139" s="30" t="s">
        <v>319</v>
      </c>
      <c r="E139" s="30" t="s">
        <v>317</v>
      </c>
      <c r="F139" s="31">
        <v>46149</v>
      </c>
      <c r="G139" s="32" t="str">
        <f t="shared" si="15"/>
        <v>техник-сборщик</v>
      </c>
      <c r="H139" s="29">
        <f>IF(C139="","",IF(AND(G139="мастер участка",ISNUMBER(SEARCH("РЭО",E139))),29,IFERROR(INDEX(Соответствие!$B$2:$B$100,MATCH(G139,Соответствие!$A$2:$A$100,0)),"?")))</f>
        <v>21</v>
      </c>
      <c r="I139" s="33" t="str">
        <f>IF(C139="","",IFERROR(INDEX(Перечень!$C$6:$C$51,MATCH(H139,Перечень!$A$6:$A$51,0)),""))</f>
        <v>п.1.49.2, п.1.49.14, п.4.3.1, п.4.3.2, п.4.4, п.5.1, п.15</v>
      </c>
      <c r="J139" s="29">
        <f>IF(C139="","",IFERROR(INDEX(Перечень!$D$6:$D$51,MATCH(H139,Перечень!$A$6:$A$51,0)),12))</f>
        <v>12</v>
      </c>
      <c r="K139" s="34"/>
      <c r="L139" s="34"/>
      <c r="M139" s="31" t="str">
        <f t="shared" si="16"/>
        <v/>
      </c>
      <c r="N139" s="29" t="str">
        <f>IF(C139="","",IFERROR(INDEX(Перечень!$F$6:$F$51,MATCH(H139,Перечень!$A$6:$A$51,0)),""))</f>
        <v>-</v>
      </c>
      <c r="O139" s="34"/>
      <c r="P139" s="31" t="str">
        <f t="shared" si="17"/>
        <v/>
      </c>
      <c r="Q139" s="29" t="str">
        <f t="shared" si="18"/>
        <v/>
      </c>
      <c r="R139" s="29" t="str">
        <f t="shared" ca="1" si="19"/>
        <v>Нет сведений</v>
      </c>
      <c r="S139" s="29" t="str">
        <f t="shared" si="20"/>
        <v/>
      </c>
    </row>
    <row r="140" spans="1:19" x14ac:dyDescent="0.3">
      <c r="A140" s="29">
        <f t="shared" si="14"/>
        <v>135</v>
      </c>
      <c r="B140" s="30" t="s">
        <v>99</v>
      </c>
      <c r="C140" s="30" t="s">
        <v>323</v>
      </c>
      <c r="D140" s="30" t="s">
        <v>324</v>
      </c>
      <c r="E140" s="30" t="s">
        <v>314</v>
      </c>
      <c r="F140" s="31">
        <v>43678</v>
      </c>
      <c r="G140" s="32" t="str">
        <f t="shared" si="15"/>
        <v>оператор станков с чпу</v>
      </c>
      <c r="H140" s="29">
        <f>IF(C140="","",IF(AND(G140="мастер участка",ISNUMBER(SEARCH("РЭО",E140))),29,IFERROR(INDEX(Соответствие!$B$2:$B$100,MATCH(G140,Соответствие!$A$2:$A$100,0)),"?")))</f>
        <v>30</v>
      </c>
      <c r="I140" s="33" t="str">
        <f>IF(C140="","",IFERROR(INDEX(Перечень!$C$6:$C$51,MATCH(H140,Перечень!$A$6:$A$51,0)),""))</f>
        <v>п.4.3.1, п.4.3.2, п.4.4, п.5.1, п.5.2, п.15</v>
      </c>
      <c r="J140" s="29">
        <f>IF(C140="","",IFERROR(INDEX(Перечень!$D$6:$D$51,MATCH(H140,Перечень!$A$6:$A$51,0)),12))</f>
        <v>12</v>
      </c>
      <c r="K140" s="34"/>
      <c r="L140" s="34"/>
      <c r="M140" s="31" t="str">
        <f t="shared" si="16"/>
        <v/>
      </c>
      <c r="N140" s="29" t="str">
        <f>IF(C140="","",IFERROR(INDEX(Перечень!$F$6:$F$51,MATCH(H140,Перечень!$A$6:$A$51,0)),""))</f>
        <v>-</v>
      </c>
      <c r="O140" s="34"/>
      <c r="P140" s="31" t="str">
        <f t="shared" si="17"/>
        <v/>
      </c>
      <c r="Q140" s="29" t="str">
        <f t="shared" si="18"/>
        <v/>
      </c>
      <c r="R140" s="29" t="str">
        <f t="shared" ca="1" si="19"/>
        <v>Нет сведений</v>
      </c>
      <c r="S140" s="29" t="str">
        <f t="shared" si="20"/>
        <v/>
      </c>
    </row>
    <row r="141" spans="1:19" x14ac:dyDescent="0.3">
      <c r="A141" s="29">
        <f t="shared" si="14"/>
        <v>136</v>
      </c>
      <c r="B141" s="30" t="s">
        <v>99</v>
      </c>
      <c r="C141" s="30" t="s">
        <v>325</v>
      </c>
      <c r="D141" s="30" t="s">
        <v>234</v>
      </c>
      <c r="E141" s="30" t="s">
        <v>317</v>
      </c>
      <c r="F141" s="31">
        <v>45768</v>
      </c>
      <c r="G141" s="32" t="str">
        <f t="shared" si="15"/>
        <v>мастер участка</v>
      </c>
      <c r="H141" s="29">
        <f>IF(C141="","",IF(AND(G141="мастер участка",ISNUMBER(SEARCH("РЭО",E141))),29,IFERROR(INDEX(Соответствие!$B$2:$B$100,MATCH(G141,Соответствие!$A$2:$A$100,0)),"?")))</f>
        <v>18</v>
      </c>
      <c r="I141" s="33" t="str">
        <f>IF(C141="","",IFERROR(INDEX(Перечень!$C$6:$C$51,MATCH(H141,Перечень!$A$6:$A$51,0)),""))</f>
        <v>п.4.4, п.5.1, п.5.2</v>
      </c>
      <c r="J141" s="29">
        <f>IF(C141="","",IFERROR(INDEX(Перечень!$D$6:$D$51,MATCH(H141,Перечень!$A$6:$A$51,0)),12))</f>
        <v>12</v>
      </c>
      <c r="K141" s="34"/>
      <c r="L141" s="34"/>
      <c r="M141" s="31" t="str">
        <f t="shared" si="16"/>
        <v/>
      </c>
      <c r="N141" s="29" t="str">
        <f>IF(C141="","",IFERROR(INDEX(Перечень!$F$6:$F$51,MATCH(H141,Перечень!$A$6:$A$51,0)),""))</f>
        <v>-</v>
      </c>
      <c r="O141" s="34"/>
      <c r="P141" s="31" t="str">
        <f t="shared" si="17"/>
        <v/>
      </c>
      <c r="Q141" s="29" t="str">
        <f t="shared" si="18"/>
        <v/>
      </c>
      <c r="R141" s="29" t="str">
        <f t="shared" ca="1" si="19"/>
        <v>Нет сведений</v>
      </c>
      <c r="S141" s="29" t="str">
        <f t="shared" si="20"/>
        <v/>
      </c>
    </row>
    <row r="142" spans="1:19" x14ac:dyDescent="0.3">
      <c r="A142" s="29">
        <f t="shared" si="14"/>
        <v>137</v>
      </c>
      <c r="B142" s="30" t="s">
        <v>99</v>
      </c>
      <c r="C142" s="30" t="s">
        <v>326</v>
      </c>
      <c r="D142" s="30" t="s">
        <v>234</v>
      </c>
      <c r="E142" s="30" t="s">
        <v>317</v>
      </c>
      <c r="F142" s="31">
        <v>39359</v>
      </c>
      <c r="G142" s="32" t="str">
        <f t="shared" si="15"/>
        <v>мастер участка</v>
      </c>
      <c r="H142" s="29">
        <f>IF(C142="","",IF(AND(G142="мастер участка",ISNUMBER(SEARCH("РЭО",E142))),29,IFERROR(INDEX(Соответствие!$B$2:$B$100,MATCH(G142,Соответствие!$A$2:$A$100,0)),"?")))</f>
        <v>18</v>
      </c>
      <c r="I142" s="33" t="str">
        <f>IF(C142="","",IFERROR(INDEX(Перечень!$C$6:$C$51,MATCH(H142,Перечень!$A$6:$A$51,0)),""))</f>
        <v>п.4.4, п.5.1, п.5.2</v>
      </c>
      <c r="J142" s="29">
        <f>IF(C142="","",IFERROR(INDEX(Перечень!$D$6:$D$51,MATCH(H142,Перечень!$A$6:$A$51,0)),12))</f>
        <v>12</v>
      </c>
      <c r="K142" s="34"/>
      <c r="L142" s="34"/>
      <c r="M142" s="31" t="str">
        <f t="shared" si="16"/>
        <v/>
      </c>
      <c r="N142" s="29" t="str">
        <f>IF(C142="","",IFERROR(INDEX(Перечень!$F$6:$F$51,MATCH(H142,Перечень!$A$6:$A$51,0)),""))</f>
        <v>-</v>
      </c>
      <c r="O142" s="34"/>
      <c r="P142" s="31" t="str">
        <f t="shared" si="17"/>
        <v/>
      </c>
      <c r="Q142" s="29" t="str">
        <f t="shared" si="18"/>
        <v/>
      </c>
      <c r="R142" s="29" t="str">
        <f t="shared" ca="1" si="19"/>
        <v>Нет сведений</v>
      </c>
      <c r="S142" s="29" t="str">
        <f t="shared" si="20"/>
        <v/>
      </c>
    </row>
    <row r="143" spans="1:19" x14ac:dyDescent="0.3">
      <c r="A143" s="29">
        <f t="shared" si="14"/>
        <v>138</v>
      </c>
      <c r="B143" s="30" t="s">
        <v>99</v>
      </c>
      <c r="C143" s="30" t="s">
        <v>327</v>
      </c>
      <c r="D143" s="30" t="s">
        <v>328</v>
      </c>
      <c r="E143" s="30" t="s">
        <v>314</v>
      </c>
      <c r="F143" s="31">
        <v>40148</v>
      </c>
      <c r="G143" s="32" t="str">
        <f t="shared" si="15"/>
        <v>оператор станков с чпу</v>
      </c>
      <c r="H143" s="29">
        <f>IF(C143="","",IF(AND(G143="мастер участка",ISNUMBER(SEARCH("РЭО",E143))),29,IFERROR(INDEX(Соответствие!$B$2:$B$100,MATCH(G143,Соответствие!$A$2:$A$100,0)),"?")))</f>
        <v>30</v>
      </c>
      <c r="I143" s="33" t="str">
        <f>IF(C143="","",IFERROR(INDEX(Перечень!$C$6:$C$51,MATCH(H143,Перечень!$A$6:$A$51,0)),""))</f>
        <v>п.4.3.1, п.4.3.2, п.4.4, п.5.1, п.5.2, п.15</v>
      </c>
      <c r="J143" s="29">
        <f>IF(C143="","",IFERROR(INDEX(Перечень!$D$6:$D$51,MATCH(H143,Перечень!$A$6:$A$51,0)),12))</f>
        <v>12</v>
      </c>
      <c r="K143" s="34"/>
      <c r="L143" s="34"/>
      <c r="M143" s="31" t="str">
        <f t="shared" si="16"/>
        <v/>
      </c>
      <c r="N143" s="29" t="str">
        <f>IF(C143="","",IFERROR(INDEX(Перечень!$F$6:$F$51,MATCH(H143,Перечень!$A$6:$A$51,0)),""))</f>
        <v>-</v>
      </c>
      <c r="O143" s="34"/>
      <c r="P143" s="31" t="str">
        <f t="shared" si="17"/>
        <v/>
      </c>
      <c r="Q143" s="29" t="str">
        <f t="shared" si="18"/>
        <v/>
      </c>
      <c r="R143" s="29" t="str">
        <f t="shared" ca="1" si="19"/>
        <v>Нет сведений</v>
      </c>
      <c r="S143" s="29" t="str">
        <f t="shared" si="20"/>
        <v/>
      </c>
    </row>
    <row r="144" spans="1:19" x14ac:dyDescent="0.3">
      <c r="A144" s="29">
        <f t="shared" si="14"/>
        <v>139</v>
      </c>
      <c r="B144" s="30" t="s">
        <v>99</v>
      </c>
      <c r="C144" s="30" t="s">
        <v>329</v>
      </c>
      <c r="D144" s="30" t="s">
        <v>330</v>
      </c>
      <c r="E144" s="30" t="s">
        <v>314</v>
      </c>
      <c r="F144" s="31">
        <v>44655</v>
      </c>
      <c r="G144" s="32" t="str">
        <f t="shared" si="15"/>
        <v>техник-сборщик</v>
      </c>
      <c r="H144" s="29">
        <f>IF(C144="","",IF(AND(G144="мастер участка",ISNUMBER(SEARCH("РЭО",E144))),29,IFERROR(INDEX(Соответствие!$B$2:$B$100,MATCH(G144,Соответствие!$A$2:$A$100,0)),"?")))</f>
        <v>21</v>
      </c>
      <c r="I144" s="33" t="str">
        <f>IF(C144="","",IFERROR(INDEX(Перечень!$C$6:$C$51,MATCH(H144,Перечень!$A$6:$A$51,0)),""))</f>
        <v>п.1.49.2, п.1.49.14, п.4.3.1, п.4.3.2, п.4.4, п.5.1, п.15</v>
      </c>
      <c r="J144" s="29">
        <f>IF(C144="","",IFERROR(INDEX(Перечень!$D$6:$D$51,MATCH(H144,Перечень!$A$6:$A$51,0)),12))</f>
        <v>12</v>
      </c>
      <c r="K144" s="34"/>
      <c r="L144" s="34"/>
      <c r="M144" s="31" t="str">
        <f t="shared" si="16"/>
        <v/>
      </c>
      <c r="N144" s="29" t="str">
        <f>IF(C144="","",IFERROR(INDEX(Перечень!$F$6:$F$51,MATCH(H144,Перечень!$A$6:$A$51,0)),""))</f>
        <v>-</v>
      </c>
      <c r="O144" s="34"/>
      <c r="P144" s="31" t="str">
        <f t="shared" si="17"/>
        <v/>
      </c>
      <c r="Q144" s="29" t="str">
        <f t="shared" si="18"/>
        <v/>
      </c>
      <c r="R144" s="29" t="str">
        <f t="shared" ca="1" si="19"/>
        <v>Нет сведений</v>
      </c>
      <c r="S144" s="29" t="str">
        <f t="shared" si="20"/>
        <v/>
      </c>
    </row>
    <row r="145" spans="1:19" x14ac:dyDescent="0.3">
      <c r="A145" s="29">
        <f t="shared" si="14"/>
        <v>140</v>
      </c>
      <c r="B145" s="30" t="s">
        <v>99</v>
      </c>
      <c r="C145" s="30" t="s">
        <v>331</v>
      </c>
      <c r="D145" s="30" t="s">
        <v>330</v>
      </c>
      <c r="E145" s="30" t="s">
        <v>317</v>
      </c>
      <c r="F145" s="31">
        <v>42494</v>
      </c>
      <c r="G145" s="32" t="str">
        <f t="shared" si="15"/>
        <v>техник-сборщик</v>
      </c>
      <c r="H145" s="29">
        <f>IF(C145="","",IF(AND(G145="мастер участка",ISNUMBER(SEARCH("РЭО",E145))),29,IFERROR(INDEX(Соответствие!$B$2:$B$100,MATCH(G145,Соответствие!$A$2:$A$100,0)),"?")))</f>
        <v>21</v>
      </c>
      <c r="I145" s="33" t="str">
        <f>IF(C145="","",IFERROR(INDEX(Перечень!$C$6:$C$51,MATCH(H145,Перечень!$A$6:$A$51,0)),""))</f>
        <v>п.1.49.2, п.1.49.14, п.4.3.1, п.4.3.2, п.4.4, п.5.1, п.15</v>
      </c>
      <c r="J145" s="29">
        <f>IF(C145="","",IFERROR(INDEX(Перечень!$D$6:$D$51,MATCH(H145,Перечень!$A$6:$A$51,0)),12))</f>
        <v>12</v>
      </c>
      <c r="K145" s="34"/>
      <c r="L145" s="34"/>
      <c r="M145" s="31" t="str">
        <f t="shared" si="16"/>
        <v/>
      </c>
      <c r="N145" s="29" t="str">
        <f>IF(C145="","",IFERROR(INDEX(Перечень!$F$6:$F$51,MATCH(H145,Перечень!$A$6:$A$51,0)),""))</f>
        <v>-</v>
      </c>
      <c r="O145" s="34"/>
      <c r="P145" s="31" t="str">
        <f t="shared" si="17"/>
        <v/>
      </c>
      <c r="Q145" s="29" t="str">
        <f t="shared" si="18"/>
        <v/>
      </c>
      <c r="R145" s="29" t="str">
        <f t="shared" ca="1" si="19"/>
        <v>Нет сведений</v>
      </c>
      <c r="S145" s="29" t="str">
        <f t="shared" si="20"/>
        <v/>
      </c>
    </row>
    <row r="146" spans="1:19" x14ac:dyDescent="0.3">
      <c r="A146" s="29">
        <f t="shared" si="14"/>
        <v>141</v>
      </c>
      <c r="B146" s="30" t="s">
        <v>99</v>
      </c>
      <c r="C146" s="30" t="s">
        <v>332</v>
      </c>
      <c r="D146" s="30" t="s">
        <v>330</v>
      </c>
      <c r="E146" s="30" t="s">
        <v>314</v>
      </c>
      <c r="F146" s="31">
        <v>38363</v>
      </c>
      <c r="G146" s="32" t="str">
        <f t="shared" si="15"/>
        <v>техник-сборщик</v>
      </c>
      <c r="H146" s="29">
        <f>IF(C146="","",IF(AND(G146="мастер участка",ISNUMBER(SEARCH("РЭО",E146))),29,IFERROR(INDEX(Соответствие!$B$2:$B$100,MATCH(G146,Соответствие!$A$2:$A$100,0)),"?")))</f>
        <v>21</v>
      </c>
      <c r="I146" s="33" t="str">
        <f>IF(C146="","",IFERROR(INDEX(Перечень!$C$6:$C$51,MATCH(H146,Перечень!$A$6:$A$51,0)),""))</f>
        <v>п.1.49.2, п.1.49.14, п.4.3.1, п.4.3.2, п.4.4, п.5.1, п.15</v>
      </c>
      <c r="J146" s="29">
        <f>IF(C146="","",IFERROR(INDEX(Перечень!$D$6:$D$51,MATCH(H146,Перечень!$A$6:$A$51,0)),12))</f>
        <v>12</v>
      </c>
      <c r="K146" s="34"/>
      <c r="L146" s="34"/>
      <c r="M146" s="31" t="str">
        <f t="shared" si="16"/>
        <v/>
      </c>
      <c r="N146" s="29" t="str">
        <f>IF(C146="","",IFERROR(INDEX(Перечень!$F$6:$F$51,MATCH(H146,Перечень!$A$6:$A$51,0)),""))</f>
        <v>-</v>
      </c>
      <c r="O146" s="34"/>
      <c r="P146" s="31" t="str">
        <f t="shared" si="17"/>
        <v/>
      </c>
      <c r="Q146" s="29" t="str">
        <f t="shared" si="18"/>
        <v/>
      </c>
      <c r="R146" s="29" t="str">
        <f t="shared" ca="1" si="19"/>
        <v>Нет сведений</v>
      </c>
      <c r="S146" s="29" t="str">
        <f t="shared" si="20"/>
        <v/>
      </c>
    </row>
    <row r="147" spans="1:19" x14ac:dyDescent="0.3">
      <c r="A147" s="29">
        <f t="shared" si="14"/>
        <v>142</v>
      </c>
      <c r="B147" s="30" t="s">
        <v>99</v>
      </c>
      <c r="C147" s="30" t="s">
        <v>333</v>
      </c>
      <c r="D147" s="30" t="s">
        <v>330</v>
      </c>
      <c r="E147" s="30" t="s">
        <v>317</v>
      </c>
      <c r="F147" s="31">
        <v>45159</v>
      </c>
      <c r="G147" s="32" t="str">
        <f t="shared" si="15"/>
        <v>техник-сборщик</v>
      </c>
      <c r="H147" s="29">
        <f>IF(C147="","",IF(AND(G147="мастер участка",ISNUMBER(SEARCH("РЭО",E147))),29,IFERROR(INDEX(Соответствие!$B$2:$B$100,MATCH(G147,Соответствие!$A$2:$A$100,0)),"?")))</f>
        <v>21</v>
      </c>
      <c r="I147" s="33" t="str">
        <f>IF(C147="","",IFERROR(INDEX(Перечень!$C$6:$C$51,MATCH(H147,Перечень!$A$6:$A$51,0)),""))</f>
        <v>п.1.49.2, п.1.49.14, п.4.3.1, п.4.3.2, п.4.4, п.5.1, п.15</v>
      </c>
      <c r="J147" s="29">
        <f>IF(C147="","",IFERROR(INDEX(Перечень!$D$6:$D$51,MATCH(H147,Перечень!$A$6:$A$51,0)),12))</f>
        <v>12</v>
      </c>
      <c r="K147" s="34"/>
      <c r="L147" s="34"/>
      <c r="M147" s="31" t="str">
        <f t="shared" si="16"/>
        <v/>
      </c>
      <c r="N147" s="29" t="str">
        <f>IF(C147="","",IFERROR(INDEX(Перечень!$F$6:$F$51,MATCH(H147,Перечень!$A$6:$A$51,0)),""))</f>
        <v>-</v>
      </c>
      <c r="O147" s="34"/>
      <c r="P147" s="31" t="str">
        <f t="shared" si="17"/>
        <v/>
      </c>
      <c r="Q147" s="29" t="str">
        <f t="shared" si="18"/>
        <v/>
      </c>
      <c r="R147" s="29" t="str">
        <f t="shared" ca="1" si="19"/>
        <v>Нет сведений</v>
      </c>
      <c r="S147" s="29" t="str">
        <f t="shared" si="20"/>
        <v/>
      </c>
    </row>
    <row r="148" spans="1:19" x14ac:dyDescent="0.3">
      <c r="A148" s="29">
        <f t="shared" si="14"/>
        <v>143</v>
      </c>
      <c r="B148" s="30" t="s">
        <v>99</v>
      </c>
      <c r="C148" s="30" t="s">
        <v>334</v>
      </c>
      <c r="D148" s="30" t="s">
        <v>330</v>
      </c>
      <c r="E148" s="30" t="s">
        <v>314</v>
      </c>
      <c r="F148" s="31">
        <v>39356</v>
      </c>
      <c r="G148" s="32" t="str">
        <f t="shared" si="15"/>
        <v>техник-сборщик</v>
      </c>
      <c r="H148" s="29">
        <f>IF(C148="","",IF(AND(G148="мастер участка",ISNUMBER(SEARCH("РЭО",E148))),29,IFERROR(INDEX(Соответствие!$B$2:$B$100,MATCH(G148,Соответствие!$A$2:$A$100,0)),"?")))</f>
        <v>21</v>
      </c>
      <c r="I148" s="33" t="str">
        <f>IF(C148="","",IFERROR(INDEX(Перечень!$C$6:$C$51,MATCH(H148,Перечень!$A$6:$A$51,0)),""))</f>
        <v>п.1.49.2, п.1.49.14, п.4.3.1, п.4.3.2, п.4.4, п.5.1, п.15</v>
      </c>
      <c r="J148" s="29">
        <f>IF(C148="","",IFERROR(INDEX(Перечень!$D$6:$D$51,MATCH(H148,Перечень!$A$6:$A$51,0)),12))</f>
        <v>12</v>
      </c>
      <c r="K148" s="34"/>
      <c r="L148" s="34"/>
      <c r="M148" s="31" t="str">
        <f t="shared" si="16"/>
        <v/>
      </c>
      <c r="N148" s="29" t="str">
        <f>IF(C148="","",IFERROR(INDEX(Перечень!$F$6:$F$51,MATCH(H148,Перечень!$A$6:$A$51,0)),""))</f>
        <v>-</v>
      </c>
      <c r="O148" s="34"/>
      <c r="P148" s="31" t="str">
        <f t="shared" si="17"/>
        <v/>
      </c>
      <c r="Q148" s="29" t="str">
        <f t="shared" si="18"/>
        <v/>
      </c>
      <c r="R148" s="29" t="str">
        <f t="shared" ca="1" si="19"/>
        <v>Нет сведений</v>
      </c>
      <c r="S148" s="29" t="str">
        <f t="shared" si="20"/>
        <v/>
      </c>
    </row>
    <row r="149" spans="1:19" x14ac:dyDescent="0.3">
      <c r="A149" s="29">
        <f t="shared" si="14"/>
        <v>144</v>
      </c>
      <c r="B149" s="30" t="s">
        <v>99</v>
      </c>
      <c r="C149" s="30" t="s">
        <v>335</v>
      </c>
      <c r="D149" s="30" t="s">
        <v>330</v>
      </c>
      <c r="E149" s="30" t="s">
        <v>314</v>
      </c>
      <c r="F149" s="31">
        <v>38810</v>
      </c>
      <c r="G149" s="32" t="str">
        <f t="shared" si="15"/>
        <v>техник-сборщик</v>
      </c>
      <c r="H149" s="29">
        <f>IF(C149="","",IF(AND(G149="мастер участка",ISNUMBER(SEARCH("РЭО",E149))),29,IFERROR(INDEX(Соответствие!$B$2:$B$100,MATCH(G149,Соответствие!$A$2:$A$100,0)),"?")))</f>
        <v>21</v>
      </c>
      <c r="I149" s="33" t="str">
        <f>IF(C149="","",IFERROR(INDEX(Перечень!$C$6:$C$51,MATCH(H149,Перечень!$A$6:$A$51,0)),""))</f>
        <v>п.1.49.2, п.1.49.14, п.4.3.1, п.4.3.2, п.4.4, п.5.1, п.15</v>
      </c>
      <c r="J149" s="29">
        <f>IF(C149="","",IFERROR(INDEX(Перечень!$D$6:$D$51,MATCH(H149,Перечень!$A$6:$A$51,0)),12))</f>
        <v>12</v>
      </c>
      <c r="K149" s="34"/>
      <c r="L149" s="34"/>
      <c r="M149" s="31" t="str">
        <f t="shared" si="16"/>
        <v/>
      </c>
      <c r="N149" s="29" t="str">
        <f>IF(C149="","",IFERROR(INDEX(Перечень!$F$6:$F$51,MATCH(H149,Перечень!$A$6:$A$51,0)),""))</f>
        <v>-</v>
      </c>
      <c r="O149" s="34"/>
      <c r="P149" s="31" t="str">
        <f t="shared" si="17"/>
        <v/>
      </c>
      <c r="Q149" s="29" t="str">
        <f t="shared" si="18"/>
        <v/>
      </c>
      <c r="R149" s="29" t="str">
        <f t="shared" ca="1" si="19"/>
        <v>Нет сведений</v>
      </c>
      <c r="S149" s="29" t="str">
        <f t="shared" si="20"/>
        <v/>
      </c>
    </row>
    <row r="150" spans="1:19" x14ac:dyDescent="0.3">
      <c r="A150" s="29">
        <f t="shared" si="14"/>
        <v>145</v>
      </c>
      <c r="B150" s="30" t="s">
        <v>99</v>
      </c>
      <c r="C150" s="30" t="s">
        <v>336</v>
      </c>
      <c r="D150" s="30" t="s">
        <v>330</v>
      </c>
      <c r="E150" s="30" t="s">
        <v>314</v>
      </c>
      <c r="F150" s="31">
        <v>38728</v>
      </c>
      <c r="G150" s="32" t="str">
        <f t="shared" si="15"/>
        <v>техник-сборщик</v>
      </c>
      <c r="H150" s="29">
        <f>IF(C150="","",IF(AND(G150="мастер участка",ISNUMBER(SEARCH("РЭО",E150))),29,IFERROR(INDEX(Соответствие!$B$2:$B$100,MATCH(G150,Соответствие!$A$2:$A$100,0)),"?")))</f>
        <v>21</v>
      </c>
      <c r="I150" s="33" t="str">
        <f>IF(C150="","",IFERROR(INDEX(Перечень!$C$6:$C$51,MATCH(H150,Перечень!$A$6:$A$51,0)),""))</f>
        <v>п.1.49.2, п.1.49.14, п.4.3.1, п.4.3.2, п.4.4, п.5.1, п.15</v>
      </c>
      <c r="J150" s="29">
        <f>IF(C150="","",IFERROR(INDEX(Перечень!$D$6:$D$51,MATCH(H150,Перечень!$A$6:$A$51,0)),12))</f>
        <v>12</v>
      </c>
      <c r="K150" s="34"/>
      <c r="L150" s="34"/>
      <c r="M150" s="31" t="str">
        <f t="shared" si="16"/>
        <v/>
      </c>
      <c r="N150" s="29" t="str">
        <f>IF(C150="","",IFERROR(INDEX(Перечень!$F$6:$F$51,MATCH(H150,Перечень!$A$6:$A$51,0)),""))</f>
        <v>-</v>
      </c>
      <c r="O150" s="34"/>
      <c r="P150" s="31" t="str">
        <f t="shared" si="17"/>
        <v/>
      </c>
      <c r="Q150" s="29" t="str">
        <f t="shared" si="18"/>
        <v/>
      </c>
      <c r="R150" s="29" t="str">
        <f t="shared" ca="1" si="19"/>
        <v>Нет сведений</v>
      </c>
      <c r="S150" s="29" t="str">
        <f t="shared" si="20"/>
        <v/>
      </c>
    </row>
    <row r="151" spans="1:19" x14ac:dyDescent="0.3">
      <c r="A151" s="29">
        <f t="shared" si="14"/>
        <v>146</v>
      </c>
      <c r="B151" s="30" t="s">
        <v>99</v>
      </c>
      <c r="C151" s="30" t="s">
        <v>337</v>
      </c>
      <c r="D151" s="30" t="s">
        <v>330</v>
      </c>
      <c r="E151" s="30" t="s">
        <v>314</v>
      </c>
      <c r="F151" s="31">
        <v>38810</v>
      </c>
      <c r="G151" s="32" t="str">
        <f t="shared" si="15"/>
        <v>техник-сборщик</v>
      </c>
      <c r="H151" s="29">
        <f>IF(C151="","",IF(AND(G151="мастер участка",ISNUMBER(SEARCH("РЭО",E151))),29,IFERROR(INDEX(Соответствие!$B$2:$B$100,MATCH(G151,Соответствие!$A$2:$A$100,0)),"?")))</f>
        <v>21</v>
      </c>
      <c r="I151" s="33" t="str">
        <f>IF(C151="","",IFERROR(INDEX(Перечень!$C$6:$C$51,MATCH(H151,Перечень!$A$6:$A$51,0)),""))</f>
        <v>п.1.49.2, п.1.49.14, п.4.3.1, п.4.3.2, п.4.4, п.5.1, п.15</v>
      </c>
      <c r="J151" s="29">
        <f>IF(C151="","",IFERROR(INDEX(Перечень!$D$6:$D$51,MATCH(H151,Перечень!$A$6:$A$51,0)),12))</f>
        <v>12</v>
      </c>
      <c r="K151" s="34"/>
      <c r="L151" s="34"/>
      <c r="M151" s="31" t="str">
        <f t="shared" si="16"/>
        <v/>
      </c>
      <c r="N151" s="29" t="str">
        <f>IF(C151="","",IFERROR(INDEX(Перечень!$F$6:$F$51,MATCH(H151,Перечень!$A$6:$A$51,0)),""))</f>
        <v>-</v>
      </c>
      <c r="O151" s="34"/>
      <c r="P151" s="31" t="str">
        <f t="shared" si="17"/>
        <v/>
      </c>
      <c r="Q151" s="29" t="str">
        <f t="shared" si="18"/>
        <v/>
      </c>
      <c r="R151" s="29" t="str">
        <f t="shared" ca="1" si="19"/>
        <v>Нет сведений</v>
      </c>
      <c r="S151" s="29" t="str">
        <f t="shared" si="20"/>
        <v/>
      </c>
    </row>
    <row r="152" spans="1:19" x14ac:dyDescent="0.3">
      <c r="A152" s="29">
        <f t="shared" si="14"/>
        <v>147</v>
      </c>
      <c r="B152" s="30" t="s">
        <v>99</v>
      </c>
      <c r="C152" s="30" t="s">
        <v>338</v>
      </c>
      <c r="D152" s="30" t="s">
        <v>339</v>
      </c>
      <c r="E152" s="30" t="s">
        <v>314</v>
      </c>
      <c r="F152" s="31">
        <v>45688</v>
      </c>
      <c r="G152" s="32" t="str">
        <f t="shared" si="15"/>
        <v>техник-сборщик</v>
      </c>
      <c r="H152" s="29">
        <f>IF(C152="","",IF(AND(G152="мастер участка",ISNUMBER(SEARCH("РЭО",E152))),29,IFERROR(INDEX(Соответствие!$B$2:$B$100,MATCH(G152,Соответствие!$A$2:$A$100,0)),"?")))</f>
        <v>21</v>
      </c>
      <c r="I152" s="33" t="str">
        <f>IF(C152="","",IFERROR(INDEX(Перечень!$C$6:$C$51,MATCH(H152,Перечень!$A$6:$A$51,0)),""))</f>
        <v>п.1.49.2, п.1.49.14, п.4.3.1, п.4.3.2, п.4.4, п.5.1, п.15</v>
      </c>
      <c r="J152" s="29">
        <f>IF(C152="","",IFERROR(INDEX(Перечень!$D$6:$D$51,MATCH(H152,Перечень!$A$6:$A$51,0)),12))</f>
        <v>12</v>
      </c>
      <c r="K152" s="34"/>
      <c r="L152" s="34"/>
      <c r="M152" s="31" t="str">
        <f t="shared" si="16"/>
        <v/>
      </c>
      <c r="N152" s="29" t="str">
        <f>IF(C152="","",IFERROR(INDEX(Перечень!$F$6:$F$51,MATCH(H152,Перечень!$A$6:$A$51,0)),""))</f>
        <v>-</v>
      </c>
      <c r="O152" s="34"/>
      <c r="P152" s="31" t="str">
        <f t="shared" si="17"/>
        <v/>
      </c>
      <c r="Q152" s="29" t="str">
        <f t="shared" si="18"/>
        <v/>
      </c>
      <c r="R152" s="29" t="str">
        <f t="shared" ca="1" si="19"/>
        <v>Нет сведений</v>
      </c>
      <c r="S152" s="29" t="str">
        <f t="shared" si="20"/>
        <v/>
      </c>
    </row>
    <row r="153" spans="1:19" x14ac:dyDescent="0.3">
      <c r="A153" s="29">
        <f t="shared" si="14"/>
        <v>148</v>
      </c>
      <c r="B153" s="30" t="s">
        <v>99</v>
      </c>
      <c r="C153" s="30" t="s">
        <v>340</v>
      </c>
      <c r="D153" s="30" t="s">
        <v>339</v>
      </c>
      <c r="E153" s="30" t="s">
        <v>314</v>
      </c>
      <c r="F153" s="31">
        <v>45832</v>
      </c>
      <c r="G153" s="32" t="str">
        <f t="shared" si="15"/>
        <v>техник-сборщик</v>
      </c>
      <c r="H153" s="29">
        <f>IF(C153="","",IF(AND(G153="мастер участка",ISNUMBER(SEARCH("РЭО",E153))),29,IFERROR(INDEX(Соответствие!$B$2:$B$100,MATCH(G153,Соответствие!$A$2:$A$100,0)),"?")))</f>
        <v>21</v>
      </c>
      <c r="I153" s="33" t="str">
        <f>IF(C153="","",IFERROR(INDEX(Перечень!$C$6:$C$51,MATCH(H153,Перечень!$A$6:$A$51,0)),""))</f>
        <v>п.1.49.2, п.1.49.14, п.4.3.1, п.4.3.2, п.4.4, п.5.1, п.15</v>
      </c>
      <c r="J153" s="29">
        <f>IF(C153="","",IFERROR(INDEX(Перечень!$D$6:$D$51,MATCH(H153,Перечень!$A$6:$A$51,0)),12))</f>
        <v>12</v>
      </c>
      <c r="K153" s="34"/>
      <c r="L153" s="34"/>
      <c r="M153" s="31" t="str">
        <f t="shared" si="16"/>
        <v/>
      </c>
      <c r="N153" s="29" t="str">
        <f>IF(C153="","",IFERROR(INDEX(Перечень!$F$6:$F$51,MATCH(H153,Перечень!$A$6:$A$51,0)),""))</f>
        <v>-</v>
      </c>
      <c r="O153" s="34"/>
      <c r="P153" s="31" t="str">
        <f t="shared" si="17"/>
        <v/>
      </c>
      <c r="Q153" s="29" t="str">
        <f t="shared" si="18"/>
        <v/>
      </c>
      <c r="R153" s="29" t="str">
        <f t="shared" ca="1" si="19"/>
        <v>Нет сведений</v>
      </c>
      <c r="S153" s="29" t="str">
        <f t="shared" si="20"/>
        <v/>
      </c>
    </row>
    <row r="154" spans="1:19" x14ac:dyDescent="0.3">
      <c r="A154" s="29">
        <f t="shared" si="14"/>
        <v>149</v>
      </c>
      <c r="B154" s="30" t="s">
        <v>99</v>
      </c>
      <c r="C154" s="30" t="s">
        <v>341</v>
      </c>
      <c r="D154" s="30" t="s">
        <v>339</v>
      </c>
      <c r="E154" s="30" t="s">
        <v>314</v>
      </c>
      <c r="F154" s="31">
        <v>40926</v>
      </c>
      <c r="G154" s="32" t="str">
        <f t="shared" si="15"/>
        <v>техник-сборщик</v>
      </c>
      <c r="H154" s="29">
        <f>IF(C154="","",IF(AND(G154="мастер участка",ISNUMBER(SEARCH("РЭО",E154))),29,IFERROR(INDEX(Соответствие!$B$2:$B$100,MATCH(G154,Соответствие!$A$2:$A$100,0)),"?")))</f>
        <v>21</v>
      </c>
      <c r="I154" s="33" t="str">
        <f>IF(C154="","",IFERROR(INDEX(Перечень!$C$6:$C$51,MATCH(H154,Перечень!$A$6:$A$51,0)),""))</f>
        <v>п.1.49.2, п.1.49.14, п.4.3.1, п.4.3.2, п.4.4, п.5.1, п.15</v>
      </c>
      <c r="J154" s="29">
        <f>IF(C154="","",IFERROR(INDEX(Перечень!$D$6:$D$51,MATCH(H154,Перечень!$A$6:$A$51,0)),12))</f>
        <v>12</v>
      </c>
      <c r="K154" s="34"/>
      <c r="L154" s="34"/>
      <c r="M154" s="31" t="str">
        <f t="shared" si="16"/>
        <v/>
      </c>
      <c r="N154" s="29" t="str">
        <f>IF(C154="","",IFERROR(INDEX(Перечень!$F$6:$F$51,MATCH(H154,Перечень!$A$6:$A$51,0)),""))</f>
        <v>-</v>
      </c>
      <c r="O154" s="34"/>
      <c r="P154" s="31" t="str">
        <f t="shared" si="17"/>
        <v/>
      </c>
      <c r="Q154" s="29" t="str">
        <f t="shared" si="18"/>
        <v/>
      </c>
      <c r="R154" s="29" t="str">
        <f t="shared" ca="1" si="19"/>
        <v>Нет сведений</v>
      </c>
      <c r="S154" s="29" t="str">
        <f t="shared" si="20"/>
        <v/>
      </c>
    </row>
    <row r="155" spans="1:19" x14ac:dyDescent="0.3">
      <c r="A155" s="29">
        <f t="shared" si="14"/>
        <v>150</v>
      </c>
      <c r="B155" s="30" t="s">
        <v>99</v>
      </c>
      <c r="C155" s="30" t="s">
        <v>342</v>
      </c>
      <c r="D155" s="30" t="s">
        <v>339</v>
      </c>
      <c r="E155" s="30" t="s">
        <v>317</v>
      </c>
      <c r="F155" s="31">
        <v>42570</v>
      </c>
      <c r="G155" s="32" t="str">
        <f t="shared" si="15"/>
        <v>техник-сборщик</v>
      </c>
      <c r="H155" s="29">
        <f>IF(C155="","",IF(AND(G155="мастер участка",ISNUMBER(SEARCH("РЭО",E155))),29,IFERROR(INDEX(Соответствие!$B$2:$B$100,MATCH(G155,Соответствие!$A$2:$A$100,0)),"?")))</f>
        <v>21</v>
      </c>
      <c r="I155" s="33" t="str">
        <f>IF(C155="","",IFERROR(INDEX(Перечень!$C$6:$C$51,MATCH(H155,Перечень!$A$6:$A$51,0)),""))</f>
        <v>п.1.49.2, п.1.49.14, п.4.3.1, п.4.3.2, п.4.4, п.5.1, п.15</v>
      </c>
      <c r="J155" s="29">
        <f>IF(C155="","",IFERROR(INDEX(Перечень!$D$6:$D$51,MATCH(H155,Перечень!$A$6:$A$51,0)),12))</f>
        <v>12</v>
      </c>
      <c r="K155" s="34"/>
      <c r="L155" s="34"/>
      <c r="M155" s="31" t="str">
        <f t="shared" si="16"/>
        <v/>
      </c>
      <c r="N155" s="29" t="str">
        <f>IF(C155="","",IFERROR(INDEX(Перечень!$F$6:$F$51,MATCH(H155,Перечень!$A$6:$A$51,0)),""))</f>
        <v>-</v>
      </c>
      <c r="O155" s="34"/>
      <c r="P155" s="31" t="str">
        <f t="shared" si="17"/>
        <v/>
      </c>
      <c r="Q155" s="29" t="str">
        <f t="shared" si="18"/>
        <v/>
      </c>
      <c r="R155" s="29" t="str">
        <f t="shared" ca="1" si="19"/>
        <v>Нет сведений</v>
      </c>
      <c r="S155" s="29" t="str">
        <f t="shared" si="20"/>
        <v/>
      </c>
    </row>
    <row r="156" spans="1:19" x14ac:dyDescent="0.3">
      <c r="A156" s="29">
        <f t="shared" si="14"/>
        <v>151</v>
      </c>
      <c r="B156" s="30" t="s">
        <v>99</v>
      </c>
      <c r="C156" s="30" t="s">
        <v>343</v>
      </c>
      <c r="D156" s="30" t="s">
        <v>339</v>
      </c>
      <c r="E156" s="30" t="s">
        <v>314</v>
      </c>
      <c r="F156" s="31">
        <v>43046</v>
      </c>
      <c r="G156" s="32" t="str">
        <f t="shared" si="15"/>
        <v>техник-сборщик</v>
      </c>
      <c r="H156" s="29">
        <f>IF(C156="","",IF(AND(G156="мастер участка",ISNUMBER(SEARCH("РЭО",E156))),29,IFERROR(INDEX(Соответствие!$B$2:$B$100,MATCH(G156,Соответствие!$A$2:$A$100,0)),"?")))</f>
        <v>21</v>
      </c>
      <c r="I156" s="33" t="str">
        <f>IF(C156="","",IFERROR(INDEX(Перечень!$C$6:$C$51,MATCH(H156,Перечень!$A$6:$A$51,0)),""))</f>
        <v>п.1.49.2, п.1.49.14, п.4.3.1, п.4.3.2, п.4.4, п.5.1, п.15</v>
      </c>
      <c r="J156" s="29">
        <f>IF(C156="","",IFERROR(INDEX(Перечень!$D$6:$D$51,MATCH(H156,Перечень!$A$6:$A$51,0)),12))</f>
        <v>12</v>
      </c>
      <c r="K156" s="34"/>
      <c r="L156" s="34"/>
      <c r="M156" s="31" t="str">
        <f t="shared" si="16"/>
        <v/>
      </c>
      <c r="N156" s="29" t="str">
        <f>IF(C156="","",IFERROR(INDEX(Перечень!$F$6:$F$51,MATCH(H156,Перечень!$A$6:$A$51,0)),""))</f>
        <v>-</v>
      </c>
      <c r="O156" s="34"/>
      <c r="P156" s="31" t="str">
        <f t="shared" si="17"/>
        <v/>
      </c>
      <c r="Q156" s="29" t="str">
        <f t="shared" si="18"/>
        <v/>
      </c>
      <c r="R156" s="29" t="str">
        <f t="shared" ca="1" si="19"/>
        <v>Нет сведений</v>
      </c>
      <c r="S156" s="29" t="str">
        <f t="shared" si="20"/>
        <v/>
      </c>
    </row>
    <row r="157" spans="1:19" x14ac:dyDescent="0.3">
      <c r="A157" s="29">
        <f t="shared" si="14"/>
        <v>152</v>
      </c>
      <c r="B157" s="30" t="s">
        <v>99</v>
      </c>
      <c r="C157" s="30" t="s">
        <v>344</v>
      </c>
      <c r="D157" s="30" t="s">
        <v>339</v>
      </c>
      <c r="E157" s="30" t="s">
        <v>317</v>
      </c>
      <c r="F157" s="31">
        <v>46106</v>
      </c>
      <c r="G157" s="32" t="str">
        <f t="shared" si="15"/>
        <v>техник-сборщик</v>
      </c>
      <c r="H157" s="29">
        <f>IF(C157="","",IF(AND(G157="мастер участка",ISNUMBER(SEARCH("РЭО",E157))),29,IFERROR(INDEX(Соответствие!$B$2:$B$100,MATCH(G157,Соответствие!$A$2:$A$100,0)),"?")))</f>
        <v>21</v>
      </c>
      <c r="I157" s="33" t="str">
        <f>IF(C157="","",IFERROR(INDEX(Перечень!$C$6:$C$51,MATCH(H157,Перечень!$A$6:$A$51,0)),""))</f>
        <v>п.1.49.2, п.1.49.14, п.4.3.1, п.4.3.2, п.4.4, п.5.1, п.15</v>
      </c>
      <c r="J157" s="29">
        <f>IF(C157="","",IFERROR(INDEX(Перечень!$D$6:$D$51,MATCH(H157,Перечень!$A$6:$A$51,0)),12))</f>
        <v>12</v>
      </c>
      <c r="K157" s="34"/>
      <c r="L157" s="34"/>
      <c r="M157" s="31" t="str">
        <f t="shared" si="16"/>
        <v/>
      </c>
      <c r="N157" s="29" t="str">
        <f>IF(C157="","",IFERROR(INDEX(Перечень!$F$6:$F$51,MATCH(H157,Перечень!$A$6:$A$51,0)),""))</f>
        <v>-</v>
      </c>
      <c r="O157" s="34"/>
      <c r="P157" s="31" t="str">
        <f t="shared" si="17"/>
        <v/>
      </c>
      <c r="Q157" s="29" t="str">
        <f t="shared" si="18"/>
        <v/>
      </c>
      <c r="R157" s="29" t="str">
        <f t="shared" ca="1" si="19"/>
        <v>Нет сведений</v>
      </c>
      <c r="S157" s="29" t="str">
        <f t="shared" si="20"/>
        <v/>
      </c>
    </row>
    <row r="158" spans="1:19" x14ac:dyDescent="0.3">
      <c r="A158" s="29">
        <f t="shared" si="14"/>
        <v>153</v>
      </c>
      <c r="B158" s="30" t="s">
        <v>99</v>
      </c>
      <c r="C158" s="30" t="s">
        <v>345</v>
      </c>
      <c r="D158" s="30" t="s">
        <v>346</v>
      </c>
      <c r="E158" s="30" t="s">
        <v>317</v>
      </c>
      <c r="F158" s="31">
        <v>42614</v>
      </c>
      <c r="G158" s="32" t="str">
        <f t="shared" si="15"/>
        <v>бригадир</v>
      </c>
      <c r="H158" s="29">
        <f>IF(C158="","",IF(AND(G158="мастер участка",ISNUMBER(SEARCH("РЭО",E158))),29,IFERROR(INDEX(Соответствие!$B$2:$B$100,MATCH(G158,Соответствие!$A$2:$A$100,0)),"?")))</f>
        <v>18</v>
      </c>
      <c r="I158" s="33" t="str">
        <f>IF(C158="","",IFERROR(INDEX(Перечень!$C$6:$C$51,MATCH(H158,Перечень!$A$6:$A$51,0)),""))</f>
        <v>п.4.4, п.5.1, п.5.2</v>
      </c>
      <c r="J158" s="29">
        <f>IF(C158="","",IFERROR(INDEX(Перечень!$D$6:$D$51,MATCH(H158,Перечень!$A$6:$A$51,0)),12))</f>
        <v>12</v>
      </c>
      <c r="K158" s="34"/>
      <c r="L158" s="34"/>
      <c r="M158" s="31" t="str">
        <f t="shared" si="16"/>
        <v/>
      </c>
      <c r="N158" s="29" t="str">
        <f>IF(C158="","",IFERROR(INDEX(Перечень!$F$6:$F$51,MATCH(H158,Перечень!$A$6:$A$51,0)),""))</f>
        <v>-</v>
      </c>
      <c r="O158" s="34"/>
      <c r="P158" s="31" t="str">
        <f t="shared" si="17"/>
        <v/>
      </c>
      <c r="Q158" s="29" t="str">
        <f t="shared" si="18"/>
        <v/>
      </c>
      <c r="R158" s="29" t="str">
        <f t="shared" ca="1" si="19"/>
        <v>Нет сведений</v>
      </c>
      <c r="S158" s="29" t="str">
        <f t="shared" si="20"/>
        <v/>
      </c>
    </row>
    <row r="159" spans="1:19" x14ac:dyDescent="0.3">
      <c r="A159" s="29">
        <f t="shared" si="14"/>
        <v>154</v>
      </c>
      <c r="B159" s="30" t="s">
        <v>99</v>
      </c>
      <c r="C159" s="30" t="s">
        <v>347</v>
      </c>
      <c r="D159" s="30" t="s">
        <v>339</v>
      </c>
      <c r="E159" s="30" t="s">
        <v>314</v>
      </c>
      <c r="F159" s="31">
        <v>45688</v>
      </c>
      <c r="G159" s="32" t="str">
        <f t="shared" si="15"/>
        <v>техник-сборщик</v>
      </c>
      <c r="H159" s="29">
        <f>IF(C159="","",IF(AND(G159="мастер участка",ISNUMBER(SEARCH("РЭО",E159))),29,IFERROR(INDEX(Соответствие!$B$2:$B$100,MATCH(G159,Соответствие!$A$2:$A$100,0)),"?")))</f>
        <v>21</v>
      </c>
      <c r="I159" s="33" t="str">
        <f>IF(C159="","",IFERROR(INDEX(Перечень!$C$6:$C$51,MATCH(H159,Перечень!$A$6:$A$51,0)),""))</f>
        <v>п.1.49.2, п.1.49.14, п.4.3.1, п.4.3.2, п.4.4, п.5.1, п.15</v>
      </c>
      <c r="J159" s="29">
        <f>IF(C159="","",IFERROR(INDEX(Перечень!$D$6:$D$51,MATCH(H159,Перечень!$A$6:$A$51,0)),12))</f>
        <v>12</v>
      </c>
      <c r="K159" s="34"/>
      <c r="L159" s="34"/>
      <c r="M159" s="31" t="str">
        <f t="shared" si="16"/>
        <v/>
      </c>
      <c r="N159" s="29" t="str">
        <f>IF(C159="","",IFERROR(INDEX(Перечень!$F$6:$F$51,MATCH(H159,Перечень!$A$6:$A$51,0)),""))</f>
        <v>-</v>
      </c>
      <c r="O159" s="34"/>
      <c r="P159" s="31" t="str">
        <f t="shared" si="17"/>
        <v/>
      </c>
      <c r="Q159" s="29" t="str">
        <f t="shared" si="18"/>
        <v/>
      </c>
      <c r="R159" s="29" t="str">
        <f t="shared" ca="1" si="19"/>
        <v>Нет сведений</v>
      </c>
      <c r="S159" s="29" t="str">
        <f t="shared" si="20"/>
        <v/>
      </c>
    </row>
    <row r="160" spans="1:19" x14ac:dyDescent="0.3">
      <c r="A160" s="29">
        <f t="shared" si="14"/>
        <v>155</v>
      </c>
      <c r="B160" s="30" t="s">
        <v>99</v>
      </c>
      <c r="C160" s="30" t="s">
        <v>348</v>
      </c>
      <c r="D160" s="30" t="s">
        <v>349</v>
      </c>
      <c r="E160" s="30" t="s">
        <v>314</v>
      </c>
      <c r="F160" s="31">
        <v>42461</v>
      </c>
      <c r="G160" s="32" t="str">
        <f t="shared" si="15"/>
        <v>сборщик стеклопластиковых изделий</v>
      </c>
      <c r="H160" s="29">
        <f>IF(C160="","",IF(AND(G160="мастер участка",ISNUMBER(SEARCH("РЭО",E160))),29,IFERROR(INDEX(Соответствие!$B$2:$B$100,MATCH(G160,Соответствие!$A$2:$A$100,0)),"?")))</f>
        <v>26</v>
      </c>
      <c r="I160" s="33" t="str">
        <f>IF(C160="","",IFERROR(INDEX(Перечень!$C$6:$C$51,MATCH(H160,Перечень!$A$6:$A$51,0)),""))</f>
        <v>п.1.37.1, п.3.1.8.3, п.4.3.1, п.4.4, п.5.1, п.15</v>
      </c>
      <c r="J160" s="29">
        <f>IF(C160="","",IFERROR(INDEX(Перечень!$D$6:$D$51,MATCH(H160,Перечень!$A$6:$A$51,0)),12))</f>
        <v>12</v>
      </c>
      <c r="K160" s="34"/>
      <c r="L160" s="34"/>
      <c r="M160" s="31" t="str">
        <f t="shared" si="16"/>
        <v/>
      </c>
      <c r="N160" s="29" t="str">
        <f>IF(C160="","",IFERROR(INDEX(Перечень!$F$6:$F$51,MATCH(H160,Перечень!$A$6:$A$51,0)),""))</f>
        <v>Нет</v>
      </c>
      <c r="O160" s="34"/>
      <c r="P160" s="31" t="str">
        <f t="shared" si="17"/>
        <v/>
      </c>
      <c r="Q160" s="29" t="str">
        <f t="shared" si="18"/>
        <v/>
      </c>
      <c r="R160" s="29" t="str">
        <f t="shared" ca="1" si="19"/>
        <v>Нет сведений</v>
      </c>
      <c r="S160" s="29" t="str">
        <f t="shared" si="20"/>
        <v/>
      </c>
    </row>
    <row r="161" spans="1:19" x14ac:dyDescent="0.3">
      <c r="A161" s="29">
        <f t="shared" si="14"/>
        <v>156</v>
      </c>
      <c r="B161" s="30" t="s">
        <v>99</v>
      </c>
      <c r="C161" s="30" t="s">
        <v>350</v>
      </c>
      <c r="D161" s="30" t="s">
        <v>346</v>
      </c>
      <c r="E161" s="30" t="s">
        <v>317</v>
      </c>
      <c r="F161" s="31">
        <v>43132</v>
      </c>
      <c r="G161" s="32" t="str">
        <f t="shared" si="15"/>
        <v>бригадир</v>
      </c>
      <c r="H161" s="29">
        <f>IF(C161="","",IF(AND(G161="мастер участка",ISNUMBER(SEARCH("РЭО",E161))),29,IFERROR(INDEX(Соответствие!$B$2:$B$100,MATCH(G161,Соответствие!$A$2:$A$100,0)),"?")))</f>
        <v>18</v>
      </c>
      <c r="I161" s="33" t="str">
        <f>IF(C161="","",IFERROR(INDEX(Перечень!$C$6:$C$51,MATCH(H161,Перечень!$A$6:$A$51,0)),""))</f>
        <v>п.4.4, п.5.1, п.5.2</v>
      </c>
      <c r="J161" s="29">
        <f>IF(C161="","",IFERROR(INDEX(Перечень!$D$6:$D$51,MATCH(H161,Перечень!$A$6:$A$51,0)),12))</f>
        <v>12</v>
      </c>
      <c r="K161" s="34"/>
      <c r="L161" s="34"/>
      <c r="M161" s="31" t="str">
        <f t="shared" si="16"/>
        <v/>
      </c>
      <c r="N161" s="29" t="str">
        <f>IF(C161="","",IFERROR(INDEX(Перечень!$F$6:$F$51,MATCH(H161,Перечень!$A$6:$A$51,0)),""))</f>
        <v>-</v>
      </c>
      <c r="O161" s="34"/>
      <c r="P161" s="31" t="str">
        <f t="shared" si="17"/>
        <v/>
      </c>
      <c r="Q161" s="29" t="str">
        <f t="shared" si="18"/>
        <v/>
      </c>
      <c r="R161" s="29" t="str">
        <f t="shared" ca="1" si="19"/>
        <v>Нет сведений</v>
      </c>
      <c r="S161" s="29" t="str">
        <f t="shared" si="20"/>
        <v/>
      </c>
    </row>
    <row r="162" spans="1:19" x14ac:dyDescent="0.3">
      <c r="A162" s="29">
        <f t="shared" si="14"/>
        <v>157</v>
      </c>
      <c r="B162" s="30" t="s">
        <v>99</v>
      </c>
      <c r="C162" s="30" t="s">
        <v>351</v>
      </c>
      <c r="D162" s="30" t="s">
        <v>352</v>
      </c>
      <c r="E162" s="30" t="s">
        <v>317</v>
      </c>
      <c r="F162" s="31">
        <v>46237</v>
      </c>
      <c r="G162" s="32" t="str">
        <f t="shared" si="15"/>
        <v>сборщик стеклопластиковых изделий</v>
      </c>
      <c r="H162" s="29">
        <f>IF(C162="","",IF(AND(G162="мастер участка",ISNUMBER(SEARCH("РЭО",E162))),29,IFERROR(INDEX(Соответствие!$B$2:$B$100,MATCH(G162,Соответствие!$A$2:$A$100,0)),"?")))</f>
        <v>26</v>
      </c>
      <c r="I162" s="33" t="str">
        <f>IF(C162="","",IFERROR(INDEX(Перечень!$C$6:$C$51,MATCH(H162,Перечень!$A$6:$A$51,0)),""))</f>
        <v>п.1.37.1, п.3.1.8.3, п.4.3.1, п.4.4, п.5.1, п.15</v>
      </c>
      <c r="J162" s="29">
        <f>IF(C162="","",IFERROR(INDEX(Перечень!$D$6:$D$51,MATCH(H162,Перечень!$A$6:$A$51,0)),12))</f>
        <v>12</v>
      </c>
      <c r="K162" s="34"/>
      <c r="L162" s="34"/>
      <c r="M162" s="31" t="str">
        <f t="shared" si="16"/>
        <v/>
      </c>
      <c r="N162" s="29" t="str">
        <f>IF(C162="","",IFERROR(INDEX(Перечень!$F$6:$F$51,MATCH(H162,Перечень!$A$6:$A$51,0)),""))</f>
        <v>Нет</v>
      </c>
      <c r="O162" s="34"/>
      <c r="P162" s="31" t="str">
        <f t="shared" si="17"/>
        <v/>
      </c>
      <c r="Q162" s="29" t="str">
        <f t="shared" si="18"/>
        <v/>
      </c>
      <c r="R162" s="29" t="str">
        <f t="shared" ca="1" si="19"/>
        <v>Нет сведений</v>
      </c>
      <c r="S162" s="29" t="str">
        <f t="shared" si="20"/>
        <v/>
      </c>
    </row>
    <row r="163" spans="1:19" x14ac:dyDescent="0.3">
      <c r="A163" s="29">
        <f t="shared" si="14"/>
        <v>158</v>
      </c>
      <c r="B163" s="30" t="s">
        <v>99</v>
      </c>
      <c r="C163" s="30" t="s">
        <v>353</v>
      </c>
      <c r="D163" s="30" t="s">
        <v>352</v>
      </c>
      <c r="E163" s="30" t="s">
        <v>314</v>
      </c>
      <c r="F163" s="31">
        <v>45812</v>
      </c>
      <c r="G163" s="32" t="str">
        <f t="shared" si="15"/>
        <v>сборщик стеклопластиковых изделий</v>
      </c>
      <c r="H163" s="29">
        <f>IF(C163="","",IF(AND(G163="мастер участка",ISNUMBER(SEARCH("РЭО",E163))),29,IFERROR(INDEX(Соответствие!$B$2:$B$100,MATCH(G163,Соответствие!$A$2:$A$100,0)),"?")))</f>
        <v>26</v>
      </c>
      <c r="I163" s="33" t="str">
        <f>IF(C163="","",IFERROR(INDEX(Перечень!$C$6:$C$51,MATCH(H163,Перечень!$A$6:$A$51,0)),""))</f>
        <v>п.1.37.1, п.3.1.8.3, п.4.3.1, п.4.4, п.5.1, п.15</v>
      </c>
      <c r="J163" s="29">
        <f>IF(C163="","",IFERROR(INDEX(Перечень!$D$6:$D$51,MATCH(H163,Перечень!$A$6:$A$51,0)),12))</f>
        <v>12</v>
      </c>
      <c r="K163" s="34">
        <v>45803</v>
      </c>
      <c r="L163" s="34"/>
      <c r="M163" s="31">
        <f t="shared" si="16"/>
        <v>46168</v>
      </c>
      <c r="N163" s="29" t="str">
        <f>IF(C163="","",IFERROR(INDEX(Перечень!$F$6:$F$51,MATCH(H163,Перечень!$A$6:$A$51,0)),""))</f>
        <v>Нет</v>
      </c>
      <c r="O163" s="34"/>
      <c r="P163" s="31" t="str">
        <f t="shared" si="17"/>
        <v/>
      </c>
      <c r="Q163" s="29" t="str">
        <f t="shared" si="18"/>
        <v/>
      </c>
      <c r="R163" s="29" t="str">
        <f t="shared" ca="1" si="19"/>
        <v>Просрочен</v>
      </c>
      <c r="S163" s="29" t="str">
        <f t="shared" si="20"/>
        <v/>
      </c>
    </row>
    <row r="164" spans="1:19" x14ac:dyDescent="0.3">
      <c r="A164" s="29">
        <f t="shared" si="14"/>
        <v>159</v>
      </c>
      <c r="B164" s="30" t="s">
        <v>99</v>
      </c>
      <c r="C164" s="30" t="s">
        <v>354</v>
      </c>
      <c r="D164" s="30" t="s">
        <v>355</v>
      </c>
      <c r="E164" s="30" t="s">
        <v>314</v>
      </c>
      <c r="F164" s="31">
        <v>45593</v>
      </c>
      <c r="G164" s="32" t="str">
        <f t="shared" si="15"/>
        <v>сборщик стеклопластиковых изделий</v>
      </c>
      <c r="H164" s="29">
        <f>IF(C164="","",IF(AND(G164="мастер участка",ISNUMBER(SEARCH("РЭО",E164))),29,IFERROR(INDEX(Соответствие!$B$2:$B$100,MATCH(G164,Соответствие!$A$2:$A$100,0)),"?")))</f>
        <v>26</v>
      </c>
      <c r="I164" s="33" t="str">
        <f>IF(C164="","",IFERROR(INDEX(Перечень!$C$6:$C$51,MATCH(H164,Перечень!$A$6:$A$51,0)),""))</f>
        <v>п.1.37.1, п.3.1.8.3, п.4.3.1, п.4.4, п.5.1, п.15</v>
      </c>
      <c r="J164" s="29">
        <f>IF(C164="","",IFERROR(INDEX(Перечень!$D$6:$D$51,MATCH(H164,Перечень!$A$6:$A$51,0)),12))</f>
        <v>12</v>
      </c>
      <c r="K164" s="34"/>
      <c r="L164" s="34"/>
      <c r="M164" s="31" t="str">
        <f t="shared" si="16"/>
        <v/>
      </c>
      <c r="N164" s="29" t="str">
        <f>IF(C164="","",IFERROR(INDEX(Перечень!$F$6:$F$51,MATCH(H164,Перечень!$A$6:$A$51,0)),""))</f>
        <v>Нет</v>
      </c>
      <c r="O164" s="34"/>
      <c r="P164" s="31" t="str">
        <f t="shared" si="17"/>
        <v/>
      </c>
      <c r="Q164" s="29" t="str">
        <f t="shared" si="18"/>
        <v/>
      </c>
      <c r="R164" s="29" t="str">
        <f t="shared" ca="1" si="19"/>
        <v>Нет сведений</v>
      </c>
      <c r="S164" s="29" t="str">
        <f t="shared" si="20"/>
        <v/>
      </c>
    </row>
    <row r="165" spans="1:19" x14ac:dyDescent="0.3">
      <c r="A165" s="29">
        <f t="shared" si="14"/>
        <v>160</v>
      </c>
      <c r="B165" s="30" t="s">
        <v>99</v>
      </c>
      <c r="C165" s="30" t="s">
        <v>356</v>
      </c>
      <c r="D165" s="30" t="s">
        <v>355</v>
      </c>
      <c r="E165" s="30" t="s">
        <v>314</v>
      </c>
      <c r="F165" s="31">
        <v>44636</v>
      </c>
      <c r="G165" s="32" t="str">
        <f t="shared" si="15"/>
        <v>сборщик стеклопластиковых изделий</v>
      </c>
      <c r="H165" s="29">
        <f>IF(C165="","",IF(AND(G165="мастер участка",ISNUMBER(SEARCH("РЭО",E165))),29,IFERROR(INDEX(Соответствие!$B$2:$B$100,MATCH(G165,Соответствие!$A$2:$A$100,0)),"?")))</f>
        <v>26</v>
      </c>
      <c r="I165" s="33" t="str">
        <f>IF(C165="","",IFERROR(INDEX(Перечень!$C$6:$C$51,MATCH(H165,Перечень!$A$6:$A$51,0)),""))</f>
        <v>п.1.37.1, п.3.1.8.3, п.4.3.1, п.4.4, п.5.1, п.15</v>
      </c>
      <c r="J165" s="29">
        <f>IF(C165="","",IFERROR(INDEX(Перечень!$D$6:$D$51,MATCH(H165,Перечень!$A$6:$A$51,0)),12))</f>
        <v>12</v>
      </c>
      <c r="K165" s="34"/>
      <c r="L165" s="34"/>
      <c r="M165" s="31" t="str">
        <f t="shared" si="16"/>
        <v/>
      </c>
      <c r="N165" s="29" t="str">
        <f>IF(C165="","",IFERROR(INDEX(Перечень!$F$6:$F$51,MATCH(H165,Перечень!$A$6:$A$51,0)),""))</f>
        <v>Нет</v>
      </c>
      <c r="O165" s="34"/>
      <c r="P165" s="31" t="str">
        <f t="shared" si="17"/>
        <v/>
      </c>
      <c r="Q165" s="29" t="str">
        <f t="shared" si="18"/>
        <v/>
      </c>
      <c r="R165" s="29" t="str">
        <f t="shared" ca="1" si="19"/>
        <v>Нет сведений</v>
      </c>
      <c r="S165" s="29" t="str">
        <f t="shared" si="20"/>
        <v/>
      </c>
    </row>
    <row r="166" spans="1:19" x14ac:dyDescent="0.3">
      <c r="A166" s="29">
        <f t="shared" si="14"/>
        <v>161</v>
      </c>
      <c r="B166" s="30" t="s">
        <v>99</v>
      </c>
      <c r="C166" s="30" t="s">
        <v>357</v>
      </c>
      <c r="D166" s="30" t="s">
        <v>358</v>
      </c>
      <c r="E166" s="30" t="s">
        <v>314</v>
      </c>
      <c r="F166" s="31">
        <v>41295</v>
      </c>
      <c r="G166" s="32" t="str">
        <f t="shared" si="15"/>
        <v>облицовщик деталей мебели</v>
      </c>
      <c r="H166" s="29">
        <f>IF(C166="","",IF(AND(G166="мастер участка",ISNUMBER(SEARCH("РЭО",E166))),29,IFERROR(INDEX(Соответствие!$B$2:$B$100,MATCH(G166,Соответствие!$A$2:$A$100,0)),"?")))</f>
        <v>23</v>
      </c>
      <c r="I166" s="33" t="str">
        <f>IF(C166="","",IFERROR(INDEX(Перечень!$C$6:$C$51,MATCH(H166,Перечень!$A$6:$A$51,0)),""))</f>
        <v>п.1.49.2, п.1.49.14, п.4.3.1, п.4.3.2, п.4.4, п.5.1, п.15</v>
      </c>
      <c r="J166" s="29">
        <f>IF(C166="","",IFERROR(INDEX(Перечень!$D$6:$D$51,MATCH(H166,Перечень!$A$6:$A$51,0)),12))</f>
        <v>12</v>
      </c>
      <c r="K166" s="34"/>
      <c r="L166" s="34"/>
      <c r="M166" s="31" t="str">
        <f t="shared" si="16"/>
        <v/>
      </c>
      <c r="N166" s="29" t="str">
        <f>IF(C166="","",IFERROR(INDEX(Перечень!$F$6:$F$51,MATCH(H166,Перечень!$A$6:$A$51,0)),""))</f>
        <v>-</v>
      </c>
      <c r="O166" s="34"/>
      <c r="P166" s="31" t="str">
        <f t="shared" si="17"/>
        <v/>
      </c>
      <c r="Q166" s="29" t="str">
        <f t="shared" si="18"/>
        <v/>
      </c>
      <c r="R166" s="29" t="str">
        <f t="shared" ca="1" si="19"/>
        <v>Нет сведений</v>
      </c>
      <c r="S166" s="29" t="str">
        <f t="shared" si="20"/>
        <v/>
      </c>
    </row>
    <row r="167" spans="1:19" x14ac:dyDescent="0.3">
      <c r="A167" s="29">
        <f t="shared" si="14"/>
        <v>162</v>
      </c>
      <c r="B167" s="30" t="s">
        <v>99</v>
      </c>
      <c r="C167" s="30" t="s">
        <v>359</v>
      </c>
      <c r="D167" s="30" t="s">
        <v>358</v>
      </c>
      <c r="E167" s="30" t="s">
        <v>317</v>
      </c>
      <c r="F167" s="31">
        <v>45623</v>
      </c>
      <c r="G167" s="32" t="str">
        <f t="shared" si="15"/>
        <v>облицовщик деталей мебели</v>
      </c>
      <c r="H167" s="29">
        <f>IF(C167="","",IF(AND(G167="мастер участка",ISNUMBER(SEARCH("РЭО",E167))),29,IFERROR(INDEX(Соответствие!$B$2:$B$100,MATCH(G167,Соответствие!$A$2:$A$100,0)),"?")))</f>
        <v>23</v>
      </c>
      <c r="I167" s="33" t="str">
        <f>IF(C167="","",IFERROR(INDEX(Перечень!$C$6:$C$51,MATCH(H167,Перечень!$A$6:$A$51,0)),""))</f>
        <v>п.1.49.2, п.1.49.14, п.4.3.1, п.4.3.2, п.4.4, п.5.1, п.15</v>
      </c>
      <c r="J167" s="29">
        <f>IF(C167="","",IFERROR(INDEX(Перечень!$D$6:$D$51,MATCH(H167,Перечень!$A$6:$A$51,0)),12))</f>
        <v>12</v>
      </c>
      <c r="K167" s="34"/>
      <c r="L167" s="34"/>
      <c r="M167" s="31" t="str">
        <f t="shared" si="16"/>
        <v/>
      </c>
      <c r="N167" s="29" t="str">
        <f>IF(C167="","",IFERROR(INDEX(Перечень!$F$6:$F$51,MATCH(H167,Перечень!$A$6:$A$51,0)),""))</f>
        <v>-</v>
      </c>
      <c r="O167" s="34"/>
      <c r="P167" s="31" t="str">
        <f t="shared" si="17"/>
        <v/>
      </c>
      <c r="Q167" s="29" t="str">
        <f t="shared" si="18"/>
        <v/>
      </c>
      <c r="R167" s="29" t="str">
        <f t="shared" ca="1" si="19"/>
        <v>Нет сведений</v>
      </c>
      <c r="S167" s="29" t="str">
        <f t="shared" si="20"/>
        <v/>
      </c>
    </row>
    <row r="168" spans="1:19" x14ac:dyDescent="0.3">
      <c r="A168" s="29">
        <f t="shared" si="14"/>
        <v>163</v>
      </c>
      <c r="B168" s="30" t="s">
        <v>99</v>
      </c>
      <c r="C168" s="30" t="s">
        <v>360</v>
      </c>
      <c r="D168" s="30" t="s">
        <v>296</v>
      </c>
      <c r="E168" s="30" t="s">
        <v>314</v>
      </c>
      <c r="F168" s="31">
        <v>45125</v>
      </c>
      <c r="G168" s="32" t="str">
        <f t="shared" si="15"/>
        <v>оператор-наладчик станков с чпу</v>
      </c>
      <c r="H168" s="29">
        <f>IF(C168="","",IF(AND(G168="мастер участка",ISNUMBER(SEARCH("РЭО",E168))),29,IFERROR(INDEX(Соответствие!$B$2:$B$100,MATCH(G168,Соответствие!$A$2:$A$100,0)),"?")))</f>
        <v>25</v>
      </c>
      <c r="I168" s="33" t="str">
        <f>IF(C168="","",IFERROR(INDEX(Перечень!$C$6:$C$51,MATCH(H168,Перечень!$A$6:$A$51,0)),""))</f>
        <v>п.4.3.1, п.4.3.2, п.4.4, п.5.1, п.5.2, п.15</v>
      </c>
      <c r="J168" s="29">
        <f>IF(C168="","",IFERROR(INDEX(Перечень!$D$6:$D$51,MATCH(H168,Перечень!$A$6:$A$51,0)),12))</f>
        <v>12</v>
      </c>
      <c r="K168" s="34"/>
      <c r="L168" s="34"/>
      <c r="M168" s="31" t="str">
        <f t="shared" si="16"/>
        <v/>
      </c>
      <c r="N168" s="29" t="str">
        <f>IF(C168="","",IFERROR(INDEX(Перечень!$F$6:$F$51,MATCH(H168,Перечень!$A$6:$A$51,0)),""))</f>
        <v>-</v>
      </c>
      <c r="O168" s="34"/>
      <c r="P168" s="31" t="str">
        <f t="shared" si="17"/>
        <v/>
      </c>
      <c r="Q168" s="29" t="str">
        <f t="shared" si="18"/>
        <v/>
      </c>
      <c r="R168" s="29" t="str">
        <f t="shared" ca="1" si="19"/>
        <v>Нет сведений</v>
      </c>
      <c r="S168" s="29" t="str">
        <f t="shared" si="20"/>
        <v/>
      </c>
    </row>
    <row r="169" spans="1:19" x14ac:dyDescent="0.3">
      <c r="A169" s="29">
        <f t="shared" si="14"/>
        <v>164</v>
      </c>
      <c r="B169" s="30" t="s">
        <v>99</v>
      </c>
      <c r="C169" s="30" t="s">
        <v>361</v>
      </c>
      <c r="D169" s="30" t="s">
        <v>362</v>
      </c>
      <c r="E169" s="30" t="s">
        <v>317</v>
      </c>
      <c r="F169" s="31">
        <v>45999</v>
      </c>
      <c r="G169" s="32" t="str">
        <f t="shared" si="15"/>
        <v>сборщик стеклопластиковых изделий</v>
      </c>
      <c r="H169" s="29">
        <f>IF(C169="","",IF(AND(G169="мастер участка",ISNUMBER(SEARCH("РЭО",E169))),29,IFERROR(INDEX(Соответствие!$B$2:$B$100,MATCH(G169,Соответствие!$A$2:$A$100,0)),"?")))</f>
        <v>26</v>
      </c>
      <c r="I169" s="33" t="str">
        <f>IF(C169="","",IFERROR(INDEX(Перечень!$C$6:$C$51,MATCH(H169,Перечень!$A$6:$A$51,0)),""))</f>
        <v>п.1.37.1, п.3.1.8.3, п.4.3.1, п.4.4, п.5.1, п.15</v>
      </c>
      <c r="J169" s="29">
        <f>IF(C169="","",IFERROR(INDEX(Перечень!$D$6:$D$51,MATCH(H169,Перечень!$A$6:$A$51,0)),12))</f>
        <v>12</v>
      </c>
      <c r="K169" s="34"/>
      <c r="L169" s="34"/>
      <c r="M169" s="31" t="str">
        <f t="shared" si="16"/>
        <v/>
      </c>
      <c r="N169" s="29" t="str">
        <f>IF(C169="","",IFERROR(INDEX(Перечень!$F$6:$F$51,MATCH(H169,Перечень!$A$6:$A$51,0)),""))</f>
        <v>Нет</v>
      </c>
      <c r="O169" s="34"/>
      <c r="P169" s="31" t="str">
        <f t="shared" si="17"/>
        <v/>
      </c>
      <c r="Q169" s="29" t="str">
        <f t="shared" si="18"/>
        <v/>
      </c>
      <c r="R169" s="29" t="str">
        <f t="shared" ca="1" si="19"/>
        <v>Нет сведений</v>
      </c>
      <c r="S169" s="29" t="str">
        <f t="shared" si="20"/>
        <v/>
      </c>
    </row>
    <row r="170" spans="1:19" x14ac:dyDescent="0.3">
      <c r="A170" s="29">
        <f t="shared" si="14"/>
        <v>165</v>
      </c>
      <c r="B170" s="30" t="s">
        <v>99</v>
      </c>
      <c r="C170" s="30" t="s">
        <v>363</v>
      </c>
      <c r="D170" s="30" t="s">
        <v>364</v>
      </c>
      <c r="E170" s="30" t="s">
        <v>317</v>
      </c>
      <c r="F170" s="31">
        <v>45719</v>
      </c>
      <c r="G170" s="32" t="str">
        <f t="shared" si="15"/>
        <v>облицовщик деталей мебели</v>
      </c>
      <c r="H170" s="29">
        <f>IF(C170="","",IF(AND(G170="мастер участка",ISNUMBER(SEARCH("РЭО",E170))),29,IFERROR(INDEX(Соответствие!$B$2:$B$100,MATCH(G170,Соответствие!$A$2:$A$100,0)),"?")))</f>
        <v>23</v>
      </c>
      <c r="I170" s="33" t="str">
        <f>IF(C170="","",IFERROR(INDEX(Перечень!$C$6:$C$51,MATCH(H170,Перечень!$A$6:$A$51,0)),""))</f>
        <v>п.1.49.2, п.1.49.14, п.4.3.1, п.4.3.2, п.4.4, п.5.1, п.15</v>
      </c>
      <c r="J170" s="29">
        <f>IF(C170="","",IFERROR(INDEX(Перечень!$D$6:$D$51,MATCH(H170,Перечень!$A$6:$A$51,0)),12))</f>
        <v>12</v>
      </c>
      <c r="K170" s="34"/>
      <c r="L170" s="34"/>
      <c r="M170" s="31" t="str">
        <f t="shared" si="16"/>
        <v/>
      </c>
      <c r="N170" s="29" t="str">
        <f>IF(C170="","",IFERROR(INDEX(Перечень!$F$6:$F$51,MATCH(H170,Перечень!$A$6:$A$51,0)),""))</f>
        <v>-</v>
      </c>
      <c r="O170" s="34"/>
      <c r="P170" s="31" t="str">
        <f t="shared" si="17"/>
        <v/>
      </c>
      <c r="Q170" s="29" t="str">
        <f t="shared" si="18"/>
        <v/>
      </c>
      <c r="R170" s="29" t="str">
        <f t="shared" ca="1" si="19"/>
        <v>Нет сведений</v>
      </c>
      <c r="S170" s="29" t="str">
        <f t="shared" si="20"/>
        <v/>
      </c>
    </row>
    <row r="171" spans="1:19" x14ac:dyDescent="0.3">
      <c r="A171" s="29">
        <f t="shared" si="14"/>
        <v>166</v>
      </c>
      <c r="B171" s="30" t="s">
        <v>99</v>
      </c>
      <c r="C171" s="30" t="s">
        <v>365</v>
      </c>
      <c r="D171" s="30" t="s">
        <v>362</v>
      </c>
      <c r="E171" s="30" t="s">
        <v>314</v>
      </c>
      <c r="F171" s="31">
        <v>46036</v>
      </c>
      <c r="G171" s="32" t="str">
        <f t="shared" si="15"/>
        <v>сборщик стеклопластиковых изделий</v>
      </c>
      <c r="H171" s="29">
        <f>IF(C171="","",IF(AND(G171="мастер участка",ISNUMBER(SEARCH("РЭО",E171))),29,IFERROR(INDEX(Соответствие!$B$2:$B$100,MATCH(G171,Соответствие!$A$2:$A$100,0)),"?")))</f>
        <v>26</v>
      </c>
      <c r="I171" s="33" t="str">
        <f>IF(C171="","",IFERROR(INDEX(Перечень!$C$6:$C$51,MATCH(H171,Перечень!$A$6:$A$51,0)),""))</f>
        <v>п.1.37.1, п.3.1.8.3, п.4.3.1, п.4.4, п.5.1, п.15</v>
      </c>
      <c r="J171" s="29">
        <f>IF(C171="","",IFERROR(INDEX(Перечень!$D$6:$D$51,MATCH(H171,Перечень!$A$6:$A$51,0)),12))</f>
        <v>12</v>
      </c>
      <c r="K171" s="34"/>
      <c r="L171" s="34"/>
      <c r="M171" s="31" t="str">
        <f t="shared" si="16"/>
        <v/>
      </c>
      <c r="N171" s="29" t="str">
        <f>IF(C171="","",IFERROR(INDEX(Перечень!$F$6:$F$51,MATCH(H171,Перечень!$A$6:$A$51,0)),""))</f>
        <v>Нет</v>
      </c>
      <c r="O171" s="34"/>
      <c r="P171" s="31" t="str">
        <f t="shared" si="17"/>
        <v/>
      </c>
      <c r="Q171" s="29" t="str">
        <f t="shared" si="18"/>
        <v/>
      </c>
      <c r="R171" s="29" t="str">
        <f t="shared" ca="1" si="19"/>
        <v>Нет сведений</v>
      </c>
      <c r="S171" s="29" t="str">
        <f t="shared" si="20"/>
        <v/>
      </c>
    </row>
    <row r="172" spans="1:19" x14ac:dyDescent="0.3">
      <c r="A172" s="29">
        <f t="shared" si="14"/>
        <v>167</v>
      </c>
      <c r="B172" s="30" t="s">
        <v>99</v>
      </c>
      <c r="C172" s="30" t="s">
        <v>366</v>
      </c>
      <c r="D172" s="30" t="s">
        <v>362</v>
      </c>
      <c r="E172" s="30" t="s">
        <v>314</v>
      </c>
      <c r="F172" s="31">
        <v>46051</v>
      </c>
      <c r="G172" s="32" t="str">
        <f t="shared" si="15"/>
        <v>сборщик стеклопластиковых изделий</v>
      </c>
      <c r="H172" s="29">
        <f>IF(C172="","",IF(AND(G172="мастер участка",ISNUMBER(SEARCH("РЭО",E172))),29,IFERROR(INDEX(Соответствие!$B$2:$B$100,MATCH(G172,Соответствие!$A$2:$A$100,0)),"?")))</f>
        <v>26</v>
      </c>
      <c r="I172" s="33" t="str">
        <f>IF(C172="","",IFERROR(INDEX(Перечень!$C$6:$C$51,MATCH(H172,Перечень!$A$6:$A$51,0)),""))</f>
        <v>п.1.37.1, п.3.1.8.3, п.4.3.1, п.4.4, п.5.1, п.15</v>
      </c>
      <c r="J172" s="29">
        <f>IF(C172="","",IFERROR(INDEX(Перечень!$D$6:$D$51,MATCH(H172,Перечень!$A$6:$A$51,0)),12))</f>
        <v>12</v>
      </c>
      <c r="K172" s="34"/>
      <c r="L172" s="34"/>
      <c r="M172" s="31" t="str">
        <f t="shared" si="16"/>
        <v/>
      </c>
      <c r="N172" s="29" t="str">
        <f>IF(C172="","",IFERROR(INDEX(Перечень!$F$6:$F$51,MATCH(H172,Перечень!$A$6:$A$51,0)),""))</f>
        <v>Нет</v>
      </c>
      <c r="O172" s="34"/>
      <c r="P172" s="31" t="str">
        <f t="shared" si="17"/>
        <v/>
      </c>
      <c r="Q172" s="29" t="str">
        <f t="shared" si="18"/>
        <v/>
      </c>
      <c r="R172" s="29" t="str">
        <f t="shared" ca="1" si="19"/>
        <v>Нет сведений</v>
      </c>
      <c r="S172" s="29" t="str">
        <f t="shared" si="20"/>
        <v/>
      </c>
    </row>
    <row r="173" spans="1:19" x14ac:dyDescent="0.3">
      <c r="A173" s="29">
        <f t="shared" si="14"/>
        <v>168</v>
      </c>
      <c r="B173" s="30" t="s">
        <v>99</v>
      </c>
      <c r="C173" s="30" t="s">
        <v>367</v>
      </c>
      <c r="D173" s="30" t="s">
        <v>368</v>
      </c>
      <c r="E173" s="30" t="s">
        <v>317</v>
      </c>
      <c r="F173" s="31">
        <v>46181</v>
      </c>
      <c r="G173" s="32" t="str">
        <f t="shared" si="15"/>
        <v>техник-сборщик</v>
      </c>
      <c r="H173" s="29">
        <f>IF(C173="","",IF(AND(G173="мастер участка",ISNUMBER(SEARCH("РЭО",E173))),29,IFERROR(INDEX(Соответствие!$B$2:$B$100,MATCH(G173,Соответствие!$A$2:$A$100,0)),"?")))</f>
        <v>21</v>
      </c>
      <c r="I173" s="33" t="str">
        <f>IF(C173="","",IFERROR(INDEX(Перечень!$C$6:$C$51,MATCH(H173,Перечень!$A$6:$A$51,0)),""))</f>
        <v>п.1.49.2, п.1.49.14, п.4.3.1, п.4.3.2, п.4.4, п.5.1, п.15</v>
      </c>
      <c r="J173" s="29">
        <f>IF(C173="","",IFERROR(INDEX(Перечень!$D$6:$D$51,MATCH(H173,Перечень!$A$6:$A$51,0)),12))</f>
        <v>12</v>
      </c>
      <c r="K173" s="34">
        <v>46171</v>
      </c>
      <c r="L173" s="34"/>
      <c r="M173" s="31">
        <f t="shared" si="16"/>
        <v>46536</v>
      </c>
      <c r="N173" s="29" t="str">
        <f>IF(C173="","",IFERROR(INDEX(Перечень!$F$6:$F$51,MATCH(H173,Перечень!$A$6:$A$51,0)),""))</f>
        <v>-</v>
      </c>
      <c r="O173" s="34"/>
      <c r="P173" s="31" t="str">
        <f t="shared" si="17"/>
        <v/>
      </c>
      <c r="Q173" s="29" t="str">
        <f t="shared" si="18"/>
        <v/>
      </c>
      <c r="R173" s="29" t="str">
        <f t="shared" ca="1" si="19"/>
        <v>В срок</v>
      </c>
      <c r="S173" s="29" t="str">
        <f t="shared" si="20"/>
        <v/>
      </c>
    </row>
    <row r="174" spans="1:19" x14ac:dyDescent="0.3">
      <c r="A174" s="29">
        <f t="shared" si="14"/>
        <v>169</v>
      </c>
      <c r="B174" s="30" t="s">
        <v>99</v>
      </c>
      <c r="C174" s="30" t="s">
        <v>369</v>
      </c>
      <c r="D174" s="30" t="s">
        <v>234</v>
      </c>
      <c r="E174" s="30" t="s">
        <v>370</v>
      </c>
      <c r="F174" s="31">
        <v>39734</v>
      </c>
      <c r="G174" s="32" t="str">
        <f t="shared" si="15"/>
        <v>мастер участка</v>
      </c>
      <c r="H174" s="29">
        <f>IF(C174="","",IF(AND(G174="мастер участка",ISNUMBER(SEARCH("РЭО",E174))),29,IFERROR(INDEX(Соответствие!$B$2:$B$100,MATCH(G174,Соответствие!$A$2:$A$100,0)),"?")))</f>
        <v>18</v>
      </c>
      <c r="I174" s="33" t="str">
        <f>IF(C174="","",IFERROR(INDEX(Перечень!$C$6:$C$51,MATCH(H174,Перечень!$A$6:$A$51,0)),""))</f>
        <v>п.4.4, п.5.1, п.5.2</v>
      </c>
      <c r="J174" s="29">
        <f>IF(C174="","",IFERROR(INDEX(Перечень!$D$6:$D$51,MATCH(H174,Перечень!$A$6:$A$51,0)),12))</f>
        <v>12</v>
      </c>
      <c r="K174" s="34"/>
      <c r="L174" s="34"/>
      <c r="M174" s="31" t="str">
        <f t="shared" si="16"/>
        <v/>
      </c>
      <c r="N174" s="29" t="str">
        <f>IF(C174="","",IFERROR(INDEX(Перечень!$F$6:$F$51,MATCH(H174,Перечень!$A$6:$A$51,0)),""))</f>
        <v>-</v>
      </c>
      <c r="O174" s="34"/>
      <c r="P174" s="31" t="str">
        <f t="shared" si="17"/>
        <v/>
      </c>
      <c r="Q174" s="29" t="str">
        <f t="shared" si="18"/>
        <v/>
      </c>
      <c r="R174" s="29" t="str">
        <f t="shared" ca="1" si="19"/>
        <v>Нет сведений</v>
      </c>
      <c r="S174" s="29" t="str">
        <f t="shared" si="20"/>
        <v/>
      </c>
    </row>
    <row r="175" spans="1:19" x14ac:dyDescent="0.3">
      <c r="A175" s="29">
        <f t="shared" si="14"/>
        <v>170</v>
      </c>
      <c r="B175" s="30" t="s">
        <v>99</v>
      </c>
      <c r="C175" s="30" t="s">
        <v>371</v>
      </c>
      <c r="D175" s="30" t="s">
        <v>346</v>
      </c>
      <c r="E175" s="30" t="s">
        <v>370</v>
      </c>
      <c r="F175" s="31">
        <v>42443</v>
      </c>
      <c r="G175" s="32" t="str">
        <f t="shared" si="15"/>
        <v>бригадир</v>
      </c>
      <c r="H175" s="29">
        <f>IF(C175="","",IF(AND(G175="мастер участка",ISNUMBER(SEARCH("РЭО",E175))),29,IFERROR(INDEX(Соответствие!$B$2:$B$100,MATCH(G175,Соответствие!$A$2:$A$100,0)),"?")))</f>
        <v>18</v>
      </c>
      <c r="I175" s="33" t="str">
        <f>IF(C175="","",IFERROR(INDEX(Перечень!$C$6:$C$51,MATCH(H175,Перечень!$A$6:$A$51,0)),""))</f>
        <v>п.4.4, п.5.1, п.5.2</v>
      </c>
      <c r="J175" s="29">
        <f>IF(C175="","",IFERROR(INDEX(Перечень!$D$6:$D$51,MATCH(H175,Перечень!$A$6:$A$51,0)),12))</f>
        <v>12</v>
      </c>
      <c r="K175" s="34"/>
      <c r="L175" s="34"/>
      <c r="M175" s="31" t="str">
        <f t="shared" si="16"/>
        <v/>
      </c>
      <c r="N175" s="29" t="str">
        <f>IF(C175="","",IFERROR(INDEX(Перечень!$F$6:$F$51,MATCH(H175,Перечень!$A$6:$A$51,0)),""))</f>
        <v>-</v>
      </c>
      <c r="O175" s="34"/>
      <c r="P175" s="31" t="str">
        <f t="shared" si="17"/>
        <v/>
      </c>
      <c r="Q175" s="29" t="str">
        <f t="shared" si="18"/>
        <v/>
      </c>
      <c r="R175" s="29" t="str">
        <f t="shared" ca="1" si="19"/>
        <v>Нет сведений</v>
      </c>
      <c r="S175" s="29" t="str">
        <f t="shared" si="20"/>
        <v/>
      </c>
    </row>
    <row r="176" spans="1:19" x14ac:dyDescent="0.3">
      <c r="A176" s="29">
        <f t="shared" si="14"/>
        <v>171</v>
      </c>
      <c r="B176" s="30" t="s">
        <v>99</v>
      </c>
      <c r="C176" s="30" t="s">
        <v>372</v>
      </c>
      <c r="D176" s="30" t="s">
        <v>346</v>
      </c>
      <c r="E176" s="30" t="s">
        <v>370</v>
      </c>
      <c r="F176" s="31">
        <v>42382</v>
      </c>
      <c r="G176" s="32" t="str">
        <f t="shared" si="15"/>
        <v>бригадир</v>
      </c>
      <c r="H176" s="29">
        <f>IF(C176="","",IF(AND(G176="мастер участка",ISNUMBER(SEARCH("РЭО",E176))),29,IFERROR(INDEX(Соответствие!$B$2:$B$100,MATCH(G176,Соответствие!$A$2:$A$100,0)),"?")))</f>
        <v>18</v>
      </c>
      <c r="I176" s="33" t="str">
        <f>IF(C176="","",IFERROR(INDEX(Перечень!$C$6:$C$51,MATCH(H176,Перечень!$A$6:$A$51,0)),""))</f>
        <v>п.4.4, п.5.1, п.5.2</v>
      </c>
      <c r="J176" s="29">
        <f>IF(C176="","",IFERROR(INDEX(Перечень!$D$6:$D$51,MATCH(H176,Перечень!$A$6:$A$51,0)),12))</f>
        <v>12</v>
      </c>
      <c r="K176" s="34"/>
      <c r="L176" s="34"/>
      <c r="M176" s="31" t="str">
        <f t="shared" si="16"/>
        <v/>
      </c>
      <c r="N176" s="29" t="str">
        <f>IF(C176="","",IFERROR(INDEX(Перечень!$F$6:$F$51,MATCH(H176,Перечень!$A$6:$A$51,0)),""))</f>
        <v>-</v>
      </c>
      <c r="O176" s="34"/>
      <c r="P176" s="31" t="str">
        <f t="shared" si="17"/>
        <v/>
      </c>
      <c r="Q176" s="29" t="str">
        <f t="shared" si="18"/>
        <v/>
      </c>
      <c r="R176" s="29" t="str">
        <f t="shared" ca="1" si="19"/>
        <v>Нет сведений</v>
      </c>
      <c r="S176" s="29" t="str">
        <f t="shared" si="20"/>
        <v/>
      </c>
    </row>
    <row r="177" spans="1:19" x14ac:dyDescent="0.3">
      <c r="A177" s="29">
        <f t="shared" si="14"/>
        <v>172</v>
      </c>
      <c r="B177" s="30" t="s">
        <v>99</v>
      </c>
      <c r="C177" s="30" t="s">
        <v>373</v>
      </c>
      <c r="D177" s="30" t="s">
        <v>374</v>
      </c>
      <c r="E177" s="30" t="s">
        <v>375</v>
      </c>
      <c r="F177" s="31">
        <v>37683</v>
      </c>
      <c r="G177" s="32" t="str">
        <f t="shared" si="15"/>
        <v>облицовщик деталей мебели</v>
      </c>
      <c r="H177" s="29">
        <f>IF(C177="","",IF(AND(G177="мастер участка",ISNUMBER(SEARCH("РЭО",E177))),29,IFERROR(INDEX(Соответствие!$B$2:$B$100,MATCH(G177,Соответствие!$A$2:$A$100,0)),"?")))</f>
        <v>23</v>
      </c>
      <c r="I177" s="33" t="str">
        <f>IF(C177="","",IFERROR(INDEX(Перечень!$C$6:$C$51,MATCH(H177,Перечень!$A$6:$A$51,0)),""))</f>
        <v>п.1.49.2, п.1.49.14, п.4.3.1, п.4.3.2, п.4.4, п.5.1, п.15</v>
      </c>
      <c r="J177" s="29">
        <f>IF(C177="","",IFERROR(INDEX(Перечень!$D$6:$D$51,MATCH(H177,Перечень!$A$6:$A$51,0)),12))</f>
        <v>12</v>
      </c>
      <c r="K177" s="34"/>
      <c r="L177" s="34"/>
      <c r="M177" s="31" t="str">
        <f t="shared" si="16"/>
        <v/>
      </c>
      <c r="N177" s="29" t="str">
        <f>IF(C177="","",IFERROR(INDEX(Перечень!$F$6:$F$51,MATCH(H177,Перечень!$A$6:$A$51,0)),""))</f>
        <v>-</v>
      </c>
      <c r="O177" s="34"/>
      <c r="P177" s="31" t="str">
        <f t="shared" si="17"/>
        <v/>
      </c>
      <c r="Q177" s="29" t="str">
        <f t="shared" si="18"/>
        <v/>
      </c>
      <c r="R177" s="29" t="str">
        <f t="shared" ca="1" si="19"/>
        <v>Нет сведений</v>
      </c>
      <c r="S177" s="29" t="str">
        <f t="shared" si="20"/>
        <v/>
      </c>
    </row>
    <row r="178" spans="1:19" x14ac:dyDescent="0.3">
      <c r="A178" s="29">
        <f t="shared" si="14"/>
        <v>173</v>
      </c>
      <c r="B178" s="30" t="s">
        <v>99</v>
      </c>
      <c r="C178" s="30" t="s">
        <v>376</v>
      </c>
      <c r="D178" s="30" t="s">
        <v>374</v>
      </c>
      <c r="E178" s="30" t="s">
        <v>370</v>
      </c>
      <c r="F178" s="31">
        <v>39824</v>
      </c>
      <c r="G178" s="32" t="str">
        <f t="shared" si="15"/>
        <v>облицовщик деталей мебели</v>
      </c>
      <c r="H178" s="29">
        <f>IF(C178="","",IF(AND(G178="мастер участка",ISNUMBER(SEARCH("РЭО",E178))),29,IFERROR(INDEX(Соответствие!$B$2:$B$100,MATCH(G178,Соответствие!$A$2:$A$100,0)),"?")))</f>
        <v>23</v>
      </c>
      <c r="I178" s="33" t="str">
        <f>IF(C178="","",IFERROR(INDEX(Перечень!$C$6:$C$51,MATCH(H178,Перечень!$A$6:$A$51,0)),""))</f>
        <v>п.1.49.2, п.1.49.14, п.4.3.1, п.4.3.2, п.4.4, п.5.1, п.15</v>
      </c>
      <c r="J178" s="29">
        <f>IF(C178="","",IFERROR(INDEX(Перечень!$D$6:$D$51,MATCH(H178,Перечень!$A$6:$A$51,0)),12))</f>
        <v>12</v>
      </c>
      <c r="K178" s="34"/>
      <c r="L178" s="34"/>
      <c r="M178" s="31" t="str">
        <f t="shared" si="16"/>
        <v/>
      </c>
      <c r="N178" s="29" t="str">
        <f>IF(C178="","",IFERROR(INDEX(Перечень!$F$6:$F$51,MATCH(H178,Перечень!$A$6:$A$51,0)),""))</f>
        <v>-</v>
      </c>
      <c r="O178" s="34"/>
      <c r="P178" s="31" t="str">
        <f t="shared" si="17"/>
        <v/>
      </c>
      <c r="Q178" s="29" t="str">
        <f t="shared" si="18"/>
        <v/>
      </c>
      <c r="R178" s="29" t="str">
        <f t="shared" ca="1" si="19"/>
        <v>Нет сведений</v>
      </c>
      <c r="S178" s="29" t="str">
        <f t="shared" si="20"/>
        <v/>
      </c>
    </row>
    <row r="179" spans="1:19" x14ac:dyDescent="0.3">
      <c r="A179" s="29">
        <f t="shared" si="14"/>
        <v>174</v>
      </c>
      <c r="B179" s="30" t="s">
        <v>99</v>
      </c>
      <c r="C179" s="30" t="s">
        <v>377</v>
      </c>
      <c r="D179" s="30" t="s">
        <v>378</v>
      </c>
      <c r="E179" s="30" t="s">
        <v>370</v>
      </c>
      <c r="F179" s="31">
        <v>42495</v>
      </c>
      <c r="G179" s="32" t="str">
        <f t="shared" si="15"/>
        <v>техник</v>
      </c>
      <c r="H179" s="29">
        <f>IF(C179="","",IF(AND(G179="мастер участка",ISNUMBER(SEARCH("РЭО",E179))),29,IFERROR(INDEX(Соответствие!$B$2:$B$100,MATCH(G179,Соответствие!$A$2:$A$100,0)),"?")))</f>
        <v>36</v>
      </c>
      <c r="I179" s="33" t="str">
        <f>IF(C179="","",IFERROR(INDEX(Перечень!$C$6:$C$51,MATCH(H179,Перечень!$A$6:$A$51,0)),""))</f>
        <v>п.1.14.2, п.1.36, п.1.37.1, п.1.45.1, п.1.45.2, п.1.50, п.4.3.1, п.4.4, п.5.1, п.17</v>
      </c>
      <c r="J179" s="29">
        <f>IF(C179="","",IFERROR(INDEX(Перечень!$D$6:$D$51,MATCH(H179,Перечень!$A$6:$A$51,0)),12))</f>
        <v>12</v>
      </c>
      <c r="K179" s="34"/>
      <c r="L179" s="34"/>
      <c r="M179" s="31" t="str">
        <f t="shared" si="16"/>
        <v/>
      </c>
      <c r="N179" s="29" t="str">
        <f>IF(C179="","",IFERROR(INDEX(Перечень!$F$6:$F$51,MATCH(H179,Перечень!$A$6:$A$51,0)),""))</f>
        <v>-</v>
      </c>
      <c r="O179" s="34"/>
      <c r="P179" s="31" t="str">
        <f t="shared" si="17"/>
        <v/>
      </c>
      <c r="Q179" s="29" t="str">
        <f t="shared" si="18"/>
        <v/>
      </c>
      <c r="R179" s="29" t="str">
        <f t="shared" ca="1" si="19"/>
        <v>Нет сведений</v>
      </c>
      <c r="S179" s="29" t="str">
        <f t="shared" si="20"/>
        <v/>
      </c>
    </row>
    <row r="180" spans="1:19" x14ac:dyDescent="0.3">
      <c r="A180" s="29">
        <f t="shared" si="14"/>
        <v>175</v>
      </c>
      <c r="B180" s="30" t="s">
        <v>99</v>
      </c>
      <c r="C180" s="30" t="s">
        <v>379</v>
      </c>
      <c r="D180" s="30" t="s">
        <v>380</v>
      </c>
      <c r="E180" s="30" t="s">
        <v>370</v>
      </c>
      <c r="F180" s="31">
        <v>45428</v>
      </c>
      <c r="G180" s="32" t="str">
        <f t="shared" si="15"/>
        <v>маляр</v>
      </c>
      <c r="H180" s="29">
        <f>IF(C180="","",IF(AND(G180="мастер участка",ISNUMBER(SEARCH("РЭО",E180))),29,IFERROR(INDEX(Соответствие!$B$2:$B$100,MATCH(G180,Соответствие!$A$2:$A$100,0)),"?")))</f>
        <v>36</v>
      </c>
      <c r="I180" s="33" t="str">
        <f>IF(C180="","",IFERROR(INDEX(Перечень!$C$6:$C$51,MATCH(H180,Перечень!$A$6:$A$51,0)),""))</f>
        <v>п.1.14.2, п.1.36, п.1.37.1, п.1.45.1, п.1.45.2, п.1.50, п.4.3.1, п.4.4, п.5.1, п.17</v>
      </c>
      <c r="J180" s="29">
        <f>IF(C180="","",IFERROR(INDEX(Перечень!$D$6:$D$51,MATCH(H180,Перечень!$A$6:$A$51,0)),12))</f>
        <v>12</v>
      </c>
      <c r="K180" s="34"/>
      <c r="L180" s="34"/>
      <c r="M180" s="31" t="str">
        <f t="shared" si="16"/>
        <v/>
      </c>
      <c r="N180" s="29" t="str">
        <f>IF(C180="","",IFERROR(INDEX(Перечень!$F$6:$F$51,MATCH(H180,Перечень!$A$6:$A$51,0)),""))</f>
        <v>-</v>
      </c>
      <c r="O180" s="34"/>
      <c r="P180" s="31" t="str">
        <f t="shared" si="17"/>
        <v/>
      </c>
      <c r="Q180" s="29" t="str">
        <f t="shared" si="18"/>
        <v/>
      </c>
      <c r="R180" s="29" t="str">
        <f t="shared" ca="1" si="19"/>
        <v>Нет сведений</v>
      </c>
      <c r="S180" s="29" t="str">
        <f t="shared" si="20"/>
        <v/>
      </c>
    </row>
    <row r="181" spans="1:19" x14ac:dyDescent="0.3">
      <c r="A181" s="29">
        <f t="shared" si="14"/>
        <v>176</v>
      </c>
      <c r="B181" s="30" t="s">
        <v>99</v>
      </c>
      <c r="C181" s="30" t="s">
        <v>381</v>
      </c>
      <c r="D181" s="30" t="s">
        <v>358</v>
      </c>
      <c r="E181" s="30" t="s">
        <v>375</v>
      </c>
      <c r="F181" s="31">
        <v>44706</v>
      </c>
      <c r="G181" s="32" t="str">
        <f t="shared" si="15"/>
        <v>облицовщик деталей мебели</v>
      </c>
      <c r="H181" s="29">
        <f>IF(C181="","",IF(AND(G181="мастер участка",ISNUMBER(SEARCH("РЭО",E181))),29,IFERROR(INDEX(Соответствие!$B$2:$B$100,MATCH(G181,Соответствие!$A$2:$A$100,0)),"?")))</f>
        <v>23</v>
      </c>
      <c r="I181" s="33" t="str">
        <f>IF(C181="","",IFERROR(INDEX(Перечень!$C$6:$C$51,MATCH(H181,Перечень!$A$6:$A$51,0)),""))</f>
        <v>п.1.49.2, п.1.49.14, п.4.3.1, п.4.3.2, п.4.4, п.5.1, п.15</v>
      </c>
      <c r="J181" s="29">
        <f>IF(C181="","",IFERROR(INDEX(Перечень!$D$6:$D$51,MATCH(H181,Перечень!$A$6:$A$51,0)),12))</f>
        <v>12</v>
      </c>
      <c r="K181" s="34"/>
      <c r="L181" s="34"/>
      <c r="M181" s="31" t="str">
        <f t="shared" si="16"/>
        <v/>
      </c>
      <c r="N181" s="29" t="str">
        <f>IF(C181="","",IFERROR(INDEX(Перечень!$F$6:$F$51,MATCH(H181,Перечень!$A$6:$A$51,0)),""))</f>
        <v>-</v>
      </c>
      <c r="O181" s="34"/>
      <c r="P181" s="31" t="str">
        <f t="shared" si="17"/>
        <v/>
      </c>
      <c r="Q181" s="29" t="str">
        <f t="shared" si="18"/>
        <v/>
      </c>
      <c r="R181" s="29" t="str">
        <f t="shared" ca="1" si="19"/>
        <v>Нет сведений</v>
      </c>
      <c r="S181" s="29" t="str">
        <f t="shared" si="20"/>
        <v/>
      </c>
    </row>
    <row r="182" spans="1:19" x14ac:dyDescent="0.3">
      <c r="A182" s="29">
        <f t="shared" si="14"/>
        <v>177</v>
      </c>
      <c r="B182" s="30" t="s">
        <v>99</v>
      </c>
      <c r="C182" s="30" t="s">
        <v>382</v>
      </c>
      <c r="D182" s="30" t="s">
        <v>383</v>
      </c>
      <c r="E182" s="30" t="s">
        <v>375</v>
      </c>
      <c r="F182" s="31">
        <v>45952</v>
      </c>
      <c r="G182" s="32" t="str">
        <f t="shared" si="15"/>
        <v>маляр</v>
      </c>
      <c r="H182" s="29">
        <f>IF(C182="","",IF(AND(G182="мастер участка",ISNUMBER(SEARCH("РЭО",E182))),29,IFERROR(INDEX(Соответствие!$B$2:$B$100,MATCH(G182,Соответствие!$A$2:$A$100,0)),"?")))</f>
        <v>36</v>
      </c>
      <c r="I182" s="33" t="str">
        <f>IF(C182="","",IFERROR(INDEX(Перечень!$C$6:$C$51,MATCH(H182,Перечень!$A$6:$A$51,0)),""))</f>
        <v>п.1.14.2, п.1.36, п.1.37.1, п.1.45.1, п.1.45.2, п.1.50, п.4.3.1, п.4.4, п.5.1, п.17</v>
      </c>
      <c r="J182" s="29">
        <f>IF(C182="","",IFERROR(INDEX(Перечень!$D$6:$D$51,MATCH(H182,Перечень!$A$6:$A$51,0)),12))</f>
        <v>12</v>
      </c>
      <c r="K182" s="34">
        <v>45945</v>
      </c>
      <c r="L182" s="34"/>
      <c r="M182" s="31">
        <f t="shared" si="16"/>
        <v>46310</v>
      </c>
      <c r="N182" s="29" t="str">
        <f>IF(C182="","",IFERROR(INDEX(Перечень!$F$6:$F$51,MATCH(H182,Перечень!$A$6:$A$51,0)),""))</f>
        <v>-</v>
      </c>
      <c r="O182" s="34"/>
      <c r="P182" s="31" t="str">
        <f t="shared" si="17"/>
        <v/>
      </c>
      <c r="Q182" s="29" t="str">
        <f t="shared" si="18"/>
        <v/>
      </c>
      <c r="R182" s="29" t="str">
        <f t="shared" ca="1" si="19"/>
        <v>Просрочен</v>
      </c>
      <c r="S182" s="29" t="str">
        <f t="shared" si="20"/>
        <v/>
      </c>
    </row>
    <row r="183" spans="1:19" x14ac:dyDescent="0.3">
      <c r="A183" s="29">
        <f t="shared" si="14"/>
        <v>178</v>
      </c>
      <c r="B183" s="30" t="s">
        <v>99</v>
      </c>
      <c r="C183" s="30" t="s">
        <v>384</v>
      </c>
      <c r="D183" s="30" t="s">
        <v>383</v>
      </c>
      <c r="E183" s="30" t="s">
        <v>375</v>
      </c>
      <c r="F183" s="31">
        <v>45831</v>
      </c>
      <c r="G183" s="32" t="str">
        <f t="shared" si="15"/>
        <v>маляр</v>
      </c>
      <c r="H183" s="29">
        <f>IF(C183="","",IF(AND(G183="мастер участка",ISNUMBER(SEARCH("РЭО",E183))),29,IFERROR(INDEX(Соответствие!$B$2:$B$100,MATCH(G183,Соответствие!$A$2:$A$100,0)),"?")))</f>
        <v>36</v>
      </c>
      <c r="I183" s="33" t="str">
        <f>IF(C183="","",IFERROR(INDEX(Перечень!$C$6:$C$51,MATCH(H183,Перечень!$A$6:$A$51,0)),""))</f>
        <v>п.1.14.2, п.1.36, п.1.37.1, п.1.45.1, п.1.45.2, п.1.50, п.4.3.1, п.4.4, п.5.1, п.17</v>
      </c>
      <c r="J183" s="29">
        <f>IF(C183="","",IFERROR(INDEX(Перечень!$D$6:$D$51,MATCH(H183,Перечень!$A$6:$A$51,0)),12))</f>
        <v>12</v>
      </c>
      <c r="K183" s="34"/>
      <c r="L183" s="34"/>
      <c r="M183" s="31" t="str">
        <f t="shared" si="16"/>
        <v/>
      </c>
      <c r="N183" s="29" t="str">
        <f>IF(C183="","",IFERROR(INDEX(Перечень!$F$6:$F$51,MATCH(H183,Перечень!$A$6:$A$51,0)),""))</f>
        <v>-</v>
      </c>
      <c r="O183" s="34"/>
      <c r="P183" s="31" t="str">
        <f t="shared" si="17"/>
        <v/>
      </c>
      <c r="Q183" s="29" t="str">
        <f t="shared" si="18"/>
        <v/>
      </c>
      <c r="R183" s="29" t="str">
        <f t="shared" ca="1" si="19"/>
        <v>Нет сведений</v>
      </c>
      <c r="S183" s="29" t="str">
        <f t="shared" si="20"/>
        <v/>
      </c>
    </row>
    <row r="184" spans="1:19" x14ac:dyDescent="0.3">
      <c r="A184" s="29">
        <f t="shared" si="14"/>
        <v>179</v>
      </c>
      <c r="B184" s="30" t="s">
        <v>99</v>
      </c>
      <c r="C184" s="30" t="s">
        <v>385</v>
      </c>
      <c r="D184" s="30" t="s">
        <v>386</v>
      </c>
      <c r="E184" s="30" t="s">
        <v>370</v>
      </c>
      <c r="F184" s="31">
        <v>46080</v>
      </c>
      <c r="G184" s="32" t="str">
        <f t="shared" si="15"/>
        <v>техник</v>
      </c>
      <c r="H184" s="29">
        <f>IF(C184="","",IF(AND(G184="мастер участка",ISNUMBER(SEARCH("РЭО",E184))),29,IFERROR(INDEX(Соответствие!$B$2:$B$100,MATCH(G184,Соответствие!$A$2:$A$100,0)),"?")))</f>
        <v>36</v>
      </c>
      <c r="I184" s="33" t="str">
        <f>IF(C184="","",IFERROR(INDEX(Перечень!$C$6:$C$51,MATCH(H184,Перечень!$A$6:$A$51,0)),""))</f>
        <v>п.1.14.2, п.1.36, п.1.37.1, п.1.45.1, п.1.45.2, п.1.50, п.4.3.1, п.4.4, п.5.1, п.17</v>
      </c>
      <c r="J184" s="29">
        <f>IF(C184="","",IFERROR(INDEX(Перечень!$D$6:$D$51,MATCH(H184,Перечень!$A$6:$A$51,0)),12))</f>
        <v>12</v>
      </c>
      <c r="K184" s="34"/>
      <c r="L184" s="34"/>
      <c r="M184" s="31" t="str">
        <f t="shared" si="16"/>
        <v/>
      </c>
      <c r="N184" s="29" t="str">
        <f>IF(C184="","",IFERROR(INDEX(Перечень!$F$6:$F$51,MATCH(H184,Перечень!$A$6:$A$51,0)),""))</f>
        <v>-</v>
      </c>
      <c r="O184" s="34"/>
      <c r="P184" s="31" t="str">
        <f t="shared" si="17"/>
        <v/>
      </c>
      <c r="Q184" s="29" t="str">
        <f t="shared" si="18"/>
        <v/>
      </c>
      <c r="R184" s="29" t="str">
        <f t="shared" ca="1" si="19"/>
        <v>Нет сведений</v>
      </c>
      <c r="S184" s="29" t="str">
        <f t="shared" si="20"/>
        <v/>
      </c>
    </row>
    <row r="185" spans="1:19" x14ac:dyDescent="0.3">
      <c r="A185" s="29">
        <f t="shared" si="14"/>
        <v>180</v>
      </c>
      <c r="B185" s="30" t="s">
        <v>99</v>
      </c>
      <c r="C185" s="30" t="s">
        <v>387</v>
      </c>
      <c r="D185" s="30" t="s">
        <v>378</v>
      </c>
      <c r="E185" s="30" t="s">
        <v>375</v>
      </c>
      <c r="F185" s="31">
        <v>40819</v>
      </c>
      <c r="G185" s="32" t="str">
        <f t="shared" si="15"/>
        <v>техник</v>
      </c>
      <c r="H185" s="29">
        <f>IF(C185="","",IF(AND(G185="мастер участка",ISNUMBER(SEARCH("РЭО",E185))),29,IFERROR(INDEX(Соответствие!$B$2:$B$100,MATCH(G185,Соответствие!$A$2:$A$100,0)),"?")))</f>
        <v>36</v>
      </c>
      <c r="I185" s="33" t="str">
        <f>IF(C185="","",IFERROR(INDEX(Перечень!$C$6:$C$51,MATCH(H185,Перечень!$A$6:$A$51,0)),""))</f>
        <v>п.1.14.2, п.1.36, п.1.37.1, п.1.45.1, п.1.45.2, п.1.50, п.4.3.1, п.4.4, п.5.1, п.17</v>
      </c>
      <c r="J185" s="29">
        <f>IF(C185="","",IFERROR(INDEX(Перечень!$D$6:$D$51,MATCH(H185,Перечень!$A$6:$A$51,0)),12))</f>
        <v>12</v>
      </c>
      <c r="K185" s="34"/>
      <c r="L185" s="34"/>
      <c r="M185" s="31" t="str">
        <f t="shared" si="16"/>
        <v/>
      </c>
      <c r="N185" s="29" t="str">
        <f>IF(C185="","",IFERROR(INDEX(Перечень!$F$6:$F$51,MATCH(H185,Перечень!$A$6:$A$51,0)),""))</f>
        <v>-</v>
      </c>
      <c r="O185" s="34"/>
      <c r="P185" s="31" t="str">
        <f t="shared" si="17"/>
        <v/>
      </c>
      <c r="Q185" s="29" t="str">
        <f t="shared" si="18"/>
        <v/>
      </c>
      <c r="R185" s="29" t="str">
        <f t="shared" ca="1" si="19"/>
        <v>Нет сведений</v>
      </c>
      <c r="S185" s="29" t="str">
        <f t="shared" si="20"/>
        <v/>
      </c>
    </row>
    <row r="186" spans="1:19" x14ac:dyDescent="0.3">
      <c r="A186" s="29">
        <f t="shared" si="14"/>
        <v>181</v>
      </c>
      <c r="B186" s="30" t="s">
        <v>99</v>
      </c>
      <c r="C186" s="30" t="s">
        <v>388</v>
      </c>
      <c r="D186" s="30" t="s">
        <v>378</v>
      </c>
      <c r="E186" s="30" t="s">
        <v>375</v>
      </c>
      <c r="F186" s="31">
        <v>39420</v>
      </c>
      <c r="G186" s="32" t="str">
        <f t="shared" si="15"/>
        <v>техник</v>
      </c>
      <c r="H186" s="29">
        <f>IF(C186="","",IF(AND(G186="мастер участка",ISNUMBER(SEARCH("РЭО",E186))),29,IFERROR(INDEX(Соответствие!$B$2:$B$100,MATCH(G186,Соответствие!$A$2:$A$100,0)),"?")))</f>
        <v>36</v>
      </c>
      <c r="I186" s="33" t="str">
        <f>IF(C186="","",IFERROR(INDEX(Перечень!$C$6:$C$51,MATCH(H186,Перечень!$A$6:$A$51,0)),""))</f>
        <v>п.1.14.2, п.1.36, п.1.37.1, п.1.45.1, п.1.45.2, п.1.50, п.4.3.1, п.4.4, п.5.1, п.17</v>
      </c>
      <c r="J186" s="29">
        <f>IF(C186="","",IFERROR(INDEX(Перечень!$D$6:$D$51,MATCH(H186,Перечень!$A$6:$A$51,0)),12))</f>
        <v>12</v>
      </c>
      <c r="K186" s="34"/>
      <c r="L186" s="34"/>
      <c r="M186" s="31" t="str">
        <f t="shared" si="16"/>
        <v/>
      </c>
      <c r="N186" s="29" t="str">
        <f>IF(C186="","",IFERROR(INDEX(Перечень!$F$6:$F$51,MATCH(H186,Перечень!$A$6:$A$51,0)),""))</f>
        <v>-</v>
      </c>
      <c r="O186" s="34"/>
      <c r="P186" s="31" t="str">
        <f t="shared" si="17"/>
        <v/>
      </c>
      <c r="Q186" s="29" t="str">
        <f t="shared" si="18"/>
        <v/>
      </c>
      <c r="R186" s="29" t="str">
        <f t="shared" ca="1" si="19"/>
        <v>Нет сведений</v>
      </c>
      <c r="S186" s="29" t="str">
        <f t="shared" si="20"/>
        <v/>
      </c>
    </row>
    <row r="187" spans="1:19" x14ac:dyDescent="0.3">
      <c r="A187" s="29">
        <f t="shared" si="14"/>
        <v>182</v>
      </c>
      <c r="B187" s="30" t="s">
        <v>99</v>
      </c>
      <c r="C187" s="30" t="s">
        <v>389</v>
      </c>
      <c r="D187" s="30" t="s">
        <v>378</v>
      </c>
      <c r="E187" s="30" t="s">
        <v>375</v>
      </c>
      <c r="F187" s="31">
        <v>44482</v>
      </c>
      <c r="G187" s="32" t="str">
        <f t="shared" si="15"/>
        <v>техник</v>
      </c>
      <c r="H187" s="29">
        <f>IF(C187="","",IF(AND(G187="мастер участка",ISNUMBER(SEARCH("РЭО",E187))),29,IFERROR(INDEX(Соответствие!$B$2:$B$100,MATCH(G187,Соответствие!$A$2:$A$100,0)),"?")))</f>
        <v>36</v>
      </c>
      <c r="I187" s="33" t="str">
        <f>IF(C187="","",IFERROR(INDEX(Перечень!$C$6:$C$51,MATCH(H187,Перечень!$A$6:$A$51,0)),""))</f>
        <v>п.1.14.2, п.1.36, п.1.37.1, п.1.45.1, п.1.45.2, п.1.50, п.4.3.1, п.4.4, п.5.1, п.17</v>
      </c>
      <c r="J187" s="29">
        <f>IF(C187="","",IFERROR(INDEX(Перечень!$D$6:$D$51,MATCH(H187,Перечень!$A$6:$A$51,0)),12))</f>
        <v>12</v>
      </c>
      <c r="K187" s="34"/>
      <c r="L187" s="34"/>
      <c r="M187" s="31" t="str">
        <f t="shared" si="16"/>
        <v/>
      </c>
      <c r="N187" s="29" t="str">
        <f>IF(C187="","",IFERROR(INDEX(Перечень!$F$6:$F$51,MATCH(H187,Перечень!$A$6:$A$51,0)),""))</f>
        <v>-</v>
      </c>
      <c r="O187" s="34"/>
      <c r="P187" s="31" t="str">
        <f t="shared" si="17"/>
        <v/>
      </c>
      <c r="Q187" s="29" t="str">
        <f t="shared" si="18"/>
        <v/>
      </c>
      <c r="R187" s="29" t="str">
        <f t="shared" ca="1" si="19"/>
        <v>Нет сведений</v>
      </c>
      <c r="S187" s="29" t="str">
        <f t="shared" si="20"/>
        <v/>
      </c>
    </row>
    <row r="188" spans="1:19" x14ac:dyDescent="0.3">
      <c r="A188" s="29">
        <f t="shared" si="14"/>
        <v>183</v>
      </c>
      <c r="B188" s="30" t="s">
        <v>99</v>
      </c>
      <c r="C188" s="30" t="s">
        <v>390</v>
      </c>
      <c r="D188" s="30" t="s">
        <v>391</v>
      </c>
      <c r="E188" s="30" t="s">
        <v>370</v>
      </c>
      <c r="F188" s="31">
        <v>45754</v>
      </c>
      <c r="G188" s="32" t="str">
        <f t="shared" si="15"/>
        <v>техник</v>
      </c>
      <c r="H188" s="29">
        <f>IF(C188="","",IF(AND(G188="мастер участка",ISNUMBER(SEARCH("РЭО",E188))),29,IFERROR(INDEX(Соответствие!$B$2:$B$100,MATCH(G188,Соответствие!$A$2:$A$100,0)),"?")))</f>
        <v>36</v>
      </c>
      <c r="I188" s="33" t="str">
        <f>IF(C188="","",IFERROR(INDEX(Перечень!$C$6:$C$51,MATCH(H188,Перечень!$A$6:$A$51,0)),""))</f>
        <v>п.1.14.2, п.1.36, п.1.37.1, п.1.45.1, п.1.45.2, п.1.50, п.4.3.1, п.4.4, п.5.1, п.17</v>
      </c>
      <c r="J188" s="29">
        <f>IF(C188="","",IFERROR(INDEX(Перечень!$D$6:$D$51,MATCH(H188,Перечень!$A$6:$A$51,0)),12))</f>
        <v>12</v>
      </c>
      <c r="K188" s="34"/>
      <c r="L188" s="34"/>
      <c r="M188" s="31" t="str">
        <f t="shared" si="16"/>
        <v/>
      </c>
      <c r="N188" s="29" t="str">
        <f>IF(C188="","",IFERROR(INDEX(Перечень!$F$6:$F$51,MATCH(H188,Перечень!$A$6:$A$51,0)),""))</f>
        <v>-</v>
      </c>
      <c r="O188" s="34"/>
      <c r="P188" s="31" t="str">
        <f t="shared" si="17"/>
        <v/>
      </c>
      <c r="Q188" s="29" t="str">
        <f t="shared" si="18"/>
        <v/>
      </c>
      <c r="R188" s="29" t="str">
        <f t="shared" ca="1" si="19"/>
        <v>Нет сведений</v>
      </c>
      <c r="S188" s="29" t="str">
        <f t="shared" si="20"/>
        <v/>
      </c>
    </row>
    <row r="189" spans="1:19" x14ac:dyDescent="0.3">
      <c r="A189" s="29">
        <f t="shared" si="14"/>
        <v>184</v>
      </c>
      <c r="B189" s="30" t="s">
        <v>99</v>
      </c>
      <c r="C189" s="30" t="s">
        <v>392</v>
      </c>
      <c r="D189" s="30" t="s">
        <v>391</v>
      </c>
      <c r="E189" s="30" t="s">
        <v>370</v>
      </c>
      <c r="F189" s="31">
        <v>46136</v>
      </c>
      <c r="G189" s="32" t="str">
        <f t="shared" si="15"/>
        <v>техник</v>
      </c>
      <c r="H189" s="29">
        <f>IF(C189="","",IF(AND(G189="мастер участка",ISNUMBER(SEARCH("РЭО",E189))),29,IFERROR(INDEX(Соответствие!$B$2:$B$100,MATCH(G189,Соответствие!$A$2:$A$100,0)),"?")))</f>
        <v>36</v>
      </c>
      <c r="I189" s="33" t="str">
        <f>IF(C189="","",IFERROR(INDEX(Перечень!$C$6:$C$51,MATCH(H189,Перечень!$A$6:$A$51,0)),""))</f>
        <v>п.1.14.2, п.1.36, п.1.37.1, п.1.45.1, п.1.45.2, п.1.50, п.4.3.1, п.4.4, п.5.1, п.17</v>
      </c>
      <c r="J189" s="29">
        <f>IF(C189="","",IFERROR(INDEX(Перечень!$D$6:$D$51,MATCH(H189,Перечень!$A$6:$A$51,0)),12))</f>
        <v>12</v>
      </c>
      <c r="K189" s="34"/>
      <c r="L189" s="34"/>
      <c r="M189" s="31" t="str">
        <f t="shared" si="16"/>
        <v/>
      </c>
      <c r="N189" s="29" t="str">
        <f>IF(C189="","",IFERROR(INDEX(Перечень!$F$6:$F$51,MATCH(H189,Перечень!$A$6:$A$51,0)),""))</f>
        <v>-</v>
      </c>
      <c r="O189" s="34"/>
      <c r="P189" s="31" t="str">
        <f t="shared" si="17"/>
        <v/>
      </c>
      <c r="Q189" s="29" t="str">
        <f t="shared" si="18"/>
        <v/>
      </c>
      <c r="R189" s="29" t="str">
        <f t="shared" ca="1" si="19"/>
        <v>Нет сведений</v>
      </c>
      <c r="S189" s="29" t="str">
        <f t="shared" si="20"/>
        <v/>
      </c>
    </row>
    <row r="190" spans="1:19" x14ac:dyDescent="0.3">
      <c r="A190" s="29">
        <f t="shared" si="14"/>
        <v>185</v>
      </c>
      <c r="B190" s="30" t="s">
        <v>99</v>
      </c>
      <c r="C190" s="30" t="s">
        <v>393</v>
      </c>
      <c r="D190" s="30" t="s">
        <v>394</v>
      </c>
      <c r="E190" s="30" t="s">
        <v>370</v>
      </c>
      <c r="F190" s="31">
        <v>46162</v>
      </c>
      <c r="G190" s="32" t="str">
        <f t="shared" si="15"/>
        <v>техник</v>
      </c>
      <c r="H190" s="29">
        <f>IF(C190="","",IF(AND(G190="мастер участка",ISNUMBER(SEARCH("РЭО",E190))),29,IFERROR(INDEX(Соответствие!$B$2:$B$100,MATCH(G190,Соответствие!$A$2:$A$100,0)),"?")))</f>
        <v>36</v>
      </c>
      <c r="I190" s="33" t="str">
        <f>IF(C190="","",IFERROR(INDEX(Перечень!$C$6:$C$51,MATCH(H190,Перечень!$A$6:$A$51,0)),""))</f>
        <v>п.1.14.2, п.1.36, п.1.37.1, п.1.45.1, п.1.45.2, п.1.50, п.4.3.1, п.4.4, п.5.1, п.17</v>
      </c>
      <c r="J190" s="29">
        <f>IF(C190="","",IFERROR(INDEX(Перечень!$D$6:$D$51,MATCH(H190,Перечень!$A$6:$A$51,0)),12))</f>
        <v>12</v>
      </c>
      <c r="K190" s="34">
        <v>46157</v>
      </c>
      <c r="L190" s="34"/>
      <c r="M190" s="31">
        <f t="shared" si="16"/>
        <v>46522</v>
      </c>
      <c r="N190" s="29" t="str">
        <f>IF(C190="","",IFERROR(INDEX(Перечень!$F$6:$F$51,MATCH(H190,Перечень!$A$6:$A$51,0)),""))</f>
        <v>-</v>
      </c>
      <c r="O190" s="34"/>
      <c r="P190" s="31" t="str">
        <f t="shared" si="17"/>
        <v/>
      </c>
      <c r="Q190" s="29" t="str">
        <f t="shared" si="18"/>
        <v/>
      </c>
      <c r="R190" s="29" t="str">
        <f t="shared" ca="1" si="19"/>
        <v>В срок</v>
      </c>
      <c r="S190" s="29" t="str">
        <f t="shared" si="20"/>
        <v/>
      </c>
    </row>
    <row r="191" spans="1:19" x14ac:dyDescent="0.3">
      <c r="A191" s="29">
        <f t="shared" si="14"/>
        <v>186</v>
      </c>
      <c r="B191" s="30" t="s">
        <v>99</v>
      </c>
      <c r="C191" s="30" t="s">
        <v>395</v>
      </c>
      <c r="D191" s="30" t="s">
        <v>394</v>
      </c>
      <c r="E191" s="30" t="s">
        <v>370</v>
      </c>
      <c r="F191" s="31">
        <v>45972</v>
      </c>
      <c r="G191" s="32" t="str">
        <f t="shared" si="15"/>
        <v>техник</v>
      </c>
      <c r="H191" s="29">
        <f>IF(C191="","",IF(AND(G191="мастер участка",ISNUMBER(SEARCH("РЭО",E191))),29,IFERROR(INDEX(Соответствие!$B$2:$B$100,MATCH(G191,Соответствие!$A$2:$A$100,0)),"?")))</f>
        <v>36</v>
      </c>
      <c r="I191" s="33" t="str">
        <f>IF(C191="","",IFERROR(INDEX(Перечень!$C$6:$C$51,MATCH(H191,Перечень!$A$6:$A$51,0)),""))</f>
        <v>п.1.14.2, п.1.36, п.1.37.1, п.1.45.1, п.1.45.2, п.1.50, п.4.3.1, п.4.4, п.5.1, п.17</v>
      </c>
      <c r="J191" s="29">
        <f>IF(C191="","",IFERROR(INDEX(Перечень!$D$6:$D$51,MATCH(H191,Перечень!$A$6:$A$51,0)),12))</f>
        <v>12</v>
      </c>
      <c r="K191" s="34"/>
      <c r="L191" s="34"/>
      <c r="M191" s="31" t="str">
        <f t="shared" si="16"/>
        <v/>
      </c>
      <c r="N191" s="29" t="str">
        <f>IF(C191="","",IFERROR(INDEX(Перечень!$F$6:$F$51,MATCH(H191,Перечень!$A$6:$A$51,0)),""))</f>
        <v>-</v>
      </c>
      <c r="O191" s="34"/>
      <c r="P191" s="31" t="str">
        <f t="shared" si="17"/>
        <v/>
      </c>
      <c r="Q191" s="29" t="str">
        <f t="shared" si="18"/>
        <v/>
      </c>
      <c r="R191" s="29" t="str">
        <f t="shared" ca="1" si="19"/>
        <v>Нет сведений</v>
      </c>
      <c r="S191" s="29" t="str">
        <f t="shared" si="20"/>
        <v/>
      </c>
    </row>
    <row r="192" spans="1:19" x14ac:dyDescent="0.3">
      <c r="A192" s="29">
        <f t="shared" si="14"/>
        <v>187</v>
      </c>
      <c r="B192" s="30" t="s">
        <v>99</v>
      </c>
      <c r="C192" s="30" t="s">
        <v>396</v>
      </c>
      <c r="D192" s="30" t="s">
        <v>394</v>
      </c>
      <c r="E192" s="30" t="s">
        <v>370</v>
      </c>
      <c r="F192" s="31">
        <v>46230</v>
      </c>
      <c r="G192" s="32" t="str">
        <f t="shared" si="15"/>
        <v>техник</v>
      </c>
      <c r="H192" s="29">
        <f>IF(C192="","",IF(AND(G192="мастер участка",ISNUMBER(SEARCH("РЭО",E192))),29,IFERROR(INDEX(Соответствие!$B$2:$B$100,MATCH(G192,Соответствие!$A$2:$A$100,0)),"?")))</f>
        <v>36</v>
      </c>
      <c r="I192" s="33" t="str">
        <f>IF(C192="","",IFERROR(INDEX(Перечень!$C$6:$C$51,MATCH(H192,Перечень!$A$6:$A$51,0)),""))</f>
        <v>п.1.14.2, п.1.36, п.1.37.1, п.1.45.1, п.1.45.2, п.1.50, п.4.3.1, п.4.4, п.5.1, п.17</v>
      </c>
      <c r="J192" s="29">
        <f>IF(C192="","",IFERROR(INDEX(Перечень!$D$6:$D$51,MATCH(H192,Перечень!$A$6:$A$51,0)),12))</f>
        <v>12</v>
      </c>
      <c r="K192" s="34">
        <v>46220</v>
      </c>
      <c r="L192" s="34"/>
      <c r="M192" s="31">
        <f t="shared" si="16"/>
        <v>46585</v>
      </c>
      <c r="N192" s="29" t="str">
        <f>IF(C192="","",IFERROR(INDEX(Перечень!$F$6:$F$51,MATCH(H192,Перечень!$A$6:$A$51,0)),""))</f>
        <v>-</v>
      </c>
      <c r="O192" s="34"/>
      <c r="P192" s="31" t="str">
        <f t="shared" si="17"/>
        <v/>
      </c>
      <c r="Q192" s="29" t="str">
        <f t="shared" si="18"/>
        <v/>
      </c>
      <c r="R192" s="29" t="str">
        <f t="shared" ca="1" si="19"/>
        <v>В срок</v>
      </c>
      <c r="S192" s="29" t="str">
        <f t="shared" si="20"/>
        <v/>
      </c>
    </row>
    <row r="193" spans="1:19" x14ac:dyDescent="0.3">
      <c r="A193" s="29">
        <f t="shared" si="14"/>
        <v>188</v>
      </c>
      <c r="B193" s="30" t="s">
        <v>99</v>
      </c>
      <c r="C193" s="30" t="s">
        <v>397</v>
      </c>
      <c r="D193" s="30" t="s">
        <v>398</v>
      </c>
      <c r="E193" s="30" t="s">
        <v>375</v>
      </c>
      <c r="F193" s="31">
        <v>46148</v>
      </c>
      <c r="G193" s="32" t="str">
        <f t="shared" si="15"/>
        <v>техник</v>
      </c>
      <c r="H193" s="29">
        <f>IF(C193="","",IF(AND(G193="мастер участка",ISNUMBER(SEARCH("РЭО",E193))),29,IFERROR(INDEX(Соответствие!$B$2:$B$100,MATCH(G193,Соответствие!$A$2:$A$100,0)),"?")))</f>
        <v>36</v>
      </c>
      <c r="I193" s="33" t="str">
        <f>IF(C193="","",IFERROR(INDEX(Перечень!$C$6:$C$51,MATCH(H193,Перечень!$A$6:$A$51,0)),""))</f>
        <v>п.1.14.2, п.1.36, п.1.37.1, п.1.45.1, п.1.45.2, п.1.50, п.4.3.1, п.4.4, п.5.1, п.17</v>
      </c>
      <c r="J193" s="29">
        <f>IF(C193="","",IFERROR(INDEX(Перечень!$D$6:$D$51,MATCH(H193,Перечень!$A$6:$A$51,0)),12))</f>
        <v>12</v>
      </c>
      <c r="K193" s="34"/>
      <c r="L193" s="34"/>
      <c r="M193" s="31" t="str">
        <f t="shared" si="16"/>
        <v/>
      </c>
      <c r="N193" s="29" t="str">
        <f>IF(C193="","",IFERROR(INDEX(Перечень!$F$6:$F$51,MATCH(H193,Перечень!$A$6:$A$51,0)),""))</f>
        <v>-</v>
      </c>
      <c r="O193" s="34"/>
      <c r="P193" s="31" t="str">
        <f t="shared" si="17"/>
        <v/>
      </c>
      <c r="Q193" s="29" t="str">
        <f t="shared" si="18"/>
        <v/>
      </c>
      <c r="R193" s="29" t="str">
        <f t="shared" ca="1" si="19"/>
        <v>Нет сведений</v>
      </c>
      <c r="S193" s="29" t="str">
        <f t="shared" si="20"/>
        <v/>
      </c>
    </row>
    <row r="194" spans="1:19" x14ac:dyDescent="0.3">
      <c r="A194" s="29">
        <f t="shared" si="14"/>
        <v>189</v>
      </c>
      <c r="B194" s="30" t="s">
        <v>99</v>
      </c>
      <c r="C194" s="30" t="s">
        <v>399</v>
      </c>
      <c r="D194" s="30" t="s">
        <v>400</v>
      </c>
      <c r="E194" s="30" t="s">
        <v>401</v>
      </c>
      <c r="F194" s="31">
        <v>45649</v>
      </c>
      <c r="G194" s="32" t="str">
        <f t="shared" si="15"/>
        <v>рабочий по комплексному обслуживанию и ремонту зданий</v>
      </c>
      <c r="H194" s="29">
        <f>IF(C194="","",IF(AND(G194="мастер участка",ISNUMBER(SEARCH("РЭО",E194))),29,IFERROR(INDEX(Соответствие!$B$2:$B$100,MATCH(G194,Соответствие!$A$2:$A$100,0)),"?")))</f>
        <v>1</v>
      </c>
      <c r="I194" s="33" t="str">
        <f>IF(C194="","",IFERROR(INDEX(Перечень!$C$6:$C$51,MATCH(H194,Перечень!$A$6:$A$51,0)),""))</f>
        <v>п.4.3.1, п.4.4, п.4.7, п.4.8, п.5.1, п.6.1</v>
      </c>
      <c r="J194" s="29">
        <f>IF(C194="","",IFERROR(INDEX(Перечень!$D$6:$D$51,MATCH(H194,Перечень!$A$6:$A$51,0)),12))</f>
        <v>12</v>
      </c>
      <c r="K194" s="34"/>
      <c r="L194" s="34"/>
      <c r="M194" s="31" t="str">
        <f t="shared" si="16"/>
        <v/>
      </c>
      <c r="N194" s="29" t="str">
        <f>IF(C194="","",IFERROR(INDEX(Перечень!$F$6:$F$51,MATCH(H194,Перечень!$A$6:$A$51,0)),""))</f>
        <v>-</v>
      </c>
      <c r="O194" s="34"/>
      <c r="P194" s="31" t="str">
        <f t="shared" si="17"/>
        <v/>
      </c>
      <c r="Q194" s="29" t="str">
        <f t="shared" si="18"/>
        <v/>
      </c>
      <c r="R194" s="29" t="str">
        <f t="shared" ca="1" si="19"/>
        <v>Нет сведений</v>
      </c>
      <c r="S194" s="29" t="str">
        <f t="shared" si="20"/>
        <v/>
      </c>
    </row>
    <row r="195" spans="1:19" x14ac:dyDescent="0.3">
      <c r="A195" s="29">
        <f t="shared" si="14"/>
        <v>190</v>
      </c>
      <c r="B195" s="30" t="s">
        <v>99</v>
      </c>
      <c r="C195" s="30" t="s">
        <v>402</v>
      </c>
      <c r="D195" s="30" t="s">
        <v>127</v>
      </c>
      <c r="E195" s="30" t="s">
        <v>403</v>
      </c>
      <c r="F195" s="31">
        <v>45943</v>
      </c>
      <c r="G195" s="32" t="str">
        <f t="shared" si="15"/>
        <v>инженер отк</v>
      </c>
      <c r="H195" s="29">
        <f>IF(C195="","",IF(AND(G195="мастер участка",ISNUMBER(SEARCH("РЭО",E195))),29,IFERROR(INDEX(Соответствие!$B$2:$B$100,MATCH(G195,Соответствие!$A$2:$A$100,0)),"?")))</f>
        <v>13</v>
      </c>
      <c r="I195" s="33" t="str">
        <f>IF(C195="","",IFERROR(INDEX(Перечень!$C$6:$C$51,MATCH(H195,Перечень!$A$6:$A$51,0)),""))</f>
        <v>п.4.4, п.5.1, п.5.2</v>
      </c>
      <c r="J195" s="29">
        <f>IF(C195="","",IFERROR(INDEX(Перечень!$D$6:$D$51,MATCH(H195,Перечень!$A$6:$A$51,0)),12))</f>
        <v>12</v>
      </c>
      <c r="K195" s="34"/>
      <c r="L195" s="34"/>
      <c r="M195" s="31" t="str">
        <f t="shared" si="16"/>
        <v/>
      </c>
      <c r="N195" s="29" t="str">
        <f>IF(C195="","",IFERROR(INDEX(Перечень!$F$6:$F$51,MATCH(H195,Перечень!$A$6:$A$51,0)),""))</f>
        <v>-</v>
      </c>
      <c r="O195" s="34"/>
      <c r="P195" s="31" t="str">
        <f t="shared" si="17"/>
        <v/>
      </c>
      <c r="Q195" s="29" t="str">
        <f t="shared" si="18"/>
        <v/>
      </c>
      <c r="R195" s="29" t="str">
        <f t="shared" ca="1" si="19"/>
        <v>Нет сведений</v>
      </c>
      <c r="S195" s="29" t="str">
        <f t="shared" si="20"/>
        <v/>
      </c>
    </row>
    <row r="196" spans="1:19" x14ac:dyDescent="0.3">
      <c r="A196" s="29">
        <f t="shared" si="14"/>
        <v>191</v>
      </c>
      <c r="B196" s="30" t="s">
        <v>99</v>
      </c>
      <c r="C196" s="30" t="s">
        <v>404</v>
      </c>
      <c r="D196" s="30" t="s">
        <v>135</v>
      </c>
      <c r="E196" s="30" t="s">
        <v>403</v>
      </c>
      <c r="F196" s="31">
        <v>46077</v>
      </c>
      <c r="G196" s="32" t="str">
        <f t="shared" si="15"/>
        <v>контролер отк</v>
      </c>
      <c r="H196" s="29">
        <f>IF(C196="","",IF(AND(G196="мастер участка",ISNUMBER(SEARCH("РЭО",E196))),29,IFERROR(INDEX(Соответствие!$B$2:$B$100,MATCH(G196,Соответствие!$A$2:$A$100,0)),"?")))</f>
        <v>13</v>
      </c>
      <c r="I196" s="33" t="str">
        <f>IF(C196="","",IFERROR(INDEX(Перечень!$C$6:$C$51,MATCH(H196,Перечень!$A$6:$A$51,0)),""))</f>
        <v>п.4.4, п.5.1, п.5.2</v>
      </c>
      <c r="J196" s="29">
        <f>IF(C196="","",IFERROR(INDEX(Перечень!$D$6:$D$51,MATCH(H196,Перечень!$A$6:$A$51,0)),12))</f>
        <v>12</v>
      </c>
      <c r="K196" s="34"/>
      <c r="L196" s="34"/>
      <c r="M196" s="31" t="str">
        <f t="shared" si="16"/>
        <v/>
      </c>
      <c r="N196" s="29" t="str">
        <f>IF(C196="","",IFERROR(INDEX(Перечень!$F$6:$F$51,MATCH(H196,Перечень!$A$6:$A$51,0)),""))</f>
        <v>-</v>
      </c>
      <c r="O196" s="34"/>
      <c r="P196" s="31" t="str">
        <f t="shared" si="17"/>
        <v/>
      </c>
      <c r="Q196" s="29" t="str">
        <f t="shared" si="18"/>
        <v/>
      </c>
      <c r="R196" s="29" t="str">
        <f t="shared" ca="1" si="19"/>
        <v>Нет сведений</v>
      </c>
      <c r="S196" s="29" t="str">
        <f t="shared" si="20"/>
        <v/>
      </c>
    </row>
    <row r="197" spans="1:19" x14ac:dyDescent="0.3">
      <c r="A197" s="29">
        <f t="shared" si="14"/>
        <v>192</v>
      </c>
      <c r="B197" s="30" t="s">
        <v>99</v>
      </c>
      <c r="C197" s="30" t="s">
        <v>405</v>
      </c>
      <c r="D197" s="30" t="s">
        <v>135</v>
      </c>
      <c r="E197" s="30" t="s">
        <v>403</v>
      </c>
      <c r="F197" s="31">
        <v>46097</v>
      </c>
      <c r="G197" s="32" t="str">
        <f t="shared" si="15"/>
        <v>контролер отк</v>
      </c>
      <c r="H197" s="29">
        <f>IF(C197="","",IF(AND(G197="мастер участка",ISNUMBER(SEARCH("РЭО",E197))),29,IFERROR(INDEX(Соответствие!$B$2:$B$100,MATCH(G197,Соответствие!$A$2:$A$100,0)),"?")))</f>
        <v>13</v>
      </c>
      <c r="I197" s="33" t="str">
        <f>IF(C197="","",IFERROR(INDEX(Перечень!$C$6:$C$51,MATCH(H197,Перечень!$A$6:$A$51,0)),""))</f>
        <v>п.4.4, п.5.1, п.5.2</v>
      </c>
      <c r="J197" s="29">
        <f>IF(C197="","",IFERROR(INDEX(Перечень!$D$6:$D$51,MATCH(H197,Перечень!$A$6:$A$51,0)),12))</f>
        <v>12</v>
      </c>
      <c r="K197" s="34"/>
      <c r="L197" s="34"/>
      <c r="M197" s="31" t="str">
        <f t="shared" si="16"/>
        <v/>
      </c>
      <c r="N197" s="29" t="str">
        <f>IF(C197="","",IFERROR(INDEX(Перечень!$F$6:$F$51,MATCH(H197,Перечень!$A$6:$A$51,0)),""))</f>
        <v>-</v>
      </c>
      <c r="O197" s="34"/>
      <c r="P197" s="31" t="str">
        <f t="shared" si="17"/>
        <v/>
      </c>
      <c r="Q197" s="29" t="str">
        <f t="shared" si="18"/>
        <v/>
      </c>
      <c r="R197" s="29" t="str">
        <f t="shared" ca="1" si="19"/>
        <v>Нет сведений</v>
      </c>
      <c r="S197" s="29" t="str">
        <f t="shared" si="20"/>
        <v/>
      </c>
    </row>
    <row r="198" spans="1:19" x14ac:dyDescent="0.3">
      <c r="A198" s="29">
        <f t="shared" ref="A198:A261" si="21">IF(C198="","",ROW()-5)</f>
        <v>193</v>
      </c>
      <c r="B198" s="30" t="s">
        <v>99</v>
      </c>
      <c r="C198" s="30" t="s">
        <v>406</v>
      </c>
      <c r="D198" s="30" t="s">
        <v>407</v>
      </c>
      <c r="E198" s="30" t="s">
        <v>408</v>
      </c>
      <c r="F198" s="31">
        <v>43040</v>
      </c>
      <c r="G198" s="32" t="str">
        <f t="shared" ref="G198:G261" si="22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29">
        <f>IF(C198="","",IF(AND(G198="мастер участка",ISNUMBER(SEARCH("РЭО",E198))),29,IFERROR(INDEX(Соответствие!$B$2:$B$100,MATCH(G198,Соответствие!$A$2:$A$100,0)),"?")))</f>
        <v>3</v>
      </c>
      <c r="I198" s="33" t="str">
        <f>IF(C198="","",IFERROR(INDEX(Перечень!$C$6:$C$51,MATCH(H198,Перечень!$A$6:$A$51,0)),""))</f>
        <v>п.1.50, п.4.3.2, п.4.4, п.4.7, п.4.8, п.5.1, п.5.2, п.6.2, п.15</v>
      </c>
      <c r="J198" s="29">
        <f>IF(C198="","",IFERROR(INDEX(Перечень!$D$6:$D$51,MATCH(H198,Перечень!$A$6:$A$51,0)),12))</f>
        <v>12</v>
      </c>
      <c r="K198" s="34"/>
      <c r="L198" s="34"/>
      <c r="M198" s="31" t="str">
        <f t="shared" ref="M198:M261" si="23">IF(AND(K198="",L198=""),"",EDATE(MAX(K198,L198),J198))</f>
        <v/>
      </c>
      <c r="N198" s="29" t="str">
        <f>IF(C198="","",IFERROR(INDEX(Перечень!$F$6:$F$51,MATCH(H198,Перечень!$A$6:$A$51,0)),""))</f>
        <v>-</v>
      </c>
      <c r="O198" s="34"/>
      <c r="P198" s="31" t="str">
        <f t="shared" ref="P198:P261" si="24">IF(O198="","",EDATE(O198,60))</f>
        <v/>
      </c>
      <c r="Q198" s="29" t="str">
        <f t="shared" ref="Q198:Q261" si="25">IF(AND(K198&lt;&gt;"",F198&lt;&gt;"",K198&gt;F198),"Да","")</f>
        <v/>
      </c>
      <c r="R198" s="29" t="str">
        <f t="shared" ref="R198:R261" ca="1" si="26">IF(C198="","",IF(M198="","Нет сведений",IF(M198&lt;TODAY(),"Просрочен",IF(M198-TODAY()&lt;=30,"Истекает","В срок"))))</f>
        <v>Нет сведений</v>
      </c>
      <c r="S198" s="29" t="str">
        <f t="shared" ref="S198:S261" si="27">IF(AND(N198="Да",O198=""),"Не пройдено","")</f>
        <v/>
      </c>
    </row>
    <row r="199" spans="1:19" x14ac:dyDescent="0.3">
      <c r="A199" s="29">
        <f t="shared" si="21"/>
        <v>194</v>
      </c>
      <c r="B199" s="30" t="s">
        <v>99</v>
      </c>
      <c r="C199" s="30" t="s">
        <v>409</v>
      </c>
      <c r="D199" s="30" t="s">
        <v>400</v>
      </c>
      <c r="E199" s="30" t="s">
        <v>408</v>
      </c>
      <c r="F199" s="31">
        <v>46080</v>
      </c>
      <c r="G199" s="32" t="str">
        <f t="shared" si="22"/>
        <v>рабочий по комплексному обслуживанию и ремонту зданий</v>
      </c>
      <c r="H199" s="29">
        <f>IF(C199="","",IF(AND(G199="мастер участка",ISNUMBER(SEARCH("РЭО",E199))),29,IFERROR(INDEX(Соответствие!$B$2:$B$100,MATCH(G199,Соответствие!$A$2:$A$100,0)),"?")))</f>
        <v>1</v>
      </c>
      <c r="I199" s="33" t="str">
        <f>IF(C199="","",IFERROR(INDEX(Перечень!$C$6:$C$51,MATCH(H199,Перечень!$A$6:$A$51,0)),""))</f>
        <v>п.4.3.1, п.4.4, п.4.7, п.4.8, п.5.1, п.6.1</v>
      </c>
      <c r="J199" s="29">
        <f>IF(C199="","",IFERROR(INDEX(Перечень!$D$6:$D$51,MATCH(H199,Перечень!$A$6:$A$51,0)),12))</f>
        <v>12</v>
      </c>
      <c r="K199" s="34"/>
      <c r="L199" s="34"/>
      <c r="M199" s="31" t="str">
        <f t="shared" si="23"/>
        <v/>
      </c>
      <c r="N199" s="29" t="str">
        <f>IF(C199="","",IFERROR(INDEX(Перечень!$F$6:$F$51,MATCH(H199,Перечень!$A$6:$A$51,0)),""))</f>
        <v>-</v>
      </c>
      <c r="O199" s="34"/>
      <c r="P199" s="31" t="str">
        <f t="shared" si="24"/>
        <v/>
      </c>
      <c r="Q199" s="29" t="str">
        <f t="shared" si="25"/>
        <v/>
      </c>
      <c r="R199" s="29" t="str">
        <f t="shared" ca="1" si="26"/>
        <v>Нет сведений</v>
      </c>
      <c r="S199" s="29" t="str">
        <f t="shared" si="27"/>
        <v/>
      </c>
    </row>
    <row r="200" spans="1:19" x14ac:dyDescent="0.3">
      <c r="A200" s="29">
        <f t="shared" si="21"/>
        <v>195</v>
      </c>
      <c r="B200" s="30" t="s">
        <v>99</v>
      </c>
      <c r="C200" s="30" t="s">
        <v>410</v>
      </c>
      <c r="D200" s="30" t="s">
        <v>400</v>
      </c>
      <c r="E200" s="30" t="s">
        <v>408</v>
      </c>
      <c r="F200" s="31">
        <v>46111</v>
      </c>
      <c r="G200" s="32" t="str">
        <f t="shared" si="22"/>
        <v>рабочий по комплексному обслуживанию и ремонту зданий</v>
      </c>
      <c r="H200" s="29">
        <f>IF(C200="","",IF(AND(G200="мастер участка",ISNUMBER(SEARCH("РЭО",E200))),29,IFERROR(INDEX(Соответствие!$B$2:$B$100,MATCH(G200,Соответствие!$A$2:$A$100,0)),"?")))</f>
        <v>1</v>
      </c>
      <c r="I200" s="33" t="str">
        <f>IF(C200="","",IFERROR(INDEX(Перечень!$C$6:$C$51,MATCH(H200,Перечень!$A$6:$A$51,0)),""))</f>
        <v>п.4.3.1, п.4.4, п.4.7, п.4.8, п.5.1, п.6.1</v>
      </c>
      <c r="J200" s="29">
        <f>IF(C200="","",IFERROR(INDEX(Перечень!$D$6:$D$51,MATCH(H200,Перечень!$A$6:$A$51,0)),12))</f>
        <v>12</v>
      </c>
      <c r="K200" s="34"/>
      <c r="L200" s="34"/>
      <c r="M200" s="31" t="str">
        <f t="shared" si="23"/>
        <v/>
      </c>
      <c r="N200" s="29" t="str">
        <f>IF(C200="","",IFERROR(INDEX(Перечень!$F$6:$F$51,MATCH(H200,Перечень!$A$6:$A$51,0)),""))</f>
        <v>-</v>
      </c>
      <c r="O200" s="34"/>
      <c r="P200" s="31" t="str">
        <f t="shared" si="24"/>
        <v/>
      </c>
      <c r="Q200" s="29" t="str">
        <f t="shared" si="25"/>
        <v/>
      </c>
      <c r="R200" s="29" t="str">
        <f t="shared" ca="1" si="26"/>
        <v>Нет сведений</v>
      </c>
      <c r="S200" s="29" t="str">
        <f t="shared" si="27"/>
        <v/>
      </c>
    </row>
    <row r="201" spans="1:19" x14ac:dyDescent="0.3">
      <c r="A201" s="29">
        <f t="shared" si="21"/>
        <v>196</v>
      </c>
      <c r="B201" s="30" t="s">
        <v>99</v>
      </c>
      <c r="C201" s="30" t="s">
        <v>411</v>
      </c>
      <c r="D201" s="30" t="s">
        <v>412</v>
      </c>
      <c r="E201" s="30" t="s">
        <v>408</v>
      </c>
      <c r="F201" s="31">
        <v>46064</v>
      </c>
      <c r="G201" s="32" t="str">
        <f t="shared" si="22"/>
        <v>разнорабочий</v>
      </c>
      <c r="H201" s="29">
        <f>IF(C201="","",IF(AND(G201="мастер участка",ISNUMBER(SEARCH("РЭО",E201))),29,IFERROR(INDEX(Соответствие!$B$2:$B$100,MATCH(G201,Соответствие!$A$2:$A$100,0)),"?")))</f>
        <v>7</v>
      </c>
      <c r="I201" s="33" t="str">
        <f>IF(C201="","",IFERROR(INDEX(Перечень!$C$6:$C$51,MATCH(H201,Перечень!$A$6:$A$51,0)),""))</f>
        <v>п.4.3.1, п.4.4, п.4.7, п.4.8, п.5.1, п.6.1</v>
      </c>
      <c r="J201" s="29">
        <f>IF(C201="","",IFERROR(INDEX(Перечень!$D$6:$D$51,MATCH(H201,Перечень!$A$6:$A$51,0)),12))</f>
        <v>12</v>
      </c>
      <c r="K201" s="34"/>
      <c r="L201" s="34"/>
      <c r="M201" s="31" t="str">
        <f t="shared" si="23"/>
        <v/>
      </c>
      <c r="N201" s="29" t="str">
        <f>IF(C201="","",IFERROR(INDEX(Перечень!$F$6:$F$51,MATCH(H201,Перечень!$A$6:$A$51,0)),""))</f>
        <v>-</v>
      </c>
      <c r="O201" s="34"/>
      <c r="P201" s="31" t="str">
        <f t="shared" si="24"/>
        <v/>
      </c>
      <c r="Q201" s="29" t="str">
        <f t="shared" si="25"/>
        <v/>
      </c>
      <c r="R201" s="29" t="str">
        <f t="shared" ca="1" si="26"/>
        <v>Нет сведений</v>
      </c>
      <c r="S201" s="29" t="str">
        <f t="shared" si="27"/>
        <v/>
      </c>
    </row>
    <row r="202" spans="1:19" x14ac:dyDescent="0.3">
      <c r="A202" s="29">
        <f t="shared" si="21"/>
        <v>197</v>
      </c>
      <c r="B202" s="30" t="s">
        <v>99</v>
      </c>
      <c r="C202" s="30" t="s">
        <v>413</v>
      </c>
      <c r="D202" s="30" t="s">
        <v>412</v>
      </c>
      <c r="E202" s="30" t="s">
        <v>408</v>
      </c>
      <c r="F202" s="31">
        <v>46049</v>
      </c>
      <c r="G202" s="32" t="str">
        <f t="shared" si="22"/>
        <v>разнорабочий</v>
      </c>
      <c r="H202" s="29">
        <f>IF(C202="","",IF(AND(G202="мастер участка",ISNUMBER(SEARCH("РЭО",E202))),29,IFERROR(INDEX(Соответствие!$B$2:$B$100,MATCH(G202,Соответствие!$A$2:$A$100,0)),"?")))</f>
        <v>7</v>
      </c>
      <c r="I202" s="33" t="str">
        <f>IF(C202="","",IFERROR(INDEX(Перечень!$C$6:$C$51,MATCH(H202,Перечень!$A$6:$A$51,0)),""))</f>
        <v>п.4.3.1, п.4.4, п.4.7, п.4.8, п.5.1, п.6.1</v>
      </c>
      <c r="J202" s="29">
        <f>IF(C202="","",IFERROR(INDEX(Перечень!$D$6:$D$51,MATCH(H202,Перечень!$A$6:$A$51,0)),12))</f>
        <v>12</v>
      </c>
      <c r="K202" s="34"/>
      <c r="L202" s="34"/>
      <c r="M202" s="31" t="str">
        <f t="shared" si="23"/>
        <v/>
      </c>
      <c r="N202" s="29" t="str">
        <f>IF(C202="","",IFERROR(INDEX(Перечень!$F$6:$F$51,MATCH(H202,Перечень!$A$6:$A$51,0)),""))</f>
        <v>-</v>
      </c>
      <c r="O202" s="34"/>
      <c r="P202" s="31" t="str">
        <f t="shared" si="24"/>
        <v/>
      </c>
      <c r="Q202" s="29" t="str">
        <f t="shared" si="25"/>
        <v/>
      </c>
      <c r="R202" s="29" t="str">
        <f t="shared" ca="1" si="26"/>
        <v>Нет сведений</v>
      </c>
      <c r="S202" s="29" t="str">
        <f t="shared" si="27"/>
        <v/>
      </c>
    </row>
    <row r="203" spans="1:19" x14ac:dyDescent="0.3">
      <c r="A203" s="29">
        <f t="shared" si="21"/>
        <v>198</v>
      </c>
      <c r="B203" s="30" t="s">
        <v>99</v>
      </c>
      <c r="C203" s="30" t="s">
        <v>414</v>
      </c>
      <c r="D203" s="30" t="s">
        <v>415</v>
      </c>
      <c r="E203" s="30" t="s">
        <v>408</v>
      </c>
      <c r="F203" s="31">
        <v>45748</v>
      </c>
      <c r="G203" s="32" t="str">
        <f t="shared" si="22"/>
        <v>главный энергетик</v>
      </c>
      <c r="H203" s="29">
        <f>IF(C203="","",IF(AND(G203="мастер участка",ISNUMBER(SEARCH("РЭО",E203))),29,IFERROR(INDEX(Соответствие!$B$2:$B$100,MATCH(G203,Соответствие!$A$2:$A$100,0)),"?")))</f>
        <v>5</v>
      </c>
      <c r="I203" s="33" t="str">
        <f>IF(C203="","",IFERROR(INDEX(Перечень!$C$6:$C$51,MATCH(H203,Перечень!$A$6:$A$51,0)),""))</f>
        <v>п.4.4, п.5.2, п.6.2</v>
      </c>
      <c r="J203" s="29">
        <f>IF(C203="","",IFERROR(INDEX(Перечень!$D$6:$D$51,MATCH(H203,Перечень!$A$6:$A$51,0)),12))</f>
        <v>12</v>
      </c>
      <c r="K203" s="34"/>
      <c r="L203" s="34"/>
      <c r="M203" s="31" t="str">
        <f t="shared" si="23"/>
        <v/>
      </c>
      <c r="N203" s="29" t="str">
        <f>IF(C203="","",IFERROR(INDEX(Перечень!$F$6:$F$51,MATCH(H203,Перечень!$A$6:$A$51,0)),""))</f>
        <v>Да</v>
      </c>
      <c r="O203" s="34"/>
      <c r="P203" s="31" t="str">
        <f t="shared" si="24"/>
        <v/>
      </c>
      <c r="Q203" s="29" t="str">
        <f t="shared" si="25"/>
        <v/>
      </c>
      <c r="R203" s="29" t="str">
        <f t="shared" ca="1" si="26"/>
        <v>Нет сведений</v>
      </c>
      <c r="S203" s="29" t="str">
        <f t="shared" si="27"/>
        <v>Не пройдено</v>
      </c>
    </row>
    <row r="204" spans="1:19" x14ac:dyDescent="0.3">
      <c r="A204" s="29">
        <f t="shared" si="21"/>
        <v>199</v>
      </c>
      <c r="B204" s="30" t="s">
        <v>99</v>
      </c>
      <c r="C204" s="30" t="s">
        <v>416</v>
      </c>
      <c r="D204" s="30" t="s">
        <v>417</v>
      </c>
      <c r="E204" s="30" t="s">
        <v>408</v>
      </c>
      <c r="F204" s="31">
        <v>46091</v>
      </c>
      <c r="G204" s="32" t="str">
        <f t="shared" si="22"/>
        <v>главный механик</v>
      </c>
      <c r="H204" s="29">
        <f>IF(C204="","",IF(AND(G204="мастер участка",ISNUMBER(SEARCH("РЭО",E204))),29,IFERROR(INDEX(Соответствие!$B$2:$B$100,MATCH(G204,Соответствие!$A$2:$A$100,0)),"?")))</f>
        <v>6</v>
      </c>
      <c r="I204" s="33" t="str">
        <f>IF(C204="","",IFERROR(INDEX(Перечень!$C$6:$C$51,MATCH(H204,Перечень!$A$6:$A$51,0)),""))</f>
        <v>п.4.4, п.5.2, п.6.2</v>
      </c>
      <c r="J204" s="29">
        <f>IF(C204="","",IFERROR(INDEX(Перечень!$D$6:$D$51,MATCH(H204,Перечень!$A$6:$A$51,0)),12))</f>
        <v>12</v>
      </c>
      <c r="K204" s="34"/>
      <c r="L204" s="34"/>
      <c r="M204" s="31" t="str">
        <f t="shared" si="23"/>
        <v/>
      </c>
      <c r="N204" s="29" t="str">
        <f>IF(C204="","",IFERROR(INDEX(Перечень!$F$6:$F$51,MATCH(H204,Перечень!$A$6:$A$51,0)),""))</f>
        <v>Нет</v>
      </c>
      <c r="O204" s="34"/>
      <c r="P204" s="31" t="str">
        <f t="shared" si="24"/>
        <v/>
      </c>
      <c r="Q204" s="29" t="str">
        <f t="shared" si="25"/>
        <v/>
      </c>
      <c r="R204" s="29" t="str">
        <f t="shared" ca="1" si="26"/>
        <v>Нет сведений</v>
      </c>
      <c r="S204" s="29" t="str">
        <f t="shared" si="27"/>
        <v/>
      </c>
    </row>
    <row r="205" spans="1:19" x14ac:dyDescent="0.3">
      <c r="A205" s="29">
        <f t="shared" si="21"/>
        <v>200</v>
      </c>
      <c r="B205" s="30" t="s">
        <v>99</v>
      </c>
      <c r="C205" s="30" t="s">
        <v>418</v>
      </c>
      <c r="D205" s="30" t="s">
        <v>419</v>
      </c>
      <c r="E205" s="30" t="s">
        <v>408</v>
      </c>
      <c r="F205" s="31">
        <v>44621</v>
      </c>
      <c r="G205" s="32" t="str">
        <f t="shared" si="22"/>
        <v>электромонтер по ремонту и обслуживанию электрооборудования</v>
      </c>
      <c r="H205" s="29">
        <f>IF(C205="","",IF(AND(G205="мастер участка",ISNUMBER(SEARCH("РЭО",E205))),29,IFERROR(INDEX(Соответствие!$B$2:$B$100,MATCH(G205,Соответствие!$A$2:$A$100,0)),"?")))</f>
        <v>2</v>
      </c>
      <c r="I205" s="33" t="str">
        <f>IF(C205="","",IFERROR(INDEX(Перечень!$C$6:$C$51,MATCH(H205,Перечень!$A$6:$A$51,0)),""))</f>
        <v>п.4.2.3, п.4.3.1, п.4.3.2, п.4.4, п.5.1, п.5.2, п.6.2, п.9</v>
      </c>
      <c r="J205" s="29">
        <f>IF(C205="","",IFERROR(INDEX(Перечень!$D$6:$D$51,MATCH(H205,Перечень!$A$6:$A$51,0)),12))</f>
        <v>12</v>
      </c>
      <c r="K205" s="34"/>
      <c r="L205" s="34"/>
      <c r="M205" s="31" t="str">
        <f t="shared" si="23"/>
        <v/>
      </c>
      <c r="N205" s="29" t="str">
        <f>IF(C205="","",IFERROR(INDEX(Перечень!$F$6:$F$51,MATCH(H205,Перечень!$A$6:$A$51,0)),""))</f>
        <v>Да</v>
      </c>
      <c r="O205" s="34"/>
      <c r="P205" s="31" t="str">
        <f t="shared" si="24"/>
        <v/>
      </c>
      <c r="Q205" s="29" t="str">
        <f t="shared" si="25"/>
        <v/>
      </c>
      <c r="R205" s="29" t="str">
        <f t="shared" ca="1" si="26"/>
        <v>Нет сведений</v>
      </c>
      <c r="S205" s="29" t="str">
        <f t="shared" si="27"/>
        <v>Не пройдено</v>
      </c>
    </row>
    <row r="206" spans="1:19" x14ac:dyDescent="0.3">
      <c r="A206" s="29">
        <f t="shared" si="21"/>
        <v>201</v>
      </c>
      <c r="B206" s="30" t="s">
        <v>99</v>
      </c>
      <c r="C206" s="30" t="s">
        <v>420</v>
      </c>
      <c r="D206" s="30" t="s">
        <v>419</v>
      </c>
      <c r="E206" s="30" t="s">
        <v>408</v>
      </c>
      <c r="F206" s="31">
        <v>46084</v>
      </c>
      <c r="G206" s="32" t="str">
        <f t="shared" si="22"/>
        <v>электромонтер по ремонту и обслуживанию электрооборудования</v>
      </c>
      <c r="H206" s="29">
        <f>IF(C206="","",IF(AND(G206="мастер участка",ISNUMBER(SEARCH("РЭО",E206))),29,IFERROR(INDEX(Соответствие!$B$2:$B$100,MATCH(G206,Соответствие!$A$2:$A$100,0)),"?")))</f>
        <v>2</v>
      </c>
      <c r="I206" s="33" t="str">
        <f>IF(C206="","",IFERROR(INDEX(Перечень!$C$6:$C$51,MATCH(H206,Перечень!$A$6:$A$51,0)),""))</f>
        <v>п.4.2.3, п.4.3.1, п.4.3.2, п.4.4, п.5.1, п.5.2, п.6.2, п.9</v>
      </c>
      <c r="J206" s="29">
        <f>IF(C206="","",IFERROR(INDEX(Перечень!$D$6:$D$51,MATCH(H206,Перечень!$A$6:$A$51,0)),12))</f>
        <v>12</v>
      </c>
      <c r="K206" s="34"/>
      <c r="L206" s="34"/>
      <c r="M206" s="31" t="str">
        <f t="shared" si="23"/>
        <v/>
      </c>
      <c r="N206" s="29" t="str">
        <f>IF(C206="","",IFERROR(INDEX(Перечень!$F$6:$F$51,MATCH(H206,Перечень!$A$6:$A$51,0)),""))</f>
        <v>Да</v>
      </c>
      <c r="O206" s="34"/>
      <c r="P206" s="31" t="str">
        <f t="shared" si="24"/>
        <v/>
      </c>
      <c r="Q206" s="29" t="str">
        <f t="shared" si="25"/>
        <v/>
      </c>
      <c r="R206" s="29" t="str">
        <f t="shared" ca="1" si="26"/>
        <v>Нет сведений</v>
      </c>
      <c r="S206" s="29" t="str">
        <f t="shared" si="27"/>
        <v>Не пройдено</v>
      </c>
    </row>
    <row r="207" spans="1:19" x14ac:dyDescent="0.3">
      <c r="A207" s="29">
        <f t="shared" si="21"/>
        <v>202</v>
      </c>
      <c r="B207" s="30" t="s">
        <v>99</v>
      </c>
      <c r="C207" s="30" t="s">
        <v>421</v>
      </c>
      <c r="D207" s="30" t="s">
        <v>422</v>
      </c>
      <c r="E207" s="30" t="s">
        <v>408</v>
      </c>
      <c r="F207" s="31">
        <v>45596</v>
      </c>
      <c r="G207" s="32" t="str">
        <f t="shared" si="22"/>
        <v>инженер по эксплуатации зданий и сооружений</v>
      </c>
      <c r="H207" s="29">
        <f>IF(C207="","",IF(AND(G207="мастер участка",ISNUMBER(SEARCH("РЭО",E207))),29,IFERROR(INDEX(Соответствие!$B$2:$B$100,MATCH(G207,Соответствие!$A$2:$A$100,0)),"?")))</f>
        <v>4</v>
      </c>
      <c r="I207" s="33" t="str">
        <f>IF(C207="","",IFERROR(INDEX(Перечень!$C$6:$C$51,MATCH(H207,Перечень!$A$6:$A$51,0)),""))</f>
        <v>п.4.3.1, п.4.4, п.5.1, п.5.2, п.6.2</v>
      </c>
      <c r="J207" s="29">
        <f>IF(C207="","",IFERROR(INDEX(Перечень!$D$6:$D$51,MATCH(H207,Перечень!$A$6:$A$51,0)),12))</f>
        <v>12</v>
      </c>
      <c r="K207" s="34"/>
      <c r="L207" s="34"/>
      <c r="M207" s="31" t="str">
        <f t="shared" si="23"/>
        <v/>
      </c>
      <c r="N207" s="29" t="str">
        <f>IF(C207="","",IFERROR(INDEX(Перечень!$F$6:$F$51,MATCH(H207,Перечень!$A$6:$A$51,0)),""))</f>
        <v>-</v>
      </c>
      <c r="O207" s="34"/>
      <c r="P207" s="31" t="str">
        <f t="shared" si="24"/>
        <v/>
      </c>
      <c r="Q207" s="29" t="str">
        <f t="shared" si="25"/>
        <v/>
      </c>
      <c r="R207" s="29" t="str">
        <f t="shared" ca="1" si="26"/>
        <v>Нет сведений</v>
      </c>
      <c r="S207" s="29" t="str">
        <f t="shared" si="27"/>
        <v/>
      </c>
    </row>
    <row r="208" spans="1:19" x14ac:dyDescent="0.3">
      <c r="A208" s="29">
        <f t="shared" si="21"/>
        <v>203</v>
      </c>
      <c r="B208" s="30" t="s">
        <v>99</v>
      </c>
      <c r="C208" s="30" t="s">
        <v>423</v>
      </c>
      <c r="D208" s="30" t="s">
        <v>424</v>
      </c>
      <c r="E208" s="30" t="s">
        <v>408</v>
      </c>
      <c r="F208" s="31">
        <v>46036</v>
      </c>
      <c r="G208" s="32" t="str">
        <f t="shared" si="22"/>
        <v>электромонтер по ремонту и обслуживанию электрооборудования</v>
      </c>
      <c r="H208" s="29">
        <f>IF(C208="","",IF(AND(G208="мастер участка",ISNUMBER(SEARCH("РЭО",E208))),29,IFERROR(INDEX(Соответствие!$B$2:$B$100,MATCH(G208,Соответствие!$A$2:$A$100,0)),"?")))</f>
        <v>2</v>
      </c>
      <c r="I208" s="33" t="str">
        <f>IF(C208="","",IFERROR(INDEX(Перечень!$C$6:$C$51,MATCH(H208,Перечень!$A$6:$A$51,0)),""))</f>
        <v>п.4.2.3, п.4.3.1, п.4.3.2, п.4.4, п.5.1, п.5.2, п.6.2, п.9</v>
      </c>
      <c r="J208" s="29">
        <f>IF(C208="","",IFERROR(INDEX(Перечень!$D$6:$D$51,MATCH(H208,Перечень!$A$6:$A$51,0)),12))</f>
        <v>12</v>
      </c>
      <c r="K208" s="34"/>
      <c r="L208" s="34"/>
      <c r="M208" s="31" t="str">
        <f t="shared" si="23"/>
        <v/>
      </c>
      <c r="N208" s="29" t="str">
        <f>IF(C208="","",IFERROR(INDEX(Перечень!$F$6:$F$51,MATCH(H208,Перечень!$A$6:$A$51,0)),""))</f>
        <v>Да</v>
      </c>
      <c r="O208" s="34"/>
      <c r="P208" s="31" t="str">
        <f t="shared" si="24"/>
        <v/>
      </c>
      <c r="Q208" s="29" t="str">
        <f t="shared" si="25"/>
        <v/>
      </c>
      <c r="R208" s="29" t="str">
        <f t="shared" ca="1" si="26"/>
        <v>Нет сведений</v>
      </c>
      <c r="S208" s="29" t="str">
        <f t="shared" si="27"/>
        <v>Не пройдено</v>
      </c>
    </row>
    <row r="209" spans="1:19" x14ac:dyDescent="0.3">
      <c r="A209" s="29">
        <f t="shared" si="21"/>
        <v>204</v>
      </c>
      <c r="B209" s="30" t="s">
        <v>99</v>
      </c>
      <c r="C209" s="30" t="s">
        <v>425</v>
      </c>
      <c r="D209" s="30" t="s">
        <v>426</v>
      </c>
      <c r="E209" s="30" t="s">
        <v>408</v>
      </c>
      <c r="F209" s="31">
        <v>42388</v>
      </c>
      <c r="G209" s="32" t="str">
        <f t="shared" si="22"/>
        <v>механик-наладчик</v>
      </c>
      <c r="H209" s="29">
        <f>IF(C209="","",IF(AND(G209="мастер участка",ISNUMBER(SEARCH("РЭО",E209))),29,IFERROR(INDEX(Соответствие!$B$2:$B$100,MATCH(G209,Соответствие!$A$2:$A$100,0)),"?")))</f>
        <v>11</v>
      </c>
      <c r="I209" s="33" t="str">
        <f>IF(C209="","",IFERROR(INDEX(Перечень!$C$6:$C$51,MATCH(H209,Перечень!$A$6:$A$51,0)),""))</f>
        <v>п.4.3.1, п.4.3.2, п.4.4, п.4.6, п.5.1, п.6.2</v>
      </c>
      <c r="J209" s="29">
        <f>IF(C209="","",IFERROR(INDEX(Перечень!$D$6:$D$51,MATCH(H209,Перечень!$A$6:$A$51,0)),12))</f>
        <v>12</v>
      </c>
      <c r="K209" s="34"/>
      <c r="L209" s="34"/>
      <c r="M209" s="31" t="str">
        <f t="shared" si="23"/>
        <v/>
      </c>
      <c r="N209" s="29" t="str">
        <f>IF(C209="","",IFERROR(INDEX(Перечень!$F$6:$F$51,MATCH(H209,Перечень!$A$6:$A$51,0)),""))</f>
        <v>-</v>
      </c>
      <c r="O209" s="34"/>
      <c r="P209" s="31" t="str">
        <f t="shared" si="24"/>
        <v/>
      </c>
      <c r="Q209" s="29" t="str">
        <f t="shared" si="25"/>
        <v/>
      </c>
      <c r="R209" s="29" t="str">
        <f t="shared" ca="1" si="26"/>
        <v>Нет сведений</v>
      </c>
      <c r="S209" s="29" t="str">
        <f t="shared" si="27"/>
        <v/>
      </c>
    </row>
    <row r="210" spans="1:19" x14ac:dyDescent="0.3">
      <c r="A210" s="29">
        <f t="shared" si="21"/>
        <v>205</v>
      </c>
      <c r="B210" s="30" t="s">
        <v>99</v>
      </c>
      <c r="C210" s="30" t="s">
        <v>427</v>
      </c>
      <c r="D210" s="30" t="s">
        <v>428</v>
      </c>
      <c r="E210" s="30" t="s">
        <v>408</v>
      </c>
      <c r="F210" s="31">
        <v>45817</v>
      </c>
      <c r="G210" s="32" t="str">
        <f t="shared" si="22"/>
        <v>инженер-электрик</v>
      </c>
      <c r="H210" s="29">
        <f>IF(C210="","",IF(AND(G210="мастер участка",ISNUMBER(SEARCH("РЭО",E210))),29,IFERROR(INDEX(Соответствие!$B$2:$B$100,MATCH(G210,Соответствие!$A$2:$A$100,0)),"?")))</f>
        <v>2</v>
      </c>
      <c r="I210" s="33" t="str">
        <f>IF(C210="","",IFERROR(INDEX(Перечень!$C$6:$C$51,MATCH(H210,Перечень!$A$6:$A$51,0)),""))</f>
        <v>п.4.2.3, п.4.3.1, п.4.3.2, п.4.4, п.5.1, п.5.2, п.6.2, п.9</v>
      </c>
      <c r="J210" s="29">
        <f>IF(C210="","",IFERROR(INDEX(Перечень!$D$6:$D$51,MATCH(H210,Перечень!$A$6:$A$51,0)),12))</f>
        <v>12</v>
      </c>
      <c r="K210" s="34"/>
      <c r="L210" s="34"/>
      <c r="M210" s="31" t="str">
        <f t="shared" si="23"/>
        <v/>
      </c>
      <c r="N210" s="29" t="str">
        <f>IF(C210="","",IFERROR(INDEX(Перечень!$F$6:$F$51,MATCH(H210,Перечень!$A$6:$A$51,0)),""))</f>
        <v>Да</v>
      </c>
      <c r="O210" s="34"/>
      <c r="P210" s="31" t="str">
        <f t="shared" si="24"/>
        <v/>
      </c>
      <c r="Q210" s="29" t="str">
        <f t="shared" si="25"/>
        <v/>
      </c>
      <c r="R210" s="29" t="str">
        <f t="shared" ca="1" si="26"/>
        <v>Нет сведений</v>
      </c>
      <c r="S210" s="29" t="str">
        <f t="shared" si="27"/>
        <v>Не пройдено</v>
      </c>
    </row>
    <row r="211" spans="1:19" x14ac:dyDescent="0.3">
      <c r="A211" s="29">
        <f t="shared" si="21"/>
        <v>206</v>
      </c>
      <c r="B211" s="30" t="s">
        <v>99</v>
      </c>
      <c r="C211" s="30" t="s">
        <v>429</v>
      </c>
      <c r="D211" s="30" t="s">
        <v>430</v>
      </c>
      <c r="E211" s="30" t="s">
        <v>431</v>
      </c>
      <c r="F211" s="31">
        <v>45698</v>
      </c>
      <c r="G211" s="32" t="str">
        <f t="shared" si="22"/>
        <v>специалист</v>
      </c>
      <c r="H211" s="29">
        <f>IF(C211="","",IF(AND(G211="мастер участка",ISNUMBER(SEARCH("РЭО",E211))),29,IFERROR(INDEX(Соответствие!$B$2:$B$100,MATCH(G211,Соответствие!$A$2:$A$100,0)),"?")))</f>
        <v>12</v>
      </c>
      <c r="I211" s="33" t="str">
        <f>IF(C211="","",IFERROR(INDEX(Перечень!$C$6:$C$51,MATCH(H211,Перечень!$A$6:$A$51,0)),""))</f>
        <v>п.4.4, п.5.1, п.5.2</v>
      </c>
      <c r="J211" s="29">
        <f>IF(C211="","",IFERROR(INDEX(Перечень!$D$6:$D$51,MATCH(H211,Перечень!$A$6:$A$51,0)),12))</f>
        <v>12</v>
      </c>
      <c r="K211" s="34"/>
      <c r="L211" s="34"/>
      <c r="M211" s="31" t="str">
        <f t="shared" si="23"/>
        <v/>
      </c>
      <c r="N211" s="29" t="str">
        <f>IF(C211="","",IFERROR(INDEX(Перечень!$F$6:$F$51,MATCH(H211,Перечень!$A$6:$A$51,0)),""))</f>
        <v>-</v>
      </c>
      <c r="O211" s="34"/>
      <c r="P211" s="31" t="str">
        <f t="shared" si="24"/>
        <v/>
      </c>
      <c r="Q211" s="29" t="str">
        <f t="shared" si="25"/>
        <v/>
      </c>
      <c r="R211" s="29" t="str">
        <f t="shared" ca="1" si="26"/>
        <v>Нет сведений</v>
      </c>
      <c r="S211" s="29" t="str">
        <f t="shared" si="27"/>
        <v/>
      </c>
    </row>
    <row r="212" spans="1:19" x14ac:dyDescent="0.3">
      <c r="A212" s="29">
        <f t="shared" si="21"/>
        <v>207</v>
      </c>
      <c r="B212" s="30" t="s">
        <v>99</v>
      </c>
      <c r="C212" s="30" t="s">
        <v>432</v>
      </c>
      <c r="D212" s="30" t="s">
        <v>433</v>
      </c>
      <c r="E212" s="30" t="s">
        <v>431</v>
      </c>
      <c r="F212" s="31">
        <v>45098</v>
      </c>
      <c r="G212" s="32" t="str">
        <f t="shared" si="22"/>
        <v>уборщик производственных и служебных помещений</v>
      </c>
      <c r="H212" s="29">
        <f>IF(C212="","",IF(AND(G212="мастер участка",ISNUMBER(SEARCH("РЭО",E212))),29,IFERROR(INDEX(Соответствие!$B$2:$B$100,MATCH(G212,Соответствие!$A$2:$A$100,0)),"?")))</f>
        <v>10</v>
      </c>
      <c r="I212" s="33" t="str">
        <f>IF(C212="","",IFERROR(INDEX(Перечень!$C$6:$C$51,MATCH(H212,Перечень!$A$6:$A$51,0)),""))</f>
        <v>п.1.48, п.4.3.1, п.4.4, п.5.1</v>
      </c>
      <c r="J212" s="29">
        <f>IF(C212="","",IFERROR(INDEX(Перечень!$D$6:$D$51,MATCH(H212,Перечень!$A$6:$A$51,0)),12))</f>
        <v>12</v>
      </c>
      <c r="K212" s="34"/>
      <c r="L212" s="34"/>
      <c r="M212" s="31" t="str">
        <f t="shared" si="23"/>
        <v/>
      </c>
      <c r="N212" s="29" t="str">
        <f>IF(C212="","",IFERROR(INDEX(Перечень!$F$6:$F$51,MATCH(H212,Перечень!$A$6:$A$51,0)),""))</f>
        <v>-</v>
      </c>
      <c r="O212" s="34"/>
      <c r="P212" s="31" t="str">
        <f t="shared" si="24"/>
        <v/>
      </c>
      <c r="Q212" s="29" t="str">
        <f t="shared" si="25"/>
        <v/>
      </c>
      <c r="R212" s="29" t="str">
        <f t="shared" ca="1" si="26"/>
        <v>Нет сведений</v>
      </c>
      <c r="S212" s="29" t="str">
        <f t="shared" si="27"/>
        <v/>
      </c>
    </row>
    <row r="213" spans="1:19" x14ac:dyDescent="0.3">
      <c r="A213" s="29">
        <f t="shared" si="21"/>
        <v>208</v>
      </c>
      <c r="B213" s="30" t="s">
        <v>99</v>
      </c>
      <c r="C213" s="30" t="s">
        <v>434</v>
      </c>
      <c r="D213" s="30" t="s">
        <v>433</v>
      </c>
      <c r="E213" s="30" t="s">
        <v>431</v>
      </c>
      <c r="F213" s="31">
        <v>42849</v>
      </c>
      <c r="G213" s="32" t="str">
        <f t="shared" si="22"/>
        <v>уборщик производственных и служебных помещений</v>
      </c>
      <c r="H213" s="29">
        <f>IF(C213="","",IF(AND(G213="мастер участка",ISNUMBER(SEARCH("РЭО",E213))),29,IFERROR(INDEX(Соответствие!$B$2:$B$100,MATCH(G213,Соответствие!$A$2:$A$100,0)),"?")))</f>
        <v>10</v>
      </c>
      <c r="I213" s="33" t="str">
        <f>IF(C213="","",IFERROR(INDEX(Перечень!$C$6:$C$51,MATCH(H213,Перечень!$A$6:$A$51,0)),""))</f>
        <v>п.1.48, п.4.3.1, п.4.4, п.5.1</v>
      </c>
      <c r="J213" s="29">
        <f>IF(C213="","",IFERROR(INDEX(Перечень!$D$6:$D$51,MATCH(H213,Перечень!$A$6:$A$51,0)),12))</f>
        <v>12</v>
      </c>
      <c r="K213" s="34"/>
      <c r="L213" s="34"/>
      <c r="M213" s="31" t="str">
        <f t="shared" si="23"/>
        <v/>
      </c>
      <c r="N213" s="29" t="str">
        <f>IF(C213="","",IFERROR(INDEX(Перечень!$F$6:$F$51,MATCH(H213,Перечень!$A$6:$A$51,0)),""))</f>
        <v>-</v>
      </c>
      <c r="O213" s="34"/>
      <c r="P213" s="31" t="str">
        <f t="shared" si="24"/>
        <v/>
      </c>
      <c r="Q213" s="29" t="str">
        <f t="shared" si="25"/>
        <v/>
      </c>
      <c r="R213" s="29" t="str">
        <f t="shared" ca="1" si="26"/>
        <v>Нет сведений</v>
      </c>
      <c r="S213" s="29" t="str">
        <f t="shared" si="27"/>
        <v/>
      </c>
    </row>
    <row r="214" spans="1:19" x14ac:dyDescent="0.3">
      <c r="A214" s="29">
        <f t="shared" si="21"/>
        <v>209</v>
      </c>
      <c r="B214" s="30" t="s">
        <v>99</v>
      </c>
      <c r="C214" s="30" t="s">
        <v>435</v>
      </c>
      <c r="D214" s="30" t="s">
        <v>433</v>
      </c>
      <c r="E214" s="30" t="s">
        <v>431</v>
      </c>
      <c r="F214" s="31">
        <v>46086</v>
      </c>
      <c r="G214" s="32" t="str">
        <f t="shared" si="22"/>
        <v>уборщик производственных и служебных помещений</v>
      </c>
      <c r="H214" s="29">
        <f>IF(C214="","",IF(AND(G214="мастер участка",ISNUMBER(SEARCH("РЭО",E214))),29,IFERROR(INDEX(Соответствие!$B$2:$B$100,MATCH(G214,Соответствие!$A$2:$A$100,0)),"?")))</f>
        <v>10</v>
      </c>
      <c r="I214" s="33" t="str">
        <f>IF(C214="","",IFERROR(INDEX(Перечень!$C$6:$C$51,MATCH(H214,Перечень!$A$6:$A$51,0)),""))</f>
        <v>п.1.48, п.4.3.1, п.4.4, п.5.1</v>
      </c>
      <c r="J214" s="29">
        <f>IF(C214="","",IFERROR(INDEX(Перечень!$D$6:$D$51,MATCH(H214,Перечень!$A$6:$A$51,0)),12))</f>
        <v>12</v>
      </c>
      <c r="K214" s="34"/>
      <c r="L214" s="34"/>
      <c r="M214" s="31" t="str">
        <f t="shared" si="23"/>
        <v/>
      </c>
      <c r="N214" s="29" t="str">
        <f>IF(C214="","",IFERROR(INDEX(Перечень!$F$6:$F$51,MATCH(H214,Перечень!$A$6:$A$51,0)),""))</f>
        <v>-</v>
      </c>
      <c r="O214" s="34"/>
      <c r="P214" s="31" t="str">
        <f t="shared" si="24"/>
        <v/>
      </c>
      <c r="Q214" s="29" t="str">
        <f t="shared" si="25"/>
        <v/>
      </c>
      <c r="R214" s="29" t="str">
        <f t="shared" ca="1" si="26"/>
        <v>Нет сведений</v>
      </c>
      <c r="S214" s="29" t="str">
        <f t="shared" si="27"/>
        <v/>
      </c>
    </row>
    <row r="215" spans="1:19" x14ac:dyDescent="0.3">
      <c r="A215" s="29">
        <f t="shared" si="21"/>
        <v>210</v>
      </c>
      <c r="B215" s="30" t="s">
        <v>99</v>
      </c>
      <c r="C215" s="30" t="s">
        <v>436</v>
      </c>
      <c r="D215" s="30" t="s">
        <v>433</v>
      </c>
      <c r="E215" s="30" t="s">
        <v>431</v>
      </c>
      <c r="F215" s="31">
        <v>45978</v>
      </c>
      <c r="G215" s="32" t="str">
        <f t="shared" si="22"/>
        <v>уборщик производственных и служебных помещений</v>
      </c>
      <c r="H215" s="29">
        <f>IF(C215="","",IF(AND(G215="мастер участка",ISNUMBER(SEARCH("РЭО",E215))),29,IFERROR(INDEX(Соответствие!$B$2:$B$100,MATCH(G215,Соответствие!$A$2:$A$100,0)),"?")))</f>
        <v>10</v>
      </c>
      <c r="I215" s="33" t="str">
        <f>IF(C215="","",IFERROR(INDEX(Перечень!$C$6:$C$51,MATCH(H215,Перечень!$A$6:$A$51,0)),""))</f>
        <v>п.1.48, п.4.3.1, п.4.4, п.5.1</v>
      </c>
      <c r="J215" s="29">
        <f>IF(C215="","",IFERROR(INDEX(Перечень!$D$6:$D$51,MATCH(H215,Перечень!$A$6:$A$51,0)),12))</f>
        <v>12</v>
      </c>
      <c r="K215" s="34"/>
      <c r="L215" s="34"/>
      <c r="M215" s="31" t="str">
        <f t="shared" si="23"/>
        <v/>
      </c>
      <c r="N215" s="29" t="str">
        <f>IF(C215="","",IFERROR(INDEX(Перечень!$F$6:$F$51,MATCH(H215,Перечень!$A$6:$A$51,0)),""))</f>
        <v>-</v>
      </c>
      <c r="O215" s="34"/>
      <c r="P215" s="31" t="str">
        <f t="shared" si="24"/>
        <v/>
      </c>
      <c r="Q215" s="29" t="str">
        <f t="shared" si="25"/>
        <v/>
      </c>
      <c r="R215" s="29" t="str">
        <f t="shared" ca="1" si="26"/>
        <v>Нет сведений</v>
      </c>
      <c r="S215" s="29" t="str">
        <f t="shared" si="27"/>
        <v/>
      </c>
    </row>
    <row r="216" spans="1:19" x14ac:dyDescent="0.3">
      <c r="A216" s="29">
        <f t="shared" si="21"/>
        <v>211</v>
      </c>
      <c r="B216" s="30" t="s">
        <v>99</v>
      </c>
      <c r="C216" s="30" t="s">
        <v>437</v>
      </c>
      <c r="D216" s="30" t="s">
        <v>433</v>
      </c>
      <c r="E216" s="30" t="s">
        <v>431</v>
      </c>
      <c r="F216" s="31">
        <v>45936</v>
      </c>
      <c r="G216" s="32" t="str">
        <f t="shared" si="22"/>
        <v>уборщик производственных и служебных помещений</v>
      </c>
      <c r="H216" s="29">
        <f>IF(C216="","",IF(AND(G216="мастер участка",ISNUMBER(SEARCH("РЭО",E216))),29,IFERROR(INDEX(Соответствие!$B$2:$B$100,MATCH(G216,Соответствие!$A$2:$A$100,0)),"?")))</f>
        <v>10</v>
      </c>
      <c r="I216" s="33" t="str">
        <f>IF(C216="","",IFERROR(INDEX(Перечень!$C$6:$C$51,MATCH(H216,Перечень!$A$6:$A$51,0)),""))</f>
        <v>п.1.48, п.4.3.1, п.4.4, п.5.1</v>
      </c>
      <c r="J216" s="29">
        <f>IF(C216="","",IFERROR(INDEX(Перечень!$D$6:$D$51,MATCH(H216,Перечень!$A$6:$A$51,0)),12))</f>
        <v>12</v>
      </c>
      <c r="K216" s="34"/>
      <c r="L216" s="34"/>
      <c r="M216" s="31" t="str">
        <f t="shared" si="23"/>
        <v/>
      </c>
      <c r="N216" s="29" t="str">
        <f>IF(C216="","",IFERROR(INDEX(Перечень!$F$6:$F$51,MATCH(H216,Перечень!$A$6:$A$51,0)),""))</f>
        <v>-</v>
      </c>
      <c r="O216" s="34"/>
      <c r="P216" s="31" t="str">
        <f t="shared" si="24"/>
        <v/>
      </c>
      <c r="Q216" s="29" t="str">
        <f t="shared" si="25"/>
        <v/>
      </c>
      <c r="R216" s="29" t="str">
        <f t="shared" ca="1" si="26"/>
        <v>Нет сведений</v>
      </c>
      <c r="S216" s="29" t="str">
        <f t="shared" si="27"/>
        <v/>
      </c>
    </row>
    <row r="217" spans="1:19" x14ac:dyDescent="0.3">
      <c r="A217" s="29">
        <f t="shared" si="21"/>
        <v>212</v>
      </c>
      <c r="B217" s="30" t="s">
        <v>99</v>
      </c>
      <c r="C217" s="30" t="s">
        <v>438</v>
      </c>
      <c r="D217" s="30" t="s">
        <v>433</v>
      </c>
      <c r="E217" s="30" t="s">
        <v>431</v>
      </c>
      <c r="F217" s="31">
        <v>45930</v>
      </c>
      <c r="G217" s="32" t="str">
        <f t="shared" si="22"/>
        <v>уборщик производственных и служебных помещений</v>
      </c>
      <c r="H217" s="29">
        <f>IF(C217="","",IF(AND(G217="мастер участка",ISNUMBER(SEARCH("РЭО",E217))),29,IFERROR(INDEX(Соответствие!$B$2:$B$100,MATCH(G217,Соответствие!$A$2:$A$100,0)),"?")))</f>
        <v>10</v>
      </c>
      <c r="I217" s="33" t="str">
        <f>IF(C217="","",IFERROR(INDEX(Перечень!$C$6:$C$51,MATCH(H217,Перечень!$A$6:$A$51,0)),""))</f>
        <v>п.1.48, п.4.3.1, п.4.4, п.5.1</v>
      </c>
      <c r="J217" s="29">
        <f>IF(C217="","",IFERROR(INDEX(Перечень!$D$6:$D$51,MATCH(H217,Перечень!$A$6:$A$51,0)),12))</f>
        <v>12</v>
      </c>
      <c r="K217" s="34"/>
      <c r="L217" s="34"/>
      <c r="M217" s="31" t="str">
        <f t="shared" si="23"/>
        <v/>
      </c>
      <c r="N217" s="29" t="str">
        <f>IF(C217="","",IFERROR(INDEX(Перечень!$F$6:$F$51,MATCH(H217,Перечень!$A$6:$A$51,0)),""))</f>
        <v>-</v>
      </c>
      <c r="O217" s="34"/>
      <c r="P217" s="31" t="str">
        <f t="shared" si="24"/>
        <v/>
      </c>
      <c r="Q217" s="29" t="str">
        <f t="shared" si="25"/>
        <v/>
      </c>
      <c r="R217" s="29" t="str">
        <f t="shared" ca="1" si="26"/>
        <v>Нет сведений</v>
      </c>
      <c r="S217" s="29" t="str">
        <f t="shared" si="27"/>
        <v/>
      </c>
    </row>
    <row r="218" spans="1:19" x14ac:dyDescent="0.3">
      <c r="A218" s="29">
        <f t="shared" si="21"/>
        <v>213</v>
      </c>
      <c r="B218" s="30" t="s">
        <v>99</v>
      </c>
      <c r="C218" s="30" t="s">
        <v>439</v>
      </c>
      <c r="D218" s="30" t="s">
        <v>440</v>
      </c>
      <c r="E218" s="30" t="s">
        <v>441</v>
      </c>
      <c r="F218" s="31">
        <v>45545</v>
      </c>
      <c r="G218" s="32" t="str">
        <f t="shared" si="22"/>
        <v>сторож</v>
      </c>
      <c r="H218" s="29">
        <f>IF(C218="","",IF(AND(G218="мастер участка",ISNUMBER(SEARCH("РЭО",E218))),29,IFERROR(INDEX(Соответствие!$B$2:$B$100,MATCH(G218,Соответствие!$A$2:$A$100,0)),"?")))</f>
        <v>45</v>
      </c>
      <c r="I218" s="33" t="str">
        <f>IF(C218="","",IFERROR(INDEX(Перечень!$C$6:$C$51,MATCH(H218,Перечень!$A$6:$A$51,0)),""))</f>
        <v>п.4.7, п.4.8, п.5.1, п.5.2</v>
      </c>
      <c r="J218" s="29">
        <f>IF(C218="","",IFERROR(INDEX(Перечень!$D$6:$D$51,MATCH(H218,Перечень!$A$6:$A$51,0)),12))</f>
        <v>12</v>
      </c>
      <c r="K218" s="34"/>
      <c r="L218" s="34"/>
      <c r="M218" s="31" t="str">
        <f t="shared" si="23"/>
        <v/>
      </c>
      <c r="N218" s="29" t="str">
        <f>IF(C218="","",IFERROR(INDEX(Перечень!$F$6:$F$51,MATCH(H218,Перечень!$A$6:$A$51,0)),""))</f>
        <v>Нет</v>
      </c>
      <c r="O218" s="34"/>
      <c r="P218" s="31" t="str">
        <f t="shared" si="24"/>
        <v/>
      </c>
      <c r="Q218" s="29" t="str">
        <f t="shared" si="25"/>
        <v/>
      </c>
      <c r="R218" s="29" t="str">
        <f t="shared" ca="1" si="26"/>
        <v>Нет сведений</v>
      </c>
      <c r="S218" s="29" t="str">
        <f t="shared" si="27"/>
        <v/>
      </c>
    </row>
    <row r="219" spans="1:19" x14ac:dyDescent="0.3">
      <c r="A219" s="29">
        <f t="shared" si="21"/>
        <v>214</v>
      </c>
      <c r="B219" s="30" t="s">
        <v>99</v>
      </c>
      <c r="C219" s="30" t="s">
        <v>442</v>
      </c>
      <c r="D219" s="30" t="s">
        <v>440</v>
      </c>
      <c r="E219" s="30" t="s">
        <v>441</v>
      </c>
      <c r="F219" s="31">
        <v>42919</v>
      </c>
      <c r="G219" s="32" t="str">
        <f t="shared" si="22"/>
        <v>сторож</v>
      </c>
      <c r="H219" s="29">
        <f>IF(C219="","",IF(AND(G219="мастер участка",ISNUMBER(SEARCH("РЭО",E219))),29,IFERROR(INDEX(Соответствие!$B$2:$B$100,MATCH(G219,Соответствие!$A$2:$A$100,0)),"?")))</f>
        <v>45</v>
      </c>
      <c r="I219" s="33" t="str">
        <f>IF(C219="","",IFERROR(INDEX(Перечень!$C$6:$C$51,MATCH(H219,Перечень!$A$6:$A$51,0)),""))</f>
        <v>п.4.7, п.4.8, п.5.1, п.5.2</v>
      </c>
      <c r="J219" s="29">
        <f>IF(C219="","",IFERROR(INDEX(Перечень!$D$6:$D$51,MATCH(H219,Перечень!$A$6:$A$51,0)),12))</f>
        <v>12</v>
      </c>
      <c r="K219" s="34"/>
      <c r="L219" s="34"/>
      <c r="M219" s="31" t="str">
        <f t="shared" si="23"/>
        <v/>
      </c>
      <c r="N219" s="29" t="str">
        <f>IF(C219="","",IFERROR(INDEX(Перечень!$F$6:$F$51,MATCH(H219,Перечень!$A$6:$A$51,0)),""))</f>
        <v>Нет</v>
      </c>
      <c r="O219" s="34"/>
      <c r="P219" s="31" t="str">
        <f t="shared" si="24"/>
        <v/>
      </c>
      <c r="Q219" s="29" t="str">
        <f t="shared" si="25"/>
        <v/>
      </c>
      <c r="R219" s="29" t="str">
        <f t="shared" ca="1" si="26"/>
        <v>Нет сведений</v>
      </c>
      <c r="S219" s="29" t="str">
        <f t="shared" si="27"/>
        <v/>
      </c>
    </row>
    <row r="220" spans="1:19" x14ac:dyDescent="0.3">
      <c r="A220" s="29">
        <f t="shared" si="21"/>
        <v>215</v>
      </c>
      <c r="B220" s="30" t="s">
        <v>99</v>
      </c>
      <c r="C220" s="30" t="s">
        <v>443</v>
      </c>
      <c r="D220" s="30" t="s">
        <v>440</v>
      </c>
      <c r="E220" s="30" t="s">
        <v>441</v>
      </c>
      <c r="F220" s="31">
        <v>42919</v>
      </c>
      <c r="G220" s="32" t="str">
        <f t="shared" si="22"/>
        <v>сторож</v>
      </c>
      <c r="H220" s="29">
        <f>IF(C220="","",IF(AND(G220="мастер участка",ISNUMBER(SEARCH("РЭО",E220))),29,IFERROR(INDEX(Соответствие!$B$2:$B$100,MATCH(G220,Соответствие!$A$2:$A$100,0)),"?")))</f>
        <v>45</v>
      </c>
      <c r="I220" s="33" t="str">
        <f>IF(C220="","",IFERROR(INDEX(Перечень!$C$6:$C$51,MATCH(H220,Перечень!$A$6:$A$51,0)),""))</f>
        <v>п.4.7, п.4.8, п.5.1, п.5.2</v>
      </c>
      <c r="J220" s="29">
        <f>IF(C220="","",IFERROR(INDEX(Перечень!$D$6:$D$51,MATCH(H220,Перечень!$A$6:$A$51,0)),12))</f>
        <v>12</v>
      </c>
      <c r="K220" s="34"/>
      <c r="L220" s="34"/>
      <c r="M220" s="31" t="str">
        <f t="shared" si="23"/>
        <v/>
      </c>
      <c r="N220" s="29" t="str">
        <f>IF(C220="","",IFERROR(INDEX(Перечень!$F$6:$F$51,MATCH(H220,Перечень!$A$6:$A$51,0)),""))</f>
        <v>Нет</v>
      </c>
      <c r="O220" s="34"/>
      <c r="P220" s="31" t="str">
        <f t="shared" si="24"/>
        <v/>
      </c>
      <c r="Q220" s="29" t="str">
        <f t="shared" si="25"/>
        <v/>
      </c>
      <c r="R220" s="29" t="str">
        <f t="shared" ca="1" si="26"/>
        <v>Нет сведений</v>
      </c>
      <c r="S220" s="29" t="str">
        <f t="shared" si="27"/>
        <v/>
      </c>
    </row>
    <row r="221" spans="1:19" x14ac:dyDescent="0.3">
      <c r="A221" s="29">
        <f t="shared" si="21"/>
        <v>216</v>
      </c>
      <c r="B221" s="30" t="s">
        <v>99</v>
      </c>
      <c r="C221" s="30" t="s">
        <v>444</v>
      </c>
      <c r="D221" s="30" t="s">
        <v>440</v>
      </c>
      <c r="E221" s="30" t="s">
        <v>441</v>
      </c>
      <c r="F221" s="31">
        <v>45398</v>
      </c>
      <c r="G221" s="32" t="str">
        <f t="shared" si="22"/>
        <v>сторож</v>
      </c>
      <c r="H221" s="29">
        <f>IF(C221="","",IF(AND(G221="мастер участка",ISNUMBER(SEARCH("РЭО",E221))),29,IFERROR(INDEX(Соответствие!$B$2:$B$100,MATCH(G221,Соответствие!$A$2:$A$100,0)),"?")))</f>
        <v>45</v>
      </c>
      <c r="I221" s="33" t="str">
        <f>IF(C221="","",IFERROR(INDEX(Перечень!$C$6:$C$51,MATCH(H221,Перечень!$A$6:$A$51,0)),""))</f>
        <v>п.4.7, п.4.8, п.5.1, п.5.2</v>
      </c>
      <c r="J221" s="29">
        <f>IF(C221="","",IFERROR(INDEX(Перечень!$D$6:$D$51,MATCH(H221,Перечень!$A$6:$A$51,0)),12))</f>
        <v>12</v>
      </c>
      <c r="K221" s="34"/>
      <c r="L221" s="34"/>
      <c r="M221" s="31" t="str">
        <f t="shared" si="23"/>
        <v/>
      </c>
      <c r="N221" s="29" t="str">
        <f>IF(C221="","",IFERROR(INDEX(Перечень!$F$6:$F$51,MATCH(H221,Перечень!$A$6:$A$51,0)),""))</f>
        <v>Нет</v>
      </c>
      <c r="O221" s="34"/>
      <c r="P221" s="31" t="str">
        <f t="shared" si="24"/>
        <v/>
      </c>
      <c r="Q221" s="29" t="str">
        <f t="shared" si="25"/>
        <v/>
      </c>
      <c r="R221" s="29" t="str">
        <f t="shared" ca="1" si="26"/>
        <v>Нет сведений</v>
      </c>
      <c r="S221" s="29" t="str">
        <f t="shared" si="27"/>
        <v/>
      </c>
    </row>
    <row r="222" spans="1:19" x14ac:dyDescent="0.3">
      <c r="A222" s="29">
        <f t="shared" si="21"/>
        <v>217</v>
      </c>
      <c r="B222" s="30" t="s">
        <v>99</v>
      </c>
      <c r="C222" s="30" t="s">
        <v>445</v>
      </c>
      <c r="D222" s="30" t="s">
        <v>440</v>
      </c>
      <c r="E222" s="30" t="s">
        <v>441</v>
      </c>
      <c r="F222" s="31">
        <v>42919</v>
      </c>
      <c r="G222" s="32" t="str">
        <f t="shared" si="22"/>
        <v>сторож</v>
      </c>
      <c r="H222" s="29">
        <f>IF(C222="","",IF(AND(G222="мастер участка",ISNUMBER(SEARCH("РЭО",E222))),29,IFERROR(INDEX(Соответствие!$B$2:$B$100,MATCH(G222,Соответствие!$A$2:$A$100,0)),"?")))</f>
        <v>45</v>
      </c>
      <c r="I222" s="33" t="str">
        <f>IF(C222="","",IFERROR(INDEX(Перечень!$C$6:$C$51,MATCH(H222,Перечень!$A$6:$A$51,0)),""))</f>
        <v>п.4.7, п.4.8, п.5.1, п.5.2</v>
      </c>
      <c r="J222" s="29">
        <f>IF(C222="","",IFERROR(INDEX(Перечень!$D$6:$D$51,MATCH(H222,Перечень!$A$6:$A$51,0)),12))</f>
        <v>12</v>
      </c>
      <c r="K222" s="34"/>
      <c r="L222" s="34"/>
      <c r="M222" s="31" t="str">
        <f t="shared" si="23"/>
        <v/>
      </c>
      <c r="N222" s="29" t="str">
        <f>IF(C222="","",IFERROR(INDEX(Перечень!$F$6:$F$51,MATCH(H222,Перечень!$A$6:$A$51,0)),""))</f>
        <v>Нет</v>
      </c>
      <c r="O222" s="34"/>
      <c r="P222" s="31" t="str">
        <f t="shared" si="24"/>
        <v/>
      </c>
      <c r="Q222" s="29" t="str">
        <f t="shared" si="25"/>
        <v/>
      </c>
      <c r="R222" s="29" t="str">
        <f t="shared" ca="1" si="26"/>
        <v>Нет сведений</v>
      </c>
      <c r="S222" s="29" t="str">
        <f t="shared" si="27"/>
        <v/>
      </c>
    </row>
    <row r="223" spans="1:19" x14ac:dyDescent="0.3">
      <c r="A223" s="29">
        <f t="shared" si="21"/>
        <v>218</v>
      </c>
      <c r="B223" s="30" t="s">
        <v>99</v>
      </c>
      <c r="C223" s="30" t="s">
        <v>446</v>
      </c>
      <c r="D223" s="30" t="s">
        <v>440</v>
      </c>
      <c r="E223" s="30" t="s">
        <v>441</v>
      </c>
      <c r="F223" s="31">
        <v>42919</v>
      </c>
      <c r="G223" s="32" t="str">
        <f t="shared" si="22"/>
        <v>сторож</v>
      </c>
      <c r="H223" s="29">
        <f>IF(C223="","",IF(AND(G223="мастер участка",ISNUMBER(SEARCH("РЭО",E223))),29,IFERROR(INDEX(Соответствие!$B$2:$B$100,MATCH(G223,Соответствие!$A$2:$A$100,0)),"?")))</f>
        <v>45</v>
      </c>
      <c r="I223" s="33" t="str">
        <f>IF(C223="","",IFERROR(INDEX(Перечень!$C$6:$C$51,MATCH(H223,Перечень!$A$6:$A$51,0)),""))</f>
        <v>п.4.7, п.4.8, п.5.1, п.5.2</v>
      </c>
      <c r="J223" s="29">
        <f>IF(C223="","",IFERROR(INDEX(Перечень!$D$6:$D$51,MATCH(H223,Перечень!$A$6:$A$51,0)),12))</f>
        <v>12</v>
      </c>
      <c r="K223" s="34"/>
      <c r="L223" s="34"/>
      <c r="M223" s="31" t="str">
        <f t="shared" si="23"/>
        <v/>
      </c>
      <c r="N223" s="29" t="str">
        <f>IF(C223="","",IFERROR(INDEX(Перечень!$F$6:$F$51,MATCH(H223,Перечень!$A$6:$A$51,0)),""))</f>
        <v>Нет</v>
      </c>
      <c r="O223" s="34"/>
      <c r="P223" s="31" t="str">
        <f t="shared" si="24"/>
        <v/>
      </c>
      <c r="Q223" s="29" t="str">
        <f t="shared" si="25"/>
        <v/>
      </c>
      <c r="R223" s="29" t="str">
        <f t="shared" ca="1" si="26"/>
        <v>Нет сведений</v>
      </c>
      <c r="S223" s="29" t="str">
        <f t="shared" si="27"/>
        <v/>
      </c>
    </row>
    <row r="224" spans="1:19" x14ac:dyDescent="0.3">
      <c r="A224" s="29">
        <f t="shared" si="21"/>
        <v>219</v>
      </c>
      <c r="B224" s="30" t="s">
        <v>99</v>
      </c>
      <c r="C224" s="30" t="s">
        <v>447</v>
      </c>
      <c r="D224" s="30" t="s">
        <v>440</v>
      </c>
      <c r="E224" s="30" t="s">
        <v>441</v>
      </c>
      <c r="F224" s="31">
        <v>42919</v>
      </c>
      <c r="G224" s="32" t="str">
        <f t="shared" si="22"/>
        <v>сторож</v>
      </c>
      <c r="H224" s="29">
        <f>IF(C224="","",IF(AND(G224="мастер участка",ISNUMBER(SEARCH("РЭО",E224))),29,IFERROR(INDEX(Соответствие!$B$2:$B$100,MATCH(G224,Соответствие!$A$2:$A$100,0)),"?")))</f>
        <v>45</v>
      </c>
      <c r="I224" s="33" t="str">
        <f>IF(C224="","",IFERROR(INDEX(Перечень!$C$6:$C$51,MATCH(H224,Перечень!$A$6:$A$51,0)),""))</f>
        <v>п.4.7, п.4.8, п.5.1, п.5.2</v>
      </c>
      <c r="J224" s="29">
        <f>IF(C224="","",IFERROR(INDEX(Перечень!$D$6:$D$51,MATCH(H224,Перечень!$A$6:$A$51,0)),12))</f>
        <v>12</v>
      </c>
      <c r="K224" s="34"/>
      <c r="L224" s="34"/>
      <c r="M224" s="31" t="str">
        <f t="shared" si="23"/>
        <v/>
      </c>
      <c r="N224" s="29" t="str">
        <f>IF(C224="","",IFERROR(INDEX(Перечень!$F$6:$F$51,MATCH(H224,Перечень!$A$6:$A$51,0)),""))</f>
        <v>Нет</v>
      </c>
      <c r="O224" s="34"/>
      <c r="P224" s="31" t="str">
        <f t="shared" si="24"/>
        <v/>
      </c>
      <c r="Q224" s="29" t="str">
        <f t="shared" si="25"/>
        <v/>
      </c>
      <c r="R224" s="29" t="str">
        <f t="shared" ca="1" si="26"/>
        <v>Нет сведений</v>
      </c>
      <c r="S224" s="29" t="str">
        <f t="shared" si="27"/>
        <v/>
      </c>
    </row>
    <row r="225" spans="1:19" x14ac:dyDescent="0.3">
      <c r="A225" s="29">
        <f t="shared" si="21"/>
        <v>220</v>
      </c>
      <c r="B225" s="30" t="s">
        <v>99</v>
      </c>
      <c r="C225" s="30" t="s">
        <v>448</v>
      </c>
      <c r="D225" s="30" t="s">
        <v>449</v>
      </c>
      <c r="E225" s="30" t="s">
        <v>441</v>
      </c>
      <c r="F225" s="31">
        <v>42919</v>
      </c>
      <c r="G225" s="32" t="str">
        <f t="shared" si="22"/>
        <v>старший сторож</v>
      </c>
      <c r="H225" s="29">
        <f>IF(C225="","",IF(AND(G225="мастер участка",ISNUMBER(SEARCH("РЭО",E225))),29,IFERROR(INDEX(Соответствие!$B$2:$B$100,MATCH(G225,Соответствие!$A$2:$A$100,0)),"?")))</f>
        <v>45</v>
      </c>
      <c r="I225" s="33" t="str">
        <f>IF(C225="","",IFERROR(INDEX(Перечень!$C$6:$C$51,MATCH(H225,Перечень!$A$6:$A$51,0)),""))</f>
        <v>п.4.7, п.4.8, п.5.1, п.5.2</v>
      </c>
      <c r="J225" s="29">
        <f>IF(C225="","",IFERROR(INDEX(Перечень!$D$6:$D$51,MATCH(H225,Перечень!$A$6:$A$51,0)),12))</f>
        <v>12</v>
      </c>
      <c r="K225" s="34"/>
      <c r="L225" s="34"/>
      <c r="M225" s="31" t="str">
        <f t="shared" si="23"/>
        <v/>
      </c>
      <c r="N225" s="29" t="str">
        <f>IF(C225="","",IFERROR(INDEX(Перечень!$F$6:$F$51,MATCH(H225,Перечень!$A$6:$A$51,0)),""))</f>
        <v>Нет</v>
      </c>
      <c r="O225" s="34"/>
      <c r="P225" s="31" t="str">
        <f t="shared" si="24"/>
        <v/>
      </c>
      <c r="Q225" s="29" t="str">
        <f t="shared" si="25"/>
        <v/>
      </c>
      <c r="R225" s="29" t="str">
        <f t="shared" ca="1" si="26"/>
        <v>Нет сведений</v>
      </c>
      <c r="S225" s="29" t="str">
        <f t="shared" si="27"/>
        <v/>
      </c>
    </row>
    <row r="226" spans="1:19" x14ac:dyDescent="0.3">
      <c r="A226" s="29">
        <f t="shared" si="21"/>
        <v>221</v>
      </c>
      <c r="B226" s="30" t="s">
        <v>99</v>
      </c>
      <c r="C226" s="30" t="s">
        <v>450</v>
      </c>
      <c r="D226" s="30" t="s">
        <v>451</v>
      </c>
      <c r="E226" s="30" t="s">
        <v>441</v>
      </c>
      <c r="F226" s="31">
        <v>45756</v>
      </c>
      <c r="G226" s="32" t="str">
        <f t="shared" si="22"/>
        <v>старший охраны объекта</v>
      </c>
      <c r="H226" s="29">
        <f>IF(C226="","",IF(AND(G226="мастер участка",ISNUMBER(SEARCH("РЭО",E226))),29,IFERROR(INDEX(Соответствие!$B$2:$B$100,MATCH(G226,Соответствие!$A$2:$A$100,0)),"?")))</f>
        <v>45</v>
      </c>
      <c r="I226" s="33" t="str">
        <f>IF(C226="","",IFERROR(INDEX(Перечень!$C$6:$C$51,MATCH(H226,Перечень!$A$6:$A$51,0)),""))</f>
        <v>п.4.7, п.4.8, п.5.1, п.5.2</v>
      </c>
      <c r="J226" s="29">
        <f>IF(C226="","",IFERROR(INDEX(Перечень!$D$6:$D$51,MATCH(H226,Перечень!$A$6:$A$51,0)),12))</f>
        <v>12</v>
      </c>
      <c r="K226" s="34"/>
      <c r="L226" s="34"/>
      <c r="M226" s="31" t="str">
        <f t="shared" si="23"/>
        <v/>
      </c>
      <c r="N226" s="29" t="str">
        <f>IF(C226="","",IFERROR(INDEX(Перечень!$F$6:$F$51,MATCH(H226,Перечень!$A$6:$A$51,0)),""))</f>
        <v>Нет</v>
      </c>
      <c r="O226" s="34"/>
      <c r="P226" s="31" t="str">
        <f t="shared" si="24"/>
        <v/>
      </c>
      <c r="Q226" s="29" t="str">
        <f t="shared" si="25"/>
        <v/>
      </c>
      <c r="R226" s="29" t="str">
        <f t="shared" ca="1" si="26"/>
        <v>Нет сведений</v>
      </c>
      <c r="S226" s="29" t="str">
        <f t="shared" si="27"/>
        <v/>
      </c>
    </row>
    <row r="227" spans="1:19" x14ac:dyDescent="0.3">
      <c r="A227" s="29">
        <f t="shared" si="21"/>
        <v>222</v>
      </c>
      <c r="B227" s="30" t="s">
        <v>99</v>
      </c>
      <c r="C227" s="30" t="s">
        <v>452</v>
      </c>
      <c r="D227" s="30" t="s">
        <v>453</v>
      </c>
      <c r="E227" s="30" t="s">
        <v>454</v>
      </c>
      <c r="F227" s="31">
        <v>40560</v>
      </c>
      <c r="G227" s="32" t="str">
        <f t="shared" si="22"/>
        <v>старший кладовщик</v>
      </c>
      <c r="H227" s="29">
        <f>IF(C227="","",IF(AND(G227="мастер участка",ISNUMBER(SEARCH("РЭО",E227))),29,IFERROR(INDEX(Соответствие!$B$2:$B$100,MATCH(G227,Соответствие!$A$2:$A$100,0)),"?")))</f>
        <v>14</v>
      </c>
      <c r="I227" s="33" t="str">
        <f>IF(C227="","",IFERROR(INDEX(Перечень!$C$6:$C$51,MATCH(H227,Перечень!$A$6:$A$51,0)),""))</f>
        <v>п.4.4, п.5.1, п.6.2</v>
      </c>
      <c r="J227" s="29">
        <f>IF(C227="","",IFERROR(INDEX(Перечень!$D$6:$D$51,MATCH(H227,Перечень!$A$6:$A$51,0)),12))</f>
        <v>12</v>
      </c>
      <c r="K227" s="34"/>
      <c r="L227" s="34"/>
      <c r="M227" s="31" t="str">
        <f t="shared" si="23"/>
        <v/>
      </c>
      <c r="N227" s="29" t="str">
        <f>IF(C227="","",IFERROR(INDEX(Перечень!$F$6:$F$51,MATCH(H227,Перечень!$A$6:$A$51,0)),""))</f>
        <v>-</v>
      </c>
      <c r="O227" s="34"/>
      <c r="P227" s="31" t="str">
        <f t="shared" si="24"/>
        <v/>
      </c>
      <c r="Q227" s="29" t="str">
        <f t="shared" si="25"/>
        <v/>
      </c>
      <c r="R227" s="29" t="str">
        <f t="shared" ca="1" si="26"/>
        <v>Нет сведений</v>
      </c>
      <c r="S227" s="29" t="str">
        <f t="shared" si="27"/>
        <v/>
      </c>
    </row>
    <row r="228" spans="1:19" x14ac:dyDescent="0.3">
      <c r="A228" s="29">
        <f t="shared" si="21"/>
        <v>223</v>
      </c>
      <c r="B228" s="30" t="s">
        <v>99</v>
      </c>
      <c r="C228" s="30" t="s">
        <v>455</v>
      </c>
      <c r="D228" s="30" t="s">
        <v>453</v>
      </c>
      <c r="E228" s="30" t="s">
        <v>454</v>
      </c>
      <c r="F228" s="31">
        <v>45365</v>
      </c>
      <c r="G228" s="32" t="str">
        <f t="shared" si="22"/>
        <v>старший кладовщик</v>
      </c>
      <c r="H228" s="29">
        <f>IF(C228="","",IF(AND(G228="мастер участка",ISNUMBER(SEARCH("РЭО",E228))),29,IFERROR(INDEX(Соответствие!$B$2:$B$100,MATCH(G228,Соответствие!$A$2:$A$100,0)),"?")))</f>
        <v>14</v>
      </c>
      <c r="I228" s="33" t="str">
        <f>IF(C228="","",IFERROR(INDEX(Перечень!$C$6:$C$51,MATCH(H228,Перечень!$A$6:$A$51,0)),""))</f>
        <v>п.4.4, п.5.1, п.6.2</v>
      </c>
      <c r="J228" s="29">
        <f>IF(C228="","",IFERROR(INDEX(Перечень!$D$6:$D$51,MATCH(H228,Перечень!$A$6:$A$51,0)),12))</f>
        <v>12</v>
      </c>
      <c r="K228" s="34"/>
      <c r="L228" s="34"/>
      <c r="M228" s="31" t="str">
        <f t="shared" si="23"/>
        <v/>
      </c>
      <c r="N228" s="29" t="str">
        <f>IF(C228="","",IFERROR(INDEX(Перечень!$F$6:$F$51,MATCH(H228,Перечень!$A$6:$A$51,0)),""))</f>
        <v>-</v>
      </c>
      <c r="O228" s="34"/>
      <c r="P228" s="31" t="str">
        <f t="shared" si="24"/>
        <v/>
      </c>
      <c r="Q228" s="29" t="str">
        <f t="shared" si="25"/>
        <v/>
      </c>
      <c r="R228" s="29" t="str">
        <f t="shared" ca="1" si="26"/>
        <v>Нет сведений</v>
      </c>
      <c r="S228" s="29" t="str">
        <f t="shared" si="27"/>
        <v/>
      </c>
    </row>
    <row r="229" spans="1:19" x14ac:dyDescent="0.3">
      <c r="A229" s="29">
        <f t="shared" si="21"/>
        <v>224</v>
      </c>
      <c r="B229" s="30" t="s">
        <v>99</v>
      </c>
      <c r="C229" s="30" t="s">
        <v>456</v>
      </c>
      <c r="D229" s="30" t="s">
        <v>453</v>
      </c>
      <c r="E229" s="30" t="s">
        <v>454</v>
      </c>
      <c r="F229" s="31">
        <v>44802</v>
      </c>
      <c r="G229" s="32" t="str">
        <f t="shared" si="22"/>
        <v>старший кладовщик</v>
      </c>
      <c r="H229" s="29">
        <f>IF(C229="","",IF(AND(G229="мастер участка",ISNUMBER(SEARCH("РЭО",E229))),29,IFERROR(INDEX(Соответствие!$B$2:$B$100,MATCH(G229,Соответствие!$A$2:$A$100,0)),"?")))</f>
        <v>14</v>
      </c>
      <c r="I229" s="33" t="str">
        <f>IF(C229="","",IFERROR(INDEX(Перечень!$C$6:$C$51,MATCH(H229,Перечень!$A$6:$A$51,0)),""))</f>
        <v>п.4.4, п.5.1, п.6.2</v>
      </c>
      <c r="J229" s="29">
        <f>IF(C229="","",IFERROR(INDEX(Перечень!$D$6:$D$51,MATCH(H229,Перечень!$A$6:$A$51,0)),12))</f>
        <v>12</v>
      </c>
      <c r="K229" s="34"/>
      <c r="L229" s="34"/>
      <c r="M229" s="31" t="str">
        <f t="shared" si="23"/>
        <v/>
      </c>
      <c r="N229" s="29" t="str">
        <f>IF(C229="","",IFERROR(INDEX(Перечень!$F$6:$F$51,MATCH(H229,Перечень!$A$6:$A$51,0)),""))</f>
        <v>-</v>
      </c>
      <c r="O229" s="34"/>
      <c r="P229" s="31" t="str">
        <f t="shared" si="24"/>
        <v/>
      </c>
      <c r="Q229" s="29" t="str">
        <f t="shared" si="25"/>
        <v/>
      </c>
      <c r="R229" s="29" t="str">
        <f t="shared" ca="1" si="26"/>
        <v>Нет сведений</v>
      </c>
      <c r="S229" s="29" t="str">
        <f t="shared" si="27"/>
        <v/>
      </c>
    </row>
    <row r="230" spans="1:19" x14ac:dyDescent="0.3">
      <c r="A230" s="29">
        <f t="shared" si="21"/>
        <v>225</v>
      </c>
      <c r="B230" s="30" t="s">
        <v>99</v>
      </c>
      <c r="C230" s="30" t="s">
        <v>457</v>
      </c>
      <c r="D230" s="30" t="s">
        <v>197</v>
      </c>
      <c r="E230" s="30" t="s">
        <v>454</v>
      </c>
      <c r="F230" s="31">
        <v>45771</v>
      </c>
      <c r="G230" s="32" t="str">
        <f t="shared" si="22"/>
        <v>кладовщик</v>
      </c>
      <c r="H230" s="29">
        <f>IF(C230="","",IF(AND(G230="мастер участка",ISNUMBER(SEARCH("РЭО",E230))),29,IFERROR(INDEX(Соответствие!$B$2:$B$100,MATCH(G230,Соответствие!$A$2:$A$100,0)),"?")))</f>
        <v>14</v>
      </c>
      <c r="I230" s="33" t="str">
        <f>IF(C230="","",IFERROR(INDEX(Перечень!$C$6:$C$51,MATCH(H230,Перечень!$A$6:$A$51,0)),""))</f>
        <v>п.4.4, п.5.1, п.6.2</v>
      </c>
      <c r="J230" s="29">
        <f>IF(C230="","",IFERROR(INDEX(Перечень!$D$6:$D$51,MATCH(H230,Перечень!$A$6:$A$51,0)),12))</f>
        <v>12</v>
      </c>
      <c r="K230" s="34"/>
      <c r="L230" s="34"/>
      <c r="M230" s="31" t="str">
        <f t="shared" si="23"/>
        <v/>
      </c>
      <c r="N230" s="29" t="str">
        <f>IF(C230="","",IFERROR(INDEX(Перечень!$F$6:$F$51,MATCH(H230,Перечень!$A$6:$A$51,0)),""))</f>
        <v>-</v>
      </c>
      <c r="O230" s="34"/>
      <c r="P230" s="31" t="str">
        <f t="shared" si="24"/>
        <v/>
      </c>
      <c r="Q230" s="29" t="str">
        <f t="shared" si="25"/>
        <v/>
      </c>
      <c r="R230" s="29" t="str">
        <f t="shared" ca="1" si="26"/>
        <v>Нет сведений</v>
      </c>
      <c r="S230" s="29" t="str">
        <f t="shared" si="27"/>
        <v/>
      </c>
    </row>
    <row r="231" spans="1:19" x14ac:dyDescent="0.3">
      <c r="A231" s="29">
        <f t="shared" si="21"/>
        <v>226</v>
      </c>
      <c r="B231" s="30" t="s">
        <v>99</v>
      </c>
      <c r="C231" s="30" t="s">
        <v>458</v>
      </c>
      <c r="D231" s="30" t="s">
        <v>197</v>
      </c>
      <c r="E231" s="30" t="s">
        <v>454</v>
      </c>
      <c r="F231" s="31">
        <v>46083</v>
      </c>
      <c r="G231" s="32" t="str">
        <f t="shared" si="22"/>
        <v>кладовщик</v>
      </c>
      <c r="H231" s="29">
        <f>IF(C231="","",IF(AND(G231="мастер участка",ISNUMBER(SEARCH("РЭО",E231))),29,IFERROR(INDEX(Соответствие!$B$2:$B$100,MATCH(G231,Соответствие!$A$2:$A$100,0)),"?")))</f>
        <v>14</v>
      </c>
      <c r="I231" s="33" t="str">
        <f>IF(C231="","",IFERROR(INDEX(Перечень!$C$6:$C$51,MATCH(H231,Перечень!$A$6:$A$51,0)),""))</f>
        <v>п.4.4, п.5.1, п.6.2</v>
      </c>
      <c r="J231" s="29">
        <f>IF(C231="","",IFERROR(INDEX(Перечень!$D$6:$D$51,MATCH(H231,Перечень!$A$6:$A$51,0)),12))</f>
        <v>12</v>
      </c>
      <c r="K231" s="34"/>
      <c r="L231" s="34"/>
      <c r="M231" s="31" t="str">
        <f t="shared" si="23"/>
        <v/>
      </c>
      <c r="N231" s="29" t="str">
        <f>IF(C231="","",IFERROR(INDEX(Перечень!$F$6:$F$51,MATCH(H231,Перечень!$A$6:$A$51,0)),""))</f>
        <v>-</v>
      </c>
      <c r="O231" s="34"/>
      <c r="P231" s="31" t="str">
        <f t="shared" si="24"/>
        <v/>
      </c>
      <c r="Q231" s="29" t="str">
        <f t="shared" si="25"/>
        <v/>
      </c>
      <c r="R231" s="29" t="str">
        <f t="shared" ca="1" si="26"/>
        <v>Нет сведений</v>
      </c>
      <c r="S231" s="29" t="str">
        <f t="shared" si="27"/>
        <v/>
      </c>
    </row>
    <row r="232" spans="1:19" x14ac:dyDescent="0.3">
      <c r="A232" s="29">
        <f t="shared" si="21"/>
        <v>227</v>
      </c>
      <c r="B232" s="30" t="s">
        <v>99</v>
      </c>
      <c r="C232" s="30" t="s">
        <v>459</v>
      </c>
      <c r="D232" s="30" t="s">
        <v>197</v>
      </c>
      <c r="E232" s="30" t="s">
        <v>454</v>
      </c>
      <c r="F232" s="31">
        <v>46265</v>
      </c>
      <c r="G232" s="32" t="str">
        <f t="shared" si="22"/>
        <v>кладовщик</v>
      </c>
      <c r="H232" s="29">
        <f>IF(C232="","",IF(AND(G232="мастер участка",ISNUMBER(SEARCH("РЭО",E232))),29,IFERROR(INDEX(Соответствие!$B$2:$B$100,MATCH(G232,Соответствие!$A$2:$A$100,0)),"?")))</f>
        <v>14</v>
      </c>
      <c r="I232" s="33" t="str">
        <f>IF(C232="","",IFERROR(INDEX(Перечень!$C$6:$C$51,MATCH(H232,Перечень!$A$6:$A$51,0)),""))</f>
        <v>п.4.4, п.5.1, п.6.2</v>
      </c>
      <c r="J232" s="29">
        <f>IF(C232="","",IFERROR(INDEX(Перечень!$D$6:$D$51,MATCH(H232,Перечень!$A$6:$A$51,0)),12))</f>
        <v>12</v>
      </c>
      <c r="K232" s="34">
        <v>46238</v>
      </c>
      <c r="L232" s="34"/>
      <c r="M232" s="31">
        <f t="shared" si="23"/>
        <v>46603</v>
      </c>
      <c r="N232" s="29" t="str">
        <f>IF(C232="","",IFERROR(INDEX(Перечень!$F$6:$F$51,MATCH(H232,Перечень!$A$6:$A$51,0)),""))</f>
        <v>-</v>
      </c>
      <c r="O232" s="34"/>
      <c r="P232" s="31" t="str">
        <f t="shared" si="24"/>
        <v/>
      </c>
      <c r="Q232" s="29" t="str">
        <f t="shared" si="25"/>
        <v/>
      </c>
      <c r="R232" s="29" t="str">
        <f t="shared" ca="1" si="26"/>
        <v>В срок</v>
      </c>
      <c r="S232" s="29" t="str">
        <f t="shared" si="27"/>
        <v/>
      </c>
    </row>
    <row r="233" spans="1:19" x14ac:dyDescent="0.3">
      <c r="A233" s="29">
        <f t="shared" si="21"/>
        <v>228</v>
      </c>
      <c r="B233" s="30" t="s">
        <v>99</v>
      </c>
      <c r="C233" s="30" t="s">
        <v>460</v>
      </c>
      <c r="D233" s="30" t="s">
        <v>197</v>
      </c>
      <c r="E233" s="30" t="s">
        <v>454</v>
      </c>
      <c r="F233" s="31">
        <v>45791</v>
      </c>
      <c r="G233" s="32" t="str">
        <f t="shared" si="22"/>
        <v>кладовщик</v>
      </c>
      <c r="H233" s="29">
        <f>IF(C233="","",IF(AND(G233="мастер участка",ISNUMBER(SEARCH("РЭО",E233))),29,IFERROR(INDEX(Соответствие!$B$2:$B$100,MATCH(G233,Соответствие!$A$2:$A$100,0)),"?")))</f>
        <v>14</v>
      </c>
      <c r="I233" s="33" t="str">
        <f>IF(C233="","",IFERROR(INDEX(Перечень!$C$6:$C$51,MATCH(H233,Перечень!$A$6:$A$51,0)),""))</f>
        <v>п.4.4, п.5.1, п.6.2</v>
      </c>
      <c r="J233" s="29">
        <f>IF(C233="","",IFERROR(INDEX(Перечень!$D$6:$D$51,MATCH(H233,Перечень!$A$6:$A$51,0)),12))</f>
        <v>12</v>
      </c>
      <c r="K233" s="34"/>
      <c r="L233" s="34"/>
      <c r="M233" s="31" t="str">
        <f t="shared" si="23"/>
        <v/>
      </c>
      <c r="N233" s="29" t="str">
        <f>IF(C233="","",IFERROR(INDEX(Перечень!$F$6:$F$51,MATCH(H233,Перечень!$A$6:$A$51,0)),""))</f>
        <v>-</v>
      </c>
      <c r="O233" s="34"/>
      <c r="P233" s="31" t="str">
        <f t="shared" si="24"/>
        <v/>
      </c>
      <c r="Q233" s="29" t="str">
        <f t="shared" si="25"/>
        <v/>
      </c>
      <c r="R233" s="29" t="str">
        <f t="shared" ca="1" si="26"/>
        <v>Нет сведений</v>
      </c>
      <c r="S233" s="29" t="str">
        <f t="shared" si="27"/>
        <v/>
      </c>
    </row>
    <row r="234" spans="1:19" x14ac:dyDescent="0.3">
      <c r="A234" s="29">
        <f t="shared" si="21"/>
        <v>229</v>
      </c>
      <c r="B234" s="30" t="s">
        <v>99</v>
      </c>
      <c r="C234" s="30" t="s">
        <v>461</v>
      </c>
      <c r="D234" s="30" t="s">
        <v>197</v>
      </c>
      <c r="E234" s="30" t="s">
        <v>454</v>
      </c>
      <c r="F234" s="31">
        <v>42248</v>
      </c>
      <c r="G234" s="32" t="str">
        <f t="shared" si="22"/>
        <v>кладовщик</v>
      </c>
      <c r="H234" s="29">
        <f>IF(C234="","",IF(AND(G234="мастер участка",ISNUMBER(SEARCH("РЭО",E234))),29,IFERROR(INDEX(Соответствие!$B$2:$B$100,MATCH(G234,Соответствие!$A$2:$A$100,0)),"?")))</f>
        <v>14</v>
      </c>
      <c r="I234" s="33" t="str">
        <f>IF(C234="","",IFERROR(INDEX(Перечень!$C$6:$C$51,MATCH(H234,Перечень!$A$6:$A$51,0)),""))</f>
        <v>п.4.4, п.5.1, п.6.2</v>
      </c>
      <c r="J234" s="29">
        <f>IF(C234="","",IFERROR(INDEX(Перечень!$D$6:$D$51,MATCH(H234,Перечень!$A$6:$A$51,0)),12))</f>
        <v>12</v>
      </c>
      <c r="K234" s="34"/>
      <c r="L234" s="34"/>
      <c r="M234" s="31" t="str">
        <f t="shared" si="23"/>
        <v/>
      </c>
      <c r="N234" s="29" t="str">
        <f>IF(C234="","",IFERROR(INDEX(Перечень!$F$6:$F$51,MATCH(H234,Перечень!$A$6:$A$51,0)),""))</f>
        <v>-</v>
      </c>
      <c r="O234" s="34"/>
      <c r="P234" s="31" t="str">
        <f t="shared" si="24"/>
        <v/>
      </c>
      <c r="Q234" s="29" t="str">
        <f t="shared" si="25"/>
        <v/>
      </c>
      <c r="R234" s="29" t="str">
        <f t="shared" ca="1" si="26"/>
        <v>Нет сведений</v>
      </c>
      <c r="S234" s="29" t="str">
        <f t="shared" si="27"/>
        <v/>
      </c>
    </row>
    <row r="235" spans="1:19" x14ac:dyDescent="0.3">
      <c r="A235" s="29">
        <f t="shared" si="21"/>
        <v>230</v>
      </c>
      <c r="B235" s="30" t="s">
        <v>99</v>
      </c>
      <c r="C235" s="30" t="s">
        <v>462</v>
      </c>
      <c r="D235" s="30" t="s">
        <v>197</v>
      </c>
      <c r="E235" s="30" t="s">
        <v>454</v>
      </c>
      <c r="F235" s="31">
        <v>45950</v>
      </c>
      <c r="G235" s="32" t="str">
        <f t="shared" si="22"/>
        <v>кладовщик</v>
      </c>
      <c r="H235" s="29">
        <f>IF(C235="","",IF(AND(G235="мастер участка",ISNUMBER(SEARCH("РЭО",E235))),29,IFERROR(INDEX(Соответствие!$B$2:$B$100,MATCH(G235,Соответствие!$A$2:$A$100,0)),"?")))</f>
        <v>14</v>
      </c>
      <c r="I235" s="33" t="str">
        <f>IF(C235="","",IFERROR(INDEX(Перечень!$C$6:$C$51,MATCH(H235,Перечень!$A$6:$A$51,0)),""))</f>
        <v>п.4.4, п.5.1, п.6.2</v>
      </c>
      <c r="J235" s="29">
        <f>IF(C235="","",IFERROR(INDEX(Перечень!$D$6:$D$51,MATCH(H235,Перечень!$A$6:$A$51,0)),12))</f>
        <v>12</v>
      </c>
      <c r="K235" s="34"/>
      <c r="L235" s="34"/>
      <c r="M235" s="31" t="str">
        <f t="shared" si="23"/>
        <v/>
      </c>
      <c r="N235" s="29" t="str">
        <f>IF(C235="","",IFERROR(INDEX(Перечень!$F$6:$F$51,MATCH(H235,Перечень!$A$6:$A$51,0)),""))</f>
        <v>-</v>
      </c>
      <c r="O235" s="34"/>
      <c r="P235" s="31" t="str">
        <f t="shared" si="24"/>
        <v/>
      </c>
      <c r="Q235" s="29" t="str">
        <f t="shared" si="25"/>
        <v/>
      </c>
      <c r="R235" s="29" t="str">
        <f t="shared" ca="1" si="26"/>
        <v>Нет сведений</v>
      </c>
      <c r="S235" s="29" t="str">
        <f t="shared" si="27"/>
        <v/>
      </c>
    </row>
    <row r="236" spans="1:19" x14ac:dyDescent="0.3">
      <c r="A236" s="29">
        <f t="shared" si="21"/>
        <v>231</v>
      </c>
      <c r="B236" s="30" t="s">
        <v>99</v>
      </c>
      <c r="C236" s="30" t="s">
        <v>463</v>
      </c>
      <c r="D236" s="30" t="s">
        <v>464</v>
      </c>
      <c r="E236" s="30" t="s">
        <v>454</v>
      </c>
      <c r="F236" s="31">
        <v>42461</v>
      </c>
      <c r="G236" s="32" t="str">
        <f t="shared" si="22"/>
        <v>лаборант</v>
      </c>
      <c r="H236" s="29">
        <f>IF(C236="","",IF(AND(G236="мастер участка",ISNUMBER(SEARCH("РЭО",E236))),29,IFERROR(INDEX(Соответствие!$B$2:$B$100,MATCH(G236,Соответствие!$A$2:$A$100,0)),"?")))</f>
        <v>15</v>
      </c>
      <c r="I236" s="33" t="str">
        <f>IF(C236="","",IFERROR(INDEX(Перечень!$C$6:$C$51,MATCH(H236,Перечень!$A$6:$A$51,0)),""))</f>
        <v>п.1.49.2, п.1.49.14, п.1.50, п.4.3.1, п.4.4, п.6.2</v>
      </c>
      <c r="J236" s="29">
        <f>IF(C236="","",IFERROR(INDEX(Перечень!$D$6:$D$51,MATCH(H236,Перечень!$A$6:$A$51,0)),12))</f>
        <v>12</v>
      </c>
      <c r="K236" s="34"/>
      <c r="L236" s="34"/>
      <c r="M236" s="31" t="str">
        <f t="shared" si="23"/>
        <v/>
      </c>
      <c r="N236" s="29" t="str">
        <f>IF(C236="","",IFERROR(INDEX(Перечень!$F$6:$F$51,MATCH(H236,Перечень!$A$6:$A$51,0)),""))</f>
        <v>-</v>
      </c>
      <c r="O236" s="34"/>
      <c r="P236" s="31" t="str">
        <f t="shared" si="24"/>
        <v/>
      </c>
      <c r="Q236" s="29" t="str">
        <f t="shared" si="25"/>
        <v/>
      </c>
      <c r="R236" s="29" t="str">
        <f t="shared" ca="1" si="26"/>
        <v>Нет сведений</v>
      </c>
      <c r="S236" s="29" t="str">
        <f t="shared" si="27"/>
        <v/>
      </c>
    </row>
    <row r="237" spans="1:19" x14ac:dyDescent="0.3">
      <c r="A237" s="29">
        <f t="shared" si="21"/>
        <v>232</v>
      </c>
      <c r="B237" s="30" t="s">
        <v>99</v>
      </c>
      <c r="C237" s="30" t="s">
        <v>465</v>
      </c>
      <c r="D237" s="30" t="s">
        <v>466</v>
      </c>
      <c r="E237" s="30" t="s">
        <v>454</v>
      </c>
      <c r="F237" s="31">
        <v>45782</v>
      </c>
      <c r="G237" s="32" t="str">
        <f t="shared" si="22"/>
        <v>кладовщик-комплектовщик</v>
      </c>
      <c r="H237" s="29">
        <f>IF(C237="","",IF(AND(G237="мастер участка",ISNUMBER(SEARCH("РЭО",E237))),29,IFERROR(INDEX(Соответствие!$B$2:$B$100,MATCH(G237,Соответствие!$A$2:$A$100,0)),"?")))</f>
        <v>46</v>
      </c>
      <c r="I237" s="33" t="str">
        <f>IF(C237="","",IFERROR(INDEX(Перечень!$C$6:$C$51,MATCH(H237,Перечень!$A$6:$A$51,0)),""))</f>
        <v>п.4.3.1, п.4.3.2, п.4.4, п.5.1, п.6.2, п.18.1</v>
      </c>
      <c r="J237" s="29">
        <f>IF(C237="","",IFERROR(INDEX(Перечень!$D$6:$D$51,MATCH(H237,Перечень!$A$6:$A$51,0)),12))</f>
        <v>12</v>
      </c>
      <c r="K237" s="34"/>
      <c r="L237" s="34"/>
      <c r="M237" s="31" t="str">
        <f t="shared" si="23"/>
        <v/>
      </c>
      <c r="N237" s="29" t="str">
        <f>IF(C237="","",IFERROR(INDEX(Перечень!$F$6:$F$51,MATCH(H237,Перечень!$A$6:$A$51,0)),""))</f>
        <v>Да</v>
      </c>
      <c r="O237" s="34"/>
      <c r="P237" s="31" t="str">
        <f t="shared" si="24"/>
        <v/>
      </c>
      <c r="Q237" s="29" t="str">
        <f t="shared" si="25"/>
        <v/>
      </c>
      <c r="R237" s="29" t="str">
        <f t="shared" ca="1" si="26"/>
        <v>Нет сведений</v>
      </c>
      <c r="S237" s="29" t="str">
        <f t="shared" si="27"/>
        <v>Не пройдено</v>
      </c>
    </row>
    <row r="238" spans="1:19" x14ac:dyDescent="0.3">
      <c r="A238" s="29">
        <f t="shared" si="21"/>
        <v>233</v>
      </c>
      <c r="B238" s="30" t="s">
        <v>99</v>
      </c>
      <c r="C238" s="30" t="s">
        <v>467</v>
      </c>
      <c r="D238" s="30" t="s">
        <v>466</v>
      </c>
      <c r="E238" s="30" t="s">
        <v>454</v>
      </c>
      <c r="F238" s="31">
        <v>45805</v>
      </c>
      <c r="G238" s="32" t="str">
        <f t="shared" si="22"/>
        <v>кладовщик-комплектовщик</v>
      </c>
      <c r="H238" s="29">
        <f>IF(C238="","",IF(AND(G238="мастер участка",ISNUMBER(SEARCH("РЭО",E238))),29,IFERROR(INDEX(Соответствие!$B$2:$B$100,MATCH(G238,Соответствие!$A$2:$A$100,0)),"?")))</f>
        <v>46</v>
      </c>
      <c r="I238" s="33" t="str">
        <f>IF(C238="","",IFERROR(INDEX(Перечень!$C$6:$C$51,MATCH(H238,Перечень!$A$6:$A$51,0)),""))</f>
        <v>п.4.3.1, п.4.3.2, п.4.4, п.5.1, п.6.2, п.18.1</v>
      </c>
      <c r="J238" s="29">
        <f>IF(C238="","",IFERROR(INDEX(Перечень!$D$6:$D$51,MATCH(H238,Перечень!$A$6:$A$51,0)),12))</f>
        <v>12</v>
      </c>
      <c r="K238" s="34"/>
      <c r="L238" s="34"/>
      <c r="M238" s="31" t="str">
        <f t="shared" si="23"/>
        <v/>
      </c>
      <c r="N238" s="29" t="str">
        <f>IF(C238="","",IFERROR(INDEX(Перечень!$F$6:$F$51,MATCH(H238,Перечень!$A$6:$A$51,0)),""))</f>
        <v>Да</v>
      </c>
      <c r="O238" s="34"/>
      <c r="P238" s="31" t="str">
        <f t="shared" si="24"/>
        <v/>
      </c>
      <c r="Q238" s="29" t="str">
        <f t="shared" si="25"/>
        <v/>
      </c>
      <c r="R238" s="29" t="str">
        <f t="shared" ca="1" si="26"/>
        <v>Нет сведений</v>
      </c>
      <c r="S238" s="29" t="str">
        <f t="shared" si="27"/>
        <v>Не пройдено</v>
      </c>
    </row>
    <row r="239" spans="1:19" x14ac:dyDescent="0.3">
      <c r="A239" s="29">
        <f t="shared" si="21"/>
        <v>234</v>
      </c>
      <c r="B239" s="30" t="s">
        <v>99</v>
      </c>
      <c r="C239" s="30" t="s">
        <v>468</v>
      </c>
      <c r="D239" s="30" t="s">
        <v>466</v>
      </c>
      <c r="E239" s="30" t="s">
        <v>454</v>
      </c>
      <c r="F239" s="31">
        <v>42016</v>
      </c>
      <c r="G239" s="32" t="str">
        <f t="shared" si="22"/>
        <v>кладовщик-комплектовщик</v>
      </c>
      <c r="H239" s="29">
        <f>IF(C239="","",IF(AND(G239="мастер участка",ISNUMBER(SEARCH("РЭО",E239))),29,IFERROR(INDEX(Соответствие!$B$2:$B$100,MATCH(G239,Соответствие!$A$2:$A$100,0)),"?")))</f>
        <v>46</v>
      </c>
      <c r="I239" s="33" t="str">
        <f>IF(C239="","",IFERROR(INDEX(Перечень!$C$6:$C$51,MATCH(H239,Перечень!$A$6:$A$51,0)),""))</f>
        <v>п.4.3.1, п.4.3.2, п.4.4, п.5.1, п.6.2, п.18.1</v>
      </c>
      <c r="J239" s="29">
        <f>IF(C239="","",IFERROR(INDEX(Перечень!$D$6:$D$51,MATCH(H239,Перечень!$A$6:$A$51,0)),12))</f>
        <v>12</v>
      </c>
      <c r="K239" s="34"/>
      <c r="L239" s="34"/>
      <c r="M239" s="31" t="str">
        <f t="shared" si="23"/>
        <v/>
      </c>
      <c r="N239" s="29" t="str">
        <f>IF(C239="","",IFERROR(INDEX(Перечень!$F$6:$F$51,MATCH(H239,Перечень!$A$6:$A$51,0)),""))</f>
        <v>Да</v>
      </c>
      <c r="O239" s="34"/>
      <c r="P239" s="31" t="str">
        <f t="shared" si="24"/>
        <v/>
      </c>
      <c r="Q239" s="29" t="str">
        <f t="shared" si="25"/>
        <v/>
      </c>
      <c r="R239" s="29" t="str">
        <f t="shared" ca="1" si="26"/>
        <v>Нет сведений</v>
      </c>
      <c r="S239" s="29" t="str">
        <f t="shared" si="27"/>
        <v>Не пройдено</v>
      </c>
    </row>
    <row r="240" spans="1:19" x14ac:dyDescent="0.3">
      <c r="A240" s="29">
        <f t="shared" si="21"/>
        <v>235</v>
      </c>
      <c r="B240" s="30" t="s">
        <v>99</v>
      </c>
      <c r="C240" s="30" t="s">
        <v>469</v>
      </c>
      <c r="D240" s="30" t="s">
        <v>466</v>
      </c>
      <c r="E240" s="30" t="s">
        <v>454</v>
      </c>
      <c r="F240" s="31">
        <v>45775</v>
      </c>
      <c r="G240" s="32" t="str">
        <f t="shared" si="22"/>
        <v>кладовщик-комплектовщик</v>
      </c>
      <c r="H240" s="29">
        <f>IF(C240="","",IF(AND(G240="мастер участка",ISNUMBER(SEARCH("РЭО",E240))),29,IFERROR(INDEX(Соответствие!$B$2:$B$100,MATCH(G240,Соответствие!$A$2:$A$100,0)),"?")))</f>
        <v>46</v>
      </c>
      <c r="I240" s="33" t="str">
        <f>IF(C240="","",IFERROR(INDEX(Перечень!$C$6:$C$51,MATCH(H240,Перечень!$A$6:$A$51,0)),""))</f>
        <v>п.4.3.1, п.4.3.2, п.4.4, п.5.1, п.6.2, п.18.1</v>
      </c>
      <c r="J240" s="29">
        <f>IF(C240="","",IFERROR(INDEX(Перечень!$D$6:$D$51,MATCH(H240,Перечень!$A$6:$A$51,0)),12))</f>
        <v>12</v>
      </c>
      <c r="K240" s="34"/>
      <c r="L240" s="34"/>
      <c r="M240" s="31" t="str">
        <f t="shared" si="23"/>
        <v/>
      </c>
      <c r="N240" s="29" t="str">
        <f>IF(C240="","",IFERROR(INDEX(Перечень!$F$6:$F$51,MATCH(H240,Перечень!$A$6:$A$51,0)),""))</f>
        <v>Да</v>
      </c>
      <c r="O240" s="34"/>
      <c r="P240" s="31" t="str">
        <f t="shared" si="24"/>
        <v/>
      </c>
      <c r="Q240" s="29" t="str">
        <f t="shared" si="25"/>
        <v/>
      </c>
      <c r="R240" s="29" t="str">
        <f t="shared" ca="1" si="26"/>
        <v>Нет сведений</v>
      </c>
      <c r="S240" s="29" t="str">
        <f t="shared" si="27"/>
        <v>Не пройдено</v>
      </c>
    </row>
    <row r="241" spans="1:19" x14ac:dyDescent="0.3">
      <c r="A241" s="29">
        <f t="shared" si="21"/>
        <v>236</v>
      </c>
      <c r="B241" s="30" t="s">
        <v>99</v>
      </c>
      <c r="C241" s="30" t="s">
        <v>470</v>
      </c>
      <c r="D241" s="30" t="s">
        <v>466</v>
      </c>
      <c r="E241" s="30" t="s">
        <v>454</v>
      </c>
      <c r="F241" s="31">
        <v>45789</v>
      </c>
      <c r="G241" s="32" t="str">
        <f t="shared" si="22"/>
        <v>кладовщик-комплектовщик</v>
      </c>
      <c r="H241" s="29">
        <f>IF(C241="","",IF(AND(G241="мастер участка",ISNUMBER(SEARCH("РЭО",E241))),29,IFERROR(INDEX(Соответствие!$B$2:$B$100,MATCH(G241,Соответствие!$A$2:$A$100,0)),"?")))</f>
        <v>46</v>
      </c>
      <c r="I241" s="33" t="str">
        <f>IF(C241="","",IFERROR(INDEX(Перечень!$C$6:$C$51,MATCH(H241,Перечень!$A$6:$A$51,0)),""))</f>
        <v>п.4.3.1, п.4.3.2, п.4.4, п.5.1, п.6.2, п.18.1</v>
      </c>
      <c r="J241" s="29">
        <f>IF(C241="","",IFERROR(INDEX(Перечень!$D$6:$D$51,MATCH(H241,Перечень!$A$6:$A$51,0)),12))</f>
        <v>12</v>
      </c>
      <c r="K241" s="34"/>
      <c r="L241" s="34"/>
      <c r="M241" s="31" t="str">
        <f t="shared" si="23"/>
        <v/>
      </c>
      <c r="N241" s="29" t="str">
        <f>IF(C241="","",IFERROR(INDEX(Перечень!$F$6:$F$51,MATCH(H241,Перечень!$A$6:$A$51,0)),""))</f>
        <v>Да</v>
      </c>
      <c r="O241" s="34"/>
      <c r="P241" s="31" t="str">
        <f t="shared" si="24"/>
        <v/>
      </c>
      <c r="Q241" s="29" t="str">
        <f t="shared" si="25"/>
        <v/>
      </c>
      <c r="R241" s="29" t="str">
        <f t="shared" ca="1" si="26"/>
        <v>Нет сведений</v>
      </c>
      <c r="S241" s="29" t="str">
        <f t="shared" si="27"/>
        <v>Не пройдено</v>
      </c>
    </row>
    <row r="242" spans="1:19" x14ac:dyDescent="0.3">
      <c r="A242" s="29">
        <f t="shared" si="21"/>
        <v>237</v>
      </c>
      <c r="B242" s="30" t="s">
        <v>99</v>
      </c>
      <c r="C242" s="30" t="s">
        <v>471</v>
      </c>
      <c r="D242" s="30" t="s">
        <v>243</v>
      </c>
      <c r="E242" s="30" t="s">
        <v>454</v>
      </c>
      <c r="F242" s="31">
        <v>45828</v>
      </c>
      <c r="G242" s="32" t="str">
        <f t="shared" si="22"/>
        <v>оператор склада</v>
      </c>
      <c r="H242" s="29">
        <f>IF(C242="","",IF(AND(G242="мастер участка",ISNUMBER(SEARCH("РЭО",E242))),29,IFERROR(INDEX(Соответствие!$B$2:$B$100,MATCH(G242,Соответствие!$A$2:$A$100,0)),"?")))</f>
        <v>16</v>
      </c>
      <c r="I242" s="33" t="str">
        <f>IF(C242="","",IFERROR(INDEX(Перечень!$C$6:$C$51,MATCH(H242,Перечень!$A$6:$A$51,0)),""))</f>
        <v>п.4.4, п.5.1, п.6.2</v>
      </c>
      <c r="J242" s="29">
        <f>IF(C242="","",IFERROR(INDEX(Перечень!$D$6:$D$51,MATCH(H242,Перечень!$A$6:$A$51,0)),12))</f>
        <v>12</v>
      </c>
      <c r="K242" s="34"/>
      <c r="L242" s="34"/>
      <c r="M242" s="31" t="str">
        <f t="shared" si="23"/>
        <v/>
      </c>
      <c r="N242" s="29" t="str">
        <f>IF(C242="","",IFERROR(INDEX(Перечень!$F$6:$F$51,MATCH(H242,Перечень!$A$6:$A$51,0)),""))</f>
        <v>-</v>
      </c>
      <c r="O242" s="34"/>
      <c r="P242" s="31" t="str">
        <f t="shared" si="24"/>
        <v/>
      </c>
      <c r="Q242" s="29" t="str">
        <f t="shared" si="25"/>
        <v/>
      </c>
      <c r="R242" s="29" t="str">
        <f t="shared" ca="1" si="26"/>
        <v>Нет сведений</v>
      </c>
      <c r="S242" s="29" t="str">
        <f t="shared" si="27"/>
        <v/>
      </c>
    </row>
    <row r="243" spans="1:19" x14ac:dyDescent="0.3">
      <c r="A243" s="29">
        <f t="shared" si="21"/>
        <v>238</v>
      </c>
      <c r="B243" s="30" t="s">
        <v>99</v>
      </c>
      <c r="C243" s="30" t="s">
        <v>472</v>
      </c>
      <c r="D243" s="30" t="s">
        <v>243</v>
      </c>
      <c r="E243" s="30" t="s">
        <v>454</v>
      </c>
      <c r="F243" s="31">
        <v>45971</v>
      </c>
      <c r="G243" s="32" t="str">
        <f t="shared" si="22"/>
        <v>оператор склада</v>
      </c>
      <c r="H243" s="29">
        <f>IF(C243="","",IF(AND(G243="мастер участка",ISNUMBER(SEARCH("РЭО",E243))),29,IFERROR(INDEX(Соответствие!$B$2:$B$100,MATCH(G243,Соответствие!$A$2:$A$100,0)),"?")))</f>
        <v>16</v>
      </c>
      <c r="I243" s="33" t="str">
        <f>IF(C243="","",IFERROR(INDEX(Перечень!$C$6:$C$51,MATCH(H243,Перечень!$A$6:$A$51,0)),""))</f>
        <v>п.4.4, п.5.1, п.6.2</v>
      </c>
      <c r="J243" s="29">
        <f>IF(C243="","",IFERROR(INDEX(Перечень!$D$6:$D$51,MATCH(H243,Перечень!$A$6:$A$51,0)),12))</f>
        <v>12</v>
      </c>
      <c r="K243" s="34"/>
      <c r="L243" s="34"/>
      <c r="M243" s="31" t="str">
        <f t="shared" si="23"/>
        <v/>
      </c>
      <c r="N243" s="29" t="str">
        <f>IF(C243="","",IFERROR(INDEX(Перечень!$F$6:$F$51,MATCH(H243,Перечень!$A$6:$A$51,0)),""))</f>
        <v>-</v>
      </c>
      <c r="O243" s="34"/>
      <c r="P243" s="31" t="str">
        <f t="shared" si="24"/>
        <v/>
      </c>
      <c r="Q243" s="29" t="str">
        <f t="shared" si="25"/>
        <v/>
      </c>
      <c r="R243" s="29" t="str">
        <f t="shared" ca="1" si="26"/>
        <v>Нет сведений</v>
      </c>
      <c r="S243" s="29" t="str">
        <f t="shared" si="27"/>
        <v/>
      </c>
    </row>
    <row r="244" spans="1:19" x14ac:dyDescent="0.3">
      <c r="A244" s="29">
        <f t="shared" si="21"/>
        <v>239</v>
      </c>
      <c r="B244" s="30" t="s">
        <v>99</v>
      </c>
      <c r="C244" s="30" t="s">
        <v>473</v>
      </c>
      <c r="D244" s="30" t="s">
        <v>474</v>
      </c>
      <c r="E244" s="30" t="s">
        <v>475</v>
      </c>
      <c r="F244" s="31">
        <v>43024</v>
      </c>
      <c r="G244" s="32" t="str">
        <f t="shared" si="22"/>
        <v>водитель автомобиля-экспедитор</v>
      </c>
      <c r="H244" s="29">
        <f>IF(C244="","",IF(AND(G244="мастер участка",ISNUMBER(SEARCH("РЭО",E244))),29,IFERROR(INDEX(Соответствие!$B$2:$B$100,MATCH(G244,Соответствие!$A$2:$A$100,0)),"?")))</f>
        <v>38</v>
      </c>
      <c r="I244" s="33" t="str">
        <f>IF(C244="","",IFERROR(INDEX(Перечень!$C$6:$C$51,MATCH(H244,Перечень!$A$6:$A$51,0)),""))</f>
        <v>п.4.3.1, п.4.3.2, п.4.4, п.5.1, п.5.2, п.18</v>
      </c>
      <c r="J244" s="29">
        <f>IF(C244="","",IFERROR(INDEX(Перечень!$D$6:$D$51,MATCH(H244,Перечень!$A$6:$A$51,0)),12))</f>
        <v>12</v>
      </c>
      <c r="K244" s="34"/>
      <c r="L244" s="34"/>
      <c r="M244" s="31" t="str">
        <f t="shared" si="23"/>
        <v/>
      </c>
      <c r="N244" s="29" t="str">
        <f>IF(C244="","",IFERROR(INDEX(Перечень!$F$6:$F$51,MATCH(H244,Перечень!$A$6:$A$51,0)),""))</f>
        <v>Да</v>
      </c>
      <c r="O244" s="34"/>
      <c r="P244" s="31" t="str">
        <f t="shared" si="24"/>
        <v/>
      </c>
      <c r="Q244" s="29" t="str">
        <f t="shared" si="25"/>
        <v/>
      </c>
      <c r="R244" s="29" t="str">
        <f t="shared" ca="1" si="26"/>
        <v>Нет сведений</v>
      </c>
      <c r="S244" s="29" t="str">
        <f t="shared" si="27"/>
        <v>Не пройдено</v>
      </c>
    </row>
    <row r="245" spans="1:19" x14ac:dyDescent="0.3">
      <c r="A245" s="29">
        <f t="shared" si="21"/>
        <v>240</v>
      </c>
      <c r="B245" s="30" t="s">
        <v>99</v>
      </c>
      <c r="C245" s="30" t="s">
        <v>476</v>
      </c>
      <c r="D245" s="30" t="s">
        <v>474</v>
      </c>
      <c r="E245" s="30" t="s">
        <v>475</v>
      </c>
      <c r="F245" s="31">
        <v>41219</v>
      </c>
      <c r="G245" s="32" t="str">
        <f t="shared" si="22"/>
        <v>водитель автомобиля-экспедитор</v>
      </c>
      <c r="H245" s="29">
        <f>IF(C245="","",IF(AND(G245="мастер участка",ISNUMBER(SEARCH("РЭО",E245))),29,IFERROR(INDEX(Соответствие!$B$2:$B$100,MATCH(G245,Соответствие!$A$2:$A$100,0)),"?")))</f>
        <v>38</v>
      </c>
      <c r="I245" s="33" t="str">
        <f>IF(C245="","",IFERROR(INDEX(Перечень!$C$6:$C$51,MATCH(H245,Перечень!$A$6:$A$51,0)),""))</f>
        <v>п.4.3.1, п.4.3.2, п.4.4, п.5.1, п.5.2, п.18</v>
      </c>
      <c r="J245" s="29">
        <f>IF(C245="","",IFERROR(INDEX(Перечень!$D$6:$D$51,MATCH(H245,Перечень!$A$6:$A$51,0)),12))</f>
        <v>12</v>
      </c>
      <c r="K245" s="34"/>
      <c r="L245" s="34"/>
      <c r="M245" s="31" t="str">
        <f t="shared" si="23"/>
        <v/>
      </c>
      <c r="N245" s="29" t="str">
        <f>IF(C245="","",IFERROR(INDEX(Перечень!$F$6:$F$51,MATCH(H245,Перечень!$A$6:$A$51,0)),""))</f>
        <v>Да</v>
      </c>
      <c r="O245" s="34"/>
      <c r="P245" s="31" t="str">
        <f t="shared" si="24"/>
        <v/>
      </c>
      <c r="Q245" s="29" t="str">
        <f t="shared" si="25"/>
        <v/>
      </c>
      <c r="R245" s="29" t="str">
        <f t="shared" ca="1" si="26"/>
        <v>Нет сведений</v>
      </c>
      <c r="S245" s="29" t="str">
        <f t="shared" si="27"/>
        <v>Не пройдено</v>
      </c>
    </row>
    <row r="246" spans="1:19" x14ac:dyDescent="0.3">
      <c r="A246" s="29">
        <f t="shared" si="21"/>
        <v>241</v>
      </c>
      <c r="B246" s="30" t="s">
        <v>99</v>
      </c>
      <c r="C246" s="30" t="s">
        <v>477</v>
      </c>
      <c r="D246" s="30" t="s">
        <v>474</v>
      </c>
      <c r="E246" s="30" t="s">
        <v>475</v>
      </c>
      <c r="F246" s="31">
        <v>43557</v>
      </c>
      <c r="G246" s="32" t="str">
        <f t="shared" si="22"/>
        <v>водитель автомобиля-экспедитор</v>
      </c>
      <c r="H246" s="29">
        <f>IF(C246="","",IF(AND(G246="мастер участка",ISNUMBER(SEARCH("РЭО",E246))),29,IFERROR(INDEX(Соответствие!$B$2:$B$100,MATCH(G246,Соответствие!$A$2:$A$100,0)),"?")))</f>
        <v>38</v>
      </c>
      <c r="I246" s="33" t="str">
        <f>IF(C246="","",IFERROR(INDEX(Перечень!$C$6:$C$51,MATCH(H246,Перечень!$A$6:$A$51,0)),""))</f>
        <v>п.4.3.1, п.4.3.2, п.4.4, п.5.1, п.5.2, п.18</v>
      </c>
      <c r="J246" s="29">
        <f>IF(C246="","",IFERROR(INDEX(Перечень!$D$6:$D$51,MATCH(H246,Перечень!$A$6:$A$51,0)),12))</f>
        <v>12</v>
      </c>
      <c r="K246" s="34"/>
      <c r="L246" s="34"/>
      <c r="M246" s="31" t="str">
        <f t="shared" si="23"/>
        <v/>
      </c>
      <c r="N246" s="29" t="str">
        <f>IF(C246="","",IFERROR(INDEX(Перечень!$F$6:$F$51,MATCH(H246,Перечень!$A$6:$A$51,0)),""))</f>
        <v>Да</v>
      </c>
      <c r="O246" s="34"/>
      <c r="P246" s="31" t="str">
        <f t="shared" si="24"/>
        <v/>
      </c>
      <c r="Q246" s="29" t="str">
        <f t="shared" si="25"/>
        <v/>
      </c>
      <c r="R246" s="29" t="str">
        <f t="shared" ca="1" si="26"/>
        <v>Нет сведений</v>
      </c>
      <c r="S246" s="29" t="str">
        <f t="shared" si="27"/>
        <v>Не пройдено</v>
      </c>
    </row>
    <row r="247" spans="1:19" x14ac:dyDescent="0.3">
      <c r="A247" s="29">
        <f t="shared" si="21"/>
        <v>242</v>
      </c>
      <c r="B247" s="30" t="s">
        <v>99</v>
      </c>
      <c r="C247" s="30" t="s">
        <v>478</v>
      </c>
      <c r="D247" s="30" t="s">
        <v>474</v>
      </c>
      <c r="E247" s="30" t="s">
        <v>475</v>
      </c>
      <c r="F247" s="31">
        <v>41183</v>
      </c>
      <c r="G247" s="32" t="str">
        <f t="shared" si="22"/>
        <v>водитель автомобиля-экспедитор</v>
      </c>
      <c r="H247" s="29">
        <f>IF(C247="","",IF(AND(G247="мастер участка",ISNUMBER(SEARCH("РЭО",E247))),29,IFERROR(INDEX(Соответствие!$B$2:$B$100,MATCH(G247,Соответствие!$A$2:$A$100,0)),"?")))</f>
        <v>38</v>
      </c>
      <c r="I247" s="33" t="str">
        <f>IF(C247="","",IFERROR(INDEX(Перечень!$C$6:$C$51,MATCH(H247,Перечень!$A$6:$A$51,0)),""))</f>
        <v>п.4.3.1, п.4.3.2, п.4.4, п.5.1, п.5.2, п.18</v>
      </c>
      <c r="J247" s="29">
        <f>IF(C247="","",IFERROR(INDEX(Перечень!$D$6:$D$51,MATCH(H247,Перечень!$A$6:$A$51,0)),12))</f>
        <v>12</v>
      </c>
      <c r="K247" s="34"/>
      <c r="L247" s="34"/>
      <c r="M247" s="31" t="str">
        <f t="shared" si="23"/>
        <v/>
      </c>
      <c r="N247" s="29" t="str">
        <f>IF(C247="","",IFERROR(INDEX(Перечень!$F$6:$F$51,MATCH(H247,Перечень!$A$6:$A$51,0)),""))</f>
        <v>Да</v>
      </c>
      <c r="O247" s="34"/>
      <c r="P247" s="31" t="str">
        <f t="shared" si="24"/>
        <v/>
      </c>
      <c r="Q247" s="29" t="str">
        <f t="shared" si="25"/>
        <v/>
      </c>
      <c r="R247" s="29" t="str">
        <f t="shared" ca="1" si="26"/>
        <v>Нет сведений</v>
      </c>
      <c r="S247" s="29" t="str">
        <f t="shared" si="27"/>
        <v>Не пройдено</v>
      </c>
    </row>
    <row r="248" spans="1:19" x14ac:dyDescent="0.3">
      <c r="A248" s="29">
        <f t="shared" si="21"/>
        <v>243</v>
      </c>
      <c r="B248" s="30" t="s">
        <v>99</v>
      </c>
      <c r="C248" s="30" t="s">
        <v>479</v>
      </c>
      <c r="D248" s="30" t="s">
        <v>474</v>
      </c>
      <c r="E248" s="30" t="s">
        <v>475</v>
      </c>
      <c r="F248" s="31">
        <v>40035</v>
      </c>
      <c r="G248" s="32" t="str">
        <f t="shared" si="22"/>
        <v>водитель автомобиля-экспедитор</v>
      </c>
      <c r="H248" s="29">
        <f>IF(C248="","",IF(AND(G248="мастер участка",ISNUMBER(SEARCH("РЭО",E248))),29,IFERROR(INDEX(Соответствие!$B$2:$B$100,MATCH(G248,Соответствие!$A$2:$A$100,0)),"?")))</f>
        <v>38</v>
      </c>
      <c r="I248" s="33" t="str">
        <f>IF(C248="","",IFERROR(INDEX(Перечень!$C$6:$C$51,MATCH(H248,Перечень!$A$6:$A$51,0)),""))</f>
        <v>п.4.3.1, п.4.3.2, п.4.4, п.5.1, п.5.2, п.18</v>
      </c>
      <c r="J248" s="29">
        <f>IF(C248="","",IFERROR(INDEX(Перечень!$D$6:$D$51,MATCH(H248,Перечень!$A$6:$A$51,0)),12))</f>
        <v>12</v>
      </c>
      <c r="K248" s="34"/>
      <c r="L248" s="34"/>
      <c r="M248" s="31" t="str">
        <f t="shared" si="23"/>
        <v/>
      </c>
      <c r="N248" s="29" t="str">
        <f>IF(C248="","",IFERROR(INDEX(Перечень!$F$6:$F$51,MATCH(H248,Перечень!$A$6:$A$51,0)),""))</f>
        <v>Да</v>
      </c>
      <c r="O248" s="34"/>
      <c r="P248" s="31" t="str">
        <f t="shared" si="24"/>
        <v/>
      </c>
      <c r="Q248" s="29" t="str">
        <f t="shared" si="25"/>
        <v/>
      </c>
      <c r="R248" s="29" t="str">
        <f t="shared" ca="1" si="26"/>
        <v>Нет сведений</v>
      </c>
      <c r="S248" s="29" t="str">
        <f t="shared" si="27"/>
        <v>Не пройдено</v>
      </c>
    </row>
    <row r="249" spans="1:19" x14ac:dyDescent="0.3">
      <c r="A249" s="29">
        <f t="shared" si="21"/>
        <v>244</v>
      </c>
      <c r="B249" s="30" t="s">
        <v>99</v>
      </c>
      <c r="C249" s="30" t="s">
        <v>480</v>
      </c>
      <c r="D249" s="30" t="s">
        <v>474</v>
      </c>
      <c r="E249" s="30" t="s">
        <v>475</v>
      </c>
      <c r="F249" s="31">
        <v>44879</v>
      </c>
      <c r="G249" s="32" t="str">
        <f t="shared" si="22"/>
        <v>водитель автомобиля-экспедитор</v>
      </c>
      <c r="H249" s="29">
        <f>IF(C249="","",IF(AND(G249="мастер участка",ISNUMBER(SEARCH("РЭО",E249))),29,IFERROR(INDEX(Соответствие!$B$2:$B$100,MATCH(G249,Соответствие!$A$2:$A$100,0)),"?")))</f>
        <v>38</v>
      </c>
      <c r="I249" s="33" t="str">
        <f>IF(C249="","",IFERROR(INDEX(Перечень!$C$6:$C$51,MATCH(H249,Перечень!$A$6:$A$51,0)),""))</f>
        <v>п.4.3.1, п.4.3.2, п.4.4, п.5.1, п.5.2, п.18</v>
      </c>
      <c r="J249" s="29">
        <f>IF(C249="","",IFERROR(INDEX(Перечень!$D$6:$D$51,MATCH(H249,Перечень!$A$6:$A$51,0)),12))</f>
        <v>12</v>
      </c>
      <c r="K249" s="34"/>
      <c r="L249" s="34"/>
      <c r="M249" s="31" t="str">
        <f t="shared" si="23"/>
        <v/>
      </c>
      <c r="N249" s="29" t="str">
        <f>IF(C249="","",IFERROR(INDEX(Перечень!$F$6:$F$51,MATCH(H249,Перечень!$A$6:$A$51,0)),""))</f>
        <v>Да</v>
      </c>
      <c r="O249" s="34"/>
      <c r="P249" s="31" t="str">
        <f t="shared" si="24"/>
        <v/>
      </c>
      <c r="Q249" s="29" t="str">
        <f t="shared" si="25"/>
        <v/>
      </c>
      <c r="R249" s="29" t="str">
        <f t="shared" ca="1" si="26"/>
        <v>Нет сведений</v>
      </c>
      <c r="S249" s="29" t="str">
        <f t="shared" si="27"/>
        <v>Не пройдено</v>
      </c>
    </row>
    <row r="250" spans="1:19" x14ac:dyDescent="0.3">
      <c r="A250" s="29">
        <f t="shared" si="21"/>
        <v>245</v>
      </c>
      <c r="B250" s="30" t="s">
        <v>99</v>
      </c>
      <c r="C250" s="30" t="s">
        <v>481</v>
      </c>
      <c r="D250" s="30" t="s">
        <v>474</v>
      </c>
      <c r="E250" s="30" t="s">
        <v>475</v>
      </c>
      <c r="F250" s="31">
        <v>41375</v>
      </c>
      <c r="G250" s="32" t="str">
        <f t="shared" si="22"/>
        <v>водитель автомобиля-экспедитор</v>
      </c>
      <c r="H250" s="29">
        <f>IF(C250="","",IF(AND(G250="мастер участка",ISNUMBER(SEARCH("РЭО",E250))),29,IFERROR(INDEX(Соответствие!$B$2:$B$100,MATCH(G250,Соответствие!$A$2:$A$100,0)),"?")))</f>
        <v>38</v>
      </c>
      <c r="I250" s="33" t="str">
        <f>IF(C250="","",IFERROR(INDEX(Перечень!$C$6:$C$51,MATCH(H250,Перечень!$A$6:$A$51,0)),""))</f>
        <v>п.4.3.1, п.4.3.2, п.4.4, п.5.1, п.5.2, п.18</v>
      </c>
      <c r="J250" s="29">
        <f>IF(C250="","",IFERROR(INDEX(Перечень!$D$6:$D$51,MATCH(H250,Перечень!$A$6:$A$51,0)),12))</f>
        <v>12</v>
      </c>
      <c r="K250" s="34"/>
      <c r="L250" s="34"/>
      <c r="M250" s="31" t="str">
        <f t="shared" si="23"/>
        <v/>
      </c>
      <c r="N250" s="29" t="str">
        <f>IF(C250="","",IFERROR(INDEX(Перечень!$F$6:$F$51,MATCH(H250,Перечень!$A$6:$A$51,0)),""))</f>
        <v>Да</v>
      </c>
      <c r="O250" s="34"/>
      <c r="P250" s="31" t="str">
        <f t="shared" si="24"/>
        <v/>
      </c>
      <c r="Q250" s="29" t="str">
        <f t="shared" si="25"/>
        <v/>
      </c>
      <c r="R250" s="29" t="str">
        <f t="shared" ca="1" si="26"/>
        <v>Нет сведений</v>
      </c>
      <c r="S250" s="29" t="str">
        <f t="shared" si="27"/>
        <v>Не пройдено</v>
      </c>
    </row>
    <row r="251" spans="1:19" x14ac:dyDescent="0.3">
      <c r="A251" s="29">
        <f t="shared" si="21"/>
        <v>246</v>
      </c>
      <c r="B251" s="30" t="s">
        <v>99</v>
      </c>
      <c r="C251" s="30" t="s">
        <v>482</v>
      </c>
      <c r="D251" s="30" t="s">
        <v>474</v>
      </c>
      <c r="E251" s="30" t="s">
        <v>475</v>
      </c>
      <c r="F251" s="31">
        <v>43557</v>
      </c>
      <c r="G251" s="32" t="str">
        <f t="shared" si="22"/>
        <v>водитель автомобиля-экспедитор</v>
      </c>
      <c r="H251" s="29">
        <f>IF(C251="","",IF(AND(G251="мастер участка",ISNUMBER(SEARCH("РЭО",E251))),29,IFERROR(INDEX(Соответствие!$B$2:$B$100,MATCH(G251,Соответствие!$A$2:$A$100,0)),"?")))</f>
        <v>38</v>
      </c>
      <c r="I251" s="33" t="str">
        <f>IF(C251="","",IFERROR(INDEX(Перечень!$C$6:$C$51,MATCH(H251,Перечень!$A$6:$A$51,0)),""))</f>
        <v>п.4.3.1, п.4.3.2, п.4.4, п.5.1, п.5.2, п.18</v>
      </c>
      <c r="J251" s="29">
        <f>IF(C251="","",IFERROR(INDEX(Перечень!$D$6:$D$51,MATCH(H251,Перечень!$A$6:$A$51,0)),12))</f>
        <v>12</v>
      </c>
      <c r="K251" s="34"/>
      <c r="L251" s="34"/>
      <c r="M251" s="31" t="str">
        <f t="shared" si="23"/>
        <v/>
      </c>
      <c r="N251" s="29" t="str">
        <f>IF(C251="","",IFERROR(INDEX(Перечень!$F$6:$F$51,MATCH(H251,Перечень!$A$6:$A$51,0)),""))</f>
        <v>Да</v>
      </c>
      <c r="O251" s="34"/>
      <c r="P251" s="31" t="str">
        <f t="shared" si="24"/>
        <v/>
      </c>
      <c r="Q251" s="29" t="str">
        <f t="shared" si="25"/>
        <v/>
      </c>
      <c r="R251" s="29" t="str">
        <f t="shared" ca="1" si="26"/>
        <v>Нет сведений</v>
      </c>
      <c r="S251" s="29" t="str">
        <f t="shared" si="27"/>
        <v>Не пройдено</v>
      </c>
    </row>
    <row r="252" spans="1:19" x14ac:dyDescent="0.3">
      <c r="A252" s="29">
        <f t="shared" si="21"/>
        <v>247</v>
      </c>
      <c r="B252" s="30" t="s">
        <v>99</v>
      </c>
      <c r="C252" s="30" t="s">
        <v>483</v>
      </c>
      <c r="D252" s="30" t="s">
        <v>474</v>
      </c>
      <c r="E252" s="30" t="s">
        <v>475</v>
      </c>
      <c r="F252" s="31">
        <v>39875</v>
      </c>
      <c r="G252" s="32" t="str">
        <f t="shared" si="22"/>
        <v>водитель автомобиля-экспедитор</v>
      </c>
      <c r="H252" s="29">
        <f>IF(C252="","",IF(AND(G252="мастер участка",ISNUMBER(SEARCH("РЭО",E252))),29,IFERROR(INDEX(Соответствие!$B$2:$B$100,MATCH(G252,Соответствие!$A$2:$A$100,0)),"?")))</f>
        <v>38</v>
      </c>
      <c r="I252" s="33" t="str">
        <f>IF(C252="","",IFERROR(INDEX(Перечень!$C$6:$C$51,MATCH(H252,Перечень!$A$6:$A$51,0)),""))</f>
        <v>п.4.3.1, п.4.3.2, п.4.4, п.5.1, п.5.2, п.18</v>
      </c>
      <c r="J252" s="29">
        <f>IF(C252="","",IFERROR(INDEX(Перечень!$D$6:$D$51,MATCH(H252,Перечень!$A$6:$A$51,0)),12))</f>
        <v>12</v>
      </c>
      <c r="K252" s="34"/>
      <c r="L252" s="34"/>
      <c r="M252" s="31" t="str">
        <f t="shared" si="23"/>
        <v/>
      </c>
      <c r="N252" s="29" t="str">
        <f>IF(C252="","",IFERROR(INDEX(Перечень!$F$6:$F$51,MATCH(H252,Перечень!$A$6:$A$51,0)),""))</f>
        <v>Да</v>
      </c>
      <c r="O252" s="34"/>
      <c r="P252" s="31" t="str">
        <f t="shared" si="24"/>
        <v/>
      </c>
      <c r="Q252" s="29" t="str">
        <f t="shared" si="25"/>
        <v/>
      </c>
      <c r="R252" s="29" t="str">
        <f t="shared" ca="1" si="26"/>
        <v>Нет сведений</v>
      </c>
      <c r="S252" s="29" t="str">
        <f t="shared" si="27"/>
        <v>Не пройдено</v>
      </c>
    </row>
    <row r="253" spans="1:19" x14ac:dyDescent="0.3">
      <c r="A253" s="29">
        <f t="shared" si="21"/>
        <v>248</v>
      </c>
      <c r="B253" s="30" t="s">
        <v>98</v>
      </c>
      <c r="C253" s="30" t="s">
        <v>484</v>
      </c>
      <c r="D253" s="30" t="s">
        <v>173</v>
      </c>
      <c r="E253" s="30" t="s">
        <v>485</v>
      </c>
      <c r="F253" s="31">
        <v>45722</v>
      </c>
      <c r="G253" s="32" t="str">
        <f t="shared" si="22"/>
        <v>слесарь-сборщик</v>
      </c>
      <c r="H253" s="29">
        <f>IF(C253="","",IF(AND(G253="мастер участка",ISNUMBER(SEARCH("РЭО",E253))),29,IFERROR(INDEX(Соответствие!$B$2:$B$100,MATCH(G253,Соответствие!$A$2:$A$100,0)),"?")))</f>
        <v>19</v>
      </c>
      <c r="I253" s="33" t="str">
        <f>IF(C253="","",IFERROR(INDEX(Перечень!$C$6:$C$51,MATCH(H253,Перечень!$A$6:$A$51,0)),""))</f>
        <v>п.4.3.1, п.4.3.2, п.4.4, п.5.1, п.6.2, п.15</v>
      </c>
      <c r="J253" s="29">
        <f>IF(C253="","",IFERROR(INDEX(Перечень!$D$6:$D$51,MATCH(H253,Перечень!$A$6:$A$51,0)),12))</f>
        <v>12</v>
      </c>
      <c r="K253" s="34">
        <v>45721</v>
      </c>
      <c r="L253" s="34"/>
      <c r="M253" s="31">
        <f t="shared" si="23"/>
        <v>46086</v>
      </c>
      <c r="N253" s="29" t="str">
        <f>IF(C253="","",IFERROR(INDEX(Перечень!$F$6:$F$51,MATCH(H253,Перечень!$A$6:$A$51,0)),""))</f>
        <v>-</v>
      </c>
      <c r="O253" s="34"/>
      <c r="P253" s="31" t="str">
        <f t="shared" si="24"/>
        <v/>
      </c>
      <c r="Q253" s="29" t="str">
        <f t="shared" si="25"/>
        <v/>
      </c>
      <c r="R253" s="29" t="str">
        <f t="shared" ca="1" si="26"/>
        <v>Просрочен</v>
      </c>
      <c r="S253" s="29" t="str">
        <f t="shared" si="27"/>
        <v/>
      </c>
    </row>
    <row r="254" spans="1:19" x14ac:dyDescent="0.3">
      <c r="A254" s="29">
        <f t="shared" si="21"/>
        <v>249</v>
      </c>
      <c r="B254" s="30" t="s">
        <v>98</v>
      </c>
      <c r="C254" s="30" t="s">
        <v>486</v>
      </c>
      <c r="D254" s="30" t="s">
        <v>173</v>
      </c>
      <c r="E254" s="30" t="s">
        <v>485</v>
      </c>
      <c r="F254" s="31">
        <v>45797</v>
      </c>
      <c r="G254" s="32" t="str">
        <f t="shared" si="22"/>
        <v>слесарь-сборщик</v>
      </c>
      <c r="H254" s="29">
        <f>IF(C254="","",IF(AND(G254="мастер участка",ISNUMBER(SEARCH("РЭО",E254))),29,IFERROR(INDEX(Соответствие!$B$2:$B$100,MATCH(G254,Соответствие!$A$2:$A$100,0)),"?")))</f>
        <v>19</v>
      </c>
      <c r="I254" s="33" t="str">
        <f>IF(C254="","",IFERROR(INDEX(Перечень!$C$6:$C$51,MATCH(H254,Перечень!$A$6:$A$51,0)),""))</f>
        <v>п.4.3.1, п.4.3.2, п.4.4, п.5.1, п.6.2, п.15</v>
      </c>
      <c r="J254" s="29">
        <f>IF(C254="","",IFERROR(INDEX(Перечень!$D$6:$D$51,MATCH(H254,Перечень!$A$6:$A$51,0)),12))</f>
        <v>12</v>
      </c>
      <c r="K254" s="34"/>
      <c r="L254" s="34"/>
      <c r="M254" s="31" t="str">
        <f t="shared" si="23"/>
        <v/>
      </c>
      <c r="N254" s="29" t="str">
        <f>IF(C254="","",IFERROR(INDEX(Перечень!$F$6:$F$51,MATCH(H254,Перечень!$A$6:$A$51,0)),""))</f>
        <v>-</v>
      </c>
      <c r="O254" s="34"/>
      <c r="P254" s="31" t="str">
        <f t="shared" si="24"/>
        <v/>
      </c>
      <c r="Q254" s="29" t="str">
        <f t="shared" si="25"/>
        <v/>
      </c>
      <c r="R254" s="29" t="str">
        <f t="shared" ca="1" si="26"/>
        <v>Нет сведений</v>
      </c>
      <c r="S254" s="29" t="str">
        <f t="shared" si="27"/>
        <v/>
      </c>
    </row>
    <row r="255" spans="1:19" x14ac:dyDescent="0.3">
      <c r="A255" s="29">
        <f t="shared" si="21"/>
        <v>250</v>
      </c>
      <c r="B255" s="30" t="s">
        <v>98</v>
      </c>
      <c r="C255" s="30" t="s">
        <v>487</v>
      </c>
      <c r="D255" s="30" t="s">
        <v>173</v>
      </c>
      <c r="E255" s="30" t="s">
        <v>485</v>
      </c>
      <c r="F255" s="31">
        <v>46083</v>
      </c>
      <c r="G255" s="32" t="str">
        <f t="shared" si="22"/>
        <v>слесарь-сборщик</v>
      </c>
      <c r="H255" s="29">
        <f>IF(C255="","",IF(AND(G255="мастер участка",ISNUMBER(SEARCH("РЭО",E255))),29,IFERROR(INDEX(Соответствие!$B$2:$B$100,MATCH(G255,Соответствие!$A$2:$A$100,0)),"?")))</f>
        <v>19</v>
      </c>
      <c r="I255" s="33" t="str">
        <f>IF(C255="","",IFERROR(INDEX(Перечень!$C$6:$C$51,MATCH(H255,Перечень!$A$6:$A$51,0)),""))</f>
        <v>п.4.3.1, п.4.3.2, п.4.4, п.5.1, п.6.2, п.15</v>
      </c>
      <c r="J255" s="29">
        <f>IF(C255="","",IFERROR(INDEX(Перечень!$D$6:$D$51,MATCH(H255,Перечень!$A$6:$A$51,0)),12))</f>
        <v>12</v>
      </c>
      <c r="K255" s="34">
        <v>46066</v>
      </c>
      <c r="L255" s="34"/>
      <c r="M255" s="31">
        <f t="shared" si="23"/>
        <v>46431</v>
      </c>
      <c r="N255" s="29" t="str">
        <f>IF(C255="","",IFERROR(INDEX(Перечень!$F$6:$F$51,MATCH(H255,Перечень!$A$6:$A$51,0)),""))</f>
        <v>-</v>
      </c>
      <c r="O255" s="34"/>
      <c r="P255" s="31" t="str">
        <f t="shared" si="24"/>
        <v/>
      </c>
      <c r="Q255" s="29" t="str">
        <f t="shared" si="25"/>
        <v/>
      </c>
      <c r="R255" s="29" t="str">
        <f t="shared" ca="1" si="26"/>
        <v>В срок</v>
      </c>
      <c r="S255" s="29" t="str">
        <f t="shared" si="27"/>
        <v/>
      </c>
    </row>
    <row r="256" spans="1:19" x14ac:dyDescent="0.3">
      <c r="A256" s="29">
        <f t="shared" si="21"/>
        <v>251</v>
      </c>
      <c r="B256" s="30" t="s">
        <v>98</v>
      </c>
      <c r="C256" s="30" t="s">
        <v>488</v>
      </c>
      <c r="D256" s="30" t="s">
        <v>197</v>
      </c>
      <c r="E256" s="30" t="s">
        <v>485</v>
      </c>
      <c r="F256" s="31">
        <v>46091</v>
      </c>
      <c r="G256" s="32" t="str">
        <f t="shared" si="22"/>
        <v>кладовщик</v>
      </c>
      <c r="H256" s="29">
        <f>IF(C256="","",IF(AND(G256="мастер участка",ISNUMBER(SEARCH("РЭО",E256))),29,IFERROR(INDEX(Соответствие!$B$2:$B$100,MATCH(G256,Соответствие!$A$2:$A$100,0)),"?")))</f>
        <v>14</v>
      </c>
      <c r="I256" s="33" t="str">
        <f>IF(C256="","",IFERROR(INDEX(Перечень!$C$6:$C$51,MATCH(H256,Перечень!$A$6:$A$51,0)),""))</f>
        <v>п.4.4, п.5.1, п.6.2</v>
      </c>
      <c r="J256" s="29">
        <f>IF(C256="","",IFERROR(INDEX(Перечень!$D$6:$D$51,MATCH(H256,Перечень!$A$6:$A$51,0)),12))</f>
        <v>12</v>
      </c>
      <c r="K256" s="34"/>
      <c r="L256" s="34"/>
      <c r="M256" s="31" t="str">
        <f t="shared" si="23"/>
        <v/>
      </c>
      <c r="N256" s="29" t="str">
        <f>IF(C256="","",IFERROR(INDEX(Перечень!$F$6:$F$51,MATCH(H256,Перечень!$A$6:$A$51,0)),""))</f>
        <v>-</v>
      </c>
      <c r="O256" s="34"/>
      <c r="P256" s="31" t="str">
        <f t="shared" si="24"/>
        <v/>
      </c>
      <c r="Q256" s="29" t="str">
        <f t="shared" si="25"/>
        <v/>
      </c>
      <c r="R256" s="29" t="str">
        <f t="shared" ca="1" si="26"/>
        <v>Нет сведений</v>
      </c>
      <c r="S256" s="29" t="str">
        <f t="shared" si="27"/>
        <v/>
      </c>
    </row>
    <row r="257" spans="1:19" x14ac:dyDescent="0.3">
      <c r="A257" s="29">
        <f t="shared" si="21"/>
        <v>252</v>
      </c>
      <c r="B257" s="30" t="s">
        <v>98</v>
      </c>
      <c r="C257" s="30" t="s">
        <v>489</v>
      </c>
      <c r="D257" s="30" t="s">
        <v>197</v>
      </c>
      <c r="E257" s="30" t="s">
        <v>485</v>
      </c>
      <c r="F257" s="31">
        <v>45867</v>
      </c>
      <c r="G257" s="32" t="str">
        <f t="shared" si="22"/>
        <v>кладовщик</v>
      </c>
      <c r="H257" s="29">
        <f>IF(C257="","",IF(AND(G257="мастер участка",ISNUMBER(SEARCH("РЭО",E257))),29,IFERROR(INDEX(Соответствие!$B$2:$B$100,MATCH(G257,Соответствие!$A$2:$A$100,0)),"?")))</f>
        <v>14</v>
      </c>
      <c r="I257" s="33" t="str">
        <f>IF(C257="","",IFERROR(INDEX(Перечень!$C$6:$C$51,MATCH(H257,Перечень!$A$6:$A$51,0)),""))</f>
        <v>п.4.4, п.5.1, п.6.2</v>
      </c>
      <c r="J257" s="29">
        <f>IF(C257="","",IFERROR(INDEX(Перечень!$D$6:$D$51,MATCH(H257,Перечень!$A$6:$A$51,0)),12))</f>
        <v>12</v>
      </c>
      <c r="K257" s="34"/>
      <c r="L257" s="34"/>
      <c r="M257" s="31" t="str">
        <f t="shared" si="23"/>
        <v/>
      </c>
      <c r="N257" s="29" t="str">
        <f>IF(C257="","",IFERROR(INDEX(Перечень!$F$6:$F$51,MATCH(H257,Перечень!$A$6:$A$51,0)),""))</f>
        <v>-</v>
      </c>
      <c r="O257" s="34"/>
      <c r="P257" s="31" t="str">
        <f t="shared" si="24"/>
        <v/>
      </c>
      <c r="Q257" s="29" t="str">
        <f t="shared" si="25"/>
        <v/>
      </c>
      <c r="R257" s="29" t="str">
        <f t="shared" ca="1" si="26"/>
        <v>Нет сведений</v>
      </c>
      <c r="S257" s="29" t="str">
        <f t="shared" si="27"/>
        <v/>
      </c>
    </row>
    <row r="258" spans="1:19" x14ac:dyDescent="0.3">
      <c r="A258" s="29">
        <f t="shared" si="21"/>
        <v>253</v>
      </c>
      <c r="B258" s="30" t="s">
        <v>98</v>
      </c>
      <c r="C258" s="30" t="s">
        <v>490</v>
      </c>
      <c r="D258" s="30" t="s">
        <v>250</v>
      </c>
      <c r="E258" s="30" t="s">
        <v>485</v>
      </c>
      <c r="F258" s="31">
        <v>45497</v>
      </c>
      <c r="G258" s="32" t="str">
        <f t="shared" si="22"/>
        <v>диспетчер</v>
      </c>
      <c r="H258" s="29">
        <f>IF(C258="","",IF(AND(G258="мастер участка",ISNUMBER(SEARCH("РЭО",E258))),29,IFERROR(INDEX(Соответствие!$B$2:$B$100,MATCH(G258,Соответствие!$A$2:$A$100,0)),"?")))</f>
        <v>28</v>
      </c>
      <c r="I258" s="33" t="str">
        <f>IF(C258="","",IFERROR(INDEX(Перечень!$C$6:$C$51,MATCH(H258,Перечень!$A$6:$A$51,0)),""))</f>
        <v>п.4.4, п.5.1, п.5.2</v>
      </c>
      <c r="J258" s="29">
        <f>IF(C258="","",IFERROR(INDEX(Перечень!$D$6:$D$51,MATCH(H258,Перечень!$A$6:$A$51,0)),12))</f>
        <v>12</v>
      </c>
      <c r="K258" s="34"/>
      <c r="L258" s="34"/>
      <c r="M258" s="31" t="str">
        <f t="shared" si="23"/>
        <v/>
      </c>
      <c r="N258" s="29" t="str">
        <f>IF(C258="","",IFERROR(INDEX(Перечень!$F$6:$F$51,MATCH(H258,Перечень!$A$6:$A$51,0)),""))</f>
        <v>-</v>
      </c>
      <c r="O258" s="34"/>
      <c r="P258" s="31" t="str">
        <f t="shared" si="24"/>
        <v/>
      </c>
      <c r="Q258" s="29" t="str">
        <f t="shared" si="25"/>
        <v/>
      </c>
      <c r="R258" s="29" t="str">
        <f t="shared" ca="1" si="26"/>
        <v>Нет сведений</v>
      </c>
      <c r="S258" s="29" t="str">
        <f t="shared" si="27"/>
        <v/>
      </c>
    </row>
    <row r="259" spans="1:19" x14ac:dyDescent="0.3">
      <c r="A259" s="29">
        <f t="shared" si="21"/>
        <v>254</v>
      </c>
      <c r="B259" s="30" t="s">
        <v>98</v>
      </c>
      <c r="C259" s="30" t="s">
        <v>491</v>
      </c>
      <c r="D259" s="30" t="s">
        <v>250</v>
      </c>
      <c r="E259" s="30" t="s">
        <v>485</v>
      </c>
      <c r="F259" s="31">
        <v>46181</v>
      </c>
      <c r="G259" s="32" t="str">
        <f t="shared" si="22"/>
        <v>диспетчер</v>
      </c>
      <c r="H259" s="29">
        <f>IF(C259="","",IF(AND(G259="мастер участка",ISNUMBER(SEARCH("РЭО",E259))),29,IFERROR(INDEX(Соответствие!$B$2:$B$100,MATCH(G259,Соответствие!$A$2:$A$100,0)),"?")))</f>
        <v>28</v>
      </c>
      <c r="I259" s="33" t="str">
        <f>IF(C259="","",IFERROR(INDEX(Перечень!$C$6:$C$51,MATCH(H259,Перечень!$A$6:$A$51,0)),""))</f>
        <v>п.4.4, п.5.1, п.5.2</v>
      </c>
      <c r="J259" s="29">
        <f>IF(C259="","",IFERROR(INDEX(Перечень!$D$6:$D$51,MATCH(H259,Перечень!$A$6:$A$51,0)),12))</f>
        <v>12</v>
      </c>
      <c r="K259" s="34">
        <v>46174</v>
      </c>
      <c r="L259" s="34"/>
      <c r="M259" s="31">
        <f t="shared" si="23"/>
        <v>46539</v>
      </c>
      <c r="N259" s="29" t="str">
        <f>IF(C259="","",IFERROR(INDEX(Перечень!$F$6:$F$51,MATCH(H259,Перечень!$A$6:$A$51,0)),""))</f>
        <v>-</v>
      </c>
      <c r="O259" s="34"/>
      <c r="P259" s="31" t="str">
        <f t="shared" si="24"/>
        <v/>
      </c>
      <c r="Q259" s="29" t="str">
        <f t="shared" si="25"/>
        <v/>
      </c>
      <c r="R259" s="29" t="str">
        <f t="shared" ca="1" si="26"/>
        <v>В срок</v>
      </c>
      <c r="S259" s="29" t="str">
        <f t="shared" si="27"/>
        <v/>
      </c>
    </row>
    <row r="260" spans="1:19" x14ac:dyDescent="0.3">
      <c r="A260" s="29">
        <f t="shared" si="21"/>
        <v>255</v>
      </c>
      <c r="B260" s="30" t="s">
        <v>98</v>
      </c>
      <c r="C260" s="30" t="s">
        <v>492</v>
      </c>
      <c r="D260" s="30" t="s">
        <v>149</v>
      </c>
      <c r="E260" s="30" t="s">
        <v>485</v>
      </c>
      <c r="F260" s="31">
        <v>45968</v>
      </c>
      <c r="G260" s="32" t="str">
        <f t="shared" si="22"/>
        <v>электромонтажник</v>
      </c>
      <c r="H260" s="29">
        <f>IF(C260="","",IF(AND(G260="мастер участка",ISNUMBER(SEARCH("РЭО",E260))),29,IFERROR(INDEX(Соответствие!$B$2:$B$100,MATCH(G260,Соответствие!$A$2:$A$100,0)),"?")))</f>
        <v>20</v>
      </c>
      <c r="I260" s="33" t="str">
        <f>IF(C260="","",IFERROR(INDEX(Перечень!$C$6:$C$51,MATCH(H260,Перечень!$A$6:$A$51,0)),""))</f>
        <v>п.4.3.1, п.4.3.2, п.4.4, п.4.9, п.5.1, п.5.2, п.6.2, п.9</v>
      </c>
      <c r="J260" s="29">
        <f>IF(C260="","",IFERROR(INDEX(Перечень!$D$6:$D$51,MATCH(H260,Перечень!$A$6:$A$51,0)),12))</f>
        <v>12</v>
      </c>
      <c r="K260" s="34">
        <v>45951</v>
      </c>
      <c r="L260" s="34"/>
      <c r="M260" s="31">
        <f t="shared" si="23"/>
        <v>46316</v>
      </c>
      <c r="N260" s="29" t="str">
        <f>IF(C260="","",IFERROR(INDEX(Перечень!$F$6:$F$51,MATCH(H260,Перечень!$A$6:$A$51,0)),""))</f>
        <v>Да</v>
      </c>
      <c r="O260" s="34"/>
      <c r="P260" s="31" t="str">
        <f t="shared" si="24"/>
        <v/>
      </c>
      <c r="Q260" s="29" t="str">
        <f t="shared" si="25"/>
        <v/>
      </c>
      <c r="R260" s="29" t="str">
        <f t="shared" ca="1" si="26"/>
        <v>Истекает</v>
      </c>
      <c r="S260" s="29" t="str">
        <f t="shared" si="27"/>
        <v>Не пройдено</v>
      </c>
    </row>
    <row r="261" spans="1:19" x14ac:dyDescent="0.3">
      <c r="A261" s="29">
        <f t="shared" si="21"/>
        <v>256</v>
      </c>
      <c r="B261" s="30" t="s">
        <v>98</v>
      </c>
      <c r="C261" s="30" t="s">
        <v>493</v>
      </c>
      <c r="D261" s="30" t="s">
        <v>151</v>
      </c>
      <c r="E261" s="30" t="s">
        <v>485</v>
      </c>
      <c r="F261" s="31">
        <v>45509</v>
      </c>
      <c r="G261" s="32" t="str">
        <f t="shared" si="22"/>
        <v>электромонтажник</v>
      </c>
      <c r="H261" s="29">
        <f>IF(C261="","",IF(AND(G261="мастер участка",ISNUMBER(SEARCH("РЭО",E261))),29,IFERROR(INDEX(Соответствие!$B$2:$B$100,MATCH(G261,Соответствие!$A$2:$A$100,0)),"?")))</f>
        <v>20</v>
      </c>
      <c r="I261" s="33" t="str">
        <f>IF(C261="","",IFERROR(INDEX(Перечень!$C$6:$C$51,MATCH(H261,Перечень!$A$6:$A$51,0)),""))</f>
        <v>п.4.3.1, п.4.3.2, п.4.4, п.4.9, п.5.1, п.5.2, п.6.2, п.9</v>
      </c>
      <c r="J261" s="29">
        <f>IF(C261="","",IFERROR(INDEX(Перечень!$D$6:$D$51,MATCH(H261,Перечень!$A$6:$A$51,0)),12))</f>
        <v>12</v>
      </c>
      <c r="K261" s="34">
        <v>45496</v>
      </c>
      <c r="L261" s="34"/>
      <c r="M261" s="31">
        <f t="shared" si="23"/>
        <v>45861</v>
      </c>
      <c r="N261" s="29" t="str">
        <f>IF(C261="","",IFERROR(INDEX(Перечень!$F$6:$F$51,MATCH(H261,Перечень!$A$6:$A$51,0)),""))</f>
        <v>Да</v>
      </c>
      <c r="O261" s="34"/>
      <c r="P261" s="31" t="str">
        <f t="shared" si="24"/>
        <v/>
      </c>
      <c r="Q261" s="29" t="str">
        <f t="shared" si="25"/>
        <v/>
      </c>
      <c r="R261" s="29" t="str">
        <f t="shared" ca="1" si="26"/>
        <v>Просрочен</v>
      </c>
      <c r="S261" s="29" t="str">
        <f t="shared" si="27"/>
        <v>Не пройдено</v>
      </c>
    </row>
    <row r="262" spans="1:19" x14ac:dyDescent="0.3">
      <c r="A262" s="29">
        <f t="shared" ref="A262:A325" si="28">IF(C262="","",ROW()-5)</f>
        <v>257</v>
      </c>
      <c r="B262" s="30" t="s">
        <v>98</v>
      </c>
      <c r="C262" s="30" t="s">
        <v>494</v>
      </c>
      <c r="D262" s="30" t="s">
        <v>151</v>
      </c>
      <c r="E262" s="30" t="s">
        <v>485</v>
      </c>
      <c r="F262" s="31">
        <v>45506</v>
      </c>
      <c r="G262" s="32" t="str">
        <f t="shared" ref="G262:G325" si="29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29">
        <f>IF(C262="","",IF(AND(G262="мастер участка",ISNUMBER(SEARCH("РЭО",E262))),29,IFERROR(INDEX(Соответствие!$B$2:$B$100,MATCH(G262,Соответствие!$A$2:$A$100,0)),"?")))</f>
        <v>20</v>
      </c>
      <c r="I262" s="33" t="str">
        <f>IF(C262="","",IFERROR(INDEX(Перечень!$C$6:$C$51,MATCH(H262,Перечень!$A$6:$A$51,0)),""))</f>
        <v>п.4.3.1, п.4.3.2, п.4.4, п.4.9, п.5.1, п.5.2, п.6.2, п.9</v>
      </c>
      <c r="J262" s="29">
        <f>IF(C262="","",IFERROR(INDEX(Перечень!$D$6:$D$51,MATCH(H262,Перечень!$A$6:$A$51,0)),12))</f>
        <v>12</v>
      </c>
      <c r="K262" s="34">
        <v>45503</v>
      </c>
      <c r="L262" s="34"/>
      <c r="M262" s="31">
        <f t="shared" ref="M262:M325" si="30">IF(AND(K262="",L262=""),"",EDATE(MAX(K262,L262),J262))</f>
        <v>45868</v>
      </c>
      <c r="N262" s="29" t="str">
        <f>IF(C262="","",IFERROR(INDEX(Перечень!$F$6:$F$51,MATCH(H262,Перечень!$A$6:$A$51,0)),""))</f>
        <v>Да</v>
      </c>
      <c r="O262" s="34"/>
      <c r="P262" s="31" t="str">
        <f t="shared" ref="P262:P325" si="31">IF(O262="","",EDATE(O262,60))</f>
        <v/>
      </c>
      <c r="Q262" s="29" t="str">
        <f t="shared" ref="Q262:Q325" si="32">IF(AND(K262&lt;&gt;"",F262&lt;&gt;"",K262&gt;F262),"Да","")</f>
        <v/>
      </c>
      <c r="R262" s="29" t="str">
        <f t="shared" ref="R262:R325" ca="1" si="33">IF(C262="","",IF(M262="","Нет сведений",IF(M262&lt;TODAY(),"Просрочен",IF(M262-TODAY()&lt;=30,"Истекает","В срок"))))</f>
        <v>Просрочен</v>
      </c>
      <c r="S262" s="29" t="str">
        <f t="shared" ref="S262:S325" si="34">IF(AND(N262="Да",O262=""),"Не пройдено","")</f>
        <v>Не пройдено</v>
      </c>
    </row>
    <row r="263" spans="1:19" x14ac:dyDescent="0.3">
      <c r="A263" s="29">
        <f t="shared" si="28"/>
        <v>258</v>
      </c>
      <c r="B263" s="30" t="s">
        <v>98</v>
      </c>
      <c r="C263" s="30" t="s">
        <v>495</v>
      </c>
      <c r="D263" s="30" t="s">
        <v>153</v>
      </c>
      <c r="E263" s="30" t="s">
        <v>485</v>
      </c>
      <c r="F263" s="31">
        <v>39730</v>
      </c>
      <c r="G263" s="32" t="str">
        <f t="shared" si="29"/>
        <v>слесарь-сборщик</v>
      </c>
      <c r="H263" s="29">
        <f>IF(C263="","",IF(AND(G263="мастер участка",ISNUMBER(SEARCH("РЭО",E263))),29,IFERROR(INDEX(Соответствие!$B$2:$B$100,MATCH(G263,Соответствие!$A$2:$A$100,0)),"?")))</f>
        <v>19</v>
      </c>
      <c r="I263" s="33" t="str">
        <f>IF(C263="","",IFERROR(INDEX(Перечень!$C$6:$C$51,MATCH(H263,Перечень!$A$6:$A$51,0)),""))</f>
        <v>п.4.3.1, п.4.3.2, п.4.4, п.5.1, п.6.2, п.15</v>
      </c>
      <c r="J263" s="29">
        <f>IF(C263="","",IFERROR(INDEX(Перечень!$D$6:$D$51,MATCH(H263,Перечень!$A$6:$A$51,0)),12))</f>
        <v>12</v>
      </c>
      <c r="K263" s="34"/>
      <c r="L263" s="34"/>
      <c r="M263" s="31" t="str">
        <f t="shared" si="30"/>
        <v/>
      </c>
      <c r="N263" s="29" t="str">
        <f>IF(C263="","",IFERROR(INDEX(Перечень!$F$6:$F$51,MATCH(H263,Перечень!$A$6:$A$51,0)),""))</f>
        <v>-</v>
      </c>
      <c r="O263" s="34"/>
      <c r="P263" s="31" t="str">
        <f t="shared" si="31"/>
        <v/>
      </c>
      <c r="Q263" s="29" t="str">
        <f t="shared" si="32"/>
        <v/>
      </c>
      <c r="R263" s="29" t="str">
        <f t="shared" ca="1" si="33"/>
        <v>Нет сведений</v>
      </c>
      <c r="S263" s="29" t="str">
        <f t="shared" si="34"/>
        <v/>
      </c>
    </row>
    <row r="264" spans="1:19" x14ac:dyDescent="0.3">
      <c r="A264" s="29">
        <f t="shared" si="28"/>
        <v>259</v>
      </c>
      <c r="B264" s="30" t="s">
        <v>98</v>
      </c>
      <c r="C264" s="30" t="s">
        <v>496</v>
      </c>
      <c r="D264" s="30" t="s">
        <v>497</v>
      </c>
      <c r="E264" s="30" t="s">
        <v>485</v>
      </c>
      <c r="F264" s="31">
        <v>45853</v>
      </c>
      <c r="G264" s="32" t="str">
        <f t="shared" si="29"/>
        <v>мастер электромонтажного участка</v>
      </c>
      <c r="H264" s="29">
        <f>IF(C264="","",IF(AND(G264="мастер участка",ISNUMBER(SEARCH("РЭО",E264))),29,IFERROR(INDEX(Соответствие!$B$2:$B$100,MATCH(G264,Соответствие!$A$2:$A$100,0)),"?")))</f>
        <v>29</v>
      </c>
      <c r="I264" s="33" t="str">
        <f>IF(C264="","",IFERROR(INDEX(Перечень!$C$6:$C$51,MATCH(H264,Перечень!$A$6:$A$51,0)),""))</f>
        <v>п.4.3.1, п.4.3.2, п.4.4, п.4.9, п.5.1, п.5.2, п.6.2, п.9</v>
      </c>
      <c r="J264" s="29">
        <f>IF(C264="","",IFERROR(INDEX(Перечень!$D$6:$D$51,MATCH(H264,Перечень!$A$6:$A$51,0)),12))</f>
        <v>12</v>
      </c>
      <c r="K264" s="34"/>
      <c r="L264" s="34"/>
      <c r="M264" s="31" t="str">
        <f t="shared" si="30"/>
        <v/>
      </c>
      <c r="N264" s="29" t="str">
        <f>IF(C264="","",IFERROR(INDEX(Перечень!$F$6:$F$51,MATCH(H264,Перечень!$A$6:$A$51,0)),""))</f>
        <v>Да</v>
      </c>
      <c r="O264" s="34"/>
      <c r="P264" s="31" t="str">
        <f t="shared" si="31"/>
        <v/>
      </c>
      <c r="Q264" s="29" t="str">
        <f t="shared" si="32"/>
        <v/>
      </c>
      <c r="R264" s="29" t="str">
        <f t="shared" ca="1" si="33"/>
        <v>Нет сведений</v>
      </c>
      <c r="S264" s="29" t="str">
        <f t="shared" si="34"/>
        <v>Не пройдено</v>
      </c>
    </row>
    <row r="265" spans="1:19" x14ac:dyDescent="0.3">
      <c r="A265" s="29">
        <f t="shared" si="28"/>
        <v>260</v>
      </c>
      <c r="B265" s="30" t="s">
        <v>98</v>
      </c>
      <c r="C265" s="30" t="s">
        <v>498</v>
      </c>
      <c r="D265" s="30" t="s">
        <v>499</v>
      </c>
      <c r="E265" s="30" t="s">
        <v>485</v>
      </c>
      <c r="F265" s="31">
        <v>46125</v>
      </c>
      <c r="G265" s="32" t="str">
        <f t="shared" si="29"/>
        <v>электромонтажник</v>
      </c>
      <c r="H265" s="29">
        <f>IF(C265="","",IF(AND(G265="мастер участка",ISNUMBER(SEARCH("РЭО",E265))),29,IFERROR(INDEX(Соответствие!$B$2:$B$100,MATCH(G265,Соответствие!$A$2:$A$100,0)),"?")))</f>
        <v>20</v>
      </c>
      <c r="I265" s="33" t="str">
        <f>IF(C265="","",IFERROR(INDEX(Перечень!$C$6:$C$51,MATCH(H265,Перечень!$A$6:$A$51,0)),""))</f>
        <v>п.4.3.1, п.4.3.2, п.4.4, п.4.9, п.5.1, п.5.2, п.6.2, п.9</v>
      </c>
      <c r="J265" s="29">
        <f>IF(C265="","",IFERROR(INDEX(Перечень!$D$6:$D$51,MATCH(H265,Перечень!$A$6:$A$51,0)),12))</f>
        <v>12</v>
      </c>
      <c r="K265" s="34"/>
      <c r="L265" s="34"/>
      <c r="M265" s="31" t="str">
        <f t="shared" si="30"/>
        <v/>
      </c>
      <c r="N265" s="29" t="str">
        <f>IF(C265="","",IFERROR(INDEX(Перечень!$F$6:$F$51,MATCH(H265,Перечень!$A$6:$A$51,0)),""))</f>
        <v>Да</v>
      </c>
      <c r="O265" s="34"/>
      <c r="P265" s="31" t="str">
        <f t="shared" si="31"/>
        <v/>
      </c>
      <c r="Q265" s="29" t="str">
        <f t="shared" si="32"/>
        <v/>
      </c>
      <c r="R265" s="29" t="str">
        <f t="shared" ca="1" si="33"/>
        <v>Нет сведений</v>
      </c>
      <c r="S265" s="29" t="str">
        <f t="shared" si="34"/>
        <v>Не пройдено</v>
      </c>
    </row>
    <row r="266" spans="1:19" x14ac:dyDescent="0.3">
      <c r="A266" s="29">
        <f t="shared" si="28"/>
        <v>261</v>
      </c>
      <c r="B266" s="30" t="s">
        <v>98</v>
      </c>
      <c r="C266" s="30" t="s">
        <v>500</v>
      </c>
      <c r="D266" s="30" t="s">
        <v>499</v>
      </c>
      <c r="E266" s="30" t="s">
        <v>485</v>
      </c>
      <c r="F266" s="31">
        <v>45968</v>
      </c>
      <c r="G266" s="32" t="str">
        <f t="shared" si="29"/>
        <v>электромонтажник</v>
      </c>
      <c r="H266" s="29">
        <f>IF(C266="","",IF(AND(G266="мастер участка",ISNUMBER(SEARCH("РЭО",E266))),29,IFERROR(INDEX(Соответствие!$B$2:$B$100,MATCH(G266,Соответствие!$A$2:$A$100,0)),"?")))</f>
        <v>20</v>
      </c>
      <c r="I266" s="33" t="str">
        <f>IF(C266="","",IFERROR(INDEX(Перечень!$C$6:$C$51,MATCH(H266,Перечень!$A$6:$A$51,0)),""))</f>
        <v>п.4.3.1, п.4.3.2, п.4.4, п.4.9, п.5.1, п.5.2, п.6.2, п.9</v>
      </c>
      <c r="J266" s="29">
        <f>IF(C266="","",IFERROR(INDEX(Перечень!$D$6:$D$51,MATCH(H266,Перечень!$A$6:$A$51,0)),12))</f>
        <v>12</v>
      </c>
      <c r="K266" s="34">
        <v>45966</v>
      </c>
      <c r="L266" s="34"/>
      <c r="M266" s="31">
        <f t="shared" si="30"/>
        <v>46331</v>
      </c>
      <c r="N266" s="29" t="str">
        <f>IF(C266="","",IFERROR(INDEX(Перечень!$F$6:$F$51,MATCH(H266,Перечень!$A$6:$A$51,0)),""))</f>
        <v>Да</v>
      </c>
      <c r="O266" s="34"/>
      <c r="P266" s="31" t="str">
        <f t="shared" si="31"/>
        <v/>
      </c>
      <c r="Q266" s="29" t="str">
        <f t="shared" si="32"/>
        <v/>
      </c>
      <c r="R266" s="29" t="str">
        <f t="shared" ca="1" si="33"/>
        <v>Истекает</v>
      </c>
      <c r="S266" s="29" t="str">
        <f t="shared" si="34"/>
        <v>Не пройдено</v>
      </c>
    </row>
    <row r="267" spans="1:19" x14ac:dyDescent="0.3">
      <c r="A267" s="29">
        <f t="shared" si="28"/>
        <v>262</v>
      </c>
      <c r="B267" s="30" t="s">
        <v>98</v>
      </c>
      <c r="C267" s="30" t="s">
        <v>501</v>
      </c>
      <c r="D267" s="30" t="s">
        <v>502</v>
      </c>
      <c r="E267" s="30" t="s">
        <v>485</v>
      </c>
      <c r="F267" s="31">
        <v>45460</v>
      </c>
      <c r="G267" s="32" t="str">
        <f t="shared" si="29"/>
        <v>слесарь-клепальщик</v>
      </c>
      <c r="H267" s="29">
        <f>IF(C267="","",IF(AND(G267="мастер участка",ISNUMBER(SEARCH("РЭО",E267))),29,IFERROR(INDEX(Соответствие!$B$2:$B$100,MATCH(G267,Соответствие!$A$2:$A$100,0)),"?")))</f>
        <v>41</v>
      </c>
      <c r="I267" s="33" t="str">
        <f>IF(C267="","",IFERROR(INDEX(Перечень!$C$6:$C$51,MATCH(H267,Перечень!$A$6:$A$51,0)),""))</f>
        <v>п.4.3.1, п.4.3.2, п.4.4, п.5.1, п.5.2, п.15</v>
      </c>
      <c r="J267" s="29">
        <f>IF(C267="","",IFERROR(INDEX(Перечень!$D$6:$D$51,MATCH(H267,Перечень!$A$6:$A$51,0)),12))</f>
        <v>12</v>
      </c>
      <c r="K267" s="34">
        <v>45454</v>
      </c>
      <c r="L267" s="34"/>
      <c r="M267" s="31">
        <f t="shared" si="30"/>
        <v>45819</v>
      </c>
      <c r="N267" s="29" t="str">
        <f>IF(C267="","",IFERROR(INDEX(Перечень!$F$6:$F$51,MATCH(H267,Перечень!$A$6:$A$51,0)),""))</f>
        <v>-</v>
      </c>
      <c r="O267" s="34"/>
      <c r="P267" s="31" t="str">
        <f t="shared" si="31"/>
        <v/>
      </c>
      <c r="Q267" s="29" t="str">
        <f t="shared" si="32"/>
        <v/>
      </c>
      <c r="R267" s="29" t="str">
        <f t="shared" ca="1" si="33"/>
        <v>Просрочен</v>
      </c>
      <c r="S267" s="29" t="str">
        <f t="shared" si="34"/>
        <v/>
      </c>
    </row>
    <row r="268" spans="1:19" x14ac:dyDescent="0.3">
      <c r="A268" s="29">
        <f t="shared" si="28"/>
        <v>263</v>
      </c>
      <c r="B268" s="30" t="s">
        <v>102</v>
      </c>
      <c r="C268" s="30" t="s">
        <v>503</v>
      </c>
      <c r="D268" s="30" t="s">
        <v>250</v>
      </c>
      <c r="E268" s="30" t="s">
        <v>504</v>
      </c>
      <c r="F268" s="31">
        <v>45817</v>
      </c>
      <c r="G268" s="32" t="str">
        <f t="shared" si="29"/>
        <v>диспетчер</v>
      </c>
      <c r="H268" s="29">
        <f>IF(C268="","",IF(AND(G268="мастер участка",ISNUMBER(SEARCH("РЭО",E268))),29,IFERROR(INDEX(Соответствие!$B$2:$B$100,MATCH(G268,Соответствие!$A$2:$A$100,0)),"?")))</f>
        <v>28</v>
      </c>
      <c r="I268" s="33" t="str">
        <f>IF(C268="","",IFERROR(INDEX(Перечень!$C$6:$C$51,MATCH(H268,Перечень!$A$6:$A$51,0)),""))</f>
        <v>п.4.4, п.5.1, п.5.2</v>
      </c>
      <c r="J268" s="29">
        <f>IF(C268="","",IFERROR(INDEX(Перечень!$D$6:$D$51,MATCH(H268,Перечень!$A$6:$A$51,0)),12))</f>
        <v>12</v>
      </c>
      <c r="K268" s="34"/>
      <c r="L268" s="34"/>
      <c r="M268" s="31" t="str">
        <f t="shared" si="30"/>
        <v/>
      </c>
      <c r="N268" s="29" t="str">
        <f>IF(C268="","",IFERROR(INDEX(Перечень!$F$6:$F$51,MATCH(H268,Перечень!$A$6:$A$51,0)),""))</f>
        <v>-</v>
      </c>
      <c r="O268" s="34"/>
      <c r="P268" s="31" t="str">
        <f t="shared" si="31"/>
        <v/>
      </c>
      <c r="Q268" s="29" t="str">
        <f t="shared" si="32"/>
        <v/>
      </c>
      <c r="R268" s="29" t="str">
        <f t="shared" ca="1" si="33"/>
        <v>Нет сведений</v>
      </c>
      <c r="S268" s="29" t="str">
        <f t="shared" si="34"/>
        <v/>
      </c>
    </row>
    <row r="269" spans="1:19" x14ac:dyDescent="0.3">
      <c r="A269" s="29">
        <f t="shared" si="28"/>
        <v>264</v>
      </c>
      <c r="B269" s="30" t="s">
        <v>102</v>
      </c>
      <c r="C269" s="30" t="s">
        <v>505</v>
      </c>
      <c r="D269" s="30" t="s">
        <v>216</v>
      </c>
      <c r="E269" s="30" t="s">
        <v>506</v>
      </c>
      <c r="F269" s="31">
        <v>45967</v>
      </c>
      <c r="G269" s="32" t="str">
        <f t="shared" si="29"/>
        <v>слесарь-сборщик</v>
      </c>
      <c r="H269" s="29">
        <f>IF(C269="","",IF(AND(G269="мастер участка",ISNUMBER(SEARCH("РЭО",E269))),29,IFERROR(INDEX(Соответствие!$B$2:$B$100,MATCH(G269,Соответствие!$A$2:$A$100,0)),"?")))</f>
        <v>19</v>
      </c>
      <c r="I269" s="33" t="str">
        <f>IF(C269="","",IFERROR(INDEX(Перечень!$C$6:$C$51,MATCH(H269,Перечень!$A$6:$A$51,0)),""))</f>
        <v>п.4.3.1, п.4.3.2, п.4.4, п.5.1, п.6.2, п.15</v>
      </c>
      <c r="J269" s="29">
        <f>IF(C269="","",IFERROR(INDEX(Перечень!$D$6:$D$51,MATCH(H269,Перечень!$A$6:$A$51,0)),12))</f>
        <v>12</v>
      </c>
      <c r="K269" s="34">
        <v>45959</v>
      </c>
      <c r="L269" s="34"/>
      <c r="M269" s="31">
        <f t="shared" si="30"/>
        <v>46324</v>
      </c>
      <c r="N269" s="29" t="str">
        <f>IF(C269="","",IFERROR(INDEX(Перечень!$F$6:$F$51,MATCH(H269,Перечень!$A$6:$A$51,0)),""))</f>
        <v>-</v>
      </c>
      <c r="O269" s="34"/>
      <c r="P269" s="31" t="str">
        <f t="shared" si="31"/>
        <v/>
      </c>
      <c r="Q269" s="29" t="str">
        <f t="shared" si="32"/>
        <v/>
      </c>
      <c r="R269" s="29" t="str">
        <f t="shared" ca="1" si="33"/>
        <v>Истекает</v>
      </c>
      <c r="S269" s="29" t="str">
        <f t="shared" si="34"/>
        <v/>
      </c>
    </row>
    <row r="270" spans="1:19" x14ac:dyDescent="0.3">
      <c r="A270" s="29">
        <f t="shared" si="28"/>
        <v>265</v>
      </c>
      <c r="B270" s="30" t="s">
        <v>102</v>
      </c>
      <c r="C270" s="30" t="s">
        <v>507</v>
      </c>
      <c r="D270" s="30" t="s">
        <v>216</v>
      </c>
      <c r="E270" s="30" t="s">
        <v>506</v>
      </c>
      <c r="F270" s="31">
        <v>45999</v>
      </c>
      <c r="G270" s="32" t="str">
        <f t="shared" si="29"/>
        <v>слесарь-сборщик</v>
      </c>
      <c r="H270" s="29">
        <f>IF(C270="","",IF(AND(G270="мастер участка",ISNUMBER(SEARCH("РЭО",E270))),29,IFERROR(INDEX(Соответствие!$B$2:$B$100,MATCH(G270,Соответствие!$A$2:$A$100,0)),"?")))</f>
        <v>19</v>
      </c>
      <c r="I270" s="33" t="str">
        <f>IF(C270="","",IFERROR(INDEX(Перечень!$C$6:$C$51,MATCH(H270,Перечень!$A$6:$A$51,0)),""))</f>
        <v>п.4.3.1, п.4.3.2, п.4.4, п.5.1, п.6.2, п.15</v>
      </c>
      <c r="J270" s="29">
        <f>IF(C270="","",IFERROR(INDEX(Перечень!$D$6:$D$51,MATCH(H270,Перечень!$A$6:$A$51,0)),12))</f>
        <v>12</v>
      </c>
      <c r="K270" s="34">
        <v>45989</v>
      </c>
      <c r="L270" s="34"/>
      <c r="M270" s="31">
        <f t="shared" si="30"/>
        <v>46354</v>
      </c>
      <c r="N270" s="29" t="str">
        <f>IF(C270="","",IFERROR(INDEX(Перечень!$F$6:$F$51,MATCH(H270,Перечень!$A$6:$A$51,0)),""))</f>
        <v>-</v>
      </c>
      <c r="O270" s="34"/>
      <c r="P270" s="31" t="str">
        <f t="shared" si="31"/>
        <v/>
      </c>
      <c r="Q270" s="29" t="str">
        <f t="shared" si="32"/>
        <v/>
      </c>
      <c r="R270" s="29" t="str">
        <f t="shared" ca="1" si="33"/>
        <v>В срок</v>
      </c>
      <c r="S270" s="29" t="str">
        <f t="shared" si="34"/>
        <v/>
      </c>
    </row>
    <row r="271" spans="1:19" x14ac:dyDescent="0.3">
      <c r="A271" s="29">
        <f t="shared" si="28"/>
        <v>266</v>
      </c>
      <c r="B271" s="30" t="s">
        <v>102</v>
      </c>
      <c r="C271" s="30" t="s">
        <v>508</v>
      </c>
      <c r="D271" s="30" t="s">
        <v>216</v>
      </c>
      <c r="E271" s="30" t="s">
        <v>506</v>
      </c>
      <c r="F271" s="31">
        <v>45882</v>
      </c>
      <c r="G271" s="32" t="str">
        <f t="shared" si="29"/>
        <v>слесарь-сборщик</v>
      </c>
      <c r="H271" s="29">
        <f>IF(C271="","",IF(AND(G271="мастер участка",ISNUMBER(SEARCH("РЭО",E271))),29,IFERROR(INDEX(Соответствие!$B$2:$B$100,MATCH(G271,Соответствие!$A$2:$A$100,0)),"?")))</f>
        <v>19</v>
      </c>
      <c r="I271" s="33" t="str">
        <f>IF(C271="","",IFERROR(INDEX(Перечень!$C$6:$C$51,MATCH(H271,Перечень!$A$6:$A$51,0)),""))</f>
        <v>п.4.3.1, п.4.3.2, п.4.4, п.5.1, п.6.2, п.15</v>
      </c>
      <c r="J271" s="29">
        <f>IF(C271="","",IFERROR(INDEX(Перечень!$D$6:$D$51,MATCH(H271,Перечень!$A$6:$A$51,0)),12))</f>
        <v>12</v>
      </c>
      <c r="K271" s="34">
        <v>45873</v>
      </c>
      <c r="L271" s="34"/>
      <c r="M271" s="31">
        <f t="shared" si="30"/>
        <v>46238</v>
      </c>
      <c r="N271" s="29" t="str">
        <f>IF(C271="","",IFERROR(INDEX(Перечень!$F$6:$F$51,MATCH(H271,Перечень!$A$6:$A$51,0)),""))</f>
        <v>-</v>
      </c>
      <c r="O271" s="34"/>
      <c r="P271" s="31" t="str">
        <f t="shared" si="31"/>
        <v/>
      </c>
      <c r="Q271" s="29" t="str">
        <f t="shared" si="32"/>
        <v/>
      </c>
      <c r="R271" s="29" t="str">
        <f t="shared" ca="1" si="33"/>
        <v>Просрочен</v>
      </c>
      <c r="S271" s="29" t="str">
        <f t="shared" si="34"/>
        <v/>
      </c>
    </row>
    <row r="272" spans="1:19" x14ac:dyDescent="0.3">
      <c r="A272" s="29">
        <f t="shared" si="28"/>
        <v>267</v>
      </c>
      <c r="B272" s="30" t="s">
        <v>102</v>
      </c>
      <c r="C272" s="30" t="s">
        <v>509</v>
      </c>
      <c r="D272" s="30" t="s">
        <v>216</v>
      </c>
      <c r="E272" s="30" t="s">
        <v>506</v>
      </c>
      <c r="F272" s="31">
        <v>45847</v>
      </c>
      <c r="G272" s="32" t="str">
        <f t="shared" si="29"/>
        <v>слесарь-сборщик</v>
      </c>
      <c r="H272" s="29">
        <f>IF(C272="","",IF(AND(G272="мастер участка",ISNUMBER(SEARCH("РЭО",E272))),29,IFERROR(INDEX(Соответствие!$B$2:$B$100,MATCH(G272,Соответствие!$A$2:$A$100,0)),"?")))</f>
        <v>19</v>
      </c>
      <c r="I272" s="33" t="str">
        <f>IF(C272="","",IFERROR(INDEX(Перечень!$C$6:$C$51,MATCH(H272,Перечень!$A$6:$A$51,0)),""))</f>
        <v>п.4.3.1, п.4.3.2, п.4.4, п.5.1, п.6.2, п.15</v>
      </c>
      <c r="J272" s="29">
        <f>IF(C272="","",IFERROR(INDEX(Перечень!$D$6:$D$51,MATCH(H272,Перечень!$A$6:$A$51,0)),12))</f>
        <v>12</v>
      </c>
      <c r="K272" s="34">
        <v>45843</v>
      </c>
      <c r="L272" s="34"/>
      <c r="M272" s="31">
        <f t="shared" si="30"/>
        <v>46208</v>
      </c>
      <c r="N272" s="29" t="str">
        <f>IF(C272="","",IFERROR(INDEX(Перечень!$F$6:$F$51,MATCH(H272,Перечень!$A$6:$A$51,0)),""))</f>
        <v>-</v>
      </c>
      <c r="O272" s="34"/>
      <c r="P272" s="31" t="str">
        <f t="shared" si="31"/>
        <v/>
      </c>
      <c r="Q272" s="29" t="str">
        <f t="shared" si="32"/>
        <v/>
      </c>
      <c r="R272" s="29" t="str">
        <f t="shared" ca="1" si="33"/>
        <v>Просрочен</v>
      </c>
      <c r="S272" s="29" t="str">
        <f t="shared" si="34"/>
        <v/>
      </c>
    </row>
    <row r="273" spans="1:19" x14ac:dyDescent="0.3">
      <c r="A273" s="29">
        <f t="shared" si="28"/>
        <v>268</v>
      </c>
      <c r="B273" s="30" t="s">
        <v>102</v>
      </c>
      <c r="C273" s="30" t="s">
        <v>510</v>
      </c>
      <c r="D273" s="30" t="s">
        <v>216</v>
      </c>
      <c r="E273" s="30" t="s">
        <v>506</v>
      </c>
      <c r="F273" s="31">
        <v>45908</v>
      </c>
      <c r="G273" s="32" t="str">
        <f t="shared" si="29"/>
        <v>слесарь-сборщик</v>
      </c>
      <c r="H273" s="29">
        <f>IF(C273="","",IF(AND(G273="мастер участка",ISNUMBER(SEARCH("РЭО",E273))),29,IFERROR(INDEX(Соответствие!$B$2:$B$100,MATCH(G273,Соответствие!$A$2:$A$100,0)),"?")))</f>
        <v>19</v>
      </c>
      <c r="I273" s="33" t="str">
        <f>IF(C273="","",IFERROR(INDEX(Перечень!$C$6:$C$51,MATCH(H273,Перечень!$A$6:$A$51,0)),""))</f>
        <v>п.4.3.1, п.4.3.2, п.4.4, п.5.1, п.6.2, п.15</v>
      </c>
      <c r="J273" s="29">
        <f>IF(C273="","",IFERROR(INDEX(Перечень!$D$6:$D$51,MATCH(H273,Перечень!$A$6:$A$51,0)),12))</f>
        <v>12</v>
      </c>
      <c r="K273" s="34"/>
      <c r="L273" s="34"/>
      <c r="M273" s="31" t="str">
        <f t="shared" si="30"/>
        <v/>
      </c>
      <c r="N273" s="29" t="str">
        <f>IF(C273="","",IFERROR(INDEX(Перечень!$F$6:$F$51,MATCH(H273,Перечень!$A$6:$A$51,0)),""))</f>
        <v>-</v>
      </c>
      <c r="O273" s="34"/>
      <c r="P273" s="31" t="str">
        <f t="shared" si="31"/>
        <v/>
      </c>
      <c r="Q273" s="29" t="str">
        <f t="shared" si="32"/>
        <v/>
      </c>
      <c r="R273" s="29" t="str">
        <f t="shared" ca="1" si="33"/>
        <v>Нет сведений</v>
      </c>
      <c r="S273" s="29" t="str">
        <f t="shared" si="34"/>
        <v/>
      </c>
    </row>
    <row r="274" spans="1:19" x14ac:dyDescent="0.3">
      <c r="A274" s="29">
        <f t="shared" si="28"/>
        <v>269</v>
      </c>
      <c r="B274" s="30" t="s">
        <v>102</v>
      </c>
      <c r="C274" s="30" t="s">
        <v>511</v>
      </c>
      <c r="D274" s="30" t="s">
        <v>216</v>
      </c>
      <c r="E274" s="30" t="s">
        <v>506</v>
      </c>
      <c r="F274" s="31">
        <v>46007</v>
      </c>
      <c r="G274" s="32" t="str">
        <f t="shared" si="29"/>
        <v>слесарь-сборщик</v>
      </c>
      <c r="H274" s="29">
        <f>IF(C274="","",IF(AND(G274="мастер участка",ISNUMBER(SEARCH("РЭО",E274))),29,IFERROR(INDEX(Соответствие!$B$2:$B$100,MATCH(G274,Соответствие!$A$2:$A$100,0)),"?")))</f>
        <v>19</v>
      </c>
      <c r="I274" s="33" t="str">
        <f>IF(C274="","",IFERROR(INDEX(Перечень!$C$6:$C$51,MATCH(H274,Перечень!$A$6:$A$51,0)),""))</f>
        <v>п.4.3.1, п.4.3.2, п.4.4, п.5.1, п.6.2, п.15</v>
      </c>
      <c r="J274" s="29">
        <f>IF(C274="","",IFERROR(INDEX(Перечень!$D$6:$D$51,MATCH(H274,Перечень!$A$6:$A$51,0)),12))</f>
        <v>12</v>
      </c>
      <c r="K274" s="34">
        <v>46001</v>
      </c>
      <c r="L274" s="34"/>
      <c r="M274" s="31">
        <f t="shared" si="30"/>
        <v>46366</v>
      </c>
      <c r="N274" s="29" t="str">
        <f>IF(C274="","",IFERROR(INDEX(Перечень!$F$6:$F$51,MATCH(H274,Перечень!$A$6:$A$51,0)),""))</f>
        <v>-</v>
      </c>
      <c r="O274" s="34"/>
      <c r="P274" s="31" t="str">
        <f t="shared" si="31"/>
        <v/>
      </c>
      <c r="Q274" s="29" t="str">
        <f t="shared" si="32"/>
        <v/>
      </c>
      <c r="R274" s="29" t="str">
        <f t="shared" ca="1" si="33"/>
        <v>В срок</v>
      </c>
      <c r="S274" s="29" t="str">
        <f t="shared" si="34"/>
        <v/>
      </c>
    </row>
    <row r="275" spans="1:19" x14ac:dyDescent="0.3">
      <c r="A275" s="29">
        <f t="shared" si="28"/>
        <v>270</v>
      </c>
      <c r="B275" s="30" t="s">
        <v>102</v>
      </c>
      <c r="C275" s="30" t="s">
        <v>512</v>
      </c>
      <c r="D275" s="30" t="s">
        <v>216</v>
      </c>
      <c r="E275" s="30" t="s">
        <v>506</v>
      </c>
      <c r="F275" s="31">
        <v>45958</v>
      </c>
      <c r="G275" s="32" t="str">
        <f t="shared" si="29"/>
        <v>слесарь-сборщик</v>
      </c>
      <c r="H275" s="29">
        <f>IF(C275="","",IF(AND(G275="мастер участка",ISNUMBER(SEARCH("РЭО",E275))),29,IFERROR(INDEX(Соответствие!$B$2:$B$100,MATCH(G275,Соответствие!$A$2:$A$100,0)),"?")))</f>
        <v>19</v>
      </c>
      <c r="I275" s="33" t="str">
        <f>IF(C275="","",IFERROR(INDEX(Перечень!$C$6:$C$51,MATCH(H275,Перечень!$A$6:$A$51,0)),""))</f>
        <v>п.4.3.1, п.4.3.2, п.4.4, п.5.1, п.6.2, п.15</v>
      </c>
      <c r="J275" s="29">
        <f>IF(C275="","",IFERROR(INDEX(Перечень!$D$6:$D$51,MATCH(H275,Перечень!$A$6:$A$51,0)),12))</f>
        <v>12</v>
      </c>
      <c r="K275" s="34"/>
      <c r="L275" s="34"/>
      <c r="M275" s="31" t="str">
        <f t="shared" si="30"/>
        <v/>
      </c>
      <c r="N275" s="29" t="str">
        <f>IF(C275="","",IFERROR(INDEX(Перечень!$F$6:$F$51,MATCH(H275,Перечень!$A$6:$A$51,0)),""))</f>
        <v>-</v>
      </c>
      <c r="O275" s="34"/>
      <c r="P275" s="31" t="str">
        <f t="shared" si="31"/>
        <v/>
      </c>
      <c r="Q275" s="29" t="str">
        <f t="shared" si="32"/>
        <v/>
      </c>
      <c r="R275" s="29" t="str">
        <f t="shared" ca="1" si="33"/>
        <v>Нет сведений</v>
      </c>
      <c r="S275" s="29" t="str">
        <f t="shared" si="34"/>
        <v/>
      </c>
    </row>
    <row r="276" spans="1:19" x14ac:dyDescent="0.3">
      <c r="A276" s="29">
        <f t="shared" si="28"/>
        <v>271</v>
      </c>
      <c r="B276" s="30" t="s">
        <v>102</v>
      </c>
      <c r="C276" s="30" t="s">
        <v>513</v>
      </c>
      <c r="D276" s="30" t="s">
        <v>216</v>
      </c>
      <c r="E276" s="30" t="s">
        <v>506</v>
      </c>
      <c r="F276" s="31">
        <v>46056</v>
      </c>
      <c r="G276" s="32" t="str">
        <f t="shared" si="29"/>
        <v>слесарь-сборщик</v>
      </c>
      <c r="H276" s="29">
        <f>IF(C276="","",IF(AND(G276="мастер участка",ISNUMBER(SEARCH("РЭО",E276))),29,IFERROR(INDEX(Соответствие!$B$2:$B$100,MATCH(G276,Соответствие!$A$2:$A$100,0)),"?")))</f>
        <v>19</v>
      </c>
      <c r="I276" s="33" t="str">
        <f>IF(C276="","",IFERROR(INDEX(Перечень!$C$6:$C$51,MATCH(H276,Перечень!$A$6:$A$51,0)),""))</f>
        <v>п.4.3.1, п.4.3.2, п.4.4, п.5.1, п.6.2, п.15</v>
      </c>
      <c r="J276" s="29">
        <f>IF(C276="","",IFERROR(INDEX(Перечень!$D$6:$D$51,MATCH(H276,Перечень!$A$6:$A$51,0)),12))</f>
        <v>12</v>
      </c>
      <c r="K276" s="34">
        <v>46051</v>
      </c>
      <c r="L276" s="34"/>
      <c r="M276" s="31">
        <f t="shared" si="30"/>
        <v>46416</v>
      </c>
      <c r="N276" s="29" t="str">
        <f>IF(C276="","",IFERROR(INDEX(Перечень!$F$6:$F$51,MATCH(H276,Перечень!$A$6:$A$51,0)),""))</f>
        <v>-</v>
      </c>
      <c r="O276" s="34"/>
      <c r="P276" s="31" t="str">
        <f t="shared" si="31"/>
        <v/>
      </c>
      <c r="Q276" s="29" t="str">
        <f t="shared" si="32"/>
        <v/>
      </c>
      <c r="R276" s="29" t="str">
        <f t="shared" ca="1" si="33"/>
        <v>В срок</v>
      </c>
      <c r="S276" s="29" t="str">
        <f t="shared" si="34"/>
        <v/>
      </c>
    </row>
    <row r="277" spans="1:19" x14ac:dyDescent="0.3">
      <c r="A277" s="29">
        <f t="shared" si="28"/>
        <v>272</v>
      </c>
      <c r="B277" s="30" t="s">
        <v>102</v>
      </c>
      <c r="C277" s="30" t="s">
        <v>514</v>
      </c>
      <c r="D277" s="30" t="s">
        <v>515</v>
      </c>
      <c r="E277" s="30" t="s">
        <v>506</v>
      </c>
      <c r="F277" s="31">
        <v>45966</v>
      </c>
      <c r="G277" s="32" t="str">
        <f t="shared" si="29"/>
        <v>слесарь-сборщик</v>
      </c>
      <c r="H277" s="29">
        <f>IF(C277="","",IF(AND(G277="мастер участка",ISNUMBER(SEARCH("РЭО",E277))),29,IFERROR(INDEX(Соответствие!$B$2:$B$100,MATCH(G277,Соответствие!$A$2:$A$100,0)),"?")))</f>
        <v>19</v>
      </c>
      <c r="I277" s="33" t="str">
        <f>IF(C277="","",IFERROR(INDEX(Перечень!$C$6:$C$51,MATCH(H277,Перечень!$A$6:$A$51,0)),""))</f>
        <v>п.4.3.1, п.4.3.2, п.4.4, п.5.1, п.6.2, п.15</v>
      </c>
      <c r="J277" s="29">
        <f>IF(C277="","",IFERROR(INDEX(Перечень!$D$6:$D$51,MATCH(H277,Перечень!$A$6:$A$51,0)),12))</f>
        <v>12</v>
      </c>
      <c r="K277" s="34"/>
      <c r="L277" s="34"/>
      <c r="M277" s="31" t="str">
        <f t="shared" si="30"/>
        <v/>
      </c>
      <c r="N277" s="29" t="str">
        <f>IF(C277="","",IFERROR(INDEX(Перечень!$F$6:$F$51,MATCH(H277,Перечень!$A$6:$A$51,0)),""))</f>
        <v>-</v>
      </c>
      <c r="O277" s="34"/>
      <c r="P277" s="31" t="str">
        <f t="shared" si="31"/>
        <v/>
      </c>
      <c r="Q277" s="29" t="str">
        <f t="shared" si="32"/>
        <v/>
      </c>
      <c r="R277" s="29" t="str">
        <f t="shared" ca="1" si="33"/>
        <v>Нет сведений</v>
      </c>
      <c r="S277" s="29" t="str">
        <f t="shared" si="34"/>
        <v/>
      </c>
    </row>
    <row r="278" spans="1:19" x14ac:dyDescent="0.3">
      <c r="A278" s="29">
        <f t="shared" si="28"/>
        <v>273</v>
      </c>
      <c r="B278" s="30" t="s">
        <v>102</v>
      </c>
      <c r="C278" s="30" t="s">
        <v>516</v>
      </c>
      <c r="D278" s="30" t="s">
        <v>515</v>
      </c>
      <c r="E278" s="30" t="s">
        <v>506</v>
      </c>
      <c r="F278" s="31">
        <v>46055</v>
      </c>
      <c r="G278" s="32" t="str">
        <f t="shared" si="29"/>
        <v>слесарь-сборщик</v>
      </c>
      <c r="H278" s="29">
        <f>IF(C278="","",IF(AND(G278="мастер участка",ISNUMBER(SEARCH("РЭО",E278))),29,IFERROR(INDEX(Соответствие!$B$2:$B$100,MATCH(G278,Соответствие!$A$2:$A$100,0)),"?")))</f>
        <v>19</v>
      </c>
      <c r="I278" s="33" t="str">
        <f>IF(C278="","",IFERROR(INDEX(Перечень!$C$6:$C$51,MATCH(H278,Перечень!$A$6:$A$51,0)),""))</f>
        <v>п.4.3.1, п.4.3.2, п.4.4, п.5.1, п.6.2, п.15</v>
      </c>
      <c r="J278" s="29">
        <f>IF(C278="","",IFERROR(INDEX(Перечень!$D$6:$D$51,MATCH(H278,Перечень!$A$6:$A$51,0)),12))</f>
        <v>12</v>
      </c>
      <c r="K278" s="34">
        <v>46050</v>
      </c>
      <c r="L278" s="34"/>
      <c r="M278" s="31">
        <f t="shared" si="30"/>
        <v>46415</v>
      </c>
      <c r="N278" s="29" t="str">
        <f>IF(C278="","",IFERROR(INDEX(Перечень!$F$6:$F$51,MATCH(H278,Перечень!$A$6:$A$51,0)),""))</f>
        <v>-</v>
      </c>
      <c r="O278" s="34"/>
      <c r="P278" s="31" t="str">
        <f t="shared" si="31"/>
        <v/>
      </c>
      <c r="Q278" s="29" t="str">
        <f t="shared" si="32"/>
        <v/>
      </c>
      <c r="R278" s="29" t="str">
        <f t="shared" ca="1" si="33"/>
        <v>В срок</v>
      </c>
      <c r="S278" s="29" t="str">
        <f t="shared" si="34"/>
        <v/>
      </c>
    </row>
    <row r="279" spans="1:19" x14ac:dyDescent="0.3">
      <c r="A279" s="29">
        <f t="shared" si="28"/>
        <v>274</v>
      </c>
      <c r="B279" s="30" t="s">
        <v>102</v>
      </c>
      <c r="C279" s="30" t="s">
        <v>517</v>
      </c>
      <c r="D279" s="30" t="s">
        <v>515</v>
      </c>
      <c r="E279" s="30" t="s">
        <v>506</v>
      </c>
      <c r="F279" s="31">
        <v>45932</v>
      </c>
      <c r="G279" s="32" t="str">
        <f t="shared" si="29"/>
        <v>слесарь-сборщик</v>
      </c>
      <c r="H279" s="29">
        <f>IF(C279="","",IF(AND(G279="мастер участка",ISNUMBER(SEARCH("РЭО",E279))),29,IFERROR(INDEX(Соответствие!$B$2:$B$100,MATCH(G279,Соответствие!$A$2:$A$100,0)),"?")))</f>
        <v>19</v>
      </c>
      <c r="I279" s="33" t="str">
        <f>IF(C279="","",IFERROR(INDEX(Перечень!$C$6:$C$51,MATCH(H279,Перечень!$A$6:$A$51,0)),""))</f>
        <v>п.4.3.1, п.4.3.2, п.4.4, п.5.1, п.6.2, п.15</v>
      </c>
      <c r="J279" s="29">
        <f>IF(C279="","",IFERROR(INDEX(Перечень!$D$6:$D$51,MATCH(H279,Перечень!$A$6:$A$51,0)),12))</f>
        <v>12</v>
      </c>
      <c r="K279" s="34"/>
      <c r="L279" s="34"/>
      <c r="M279" s="31" t="str">
        <f t="shared" si="30"/>
        <v/>
      </c>
      <c r="N279" s="29" t="str">
        <f>IF(C279="","",IFERROR(INDEX(Перечень!$F$6:$F$51,MATCH(H279,Перечень!$A$6:$A$51,0)),""))</f>
        <v>-</v>
      </c>
      <c r="O279" s="34"/>
      <c r="P279" s="31" t="str">
        <f t="shared" si="31"/>
        <v/>
      </c>
      <c r="Q279" s="29" t="str">
        <f t="shared" si="32"/>
        <v/>
      </c>
      <c r="R279" s="29" t="str">
        <f t="shared" ca="1" si="33"/>
        <v>Нет сведений</v>
      </c>
      <c r="S279" s="29" t="str">
        <f t="shared" si="34"/>
        <v/>
      </c>
    </row>
    <row r="280" spans="1:19" x14ac:dyDescent="0.3">
      <c r="A280" s="29">
        <f t="shared" si="28"/>
        <v>275</v>
      </c>
      <c r="B280" s="30" t="s">
        <v>102</v>
      </c>
      <c r="C280" s="30" t="s">
        <v>518</v>
      </c>
      <c r="D280" s="30" t="s">
        <v>151</v>
      </c>
      <c r="E280" s="30" t="s">
        <v>519</v>
      </c>
      <c r="F280" s="31">
        <v>45918</v>
      </c>
      <c r="G280" s="32" t="str">
        <f t="shared" si="29"/>
        <v>электромонтажник</v>
      </c>
      <c r="H280" s="29">
        <f>IF(C280="","",IF(AND(G280="мастер участка",ISNUMBER(SEARCH("РЭО",E280))),29,IFERROR(INDEX(Соответствие!$B$2:$B$100,MATCH(G280,Соответствие!$A$2:$A$100,0)),"?")))</f>
        <v>20</v>
      </c>
      <c r="I280" s="33" t="str">
        <f>IF(C280="","",IFERROR(INDEX(Перечень!$C$6:$C$51,MATCH(H280,Перечень!$A$6:$A$51,0)),""))</f>
        <v>п.4.3.1, п.4.3.2, п.4.4, п.4.9, п.5.1, п.5.2, п.6.2, п.9</v>
      </c>
      <c r="J280" s="29">
        <f>IF(C280="","",IFERROR(INDEX(Перечень!$D$6:$D$51,MATCH(H280,Перечень!$A$6:$A$51,0)),12))</f>
        <v>12</v>
      </c>
      <c r="K280" s="34"/>
      <c r="L280" s="34"/>
      <c r="M280" s="31" t="str">
        <f t="shared" si="30"/>
        <v/>
      </c>
      <c r="N280" s="29" t="str">
        <f>IF(C280="","",IFERROR(INDEX(Перечень!$F$6:$F$51,MATCH(H280,Перечень!$A$6:$A$51,0)),""))</f>
        <v>Да</v>
      </c>
      <c r="O280" s="34"/>
      <c r="P280" s="31" t="str">
        <f t="shared" si="31"/>
        <v/>
      </c>
      <c r="Q280" s="29" t="str">
        <f t="shared" si="32"/>
        <v/>
      </c>
      <c r="R280" s="29" t="str">
        <f t="shared" ca="1" si="33"/>
        <v>Нет сведений</v>
      </c>
      <c r="S280" s="29" t="str">
        <f t="shared" si="34"/>
        <v>Не пройдено</v>
      </c>
    </row>
    <row r="281" spans="1:19" x14ac:dyDescent="0.3">
      <c r="A281" s="29">
        <f t="shared" si="28"/>
        <v>276</v>
      </c>
      <c r="B281" s="30" t="s">
        <v>102</v>
      </c>
      <c r="C281" s="30" t="s">
        <v>520</v>
      </c>
      <c r="D281" s="30" t="s">
        <v>499</v>
      </c>
      <c r="E281" s="30" t="s">
        <v>519</v>
      </c>
      <c r="F281" s="31">
        <v>45845</v>
      </c>
      <c r="G281" s="32" t="str">
        <f t="shared" si="29"/>
        <v>электромонтажник</v>
      </c>
      <c r="H281" s="29">
        <f>IF(C281="","",IF(AND(G281="мастер участка",ISNUMBER(SEARCH("РЭО",E281))),29,IFERROR(INDEX(Соответствие!$B$2:$B$100,MATCH(G281,Соответствие!$A$2:$A$100,0)),"?")))</f>
        <v>20</v>
      </c>
      <c r="I281" s="33" t="str">
        <f>IF(C281="","",IFERROR(INDEX(Перечень!$C$6:$C$51,MATCH(H281,Перечень!$A$6:$A$51,0)),""))</f>
        <v>п.4.3.1, п.4.3.2, п.4.4, п.4.9, п.5.1, п.5.2, п.6.2, п.9</v>
      </c>
      <c r="J281" s="29">
        <f>IF(C281="","",IFERROR(INDEX(Перечень!$D$6:$D$51,MATCH(H281,Перечень!$A$6:$A$51,0)),12))</f>
        <v>12</v>
      </c>
      <c r="K281" s="34"/>
      <c r="L281" s="34"/>
      <c r="M281" s="31" t="str">
        <f t="shared" si="30"/>
        <v/>
      </c>
      <c r="N281" s="29" t="str">
        <f>IF(C281="","",IFERROR(INDEX(Перечень!$F$6:$F$51,MATCH(H281,Перечень!$A$6:$A$51,0)),""))</f>
        <v>Да</v>
      </c>
      <c r="O281" s="34"/>
      <c r="P281" s="31" t="str">
        <f t="shared" si="31"/>
        <v/>
      </c>
      <c r="Q281" s="29" t="str">
        <f t="shared" si="32"/>
        <v/>
      </c>
      <c r="R281" s="29" t="str">
        <f t="shared" ca="1" si="33"/>
        <v>Нет сведений</v>
      </c>
      <c r="S281" s="29" t="str">
        <f t="shared" si="34"/>
        <v>Не пройдено</v>
      </c>
    </row>
    <row r="282" spans="1:19" x14ac:dyDescent="0.3">
      <c r="A282" s="29">
        <f t="shared" si="28"/>
        <v>277</v>
      </c>
      <c r="B282" s="30" t="s">
        <v>102</v>
      </c>
      <c r="C282" s="30" t="s">
        <v>521</v>
      </c>
      <c r="D282" s="30" t="s">
        <v>499</v>
      </c>
      <c r="E282" s="30" t="s">
        <v>519</v>
      </c>
      <c r="F282" s="31">
        <v>45875</v>
      </c>
      <c r="G282" s="32" t="str">
        <f t="shared" si="29"/>
        <v>электромонтажник</v>
      </c>
      <c r="H282" s="29">
        <f>IF(C282="","",IF(AND(G282="мастер участка",ISNUMBER(SEARCH("РЭО",E282))),29,IFERROR(INDEX(Соответствие!$B$2:$B$100,MATCH(G282,Соответствие!$A$2:$A$100,0)),"?")))</f>
        <v>20</v>
      </c>
      <c r="I282" s="33" t="str">
        <f>IF(C282="","",IFERROR(INDEX(Перечень!$C$6:$C$51,MATCH(H282,Перечень!$A$6:$A$51,0)),""))</f>
        <v>п.4.3.1, п.4.3.2, п.4.4, п.4.9, п.5.1, п.5.2, п.6.2, п.9</v>
      </c>
      <c r="J282" s="29">
        <f>IF(C282="","",IFERROR(INDEX(Перечень!$D$6:$D$51,MATCH(H282,Перечень!$A$6:$A$51,0)),12))</f>
        <v>12</v>
      </c>
      <c r="K282" s="34">
        <v>45874</v>
      </c>
      <c r="L282" s="34"/>
      <c r="M282" s="31">
        <f t="shared" si="30"/>
        <v>46239</v>
      </c>
      <c r="N282" s="29" t="str">
        <f>IF(C282="","",IFERROR(INDEX(Перечень!$F$6:$F$51,MATCH(H282,Перечень!$A$6:$A$51,0)),""))</f>
        <v>Да</v>
      </c>
      <c r="O282" s="34"/>
      <c r="P282" s="31" t="str">
        <f t="shared" si="31"/>
        <v/>
      </c>
      <c r="Q282" s="29" t="str">
        <f t="shared" si="32"/>
        <v/>
      </c>
      <c r="R282" s="29" t="str">
        <f t="shared" ca="1" si="33"/>
        <v>Просрочен</v>
      </c>
      <c r="S282" s="29" t="str">
        <f t="shared" si="34"/>
        <v>Не пройдено</v>
      </c>
    </row>
    <row r="283" spans="1:19" x14ac:dyDescent="0.3">
      <c r="A283" s="29">
        <f t="shared" si="28"/>
        <v>278</v>
      </c>
      <c r="B283" s="30" t="s">
        <v>102</v>
      </c>
      <c r="C283" s="30" t="s">
        <v>522</v>
      </c>
      <c r="D283" s="30" t="s">
        <v>499</v>
      </c>
      <c r="E283" s="30" t="s">
        <v>519</v>
      </c>
      <c r="F283" s="31">
        <v>45838</v>
      </c>
      <c r="G283" s="32" t="str">
        <f t="shared" si="29"/>
        <v>электромонтажник</v>
      </c>
      <c r="H283" s="29">
        <f>IF(C283="","",IF(AND(G283="мастер участка",ISNUMBER(SEARCH("РЭО",E283))),29,IFERROR(INDEX(Соответствие!$B$2:$B$100,MATCH(G283,Соответствие!$A$2:$A$100,0)),"?")))</f>
        <v>20</v>
      </c>
      <c r="I283" s="33" t="str">
        <f>IF(C283="","",IFERROR(INDEX(Перечень!$C$6:$C$51,MATCH(H283,Перечень!$A$6:$A$51,0)),""))</f>
        <v>п.4.3.1, п.4.3.2, п.4.4, п.4.9, п.5.1, п.5.2, п.6.2, п.9</v>
      </c>
      <c r="J283" s="29">
        <f>IF(C283="","",IFERROR(INDEX(Перечень!$D$6:$D$51,MATCH(H283,Перечень!$A$6:$A$51,0)),12))</f>
        <v>12</v>
      </c>
      <c r="K283" s="34">
        <v>45832</v>
      </c>
      <c r="L283" s="34"/>
      <c r="M283" s="31">
        <f t="shared" si="30"/>
        <v>46197</v>
      </c>
      <c r="N283" s="29" t="str">
        <f>IF(C283="","",IFERROR(INDEX(Перечень!$F$6:$F$51,MATCH(H283,Перечень!$A$6:$A$51,0)),""))</f>
        <v>Да</v>
      </c>
      <c r="O283" s="34"/>
      <c r="P283" s="31" t="str">
        <f t="shared" si="31"/>
        <v/>
      </c>
      <c r="Q283" s="29" t="str">
        <f t="shared" si="32"/>
        <v/>
      </c>
      <c r="R283" s="29" t="str">
        <f t="shared" ca="1" si="33"/>
        <v>Просрочен</v>
      </c>
      <c r="S283" s="29" t="str">
        <f t="shared" si="34"/>
        <v>Не пройдено</v>
      </c>
    </row>
    <row r="284" spans="1:19" x14ac:dyDescent="0.3">
      <c r="A284" s="29">
        <f t="shared" si="28"/>
        <v>279</v>
      </c>
      <c r="B284" s="30" t="s">
        <v>102</v>
      </c>
      <c r="C284" s="30" t="s">
        <v>523</v>
      </c>
      <c r="D284" s="30" t="s">
        <v>499</v>
      </c>
      <c r="E284" s="30" t="s">
        <v>519</v>
      </c>
      <c r="F284" s="31">
        <v>45992</v>
      </c>
      <c r="G284" s="32" t="str">
        <f t="shared" si="29"/>
        <v>электромонтажник</v>
      </c>
      <c r="H284" s="29">
        <f>IF(C284="","",IF(AND(G284="мастер участка",ISNUMBER(SEARCH("РЭО",E284))),29,IFERROR(INDEX(Соответствие!$B$2:$B$100,MATCH(G284,Соответствие!$A$2:$A$100,0)),"?")))</f>
        <v>20</v>
      </c>
      <c r="I284" s="33" t="str">
        <f>IF(C284="","",IFERROR(INDEX(Перечень!$C$6:$C$51,MATCH(H284,Перечень!$A$6:$A$51,0)),""))</f>
        <v>п.4.3.1, п.4.3.2, п.4.4, п.4.9, п.5.1, п.5.2, п.6.2, п.9</v>
      </c>
      <c r="J284" s="29">
        <f>IF(C284="","",IFERROR(INDEX(Перечень!$D$6:$D$51,MATCH(H284,Перечень!$A$6:$A$51,0)),12))</f>
        <v>12</v>
      </c>
      <c r="K284" s="34">
        <v>45967</v>
      </c>
      <c r="L284" s="34"/>
      <c r="M284" s="31">
        <f t="shared" si="30"/>
        <v>46332</v>
      </c>
      <c r="N284" s="29" t="str">
        <f>IF(C284="","",IFERROR(INDEX(Перечень!$F$6:$F$51,MATCH(H284,Перечень!$A$6:$A$51,0)),""))</f>
        <v>Да</v>
      </c>
      <c r="O284" s="34"/>
      <c r="P284" s="31" t="str">
        <f t="shared" si="31"/>
        <v/>
      </c>
      <c r="Q284" s="29" t="str">
        <f t="shared" si="32"/>
        <v/>
      </c>
      <c r="R284" s="29" t="str">
        <f t="shared" ca="1" si="33"/>
        <v>Истекает</v>
      </c>
      <c r="S284" s="29" t="str">
        <f t="shared" si="34"/>
        <v>Не пройдено</v>
      </c>
    </row>
    <row r="285" spans="1:19" x14ac:dyDescent="0.3">
      <c r="A285" s="29">
        <f t="shared" si="28"/>
        <v>280</v>
      </c>
      <c r="B285" s="30" t="s">
        <v>102</v>
      </c>
      <c r="C285" s="30" t="s">
        <v>524</v>
      </c>
      <c r="D285" s="30" t="s">
        <v>197</v>
      </c>
      <c r="E285" s="30" t="s">
        <v>525</v>
      </c>
      <c r="F285" s="31">
        <v>45989</v>
      </c>
      <c r="G285" s="32" t="str">
        <f t="shared" si="29"/>
        <v>кладовщик</v>
      </c>
      <c r="H285" s="29">
        <f>IF(C285="","",IF(AND(G285="мастер участка",ISNUMBER(SEARCH("РЭО",E285))),29,IFERROR(INDEX(Соответствие!$B$2:$B$100,MATCH(G285,Соответствие!$A$2:$A$100,0)),"?")))</f>
        <v>14</v>
      </c>
      <c r="I285" s="33" t="str">
        <f>IF(C285="","",IFERROR(INDEX(Перечень!$C$6:$C$51,MATCH(H285,Перечень!$A$6:$A$51,0)),""))</f>
        <v>п.4.4, п.5.1, п.6.2</v>
      </c>
      <c r="J285" s="29">
        <f>IF(C285="","",IFERROR(INDEX(Перечень!$D$6:$D$51,MATCH(H285,Перечень!$A$6:$A$51,0)),12))</f>
        <v>12</v>
      </c>
      <c r="K285" s="34">
        <v>45987</v>
      </c>
      <c r="L285" s="34"/>
      <c r="M285" s="31">
        <f t="shared" si="30"/>
        <v>46352</v>
      </c>
      <c r="N285" s="29" t="str">
        <f>IF(C285="","",IFERROR(INDEX(Перечень!$F$6:$F$51,MATCH(H285,Перечень!$A$6:$A$51,0)),""))</f>
        <v>-</v>
      </c>
      <c r="O285" s="34"/>
      <c r="P285" s="31" t="str">
        <f t="shared" si="31"/>
        <v/>
      </c>
      <c r="Q285" s="29" t="str">
        <f t="shared" si="32"/>
        <v/>
      </c>
      <c r="R285" s="29" t="str">
        <f t="shared" ca="1" si="33"/>
        <v>В срок</v>
      </c>
      <c r="S285" s="29" t="str">
        <f t="shared" si="34"/>
        <v/>
      </c>
    </row>
    <row r="286" spans="1:19" x14ac:dyDescent="0.3">
      <c r="A286" s="29">
        <f t="shared" si="28"/>
        <v>281</v>
      </c>
      <c r="B286" s="30" t="s">
        <v>102</v>
      </c>
      <c r="C286" s="30" t="s">
        <v>526</v>
      </c>
      <c r="D286" s="30" t="s">
        <v>527</v>
      </c>
      <c r="E286" s="30" t="s">
        <v>528</v>
      </c>
      <c r="F286" s="31">
        <v>46223</v>
      </c>
      <c r="G286" s="32" t="str">
        <f t="shared" si="29"/>
        <v>технический работник</v>
      </c>
      <c r="H286" s="29">
        <f>IF(C286="","",IF(AND(G286="мастер участка",ISNUMBER(SEARCH("РЭО",E286))),29,IFERROR(INDEX(Соответствие!$B$2:$B$100,MATCH(G286,Соответствие!$A$2:$A$100,0)),"?")))</f>
        <v>10</v>
      </c>
      <c r="I286" s="33" t="str">
        <f>IF(C286="","",IFERROR(INDEX(Перечень!$C$6:$C$51,MATCH(H286,Перечень!$A$6:$A$51,0)),""))</f>
        <v>п.1.48, п.4.3.1, п.4.4, п.5.1</v>
      </c>
      <c r="J286" s="29">
        <f>IF(C286="","",IFERROR(INDEX(Перечень!$D$6:$D$51,MATCH(H286,Перечень!$A$6:$A$51,0)),12))</f>
        <v>12</v>
      </c>
      <c r="K286" s="34">
        <v>46212</v>
      </c>
      <c r="L286" s="34"/>
      <c r="M286" s="31">
        <f t="shared" si="30"/>
        <v>46577</v>
      </c>
      <c r="N286" s="29" t="str">
        <f>IF(C286="","",IFERROR(INDEX(Перечень!$F$6:$F$51,MATCH(H286,Перечень!$A$6:$A$51,0)),""))</f>
        <v>-</v>
      </c>
      <c r="O286" s="34"/>
      <c r="P286" s="31" t="str">
        <f t="shared" si="31"/>
        <v/>
      </c>
      <c r="Q286" s="29" t="str">
        <f t="shared" si="32"/>
        <v/>
      </c>
      <c r="R286" s="29" t="str">
        <f t="shared" ca="1" si="33"/>
        <v>В срок</v>
      </c>
      <c r="S286" s="29" t="str">
        <f t="shared" si="34"/>
        <v/>
      </c>
    </row>
    <row r="287" spans="1:19" x14ac:dyDescent="0.3">
      <c r="A287" s="29">
        <f t="shared" si="28"/>
        <v>282</v>
      </c>
      <c r="B287" s="30" t="s">
        <v>97</v>
      </c>
      <c r="C287" s="30" t="s">
        <v>529</v>
      </c>
      <c r="D287" s="30" t="s">
        <v>527</v>
      </c>
      <c r="E287" s="30" t="s">
        <v>530</v>
      </c>
      <c r="F287" s="31">
        <v>46002</v>
      </c>
      <c r="G287" s="32" t="str">
        <f t="shared" si="29"/>
        <v>технический работник</v>
      </c>
      <c r="H287" s="29">
        <f>IF(C287="","",IF(AND(G287="мастер участка",ISNUMBER(SEARCH("РЭО",E287))),29,IFERROR(INDEX(Соответствие!$B$2:$B$100,MATCH(G287,Соответствие!$A$2:$A$100,0)),"?")))</f>
        <v>10</v>
      </c>
      <c r="I287" s="33" t="str">
        <f>IF(C287="","",IFERROR(INDEX(Перечень!$C$6:$C$51,MATCH(H287,Перечень!$A$6:$A$51,0)),""))</f>
        <v>п.1.48, п.4.3.1, п.4.4, п.5.1</v>
      </c>
      <c r="J287" s="29">
        <f>IF(C287="","",IFERROR(INDEX(Перечень!$D$6:$D$51,MATCH(H287,Перечень!$A$6:$A$51,0)),12))</f>
        <v>12</v>
      </c>
      <c r="K287" s="34"/>
      <c r="L287" s="34"/>
      <c r="M287" s="31" t="str">
        <f t="shared" si="30"/>
        <v/>
      </c>
      <c r="N287" s="29" t="str">
        <f>IF(C287="","",IFERROR(INDEX(Перечень!$F$6:$F$51,MATCH(H287,Перечень!$A$6:$A$51,0)),""))</f>
        <v>-</v>
      </c>
      <c r="O287" s="34"/>
      <c r="P287" s="31" t="str">
        <f t="shared" si="31"/>
        <v/>
      </c>
      <c r="Q287" s="29" t="str">
        <f t="shared" si="32"/>
        <v/>
      </c>
      <c r="R287" s="29" t="str">
        <f t="shared" ca="1" si="33"/>
        <v>Нет сведений</v>
      </c>
      <c r="S287" s="29" t="str">
        <f t="shared" si="34"/>
        <v/>
      </c>
    </row>
    <row r="288" spans="1:19" x14ac:dyDescent="0.3">
      <c r="A288" s="29">
        <f t="shared" si="28"/>
        <v>283</v>
      </c>
      <c r="B288" s="30" t="s">
        <v>101</v>
      </c>
      <c r="C288" s="30" t="s">
        <v>531</v>
      </c>
      <c r="D288" s="30" t="s">
        <v>430</v>
      </c>
      <c r="E288" s="30" t="s">
        <v>532</v>
      </c>
      <c r="F288" s="31">
        <v>46191</v>
      </c>
      <c r="G288" s="32" t="str">
        <f t="shared" si="29"/>
        <v>специалист</v>
      </c>
      <c r="H288" s="29">
        <f>IF(C288="","",IF(AND(G288="мастер участка",ISNUMBER(SEARCH("РЭО",E288))),29,IFERROR(INDEX(Соответствие!$B$2:$B$100,MATCH(G288,Соответствие!$A$2:$A$100,0)),"?")))</f>
        <v>12</v>
      </c>
      <c r="I288" s="33" t="str">
        <f>IF(C288="","",IFERROR(INDEX(Перечень!$C$6:$C$51,MATCH(H288,Перечень!$A$6:$A$51,0)),""))</f>
        <v>п.4.4, п.5.1, п.5.2</v>
      </c>
      <c r="J288" s="29">
        <f>IF(C288="","",IFERROR(INDEX(Перечень!$D$6:$D$51,MATCH(H288,Перечень!$A$6:$A$51,0)),12))</f>
        <v>12</v>
      </c>
      <c r="K288" s="34">
        <v>46189</v>
      </c>
      <c r="L288" s="34"/>
      <c r="M288" s="31">
        <f t="shared" si="30"/>
        <v>46554</v>
      </c>
      <c r="N288" s="29" t="str">
        <f>IF(C288="","",IFERROR(INDEX(Перечень!$F$6:$F$51,MATCH(H288,Перечень!$A$6:$A$51,0)),""))</f>
        <v>-</v>
      </c>
      <c r="O288" s="34"/>
      <c r="P288" s="31" t="str">
        <f t="shared" si="31"/>
        <v/>
      </c>
      <c r="Q288" s="29" t="str">
        <f t="shared" si="32"/>
        <v/>
      </c>
      <c r="R288" s="29" t="str">
        <f t="shared" ca="1" si="33"/>
        <v>В срок</v>
      </c>
      <c r="S288" s="29" t="str">
        <f t="shared" si="34"/>
        <v/>
      </c>
    </row>
    <row r="289" spans="1:19" x14ac:dyDescent="0.3">
      <c r="A289" s="29">
        <f t="shared" si="28"/>
        <v>284</v>
      </c>
      <c r="B289" s="30" t="s">
        <v>101</v>
      </c>
      <c r="C289" s="30" t="s">
        <v>533</v>
      </c>
      <c r="D289" s="30" t="s">
        <v>412</v>
      </c>
      <c r="E289" s="30" t="s">
        <v>532</v>
      </c>
      <c r="F289" s="31">
        <v>46245</v>
      </c>
      <c r="G289" s="32" t="str">
        <f t="shared" si="29"/>
        <v>разнорабочий</v>
      </c>
      <c r="H289" s="29">
        <f>IF(C289="","",IF(AND(G289="мастер участка",ISNUMBER(SEARCH("РЭО",E289))),29,IFERROR(INDEX(Соответствие!$B$2:$B$100,MATCH(G289,Соответствие!$A$2:$A$100,0)),"?")))</f>
        <v>7</v>
      </c>
      <c r="I289" s="33" t="str">
        <f>IF(C289="","",IFERROR(INDEX(Перечень!$C$6:$C$51,MATCH(H289,Перечень!$A$6:$A$51,0)),""))</f>
        <v>п.4.3.1, п.4.4, п.4.7, п.4.8, п.5.1, п.6.1</v>
      </c>
      <c r="J289" s="29">
        <f>IF(C289="","",IFERROR(INDEX(Перечень!$D$6:$D$51,MATCH(H289,Перечень!$A$6:$A$51,0)),12))</f>
        <v>12</v>
      </c>
      <c r="K289" s="34">
        <v>46238</v>
      </c>
      <c r="L289" s="34"/>
      <c r="M289" s="31">
        <f t="shared" si="30"/>
        <v>46603</v>
      </c>
      <c r="N289" s="29" t="str">
        <f>IF(C289="","",IFERROR(INDEX(Перечень!$F$6:$F$51,MATCH(H289,Перечень!$A$6:$A$51,0)),""))</f>
        <v>-</v>
      </c>
      <c r="O289" s="34"/>
      <c r="P289" s="31" t="str">
        <f t="shared" si="31"/>
        <v/>
      </c>
      <c r="Q289" s="29" t="str">
        <f t="shared" si="32"/>
        <v/>
      </c>
      <c r="R289" s="29" t="str">
        <f t="shared" ca="1" si="33"/>
        <v>В срок</v>
      </c>
      <c r="S289" s="29" t="str">
        <f t="shared" si="34"/>
        <v/>
      </c>
    </row>
    <row r="290" spans="1:19" x14ac:dyDescent="0.3">
      <c r="A290" s="29">
        <f t="shared" si="28"/>
        <v>285</v>
      </c>
      <c r="B290" s="30" t="s">
        <v>101</v>
      </c>
      <c r="C290" s="30" t="s">
        <v>534</v>
      </c>
      <c r="D290" s="30" t="s">
        <v>433</v>
      </c>
      <c r="E290" s="30" t="s">
        <v>532</v>
      </c>
      <c r="F290" s="31">
        <v>45944</v>
      </c>
      <c r="G290" s="32" t="str">
        <f t="shared" si="29"/>
        <v>уборщик производственных и служебных помещений</v>
      </c>
      <c r="H290" s="29">
        <f>IF(C290="","",IF(AND(G290="мастер участка",ISNUMBER(SEARCH("РЭО",E290))),29,IFERROR(INDEX(Соответствие!$B$2:$B$100,MATCH(G290,Соответствие!$A$2:$A$100,0)),"?")))</f>
        <v>10</v>
      </c>
      <c r="I290" s="33" t="str">
        <f>IF(C290="","",IFERROR(INDEX(Перечень!$C$6:$C$51,MATCH(H290,Перечень!$A$6:$A$51,0)),""))</f>
        <v>п.1.48, п.4.3.1, п.4.4, п.5.1</v>
      </c>
      <c r="J290" s="29">
        <f>IF(C290="","",IFERROR(INDEX(Перечень!$D$6:$D$51,MATCH(H290,Перечень!$A$6:$A$51,0)),12))</f>
        <v>12</v>
      </c>
      <c r="K290" s="34"/>
      <c r="L290" s="34"/>
      <c r="M290" s="31" t="str">
        <f t="shared" si="30"/>
        <v/>
      </c>
      <c r="N290" s="29" t="str">
        <f>IF(C290="","",IFERROR(INDEX(Перечень!$F$6:$F$51,MATCH(H290,Перечень!$A$6:$A$51,0)),""))</f>
        <v>-</v>
      </c>
      <c r="O290" s="34"/>
      <c r="P290" s="31" t="str">
        <f t="shared" si="31"/>
        <v/>
      </c>
      <c r="Q290" s="29" t="str">
        <f t="shared" si="32"/>
        <v/>
      </c>
      <c r="R290" s="29" t="str">
        <f t="shared" ca="1" si="33"/>
        <v>Нет сведений</v>
      </c>
      <c r="S290" s="29" t="str">
        <f t="shared" si="34"/>
        <v/>
      </c>
    </row>
    <row r="291" spans="1:19" x14ac:dyDescent="0.3">
      <c r="A291" s="29">
        <f t="shared" si="28"/>
        <v>286</v>
      </c>
      <c r="B291" s="30" t="s">
        <v>101</v>
      </c>
      <c r="C291" s="30" t="s">
        <v>535</v>
      </c>
      <c r="D291" s="30" t="s">
        <v>433</v>
      </c>
      <c r="E291" s="30" t="s">
        <v>532</v>
      </c>
      <c r="F291" s="31">
        <v>46261</v>
      </c>
      <c r="G291" s="32" t="str">
        <f t="shared" si="29"/>
        <v>уборщик производственных и служебных помещений</v>
      </c>
      <c r="H291" s="29">
        <f>IF(C291="","",IF(AND(G291="мастер участка",ISNUMBER(SEARCH("РЭО",E291))),29,IFERROR(INDEX(Соответствие!$B$2:$B$100,MATCH(G291,Соответствие!$A$2:$A$100,0)),"?")))</f>
        <v>10</v>
      </c>
      <c r="I291" s="33" t="str">
        <f>IF(C291="","",IFERROR(INDEX(Перечень!$C$6:$C$51,MATCH(H291,Перечень!$A$6:$A$51,0)),""))</f>
        <v>п.1.48, п.4.3.1, п.4.4, п.5.1</v>
      </c>
      <c r="J291" s="29">
        <f>IF(C291="","",IFERROR(INDEX(Перечень!$D$6:$D$51,MATCH(H291,Перечень!$A$6:$A$51,0)),12))</f>
        <v>12</v>
      </c>
      <c r="K291" s="34">
        <v>46258</v>
      </c>
      <c r="L291" s="34"/>
      <c r="M291" s="31">
        <f t="shared" si="30"/>
        <v>46623</v>
      </c>
      <c r="N291" s="29" t="str">
        <f>IF(C291="","",IFERROR(INDEX(Перечень!$F$6:$F$51,MATCH(H291,Перечень!$A$6:$A$51,0)),""))</f>
        <v>-</v>
      </c>
      <c r="O291" s="34"/>
      <c r="P291" s="31" t="str">
        <f t="shared" si="31"/>
        <v/>
      </c>
      <c r="Q291" s="29" t="str">
        <f t="shared" si="32"/>
        <v/>
      </c>
      <c r="R291" s="29" t="str">
        <f t="shared" ca="1" si="33"/>
        <v>В срок</v>
      </c>
      <c r="S291" s="29" t="str">
        <f t="shared" si="34"/>
        <v/>
      </c>
    </row>
    <row r="292" spans="1:19" x14ac:dyDescent="0.3">
      <c r="A292" s="29">
        <f t="shared" si="28"/>
        <v>287</v>
      </c>
      <c r="B292" s="30" t="s">
        <v>101</v>
      </c>
      <c r="C292" s="30" t="s">
        <v>536</v>
      </c>
      <c r="D292" s="30" t="s">
        <v>433</v>
      </c>
      <c r="E292" s="30" t="s">
        <v>532</v>
      </c>
      <c r="F292" s="31">
        <v>46104</v>
      </c>
      <c r="G292" s="32" t="str">
        <f t="shared" si="29"/>
        <v>уборщик производственных и служебных помещений</v>
      </c>
      <c r="H292" s="29">
        <f>IF(C292="","",IF(AND(G292="мастер участка",ISNUMBER(SEARCH("РЭО",E292))),29,IFERROR(INDEX(Соответствие!$B$2:$B$100,MATCH(G292,Соответствие!$A$2:$A$100,0)),"?")))</f>
        <v>10</v>
      </c>
      <c r="I292" s="33" t="str">
        <f>IF(C292="","",IFERROR(INDEX(Перечень!$C$6:$C$51,MATCH(H292,Перечень!$A$6:$A$51,0)),""))</f>
        <v>п.1.48, п.4.3.1, п.4.4, п.5.1</v>
      </c>
      <c r="J292" s="29">
        <f>IF(C292="","",IFERROR(INDEX(Перечень!$D$6:$D$51,MATCH(H292,Перечень!$A$6:$A$51,0)),12))</f>
        <v>12</v>
      </c>
      <c r="K292" s="34"/>
      <c r="L292" s="34"/>
      <c r="M292" s="31" t="str">
        <f t="shared" si="30"/>
        <v/>
      </c>
      <c r="N292" s="29" t="str">
        <f>IF(C292="","",IFERROR(INDEX(Перечень!$F$6:$F$51,MATCH(H292,Перечень!$A$6:$A$51,0)),""))</f>
        <v>-</v>
      </c>
      <c r="O292" s="34"/>
      <c r="P292" s="31" t="str">
        <f t="shared" si="31"/>
        <v/>
      </c>
      <c r="Q292" s="29" t="str">
        <f t="shared" si="32"/>
        <v/>
      </c>
      <c r="R292" s="29" t="str">
        <f t="shared" ca="1" si="33"/>
        <v>Нет сведений</v>
      </c>
      <c r="S292" s="29" t="str">
        <f t="shared" si="34"/>
        <v/>
      </c>
    </row>
    <row r="293" spans="1:19" x14ac:dyDescent="0.3">
      <c r="A293" s="29">
        <f t="shared" si="28"/>
        <v>288</v>
      </c>
      <c r="B293" s="30" t="s">
        <v>101</v>
      </c>
      <c r="C293" s="30" t="s">
        <v>537</v>
      </c>
      <c r="D293" s="30" t="s">
        <v>433</v>
      </c>
      <c r="E293" s="30" t="s">
        <v>532</v>
      </c>
      <c r="F293" s="31">
        <v>46113</v>
      </c>
      <c r="G293" s="32" t="str">
        <f t="shared" si="29"/>
        <v>уборщик производственных и служебных помещений</v>
      </c>
      <c r="H293" s="29">
        <f>IF(C293="","",IF(AND(G293="мастер участка",ISNUMBER(SEARCH("РЭО",E293))),29,IFERROR(INDEX(Соответствие!$B$2:$B$100,MATCH(G293,Соответствие!$A$2:$A$100,0)),"?")))</f>
        <v>10</v>
      </c>
      <c r="I293" s="33" t="str">
        <f>IF(C293="","",IFERROR(INDEX(Перечень!$C$6:$C$51,MATCH(H293,Перечень!$A$6:$A$51,0)),""))</f>
        <v>п.1.48, п.4.3.1, п.4.4, п.5.1</v>
      </c>
      <c r="J293" s="29">
        <f>IF(C293="","",IFERROR(INDEX(Перечень!$D$6:$D$51,MATCH(H293,Перечень!$A$6:$A$51,0)),12))</f>
        <v>12</v>
      </c>
      <c r="K293" s="34"/>
      <c r="L293" s="34"/>
      <c r="M293" s="31" t="str">
        <f t="shared" si="30"/>
        <v/>
      </c>
      <c r="N293" s="29" t="str">
        <f>IF(C293="","",IFERROR(INDEX(Перечень!$F$6:$F$51,MATCH(H293,Перечень!$A$6:$A$51,0)),""))</f>
        <v>-</v>
      </c>
      <c r="O293" s="34"/>
      <c r="P293" s="31" t="str">
        <f t="shared" si="31"/>
        <v/>
      </c>
      <c r="Q293" s="29" t="str">
        <f t="shared" si="32"/>
        <v/>
      </c>
      <c r="R293" s="29" t="str">
        <f t="shared" ca="1" si="33"/>
        <v>Нет сведений</v>
      </c>
      <c r="S293" s="29" t="str">
        <f t="shared" si="34"/>
        <v/>
      </c>
    </row>
    <row r="294" spans="1:19" x14ac:dyDescent="0.3">
      <c r="A294" s="29">
        <f t="shared" si="28"/>
        <v>289</v>
      </c>
      <c r="B294" s="30" t="s">
        <v>101</v>
      </c>
      <c r="C294" s="30" t="s">
        <v>538</v>
      </c>
      <c r="D294" s="30" t="s">
        <v>539</v>
      </c>
      <c r="E294" s="30" t="s">
        <v>532</v>
      </c>
      <c r="F294" s="31">
        <v>45446</v>
      </c>
      <c r="G294" s="32" t="str">
        <f t="shared" si="29"/>
        <v>уборщик служебных помещений</v>
      </c>
      <c r="H294" s="29">
        <f>IF(C294="","",IF(AND(G294="мастер участка",ISNUMBER(SEARCH("РЭО",E294))),29,IFERROR(INDEX(Соответствие!$B$2:$B$100,MATCH(G294,Соответствие!$A$2:$A$100,0)),"?")))</f>
        <v>10</v>
      </c>
      <c r="I294" s="33" t="str">
        <f>IF(C294="","",IFERROR(INDEX(Перечень!$C$6:$C$51,MATCH(H294,Перечень!$A$6:$A$51,0)),""))</f>
        <v>п.1.48, п.4.3.1, п.4.4, п.5.1</v>
      </c>
      <c r="J294" s="29">
        <f>IF(C294="","",IFERROR(INDEX(Перечень!$D$6:$D$51,MATCH(H294,Перечень!$A$6:$A$51,0)),12))</f>
        <v>12</v>
      </c>
      <c r="K294" s="34"/>
      <c r="L294" s="34"/>
      <c r="M294" s="31" t="str">
        <f t="shared" si="30"/>
        <v/>
      </c>
      <c r="N294" s="29" t="str">
        <f>IF(C294="","",IFERROR(INDEX(Перечень!$F$6:$F$51,MATCH(H294,Перечень!$A$6:$A$51,0)),""))</f>
        <v>-</v>
      </c>
      <c r="O294" s="34"/>
      <c r="P294" s="31" t="str">
        <f t="shared" si="31"/>
        <v/>
      </c>
      <c r="Q294" s="29" t="str">
        <f t="shared" si="32"/>
        <v/>
      </c>
      <c r="R294" s="29" t="str">
        <f t="shared" ca="1" si="33"/>
        <v>Нет сведений</v>
      </c>
      <c r="S294" s="29" t="str">
        <f t="shared" si="34"/>
        <v/>
      </c>
    </row>
    <row r="295" spans="1:19" x14ac:dyDescent="0.3">
      <c r="A295" s="29">
        <f t="shared" si="28"/>
        <v>290</v>
      </c>
      <c r="B295" s="30" t="s">
        <v>101</v>
      </c>
      <c r="C295" s="30" t="s">
        <v>540</v>
      </c>
      <c r="D295" s="30" t="s">
        <v>419</v>
      </c>
      <c r="E295" s="30" t="s">
        <v>541</v>
      </c>
      <c r="F295" s="31">
        <v>46246</v>
      </c>
      <c r="G295" s="32" t="str">
        <f t="shared" si="29"/>
        <v>электромонтер по ремонту и обслуживанию электрооборудования</v>
      </c>
      <c r="H295" s="29">
        <f>IF(C295="","",IF(AND(G295="мастер участка",ISNUMBER(SEARCH("РЭО",E295))),29,IFERROR(INDEX(Соответствие!$B$2:$B$100,MATCH(G295,Соответствие!$A$2:$A$100,0)),"?")))</f>
        <v>2</v>
      </c>
      <c r="I295" s="33" t="str">
        <f>IF(C295="","",IFERROR(INDEX(Перечень!$C$6:$C$51,MATCH(H295,Перечень!$A$6:$A$51,0)),""))</f>
        <v>п.4.2.3, п.4.3.1, п.4.3.2, п.4.4, п.5.1, п.5.2, п.6.2, п.9</v>
      </c>
      <c r="J295" s="29">
        <f>IF(C295="","",IFERROR(INDEX(Перечень!$D$6:$D$51,MATCH(H295,Перечень!$A$6:$A$51,0)),12))</f>
        <v>12</v>
      </c>
      <c r="K295" s="34">
        <v>46238</v>
      </c>
      <c r="L295" s="34"/>
      <c r="M295" s="31">
        <f t="shared" si="30"/>
        <v>46603</v>
      </c>
      <c r="N295" s="29" t="str">
        <f>IF(C295="","",IFERROR(INDEX(Перечень!$F$6:$F$51,MATCH(H295,Перечень!$A$6:$A$51,0)),""))</f>
        <v>Да</v>
      </c>
      <c r="O295" s="34"/>
      <c r="P295" s="31" t="str">
        <f t="shared" si="31"/>
        <v/>
      </c>
      <c r="Q295" s="29" t="str">
        <f t="shared" si="32"/>
        <v/>
      </c>
      <c r="R295" s="29" t="str">
        <f t="shared" ca="1" si="33"/>
        <v>В срок</v>
      </c>
      <c r="S295" s="29" t="str">
        <f t="shared" si="34"/>
        <v>Не пройдено</v>
      </c>
    </row>
    <row r="296" spans="1:19" x14ac:dyDescent="0.3">
      <c r="A296" s="29">
        <f t="shared" si="28"/>
        <v>291</v>
      </c>
      <c r="B296" s="30" t="s">
        <v>101</v>
      </c>
      <c r="C296" s="30" t="s">
        <v>542</v>
      </c>
      <c r="D296" s="30" t="s">
        <v>543</v>
      </c>
      <c r="E296" s="30" t="s">
        <v>541</v>
      </c>
      <c r="F296" s="31">
        <v>46055</v>
      </c>
      <c r="G296" s="32" t="str">
        <f t="shared" si="29"/>
        <v>слесарь-ремонтник</v>
      </c>
      <c r="H296" s="29">
        <f>IF(C296="","",IF(AND(G296="мастер участка",ISNUMBER(SEARCH("РЭО",E296))),29,IFERROR(INDEX(Соответствие!$B$2:$B$100,MATCH(G296,Соответствие!$A$2:$A$100,0)),"?")))</f>
        <v>8</v>
      </c>
      <c r="I296" s="33" t="str">
        <f>IF(C296="","",IFERROR(INDEX(Перечень!$C$6:$C$51,MATCH(H296,Перечень!$A$6:$A$51,0)),""))</f>
        <v>п.4.3.1, п.4.4, п.5.1, п.6.2, п.15</v>
      </c>
      <c r="J296" s="29">
        <f>IF(C296="","",IFERROR(INDEX(Перечень!$D$6:$D$51,MATCH(H296,Перечень!$A$6:$A$51,0)),12))</f>
        <v>12</v>
      </c>
      <c r="K296" s="34"/>
      <c r="L296" s="34"/>
      <c r="M296" s="31" t="str">
        <f t="shared" si="30"/>
        <v/>
      </c>
      <c r="N296" s="29" t="str">
        <f>IF(C296="","",IFERROR(INDEX(Перечень!$F$6:$F$51,MATCH(H296,Перечень!$A$6:$A$51,0)),""))</f>
        <v>-</v>
      </c>
      <c r="O296" s="34"/>
      <c r="P296" s="31" t="str">
        <f t="shared" si="31"/>
        <v/>
      </c>
      <c r="Q296" s="29" t="str">
        <f t="shared" si="32"/>
        <v/>
      </c>
      <c r="R296" s="29" t="str">
        <f t="shared" ca="1" si="33"/>
        <v>Нет сведений</v>
      </c>
      <c r="S296" s="29" t="str">
        <f t="shared" si="34"/>
        <v/>
      </c>
    </row>
    <row r="297" spans="1:19" x14ac:dyDescent="0.3">
      <c r="A297" s="29">
        <f t="shared" si="28"/>
        <v>292</v>
      </c>
      <c r="B297" s="30" t="s">
        <v>101</v>
      </c>
      <c r="C297" s="30" t="s">
        <v>544</v>
      </c>
      <c r="D297" s="30" t="s">
        <v>271</v>
      </c>
      <c r="E297" s="30" t="s">
        <v>545</v>
      </c>
      <c r="F297" s="31">
        <v>46148</v>
      </c>
      <c r="G297" s="32" t="str">
        <f t="shared" si="29"/>
        <v>оператор станка с чпу</v>
      </c>
      <c r="H297" s="29">
        <f>IF(C297="","",IF(AND(G297="мастер участка",ISNUMBER(SEARCH("РЭО",E297))),29,IFERROR(INDEX(Соответствие!$B$2:$B$100,MATCH(G297,Соответствие!$A$2:$A$100,0)),"?")))</f>
        <v>30</v>
      </c>
      <c r="I297" s="33" t="str">
        <f>IF(C297="","",IFERROR(INDEX(Перечень!$C$6:$C$51,MATCH(H297,Перечень!$A$6:$A$51,0)),""))</f>
        <v>п.4.3.1, п.4.3.2, п.4.4, п.5.1, п.5.2, п.15</v>
      </c>
      <c r="J297" s="29">
        <f>IF(C297="","",IFERROR(INDEX(Перечень!$D$6:$D$51,MATCH(H297,Перечень!$A$6:$A$51,0)),12))</f>
        <v>12</v>
      </c>
      <c r="K297" s="34"/>
      <c r="L297" s="34"/>
      <c r="M297" s="31" t="str">
        <f t="shared" si="30"/>
        <v/>
      </c>
      <c r="N297" s="29" t="str">
        <f>IF(C297="","",IFERROR(INDEX(Перечень!$F$6:$F$51,MATCH(H297,Перечень!$A$6:$A$51,0)),""))</f>
        <v>-</v>
      </c>
      <c r="O297" s="34"/>
      <c r="P297" s="31" t="str">
        <f t="shared" si="31"/>
        <v/>
      </c>
      <c r="Q297" s="29" t="str">
        <f t="shared" si="32"/>
        <v/>
      </c>
      <c r="R297" s="29" t="str">
        <f t="shared" ca="1" si="33"/>
        <v>Нет сведений</v>
      </c>
      <c r="S297" s="29" t="str">
        <f t="shared" si="34"/>
        <v/>
      </c>
    </row>
    <row r="298" spans="1:19" x14ac:dyDescent="0.3">
      <c r="A298" s="29">
        <f t="shared" si="28"/>
        <v>293</v>
      </c>
      <c r="B298" s="30" t="s">
        <v>101</v>
      </c>
      <c r="C298" s="30" t="s">
        <v>546</v>
      </c>
      <c r="D298" s="30" t="s">
        <v>271</v>
      </c>
      <c r="E298" s="30" t="s">
        <v>545</v>
      </c>
      <c r="F298" s="31">
        <v>46195</v>
      </c>
      <c r="G298" s="32" t="str">
        <f t="shared" si="29"/>
        <v>оператор станка с чпу</v>
      </c>
      <c r="H298" s="29">
        <f>IF(C298="","",IF(AND(G298="мастер участка",ISNUMBER(SEARCH("РЭО",E298))),29,IFERROR(INDEX(Соответствие!$B$2:$B$100,MATCH(G298,Соответствие!$A$2:$A$100,0)),"?")))</f>
        <v>30</v>
      </c>
      <c r="I298" s="33" t="str">
        <f>IF(C298="","",IFERROR(INDEX(Перечень!$C$6:$C$51,MATCH(H298,Перечень!$A$6:$A$51,0)),""))</f>
        <v>п.4.3.1, п.4.3.2, п.4.4, п.5.1, п.5.2, п.15</v>
      </c>
      <c r="J298" s="29">
        <f>IF(C298="","",IFERROR(INDEX(Перечень!$D$6:$D$51,MATCH(H298,Перечень!$A$6:$A$51,0)),12))</f>
        <v>12</v>
      </c>
      <c r="K298" s="34">
        <v>46191</v>
      </c>
      <c r="L298" s="34"/>
      <c r="M298" s="31">
        <f t="shared" si="30"/>
        <v>46556</v>
      </c>
      <c r="N298" s="29" t="str">
        <f>IF(C298="","",IFERROR(INDEX(Перечень!$F$6:$F$51,MATCH(H298,Перечень!$A$6:$A$51,0)),""))</f>
        <v>-</v>
      </c>
      <c r="O298" s="34"/>
      <c r="P298" s="31" t="str">
        <f t="shared" si="31"/>
        <v/>
      </c>
      <c r="Q298" s="29" t="str">
        <f t="shared" si="32"/>
        <v/>
      </c>
      <c r="R298" s="29" t="str">
        <f t="shared" ca="1" si="33"/>
        <v>В срок</v>
      </c>
      <c r="S298" s="29" t="str">
        <f t="shared" si="34"/>
        <v/>
      </c>
    </row>
    <row r="299" spans="1:19" x14ac:dyDescent="0.3">
      <c r="A299" s="29">
        <f t="shared" si="28"/>
        <v>294</v>
      </c>
      <c r="B299" s="30" t="s">
        <v>101</v>
      </c>
      <c r="C299" s="30" t="s">
        <v>547</v>
      </c>
      <c r="D299" s="30" t="s">
        <v>271</v>
      </c>
      <c r="E299" s="30" t="s">
        <v>545</v>
      </c>
      <c r="F299" s="31">
        <v>46034</v>
      </c>
      <c r="G299" s="32" t="str">
        <f t="shared" si="29"/>
        <v>оператор станка с чпу</v>
      </c>
      <c r="H299" s="29">
        <f>IF(C299="","",IF(AND(G299="мастер участка",ISNUMBER(SEARCH("РЭО",E299))),29,IFERROR(INDEX(Соответствие!$B$2:$B$100,MATCH(G299,Соответствие!$A$2:$A$100,0)),"?")))</f>
        <v>30</v>
      </c>
      <c r="I299" s="33" t="str">
        <f>IF(C299="","",IFERROR(INDEX(Перечень!$C$6:$C$51,MATCH(H299,Перечень!$A$6:$A$51,0)),""))</f>
        <v>п.4.3.1, п.4.3.2, п.4.4, п.5.1, п.5.2, п.15</v>
      </c>
      <c r="J299" s="29">
        <f>IF(C299="","",IFERROR(INDEX(Перечень!$D$6:$D$51,MATCH(H299,Перечень!$A$6:$A$51,0)),12))</f>
        <v>12</v>
      </c>
      <c r="K299" s="34"/>
      <c r="L299" s="34"/>
      <c r="M299" s="31" t="str">
        <f t="shared" si="30"/>
        <v/>
      </c>
      <c r="N299" s="29" t="str">
        <f>IF(C299="","",IFERROR(INDEX(Перечень!$F$6:$F$51,MATCH(H299,Перечень!$A$6:$A$51,0)),""))</f>
        <v>-</v>
      </c>
      <c r="O299" s="34"/>
      <c r="P299" s="31" t="str">
        <f t="shared" si="31"/>
        <v/>
      </c>
      <c r="Q299" s="29" t="str">
        <f t="shared" si="32"/>
        <v/>
      </c>
      <c r="R299" s="29" t="str">
        <f t="shared" ca="1" si="33"/>
        <v>Нет сведений</v>
      </c>
      <c r="S299" s="29" t="str">
        <f t="shared" si="34"/>
        <v/>
      </c>
    </row>
    <row r="300" spans="1:19" x14ac:dyDescent="0.3">
      <c r="A300" s="29">
        <f t="shared" si="28"/>
        <v>295</v>
      </c>
      <c r="B300" s="30" t="s">
        <v>101</v>
      </c>
      <c r="C300" s="30" t="s">
        <v>548</v>
      </c>
      <c r="D300" s="30" t="s">
        <v>278</v>
      </c>
      <c r="E300" s="30" t="s">
        <v>545</v>
      </c>
      <c r="F300" s="31">
        <v>45924</v>
      </c>
      <c r="G300" s="32" t="str">
        <f t="shared" si="29"/>
        <v>оператор станка с чпу</v>
      </c>
      <c r="H300" s="29">
        <f>IF(C300="","",IF(AND(G300="мастер участка",ISNUMBER(SEARCH("РЭО",E300))),29,IFERROR(INDEX(Соответствие!$B$2:$B$100,MATCH(G300,Соответствие!$A$2:$A$100,0)),"?")))</f>
        <v>30</v>
      </c>
      <c r="I300" s="33" t="str">
        <f>IF(C300="","",IFERROR(INDEX(Перечень!$C$6:$C$51,MATCH(H300,Перечень!$A$6:$A$51,0)),""))</f>
        <v>п.4.3.1, п.4.3.2, п.4.4, п.5.1, п.5.2, п.15</v>
      </c>
      <c r="J300" s="29">
        <f>IF(C300="","",IFERROR(INDEX(Перечень!$D$6:$D$51,MATCH(H300,Перечень!$A$6:$A$51,0)),12))</f>
        <v>12</v>
      </c>
      <c r="K300" s="34">
        <v>45922</v>
      </c>
      <c r="L300" s="34"/>
      <c r="M300" s="31">
        <f t="shared" si="30"/>
        <v>46287</v>
      </c>
      <c r="N300" s="29" t="str">
        <f>IF(C300="","",IFERROR(INDEX(Перечень!$F$6:$F$51,MATCH(H300,Перечень!$A$6:$A$51,0)),""))</f>
        <v>-</v>
      </c>
      <c r="O300" s="34"/>
      <c r="P300" s="31" t="str">
        <f t="shared" si="31"/>
        <v/>
      </c>
      <c r="Q300" s="29" t="str">
        <f t="shared" si="32"/>
        <v/>
      </c>
      <c r="R300" s="29" t="str">
        <f t="shared" ca="1" si="33"/>
        <v>Просрочен</v>
      </c>
      <c r="S300" s="29" t="str">
        <f t="shared" si="34"/>
        <v/>
      </c>
    </row>
    <row r="301" spans="1:19" x14ac:dyDescent="0.3">
      <c r="A301" s="29">
        <f t="shared" si="28"/>
        <v>296</v>
      </c>
      <c r="B301" s="30" t="s">
        <v>101</v>
      </c>
      <c r="C301" s="30" t="s">
        <v>549</v>
      </c>
      <c r="D301" s="30" t="s">
        <v>278</v>
      </c>
      <c r="E301" s="30" t="s">
        <v>545</v>
      </c>
      <c r="F301" s="31">
        <v>45922</v>
      </c>
      <c r="G301" s="32" t="str">
        <f t="shared" si="29"/>
        <v>оператор станка с чпу</v>
      </c>
      <c r="H301" s="29">
        <f>IF(C301="","",IF(AND(G301="мастер участка",ISNUMBER(SEARCH("РЭО",E301))),29,IFERROR(INDEX(Соответствие!$B$2:$B$100,MATCH(G301,Соответствие!$A$2:$A$100,0)),"?")))</f>
        <v>30</v>
      </c>
      <c r="I301" s="33" t="str">
        <f>IF(C301="","",IFERROR(INDEX(Перечень!$C$6:$C$51,MATCH(H301,Перечень!$A$6:$A$51,0)),""))</f>
        <v>п.4.3.1, п.4.3.2, п.4.4, п.5.1, п.5.2, п.15</v>
      </c>
      <c r="J301" s="29">
        <f>IF(C301="","",IFERROR(INDEX(Перечень!$D$6:$D$51,MATCH(H301,Перечень!$A$6:$A$51,0)),12))</f>
        <v>12</v>
      </c>
      <c r="K301" s="34">
        <v>45919</v>
      </c>
      <c r="L301" s="34"/>
      <c r="M301" s="31">
        <f t="shared" si="30"/>
        <v>46284</v>
      </c>
      <c r="N301" s="29" t="str">
        <f>IF(C301="","",IFERROR(INDEX(Перечень!$F$6:$F$51,MATCH(H301,Перечень!$A$6:$A$51,0)),""))</f>
        <v>-</v>
      </c>
      <c r="O301" s="34"/>
      <c r="P301" s="31" t="str">
        <f t="shared" si="31"/>
        <v/>
      </c>
      <c r="Q301" s="29" t="str">
        <f t="shared" si="32"/>
        <v/>
      </c>
      <c r="R301" s="29" t="str">
        <f t="shared" ca="1" si="33"/>
        <v>Просрочен</v>
      </c>
      <c r="S301" s="29" t="str">
        <f t="shared" si="34"/>
        <v/>
      </c>
    </row>
    <row r="302" spans="1:19" x14ac:dyDescent="0.3">
      <c r="A302" s="29">
        <f t="shared" si="28"/>
        <v>297</v>
      </c>
      <c r="B302" s="30" t="s">
        <v>101</v>
      </c>
      <c r="C302" s="30" t="s">
        <v>550</v>
      </c>
      <c r="D302" s="30" t="s">
        <v>278</v>
      </c>
      <c r="E302" s="30" t="s">
        <v>545</v>
      </c>
      <c r="F302" s="31">
        <v>46044</v>
      </c>
      <c r="G302" s="32" t="str">
        <f t="shared" si="29"/>
        <v>оператор станка с чпу</v>
      </c>
      <c r="H302" s="29">
        <f>IF(C302="","",IF(AND(G302="мастер участка",ISNUMBER(SEARCH("РЭО",E302))),29,IFERROR(INDEX(Соответствие!$B$2:$B$100,MATCH(G302,Соответствие!$A$2:$A$100,0)),"?")))</f>
        <v>30</v>
      </c>
      <c r="I302" s="33" t="str">
        <f>IF(C302="","",IFERROR(INDEX(Перечень!$C$6:$C$51,MATCH(H302,Перечень!$A$6:$A$51,0)),""))</f>
        <v>п.4.3.1, п.4.3.2, п.4.4, п.5.1, п.5.2, п.15</v>
      </c>
      <c r="J302" s="29">
        <f>IF(C302="","",IFERROR(INDEX(Перечень!$D$6:$D$51,MATCH(H302,Перечень!$A$6:$A$51,0)),12))</f>
        <v>12</v>
      </c>
      <c r="K302" s="34"/>
      <c r="L302" s="34"/>
      <c r="M302" s="31" t="str">
        <f t="shared" si="30"/>
        <v/>
      </c>
      <c r="N302" s="29" t="str">
        <f>IF(C302="","",IFERROR(INDEX(Перечень!$F$6:$F$51,MATCH(H302,Перечень!$A$6:$A$51,0)),""))</f>
        <v>-</v>
      </c>
      <c r="O302" s="34"/>
      <c r="P302" s="31" t="str">
        <f t="shared" si="31"/>
        <v/>
      </c>
      <c r="Q302" s="29" t="str">
        <f t="shared" si="32"/>
        <v/>
      </c>
      <c r="R302" s="29" t="str">
        <f t="shared" ca="1" si="33"/>
        <v>Нет сведений</v>
      </c>
      <c r="S302" s="29" t="str">
        <f t="shared" si="34"/>
        <v/>
      </c>
    </row>
    <row r="303" spans="1:19" x14ac:dyDescent="0.3">
      <c r="A303" s="29">
        <f t="shared" si="28"/>
        <v>298</v>
      </c>
      <c r="B303" s="30" t="s">
        <v>101</v>
      </c>
      <c r="C303" s="30" t="s">
        <v>551</v>
      </c>
      <c r="D303" s="30" t="s">
        <v>280</v>
      </c>
      <c r="E303" s="30" t="s">
        <v>545</v>
      </c>
      <c r="F303" s="31">
        <v>45993</v>
      </c>
      <c r="G303" s="32" t="str">
        <f t="shared" si="29"/>
        <v>токарь</v>
      </c>
      <c r="H303" s="29">
        <f>IF(C303="","",IF(AND(G303="мастер участка",ISNUMBER(SEARCH("РЭО",E303))),29,IFERROR(INDEX(Соответствие!$B$2:$B$100,MATCH(G303,Соответствие!$A$2:$A$100,0)),"?")))</f>
        <v>34</v>
      </c>
      <c r="I303" s="33" t="str">
        <f>IF(C303="","",IFERROR(INDEX(Перечень!$C$6:$C$51,MATCH(H303,Перечень!$A$6:$A$51,0)),""))</f>
        <v>п.4.3.1, п.4.3.2, п.4.4, п.5.1, п.5.2, п.15</v>
      </c>
      <c r="J303" s="29">
        <f>IF(C303="","",IFERROR(INDEX(Перечень!$D$6:$D$51,MATCH(H303,Перечень!$A$6:$A$51,0)),12))</f>
        <v>12</v>
      </c>
      <c r="K303" s="34"/>
      <c r="L303" s="34"/>
      <c r="M303" s="31" t="str">
        <f t="shared" si="30"/>
        <v/>
      </c>
      <c r="N303" s="29" t="str">
        <f>IF(C303="","",IFERROR(INDEX(Перечень!$F$6:$F$51,MATCH(H303,Перечень!$A$6:$A$51,0)),""))</f>
        <v>-</v>
      </c>
      <c r="O303" s="34"/>
      <c r="P303" s="31" t="str">
        <f t="shared" si="31"/>
        <v/>
      </c>
      <c r="Q303" s="29" t="str">
        <f t="shared" si="32"/>
        <v/>
      </c>
      <c r="R303" s="29" t="str">
        <f t="shared" ca="1" si="33"/>
        <v>Нет сведений</v>
      </c>
      <c r="S303" s="29" t="str">
        <f t="shared" si="34"/>
        <v/>
      </c>
    </row>
    <row r="304" spans="1:19" x14ac:dyDescent="0.3">
      <c r="A304" s="29">
        <f t="shared" si="28"/>
        <v>299</v>
      </c>
      <c r="B304" s="30" t="s">
        <v>101</v>
      </c>
      <c r="C304" s="30" t="s">
        <v>552</v>
      </c>
      <c r="D304" s="30" t="s">
        <v>280</v>
      </c>
      <c r="E304" s="30" t="s">
        <v>545</v>
      </c>
      <c r="F304" s="31">
        <v>46001</v>
      </c>
      <c r="G304" s="32" t="str">
        <f t="shared" si="29"/>
        <v>токарь</v>
      </c>
      <c r="H304" s="29">
        <f>IF(C304="","",IF(AND(G304="мастер участка",ISNUMBER(SEARCH("РЭО",E304))),29,IFERROR(INDEX(Соответствие!$B$2:$B$100,MATCH(G304,Соответствие!$A$2:$A$100,0)),"?")))</f>
        <v>34</v>
      </c>
      <c r="I304" s="33" t="str">
        <f>IF(C304="","",IFERROR(INDEX(Перечень!$C$6:$C$51,MATCH(H304,Перечень!$A$6:$A$51,0)),""))</f>
        <v>п.4.3.1, п.4.3.2, п.4.4, п.5.1, п.5.2, п.15</v>
      </c>
      <c r="J304" s="29">
        <f>IF(C304="","",IFERROR(INDEX(Перечень!$D$6:$D$51,MATCH(H304,Перечень!$A$6:$A$51,0)),12))</f>
        <v>12</v>
      </c>
      <c r="K304" s="34"/>
      <c r="L304" s="34"/>
      <c r="M304" s="31" t="str">
        <f t="shared" si="30"/>
        <v/>
      </c>
      <c r="N304" s="29" t="str">
        <f>IF(C304="","",IFERROR(INDEX(Перечень!$F$6:$F$51,MATCH(H304,Перечень!$A$6:$A$51,0)),""))</f>
        <v>-</v>
      </c>
      <c r="O304" s="34"/>
      <c r="P304" s="31" t="str">
        <f t="shared" si="31"/>
        <v/>
      </c>
      <c r="Q304" s="29" t="str">
        <f t="shared" si="32"/>
        <v/>
      </c>
      <c r="R304" s="29" t="str">
        <f t="shared" ca="1" si="33"/>
        <v>Нет сведений</v>
      </c>
      <c r="S304" s="29" t="str">
        <f t="shared" si="34"/>
        <v/>
      </c>
    </row>
    <row r="305" spans="1:19" x14ac:dyDescent="0.3">
      <c r="A305" s="29">
        <f t="shared" si="28"/>
        <v>300</v>
      </c>
      <c r="B305" s="30" t="s">
        <v>101</v>
      </c>
      <c r="C305" s="30" t="s">
        <v>553</v>
      </c>
      <c r="D305" s="30" t="s">
        <v>280</v>
      </c>
      <c r="E305" s="30" t="s">
        <v>545</v>
      </c>
      <c r="F305" s="31">
        <v>45993</v>
      </c>
      <c r="G305" s="32" t="str">
        <f t="shared" si="29"/>
        <v>токарь</v>
      </c>
      <c r="H305" s="29">
        <f>IF(C305="","",IF(AND(G305="мастер участка",ISNUMBER(SEARCH("РЭО",E305))),29,IFERROR(INDEX(Соответствие!$B$2:$B$100,MATCH(G305,Соответствие!$A$2:$A$100,0)),"?")))</f>
        <v>34</v>
      </c>
      <c r="I305" s="33" t="str">
        <f>IF(C305="","",IFERROR(INDEX(Перечень!$C$6:$C$51,MATCH(H305,Перечень!$A$6:$A$51,0)),""))</f>
        <v>п.4.3.1, п.4.3.2, п.4.4, п.5.1, п.5.2, п.15</v>
      </c>
      <c r="J305" s="29">
        <f>IF(C305="","",IFERROR(INDEX(Перечень!$D$6:$D$51,MATCH(H305,Перечень!$A$6:$A$51,0)),12))</f>
        <v>12</v>
      </c>
      <c r="K305" s="34"/>
      <c r="L305" s="34"/>
      <c r="M305" s="31" t="str">
        <f t="shared" si="30"/>
        <v/>
      </c>
      <c r="N305" s="29" t="str">
        <f>IF(C305="","",IFERROR(INDEX(Перечень!$F$6:$F$51,MATCH(H305,Перечень!$A$6:$A$51,0)),""))</f>
        <v>-</v>
      </c>
      <c r="O305" s="34"/>
      <c r="P305" s="31" t="str">
        <f t="shared" si="31"/>
        <v/>
      </c>
      <c r="Q305" s="29" t="str">
        <f t="shared" si="32"/>
        <v/>
      </c>
      <c r="R305" s="29" t="str">
        <f t="shared" ca="1" si="33"/>
        <v>Нет сведений</v>
      </c>
      <c r="S305" s="29" t="str">
        <f t="shared" si="34"/>
        <v/>
      </c>
    </row>
    <row r="306" spans="1:19" x14ac:dyDescent="0.3">
      <c r="A306" s="29">
        <f t="shared" si="28"/>
        <v>301</v>
      </c>
      <c r="B306" s="30" t="s">
        <v>101</v>
      </c>
      <c r="C306" s="30" t="s">
        <v>554</v>
      </c>
      <c r="D306" s="30" t="s">
        <v>285</v>
      </c>
      <c r="E306" s="30" t="s">
        <v>555</v>
      </c>
      <c r="F306" s="31">
        <v>46119</v>
      </c>
      <c r="G306" s="32" t="str">
        <f t="shared" si="29"/>
        <v>слесарь механосборочных работ</v>
      </c>
      <c r="H306" s="29">
        <f>IF(C306="","",IF(AND(G306="мастер участка",ISNUMBER(SEARCH("РЭО",E306))),29,IFERROR(INDEX(Соответствие!$B$2:$B$100,MATCH(G306,Соответствие!$A$2:$A$100,0)),"?")))</f>
        <v>32</v>
      </c>
      <c r="I306" s="33" t="str">
        <f>IF(C306="","",IFERROR(INDEX(Перечень!$C$6:$C$51,MATCH(H306,Перечень!$A$6:$A$51,0)),""))</f>
        <v>п.4.3.1, п.4.3.2, п.4.4, п.5.1, п.15</v>
      </c>
      <c r="J306" s="29">
        <f>IF(C306="","",IFERROR(INDEX(Перечень!$D$6:$D$51,MATCH(H306,Перечень!$A$6:$A$51,0)),12))</f>
        <v>12</v>
      </c>
      <c r="K306" s="34"/>
      <c r="L306" s="34"/>
      <c r="M306" s="31" t="str">
        <f t="shared" si="30"/>
        <v/>
      </c>
      <c r="N306" s="29" t="str">
        <f>IF(C306="","",IFERROR(INDEX(Перечень!$F$6:$F$51,MATCH(H306,Перечень!$A$6:$A$51,0)),""))</f>
        <v>-</v>
      </c>
      <c r="O306" s="34"/>
      <c r="P306" s="31" t="str">
        <f t="shared" si="31"/>
        <v/>
      </c>
      <c r="Q306" s="29" t="str">
        <f t="shared" si="32"/>
        <v/>
      </c>
      <c r="R306" s="29" t="str">
        <f t="shared" ca="1" si="33"/>
        <v>Нет сведений</v>
      </c>
      <c r="S306" s="29" t="str">
        <f t="shared" si="34"/>
        <v/>
      </c>
    </row>
    <row r="307" spans="1:19" x14ac:dyDescent="0.3">
      <c r="A307" s="29">
        <f t="shared" si="28"/>
        <v>302</v>
      </c>
      <c r="B307" s="30" t="s">
        <v>101</v>
      </c>
      <c r="C307" s="30" t="s">
        <v>556</v>
      </c>
      <c r="D307" s="30" t="s">
        <v>292</v>
      </c>
      <c r="E307" s="30" t="s">
        <v>555</v>
      </c>
      <c r="F307" s="31">
        <v>46094</v>
      </c>
      <c r="G307" s="32" t="str">
        <f t="shared" si="29"/>
        <v>слесарь механосборочных работ</v>
      </c>
      <c r="H307" s="29">
        <f>IF(C307="","",IF(AND(G307="мастер участка",ISNUMBER(SEARCH("РЭО",E307))),29,IFERROR(INDEX(Соответствие!$B$2:$B$100,MATCH(G307,Соответствие!$A$2:$A$100,0)),"?")))</f>
        <v>32</v>
      </c>
      <c r="I307" s="33" t="str">
        <f>IF(C307="","",IFERROR(INDEX(Перечень!$C$6:$C$51,MATCH(H307,Перечень!$A$6:$A$51,0)),""))</f>
        <v>п.4.3.1, п.4.3.2, п.4.4, п.5.1, п.15</v>
      </c>
      <c r="J307" s="29">
        <f>IF(C307="","",IFERROR(INDEX(Перечень!$D$6:$D$51,MATCH(H307,Перечень!$A$6:$A$51,0)),12))</f>
        <v>12</v>
      </c>
      <c r="K307" s="34"/>
      <c r="L307" s="34"/>
      <c r="M307" s="31" t="str">
        <f t="shared" si="30"/>
        <v/>
      </c>
      <c r="N307" s="29" t="str">
        <f>IF(C307="","",IFERROR(INDEX(Перечень!$F$6:$F$51,MATCH(H307,Перечень!$A$6:$A$51,0)),""))</f>
        <v>-</v>
      </c>
      <c r="O307" s="34"/>
      <c r="P307" s="31" t="str">
        <f t="shared" si="31"/>
        <v/>
      </c>
      <c r="Q307" s="29" t="str">
        <f t="shared" si="32"/>
        <v/>
      </c>
      <c r="R307" s="29" t="str">
        <f t="shared" ca="1" si="33"/>
        <v>Нет сведений</v>
      </c>
      <c r="S307" s="29" t="str">
        <f t="shared" si="34"/>
        <v/>
      </c>
    </row>
    <row r="308" spans="1:19" x14ac:dyDescent="0.3">
      <c r="A308" s="29">
        <f t="shared" si="28"/>
        <v>303</v>
      </c>
      <c r="B308" s="30" t="s">
        <v>101</v>
      </c>
      <c r="C308" s="30" t="s">
        <v>557</v>
      </c>
      <c r="D308" s="30" t="s">
        <v>558</v>
      </c>
      <c r="E308" s="30" t="s">
        <v>545</v>
      </c>
      <c r="F308" s="31">
        <v>45798</v>
      </c>
      <c r="G308" s="32" t="str">
        <f t="shared" si="29"/>
        <v>оператор листогибочного оборудования</v>
      </c>
      <c r="H308" s="29">
        <f>IF(C308="","",IF(AND(G308="мастер участка",ISNUMBER(SEARCH("РЭО",E308))),29,IFERROR(INDEX(Соответствие!$B$2:$B$100,MATCH(G308,Соответствие!$A$2:$A$100,0)),"?")))</f>
        <v>35</v>
      </c>
      <c r="I308" s="33" t="str">
        <f>IF(C308="","",IFERROR(INDEX(Перечень!$C$6:$C$51,MATCH(H308,Перечень!$A$6:$A$51,0)),""))</f>
        <v>п.4.3.1, п.4.3.2, п.4.4, п.5.1, п.5.2, п.15</v>
      </c>
      <c r="J308" s="29">
        <f>IF(C308="","",IFERROR(INDEX(Перечень!$D$6:$D$51,MATCH(H308,Перечень!$A$6:$A$51,0)),12))</f>
        <v>12</v>
      </c>
      <c r="K308" s="34"/>
      <c r="L308" s="34"/>
      <c r="M308" s="31" t="str">
        <f t="shared" si="30"/>
        <v/>
      </c>
      <c r="N308" s="29" t="str">
        <f>IF(C308="","",IFERROR(INDEX(Перечень!$F$6:$F$51,MATCH(H308,Перечень!$A$6:$A$51,0)),""))</f>
        <v>-</v>
      </c>
      <c r="O308" s="34"/>
      <c r="P308" s="31" t="str">
        <f t="shared" si="31"/>
        <v/>
      </c>
      <c r="Q308" s="29" t="str">
        <f t="shared" si="32"/>
        <v/>
      </c>
      <c r="R308" s="29" t="str">
        <f t="shared" ca="1" si="33"/>
        <v>Нет сведений</v>
      </c>
      <c r="S308" s="29" t="str">
        <f t="shared" si="34"/>
        <v/>
      </c>
    </row>
    <row r="309" spans="1:19" x14ac:dyDescent="0.3">
      <c r="A309" s="29">
        <f t="shared" si="28"/>
        <v>304</v>
      </c>
      <c r="B309" s="30" t="s">
        <v>101</v>
      </c>
      <c r="C309" s="30" t="s">
        <v>559</v>
      </c>
      <c r="D309" s="30" t="s">
        <v>558</v>
      </c>
      <c r="E309" s="30" t="s">
        <v>545</v>
      </c>
      <c r="F309" s="31">
        <v>45744</v>
      </c>
      <c r="G309" s="32" t="str">
        <f t="shared" si="29"/>
        <v>оператор листогибочного оборудования</v>
      </c>
      <c r="H309" s="29">
        <f>IF(C309="","",IF(AND(G309="мастер участка",ISNUMBER(SEARCH("РЭО",E309))),29,IFERROR(INDEX(Соответствие!$B$2:$B$100,MATCH(G309,Соответствие!$A$2:$A$100,0)),"?")))</f>
        <v>35</v>
      </c>
      <c r="I309" s="33" t="str">
        <f>IF(C309="","",IFERROR(INDEX(Перечень!$C$6:$C$51,MATCH(H309,Перечень!$A$6:$A$51,0)),""))</f>
        <v>п.4.3.1, п.4.3.2, п.4.4, п.5.1, п.5.2, п.15</v>
      </c>
      <c r="J309" s="29">
        <f>IF(C309="","",IFERROR(INDEX(Перечень!$D$6:$D$51,MATCH(H309,Перечень!$A$6:$A$51,0)),12))</f>
        <v>12</v>
      </c>
      <c r="K309" s="34"/>
      <c r="L309" s="34"/>
      <c r="M309" s="31" t="str">
        <f t="shared" si="30"/>
        <v/>
      </c>
      <c r="N309" s="29" t="str">
        <f>IF(C309="","",IFERROR(INDEX(Перечень!$F$6:$F$51,MATCH(H309,Перечень!$A$6:$A$51,0)),""))</f>
        <v>-</v>
      </c>
      <c r="O309" s="34"/>
      <c r="P309" s="31" t="str">
        <f t="shared" si="31"/>
        <v/>
      </c>
      <c r="Q309" s="29" t="str">
        <f t="shared" si="32"/>
        <v/>
      </c>
      <c r="R309" s="29" t="str">
        <f t="shared" ca="1" si="33"/>
        <v>Нет сведений</v>
      </c>
      <c r="S309" s="29" t="str">
        <f t="shared" si="34"/>
        <v/>
      </c>
    </row>
    <row r="310" spans="1:19" x14ac:dyDescent="0.3">
      <c r="A310" s="29">
        <f t="shared" si="28"/>
        <v>305</v>
      </c>
      <c r="B310" s="30" t="s">
        <v>101</v>
      </c>
      <c r="C310" s="30" t="s">
        <v>560</v>
      </c>
      <c r="D310" s="30" t="s">
        <v>561</v>
      </c>
      <c r="E310" s="30" t="s">
        <v>545</v>
      </c>
      <c r="F310" s="31">
        <v>45812</v>
      </c>
      <c r="G310" s="32" t="str">
        <f t="shared" si="29"/>
        <v>оператор лазерных установок</v>
      </c>
      <c r="H310" s="29">
        <f>IF(C310="","",IF(AND(G310="мастер участка",ISNUMBER(SEARCH("РЭО",E310))),29,IFERROR(INDEX(Соответствие!$B$2:$B$100,MATCH(G310,Соответствие!$A$2:$A$100,0)),"?")))</f>
        <v>31</v>
      </c>
      <c r="I310" s="33" t="str">
        <f>IF(C310="","",IFERROR(INDEX(Перечень!$C$6:$C$51,MATCH(H310,Перечень!$A$6:$A$51,0)),""))</f>
        <v>п.4.2.1, п.4.3.1, п.4.3.2, п.4.4, п.5.1, п.5.2, п.15</v>
      </c>
      <c r="J310" s="29">
        <f>IF(C310="","",IFERROR(INDEX(Перечень!$D$6:$D$51,MATCH(H310,Перечень!$A$6:$A$51,0)),12))</f>
        <v>12</v>
      </c>
      <c r="K310" s="34"/>
      <c r="L310" s="34"/>
      <c r="M310" s="31" t="str">
        <f t="shared" si="30"/>
        <v/>
      </c>
      <c r="N310" s="29" t="str">
        <f>IF(C310="","",IFERROR(INDEX(Перечень!$F$6:$F$51,MATCH(H310,Перечень!$A$6:$A$51,0)),""))</f>
        <v>-</v>
      </c>
      <c r="O310" s="34"/>
      <c r="P310" s="31" t="str">
        <f t="shared" si="31"/>
        <v/>
      </c>
      <c r="Q310" s="29" t="str">
        <f t="shared" si="32"/>
        <v/>
      </c>
      <c r="R310" s="29" t="str">
        <f t="shared" ca="1" si="33"/>
        <v>Нет сведений</v>
      </c>
      <c r="S310" s="29" t="str">
        <f t="shared" si="34"/>
        <v/>
      </c>
    </row>
    <row r="311" spans="1:19" x14ac:dyDescent="0.3">
      <c r="A311" s="29">
        <f t="shared" si="28"/>
        <v>306</v>
      </c>
      <c r="B311" s="30" t="s">
        <v>99</v>
      </c>
      <c r="C311" s="30" t="s">
        <v>562</v>
      </c>
      <c r="D311" s="30" t="s">
        <v>296</v>
      </c>
      <c r="E311" s="30" t="s">
        <v>545</v>
      </c>
      <c r="F311" s="31">
        <v>45938</v>
      </c>
      <c r="G311" s="32" t="str">
        <f t="shared" si="29"/>
        <v>оператор-наладчик станков с чпу</v>
      </c>
      <c r="H311" s="29">
        <f>IF(C311="","",IF(AND(G311="мастер участка",ISNUMBER(SEARCH("РЭО",E311))),29,IFERROR(INDEX(Соответствие!$B$2:$B$100,MATCH(G311,Соответствие!$A$2:$A$100,0)),"?")))</f>
        <v>25</v>
      </c>
      <c r="I311" s="33" t="str">
        <f>IF(C311="","",IFERROR(INDEX(Перечень!$C$6:$C$51,MATCH(H311,Перечень!$A$6:$A$51,0)),""))</f>
        <v>п.4.3.1, п.4.3.2, п.4.4, п.5.1, п.5.2, п.15</v>
      </c>
      <c r="J311" s="29">
        <f>IF(C311="","",IFERROR(INDEX(Перечень!$D$6:$D$51,MATCH(H311,Перечень!$A$6:$A$51,0)),12))</f>
        <v>12</v>
      </c>
      <c r="K311" s="34"/>
      <c r="L311" s="34"/>
      <c r="M311" s="31" t="str">
        <f t="shared" si="30"/>
        <v/>
      </c>
      <c r="N311" s="29" t="str">
        <f>IF(C311="","",IFERROR(INDEX(Перечень!$F$6:$F$51,MATCH(H311,Перечень!$A$6:$A$51,0)),""))</f>
        <v>-</v>
      </c>
      <c r="O311" s="34"/>
      <c r="P311" s="31" t="str">
        <f t="shared" si="31"/>
        <v/>
      </c>
      <c r="Q311" s="29" t="str">
        <f t="shared" si="32"/>
        <v/>
      </c>
      <c r="R311" s="29" t="str">
        <f t="shared" ca="1" si="33"/>
        <v>Нет сведений</v>
      </c>
      <c r="S311" s="29" t="str">
        <f t="shared" si="34"/>
        <v/>
      </c>
    </row>
    <row r="312" spans="1:19" x14ac:dyDescent="0.3">
      <c r="A312" s="29">
        <f t="shared" si="28"/>
        <v>307</v>
      </c>
      <c r="B312" s="30" t="s">
        <v>101</v>
      </c>
      <c r="C312" s="30" t="s">
        <v>563</v>
      </c>
      <c r="D312" s="30" t="s">
        <v>296</v>
      </c>
      <c r="E312" s="30" t="s">
        <v>545</v>
      </c>
      <c r="F312" s="31">
        <v>45910</v>
      </c>
      <c r="G312" s="32" t="str">
        <f t="shared" si="29"/>
        <v>оператор-наладчик станков с чпу</v>
      </c>
      <c r="H312" s="29">
        <f>IF(C312="","",IF(AND(G312="мастер участка",ISNUMBER(SEARCH("РЭО",E312))),29,IFERROR(INDEX(Соответствие!$B$2:$B$100,MATCH(G312,Соответствие!$A$2:$A$100,0)),"?")))</f>
        <v>25</v>
      </c>
      <c r="I312" s="33" t="str">
        <f>IF(C312="","",IFERROR(INDEX(Перечень!$C$6:$C$51,MATCH(H312,Перечень!$A$6:$A$51,0)),""))</f>
        <v>п.4.3.1, п.4.3.2, п.4.4, п.5.1, п.5.2, п.15</v>
      </c>
      <c r="J312" s="29">
        <f>IF(C312="","",IFERROR(INDEX(Перечень!$D$6:$D$51,MATCH(H312,Перечень!$A$6:$A$51,0)),12))</f>
        <v>12</v>
      </c>
      <c r="K312" s="34"/>
      <c r="L312" s="34"/>
      <c r="M312" s="31" t="str">
        <f t="shared" si="30"/>
        <v/>
      </c>
      <c r="N312" s="29" t="str">
        <f>IF(C312="","",IFERROR(INDEX(Перечень!$F$6:$F$51,MATCH(H312,Перечень!$A$6:$A$51,0)),""))</f>
        <v>-</v>
      </c>
      <c r="O312" s="34"/>
      <c r="P312" s="31" t="str">
        <f t="shared" si="31"/>
        <v/>
      </c>
      <c r="Q312" s="29" t="str">
        <f t="shared" si="32"/>
        <v/>
      </c>
      <c r="R312" s="29" t="str">
        <f t="shared" ca="1" si="33"/>
        <v>Нет сведений</v>
      </c>
      <c r="S312" s="29" t="str">
        <f t="shared" si="34"/>
        <v/>
      </c>
    </row>
    <row r="313" spans="1:19" x14ac:dyDescent="0.3">
      <c r="A313" s="29">
        <f t="shared" si="28"/>
        <v>308</v>
      </c>
      <c r="B313" s="30" t="s">
        <v>101</v>
      </c>
      <c r="C313" s="30" t="s">
        <v>564</v>
      </c>
      <c r="D313" s="30" t="s">
        <v>565</v>
      </c>
      <c r="E313" s="30" t="s">
        <v>545</v>
      </c>
      <c r="F313" s="31">
        <v>46084</v>
      </c>
      <c r="G313" s="32" t="str">
        <f t="shared" si="29"/>
        <v>оператор станка с чпу</v>
      </c>
      <c r="H313" s="29">
        <f>IF(C313="","",IF(AND(G313="мастер участка",ISNUMBER(SEARCH("РЭО",E313))),29,IFERROR(INDEX(Соответствие!$B$2:$B$100,MATCH(G313,Соответствие!$A$2:$A$100,0)),"?")))</f>
        <v>30</v>
      </c>
      <c r="I313" s="33" t="str">
        <f>IF(C313="","",IFERROR(INDEX(Перечень!$C$6:$C$51,MATCH(H313,Перечень!$A$6:$A$51,0)),""))</f>
        <v>п.4.3.1, п.4.3.2, п.4.4, п.5.1, п.5.2, п.15</v>
      </c>
      <c r="J313" s="29">
        <f>IF(C313="","",IFERROR(INDEX(Перечень!$D$6:$D$51,MATCH(H313,Перечень!$A$6:$A$51,0)),12))</f>
        <v>12</v>
      </c>
      <c r="K313" s="34"/>
      <c r="L313" s="34"/>
      <c r="M313" s="31" t="str">
        <f t="shared" si="30"/>
        <v/>
      </c>
      <c r="N313" s="29" t="str">
        <f>IF(C313="","",IFERROR(INDEX(Перечень!$F$6:$F$51,MATCH(H313,Перечень!$A$6:$A$51,0)),""))</f>
        <v>-</v>
      </c>
      <c r="O313" s="34"/>
      <c r="P313" s="31" t="str">
        <f t="shared" si="31"/>
        <v/>
      </c>
      <c r="Q313" s="29" t="str">
        <f t="shared" si="32"/>
        <v/>
      </c>
      <c r="R313" s="29" t="str">
        <f t="shared" ca="1" si="33"/>
        <v>Нет сведений</v>
      </c>
      <c r="S313" s="29" t="str">
        <f t="shared" si="34"/>
        <v/>
      </c>
    </row>
    <row r="314" spans="1:19" x14ac:dyDescent="0.3">
      <c r="A314" s="29">
        <f t="shared" si="28"/>
        <v>309</v>
      </c>
      <c r="B314" s="30" t="s">
        <v>101</v>
      </c>
      <c r="C314" s="30" t="s">
        <v>566</v>
      </c>
      <c r="D314" s="30" t="s">
        <v>292</v>
      </c>
      <c r="E314" s="30" t="s">
        <v>545</v>
      </c>
      <c r="F314" s="31">
        <v>45931</v>
      </c>
      <c r="G314" s="32" t="str">
        <f t="shared" si="29"/>
        <v>слесарь механосборочных работ</v>
      </c>
      <c r="H314" s="29">
        <f>IF(C314="","",IF(AND(G314="мастер участка",ISNUMBER(SEARCH("РЭО",E314))),29,IFERROR(INDEX(Соответствие!$B$2:$B$100,MATCH(G314,Соответствие!$A$2:$A$100,0)),"?")))</f>
        <v>32</v>
      </c>
      <c r="I314" s="33" t="str">
        <f>IF(C314="","",IFERROR(INDEX(Перечень!$C$6:$C$51,MATCH(H314,Перечень!$A$6:$A$51,0)),""))</f>
        <v>п.4.3.1, п.4.3.2, п.4.4, п.5.1, п.15</v>
      </c>
      <c r="J314" s="29">
        <f>IF(C314="","",IFERROR(INDEX(Перечень!$D$6:$D$51,MATCH(H314,Перечень!$A$6:$A$51,0)),12))</f>
        <v>12</v>
      </c>
      <c r="K314" s="34">
        <v>45922</v>
      </c>
      <c r="L314" s="34"/>
      <c r="M314" s="31">
        <f t="shared" si="30"/>
        <v>46287</v>
      </c>
      <c r="N314" s="29" t="str">
        <f>IF(C314="","",IFERROR(INDEX(Перечень!$F$6:$F$51,MATCH(H314,Перечень!$A$6:$A$51,0)),""))</f>
        <v>-</v>
      </c>
      <c r="O314" s="34"/>
      <c r="P314" s="31" t="str">
        <f t="shared" si="31"/>
        <v/>
      </c>
      <c r="Q314" s="29" t="str">
        <f t="shared" si="32"/>
        <v/>
      </c>
      <c r="R314" s="29" t="str">
        <f t="shared" ca="1" si="33"/>
        <v>Просрочен</v>
      </c>
      <c r="S314" s="29" t="str">
        <f t="shared" si="34"/>
        <v/>
      </c>
    </row>
    <row r="315" spans="1:19" x14ac:dyDescent="0.3">
      <c r="A315" s="29">
        <f t="shared" si="28"/>
        <v>310</v>
      </c>
      <c r="B315" s="30" t="s">
        <v>101</v>
      </c>
      <c r="C315" s="30" t="s">
        <v>567</v>
      </c>
      <c r="D315" s="30" t="s">
        <v>285</v>
      </c>
      <c r="E315" s="30" t="s">
        <v>545</v>
      </c>
      <c r="F315" s="31">
        <v>45932</v>
      </c>
      <c r="G315" s="32" t="str">
        <f t="shared" si="29"/>
        <v>слесарь механосборочных работ</v>
      </c>
      <c r="H315" s="29">
        <f>IF(C315="","",IF(AND(G315="мастер участка",ISNUMBER(SEARCH("РЭО",E315))),29,IFERROR(INDEX(Соответствие!$B$2:$B$100,MATCH(G315,Соответствие!$A$2:$A$100,0)),"?")))</f>
        <v>32</v>
      </c>
      <c r="I315" s="33" t="str">
        <f>IF(C315="","",IFERROR(INDEX(Перечень!$C$6:$C$51,MATCH(H315,Перечень!$A$6:$A$51,0)),""))</f>
        <v>п.4.3.1, п.4.3.2, п.4.4, п.5.1, п.15</v>
      </c>
      <c r="J315" s="29">
        <f>IF(C315="","",IFERROR(INDEX(Перечень!$D$6:$D$51,MATCH(H315,Перечень!$A$6:$A$51,0)),12))</f>
        <v>12</v>
      </c>
      <c r="K315" s="34">
        <v>45926</v>
      </c>
      <c r="L315" s="34"/>
      <c r="M315" s="31">
        <f t="shared" si="30"/>
        <v>46291</v>
      </c>
      <c r="N315" s="29" t="str">
        <f>IF(C315="","",IFERROR(INDEX(Перечень!$F$6:$F$51,MATCH(H315,Перечень!$A$6:$A$51,0)),""))</f>
        <v>-</v>
      </c>
      <c r="O315" s="34"/>
      <c r="P315" s="31" t="str">
        <f t="shared" si="31"/>
        <v/>
      </c>
      <c r="Q315" s="29" t="str">
        <f t="shared" si="32"/>
        <v/>
      </c>
      <c r="R315" s="29" t="str">
        <f t="shared" ca="1" si="33"/>
        <v>Просрочен</v>
      </c>
      <c r="S315" s="29" t="str">
        <f t="shared" si="34"/>
        <v/>
      </c>
    </row>
    <row r="316" spans="1:19" x14ac:dyDescent="0.3">
      <c r="A316" s="29">
        <f t="shared" si="28"/>
        <v>311</v>
      </c>
      <c r="B316" s="30" t="s">
        <v>101</v>
      </c>
      <c r="C316" s="30" t="s">
        <v>568</v>
      </c>
      <c r="D316" s="30" t="s">
        <v>153</v>
      </c>
      <c r="E316" s="30" t="s">
        <v>569</v>
      </c>
      <c r="F316" s="31">
        <v>42494</v>
      </c>
      <c r="G316" s="32" t="str">
        <f t="shared" si="29"/>
        <v>слесарь-сборщик</v>
      </c>
      <c r="H316" s="29">
        <f>IF(C316="","",IF(AND(G316="мастер участка",ISNUMBER(SEARCH("РЭО",E316))),29,IFERROR(INDEX(Соответствие!$B$2:$B$100,MATCH(G316,Соответствие!$A$2:$A$100,0)),"?")))</f>
        <v>19</v>
      </c>
      <c r="I316" s="33" t="str">
        <f>IF(C316="","",IFERROR(INDEX(Перечень!$C$6:$C$51,MATCH(H316,Перечень!$A$6:$A$51,0)),""))</f>
        <v>п.4.3.1, п.4.3.2, п.4.4, п.5.1, п.6.2, п.15</v>
      </c>
      <c r="J316" s="29">
        <f>IF(C316="","",IFERROR(INDEX(Перечень!$D$6:$D$51,MATCH(H316,Перечень!$A$6:$A$51,0)),12))</f>
        <v>12</v>
      </c>
      <c r="K316" s="34"/>
      <c r="L316" s="34"/>
      <c r="M316" s="31" t="str">
        <f t="shared" si="30"/>
        <v/>
      </c>
      <c r="N316" s="29" t="str">
        <f>IF(C316="","",IFERROR(INDEX(Перечень!$F$6:$F$51,MATCH(H316,Перечень!$A$6:$A$51,0)),""))</f>
        <v>-</v>
      </c>
      <c r="O316" s="34"/>
      <c r="P316" s="31" t="str">
        <f t="shared" si="31"/>
        <v/>
      </c>
      <c r="Q316" s="29" t="str">
        <f t="shared" si="32"/>
        <v/>
      </c>
      <c r="R316" s="29" t="str">
        <f t="shared" ca="1" si="33"/>
        <v>Нет сведений</v>
      </c>
      <c r="S316" s="29" t="str">
        <f t="shared" si="34"/>
        <v/>
      </c>
    </row>
    <row r="317" spans="1:19" x14ac:dyDescent="0.3">
      <c r="A317" s="29">
        <f t="shared" si="28"/>
        <v>312</v>
      </c>
      <c r="B317" s="30" t="s">
        <v>101</v>
      </c>
      <c r="C317" s="30" t="s">
        <v>570</v>
      </c>
      <c r="D317" s="30" t="s">
        <v>216</v>
      </c>
      <c r="E317" s="30" t="s">
        <v>569</v>
      </c>
      <c r="F317" s="31">
        <v>45560</v>
      </c>
      <c r="G317" s="32" t="str">
        <f t="shared" si="29"/>
        <v>слесарь-сборщик</v>
      </c>
      <c r="H317" s="29">
        <f>IF(C317="","",IF(AND(G317="мастер участка",ISNUMBER(SEARCH("РЭО",E317))),29,IFERROR(INDEX(Соответствие!$B$2:$B$100,MATCH(G317,Соответствие!$A$2:$A$100,0)),"?")))</f>
        <v>19</v>
      </c>
      <c r="I317" s="33" t="str">
        <f>IF(C317="","",IFERROR(INDEX(Перечень!$C$6:$C$51,MATCH(H317,Перечень!$A$6:$A$51,0)),""))</f>
        <v>п.4.3.1, п.4.3.2, п.4.4, п.5.1, п.6.2, п.15</v>
      </c>
      <c r="J317" s="29">
        <f>IF(C317="","",IFERROR(INDEX(Перечень!$D$6:$D$51,MATCH(H317,Перечень!$A$6:$A$51,0)),12))</f>
        <v>12</v>
      </c>
      <c r="K317" s="34"/>
      <c r="L317" s="34"/>
      <c r="M317" s="31" t="str">
        <f t="shared" si="30"/>
        <v/>
      </c>
      <c r="N317" s="29" t="str">
        <f>IF(C317="","",IFERROR(INDEX(Перечень!$F$6:$F$51,MATCH(H317,Перечень!$A$6:$A$51,0)),""))</f>
        <v>-</v>
      </c>
      <c r="O317" s="34"/>
      <c r="P317" s="31" t="str">
        <f t="shared" si="31"/>
        <v/>
      </c>
      <c r="Q317" s="29" t="str">
        <f t="shared" si="32"/>
        <v/>
      </c>
      <c r="R317" s="29" t="str">
        <f t="shared" ca="1" si="33"/>
        <v>Нет сведений</v>
      </c>
      <c r="S317" s="29" t="str">
        <f t="shared" si="34"/>
        <v/>
      </c>
    </row>
    <row r="318" spans="1:19" x14ac:dyDescent="0.3">
      <c r="A318" s="29">
        <f t="shared" si="28"/>
        <v>313</v>
      </c>
      <c r="B318" s="30" t="s">
        <v>101</v>
      </c>
      <c r="C318" s="30" t="s">
        <v>571</v>
      </c>
      <c r="D318" s="30" t="s">
        <v>216</v>
      </c>
      <c r="E318" s="30" t="s">
        <v>569</v>
      </c>
      <c r="F318" s="31">
        <v>45937</v>
      </c>
      <c r="G318" s="32" t="str">
        <f t="shared" si="29"/>
        <v>слесарь-сборщик</v>
      </c>
      <c r="H318" s="29">
        <f>IF(C318="","",IF(AND(G318="мастер участка",ISNUMBER(SEARCH("РЭО",E318))),29,IFERROR(INDEX(Соответствие!$B$2:$B$100,MATCH(G318,Соответствие!$A$2:$A$100,0)),"?")))</f>
        <v>19</v>
      </c>
      <c r="I318" s="33" t="str">
        <f>IF(C318="","",IFERROR(INDEX(Перечень!$C$6:$C$51,MATCH(H318,Перечень!$A$6:$A$51,0)),""))</f>
        <v>п.4.3.1, п.4.3.2, п.4.4, п.5.1, п.6.2, п.15</v>
      </c>
      <c r="J318" s="29">
        <f>IF(C318="","",IFERROR(INDEX(Перечень!$D$6:$D$51,MATCH(H318,Перечень!$A$6:$A$51,0)),12))</f>
        <v>12</v>
      </c>
      <c r="K318" s="34">
        <v>45932</v>
      </c>
      <c r="L318" s="34"/>
      <c r="M318" s="31">
        <f t="shared" si="30"/>
        <v>46297</v>
      </c>
      <c r="N318" s="29" t="str">
        <f>IF(C318="","",IFERROR(INDEX(Перечень!$F$6:$F$51,MATCH(H318,Перечень!$A$6:$A$51,0)),""))</f>
        <v>-</v>
      </c>
      <c r="O318" s="34"/>
      <c r="P318" s="31" t="str">
        <f t="shared" si="31"/>
        <v/>
      </c>
      <c r="Q318" s="29" t="str">
        <f t="shared" si="32"/>
        <v/>
      </c>
      <c r="R318" s="29" t="str">
        <f t="shared" ca="1" si="33"/>
        <v>Просрочен</v>
      </c>
      <c r="S318" s="29" t="str">
        <f t="shared" si="34"/>
        <v/>
      </c>
    </row>
    <row r="319" spans="1:19" x14ac:dyDescent="0.3">
      <c r="A319" s="29">
        <f t="shared" si="28"/>
        <v>314</v>
      </c>
      <c r="B319" s="30" t="s">
        <v>101</v>
      </c>
      <c r="C319" s="30" t="s">
        <v>572</v>
      </c>
      <c r="D319" s="30" t="s">
        <v>216</v>
      </c>
      <c r="E319" s="30" t="s">
        <v>569</v>
      </c>
      <c r="F319" s="31">
        <v>46167</v>
      </c>
      <c r="G319" s="32" t="str">
        <f t="shared" si="29"/>
        <v>слесарь-сборщик</v>
      </c>
      <c r="H319" s="29">
        <f>IF(C319="","",IF(AND(G319="мастер участка",ISNUMBER(SEARCH("РЭО",E319))),29,IFERROR(INDEX(Соответствие!$B$2:$B$100,MATCH(G319,Соответствие!$A$2:$A$100,0)),"?")))</f>
        <v>19</v>
      </c>
      <c r="I319" s="33" t="str">
        <f>IF(C319="","",IFERROR(INDEX(Перечень!$C$6:$C$51,MATCH(H319,Перечень!$A$6:$A$51,0)),""))</f>
        <v>п.4.3.1, п.4.3.2, п.4.4, п.5.1, п.6.2, п.15</v>
      </c>
      <c r="J319" s="29">
        <f>IF(C319="","",IFERROR(INDEX(Перечень!$D$6:$D$51,MATCH(H319,Перечень!$A$6:$A$51,0)),12))</f>
        <v>12</v>
      </c>
      <c r="K319" s="34">
        <v>46161</v>
      </c>
      <c r="L319" s="34"/>
      <c r="M319" s="31">
        <f t="shared" si="30"/>
        <v>46526</v>
      </c>
      <c r="N319" s="29" t="str">
        <f>IF(C319="","",IFERROR(INDEX(Перечень!$F$6:$F$51,MATCH(H319,Перечень!$A$6:$A$51,0)),""))</f>
        <v>-</v>
      </c>
      <c r="O319" s="34"/>
      <c r="P319" s="31" t="str">
        <f t="shared" si="31"/>
        <v/>
      </c>
      <c r="Q319" s="29" t="str">
        <f t="shared" si="32"/>
        <v/>
      </c>
      <c r="R319" s="29" t="str">
        <f t="shared" ca="1" si="33"/>
        <v>В срок</v>
      </c>
      <c r="S319" s="29" t="str">
        <f t="shared" si="34"/>
        <v/>
      </c>
    </row>
    <row r="320" spans="1:19" x14ac:dyDescent="0.3">
      <c r="A320" s="29">
        <f t="shared" si="28"/>
        <v>315</v>
      </c>
      <c r="B320" s="30" t="s">
        <v>101</v>
      </c>
      <c r="C320" s="30" t="s">
        <v>573</v>
      </c>
      <c r="D320" s="30" t="s">
        <v>216</v>
      </c>
      <c r="E320" s="30" t="s">
        <v>569</v>
      </c>
      <c r="F320" s="31">
        <v>45545</v>
      </c>
      <c r="G320" s="32" t="str">
        <f t="shared" si="29"/>
        <v>слесарь-сборщик</v>
      </c>
      <c r="H320" s="29">
        <f>IF(C320="","",IF(AND(G320="мастер участка",ISNUMBER(SEARCH("РЭО",E320))),29,IFERROR(INDEX(Соответствие!$B$2:$B$100,MATCH(G320,Соответствие!$A$2:$A$100,0)),"?")))</f>
        <v>19</v>
      </c>
      <c r="I320" s="33" t="str">
        <f>IF(C320="","",IFERROR(INDEX(Перечень!$C$6:$C$51,MATCH(H320,Перечень!$A$6:$A$51,0)),""))</f>
        <v>п.4.3.1, п.4.3.2, п.4.4, п.5.1, п.6.2, п.15</v>
      </c>
      <c r="J320" s="29">
        <f>IF(C320="","",IFERROR(INDEX(Перечень!$D$6:$D$51,MATCH(H320,Перечень!$A$6:$A$51,0)),12))</f>
        <v>12</v>
      </c>
      <c r="K320" s="34"/>
      <c r="L320" s="34"/>
      <c r="M320" s="31" t="str">
        <f t="shared" si="30"/>
        <v/>
      </c>
      <c r="N320" s="29" t="str">
        <f>IF(C320="","",IFERROR(INDEX(Перечень!$F$6:$F$51,MATCH(H320,Перечень!$A$6:$A$51,0)),""))</f>
        <v>-</v>
      </c>
      <c r="O320" s="34"/>
      <c r="P320" s="31" t="str">
        <f t="shared" si="31"/>
        <v/>
      </c>
      <c r="Q320" s="29" t="str">
        <f t="shared" si="32"/>
        <v/>
      </c>
      <c r="R320" s="29" t="str">
        <f t="shared" ca="1" si="33"/>
        <v>Нет сведений</v>
      </c>
      <c r="S320" s="29" t="str">
        <f t="shared" si="34"/>
        <v/>
      </c>
    </row>
    <row r="321" spans="1:19" x14ac:dyDescent="0.3">
      <c r="A321" s="29">
        <f t="shared" si="28"/>
        <v>316</v>
      </c>
      <c r="B321" s="30" t="s">
        <v>101</v>
      </c>
      <c r="C321" s="30" t="s">
        <v>574</v>
      </c>
      <c r="D321" s="30" t="s">
        <v>157</v>
      </c>
      <c r="E321" s="30" t="s">
        <v>569</v>
      </c>
      <c r="F321" s="31">
        <v>44602</v>
      </c>
      <c r="G321" s="32" t="str">
        <f t="shared" si="29"/>
        <v>слесарь-сборщик</v>
      </c>
      <c r="H321" s="29">
        <f>IF(C321="","",IF(AND(G321="мастер участка",ISNUMBER(SEARCH("РЭО",E321))),29,IFERROR(INDEX(Соответствие!$B$2:$B$100,MATCH(G321,Соответствие!$A$2:$A$100,0)),"?")))</f>
        <v>19</v>
      </c>
      <c r="I321" s="33" t="str">
        <f>IF(C321="","",IFERROR(INDEX(Перечень!$C$6:$C$51,MATCH(H321,Перечень!$A$6:$A$51,0)),""))</f>
        <v>п.4.3.1, п.4.3.2, п.4.4, п.5.1, п.6.2, п.15</v>
      </c>
      <c r="J321" s="29">
        <f>IF(C321="","",IFERROR(INDEX(Перечень!$D$6:$D$51,MATCH(H321,Перечень!$A$6:$A$51,0)),12))</f>
        <v>12</v>
      </c>
      <c r="K321" s="34"/>
      <c r="L321" s="34"/>
      <c r="M321" s="31" t="str">
        <f t="shared" si="30"/>
        <v/>
      </c>
      <c r="N321" s="29" t="str">
        <f>IF(C321="","",IFERROR(INDEX(Перечень!$F$6:$F$51,MATCH(H321,Перечень!$A$6:$A$51,0)),""))</f>
        <v>-</v>
      </c>
      <c r="O321" s="34"/>
      <c r="P321" s="31" t="str">
        <f t="shared" si="31"/>
        <v/>
      </c>
      <c r="Q321" s="29" t="str">
        <f t="shared" si="32"/>
        <v/>
      </c>
      <c r="R321" s="29" t="str">
        <f t="shared" ca="1" si="33"/>
        <v>Нет сведений</v>
      </c>
      <c r="S321" s="29" t="str">
        <f t="shared" si="34"/>
        <v/>
      </c>
    </row>
    <row r="322" spans="1:19" x14ac:dyDescent="0.3">
      <c r="A322" s="29">
        <f t="shared" si="28"/>
        <v>317</v>
      </c>
      <c r="B322" s="30" t="s">
        <v>101</v>
      </c>
      <c r="C322" s="30" t="s">
        <v>575</v>
      </c>
      <c r="D322" s="30" t="s">
        <v>157</v>
      </c>
      <c r="E322" s="30" t="s">
        <v>569</v>
      </c>
      <c r="F322" s="31">
        <v>45250</v>
      </c>
      <c r="G322" s="32" t="str">
        <f t="shared" si="29"/>
        <v>слесарь-сборщик</v>
      </c>
      <c r="H322" s="29">
        <f>IF(C322="","",IF(AND(G322="мастер участка",ISNUMBER(SEARCH("РЭО",E322))),29,IFERROR(INDEX(Соответствие!$B$2:$B$100,MATCH(G322,Соответствие!$A$2:$A$100,0)),"?")))</f>
        <v>19</v>
      </c>
      <c r="I322" s="33" t="str">
        <f>IF(C322="","",IFERROR(INDEX(Перечень!$C$6:$C$51,MATCH(H322,Перечень!$A$6:$A$51,0)),""))</f>
        <v>п.4.3.1, п.4.3.2, п.4.4, п.5.1, п.6.2, п.15</v>
      </c>
      <c r="J322" s="29">
        <f>IF(C322="","",IFERROR(INDEX(Перечень!$D$6:$D$51,MATCH(H322,Перечень!$A$6:$A$51,0)),12))</f>
        <v>12</v>
      </c>
      <c r="K322" s="34"/>
      <c r="L322" s="34"/>
      <c r="M322" s="31" t="str">
        <f t="shared" si="30"/>
        <v/>
      </c>
      <c r="N322" s="29" t="str">
        <f>IF(C322="","",IFERROR(INDEX(Перечень!$F$6:$F$51,MATCH(H322,Перечень!$A$6:$A$51,0)),""))</f>
        <v>-</v>
      </c>
      <c r="O322" s="34"/>
      <c r="P322" s="31" t="str">
        <f t="shared" si="31"/>
        <v/>
      </c>
      <c r="Q322" s="29" t="str">
        <f t="shared" si="32"/>
        <v/>
      </c>
      <c r="R322" s="29" t="str">
        <f t="shared" ca="1" si="33"/>
        <v>Нет сведений</v>
      </c>
      <c r="S322" s="29" t="str">
        <f t="shared" si="34"/>
        <v/>
      </c>
    </row>
    <row r="323" spans="1:19" x14ac:dyDescent="0.3">
      <c r="A323" s="29">
        <f t="shared" si="28"/>
        <v>318</v>
      </c>
      <c r="B323" s="30" t="s">
        <v>101</v>
      </c>
      <c r="C323" s="30" t="s">
        <v>576</v>
      </c>
      <c r="D323" s="30" t="s">
        <v>160</v>
      </c>
      <c r="E323" s="30" t="s">
        <v>569</v>
      </c>
      <c r="F323" s="31">
        <v>45516</v>
      </c>
      <c r="G323" s="32" t="str">
        <f t="shared" si="29"/>
        <v>слесарь-сборщик</v>
      </c>
      <c r="H323" s="29">
        <f>IF(C323="","",IF(AND(G323="мастер участка",ISNUMBER(SEARCH("РЭО",E323))),29,IFERROR(INDEX(Соответствие!$B$2:$B$100,MATCH(G323,Соответствие!$A$2:$A$100,0)),"?")))</f>
        <v>19</v>
      </c>
      <c r="I323" s="33" t="str">
        <f>IF(C323="","",IFERROR(INDEX(Перечень!$C$6:$C$51,MATCH(H323,Перечень!$A$6:$A$51,0)),""))</f>
        <v>п.4.3.1, п.4.3.2, п.4.4, п.5.1, п.6.2, п.15</v>
      </c>
      <c r="J323" s="29">
        <f>IF(C323="","",IFERROR(INDEX(Перечень!$D$6:$D$51,MATCH(H323,Перечень!$A$6:$A$51,0)),12))</f>
        <v>12</v>
      </c>
      <c r="K323" s="34"/>
      <c r="L323" s="34"/>
      <c r="M323" s="31" t="str">
        <f t="shared" si="30"/>
        <v/>
      </c>
      <c r="N323" s="29" t="str">
        <f>IF(C323="","",IFERROR(INDEX(Перечень!$F$6:$F$51,MATCH(H323,Перечень!$A$6:$A$51,0)),""))</f>
        <v>-</v>
      </c>
      <c r="O323" s="34"/>
      <c r="P323" s="31" t="str">
        <f t="shared" si="31"/>
        <v/>
      </c>
      <c r="Q323" s="29" t="str">
        <f t="shared" si="32"/>
        <v/>
      </c>
      <c r="R323" s="29" t="str">
        <f t="shared" ca="1" si="33"/>
        <v>Нет сведений</v>
      </c>
      <c r="S323" s="29" t="str">
        <f t="shared" si="34"/>
        <v/>
      </c>
    </row>
    <row r="324" spans="1:19" x14ac:dyDescent="0.3">
      <c r="A324" s="29">
        <f t="shared" si="28"/>
        <v>319</v>
      </c>
      <c r="B324" s="30" t="s">
        <v>101</v>
      </c>
      <c r="C324" s="30" t="s">
        <v>577</v>
      </c>
      <c r="D324" s="30" t="s">
        <v>160</v>
      </c>
      <c r="E324" s="30" t="s">
        <v>569</v>
      </c>
      <c r="F324" s="31">
        <v>45243</v>
      </c>
      <c r="G324" s="32" t="str">
        <f t="shared" si="29"/>
        <v>слесарь-сборщик</v>
      </c>
      <c r="H324" s="29">
        <f>IF(C324="","",IF(AND(G324="мастер участка",ISNUMBER(SEARCH("РЭО",E324))),29,IFERROR(INDEX(Соответствие!$B$2:$B$100,MATCH(G324,Соответствие!$A$2:$A$100,0)),"?")))</f>
        <v>19</v>
      </c>
      <c r="I324" s="33" t="str">
        <f>IF(C324="","",IFERROR(INDEX(Перечень!$C$6:$C$51,MATCH(H324,Перечень!$A$6:$A$51,0)),""))</f>
        <v>п.4.3.1, п.4.3.2, п.4.4, п.5.1, п.6.2, п.15</v>
      </c>
      <c r="J324" s="29">
        <f>IF(C324="","",IFERROR(INDEX(Перечень!$D$6:$D$51,MATCH(H324,Перечень!$A$6:$A$51,0)),12))</f>
        <v>12</v>
      </c>
      <c r="K324" s="34"/>
      <c r="L324" s="34"/>
      <c r="M324" s="31" t="str">
        <f t="shared" si="30"/>
        <v/>
      </c>
      <c r="N324" s="29" t="str">
        <f>IF(C324="","",IFERROR(INDEX(Перечень!$F$6:$F$51,MATCH(H324,Перечень!$A$6:$A$51,0)),""))</f>
        <v>-</v>
      </c>
      <c r="O324" s="34"/>
      <c r="P324" s="31" t="str">
        <f t="shared" si="31"/>
        <v/>
      </c>
      <c r="Q324" s="29" t="str">
        <f t="shared" si="32"/>
        <v/>
      </c>
      <c r="R324" s="29" t="str">
        <f t="shared" ca="1" si="33"/>
        <v>Нет сведений</v>
      </c>
      <c r="S324" s="29" t="str">
        <f t="shared" si="34"/>
        <v/>
      </c>
    </row>
    <row r="325" spans="1:19" x14ac:dyDescent="0.3">
      <c r="A325" s="29">
        <f t="shared" si="28"/>
        <v>320</v>
      </c>
      <c r="B325" s="30" t="s">
        <v>101</v>
      </c>
      <c r="C325" s="30" t="s">
        <v>578</v>
      </c>
      <c r="D325" s="30" t="s">
        <v>160</v>
      </c>
      <c r="E325" s="30" t="s">
        <v>569</v>
      </c>
      <c r="F325" s="31">
        <v>45544</v>
      </c>
      <c r="G325" s="32" t="str">
        <f t="shared" si="29"/>
        <v>слесарь-сборщик</v>
      </c>
      <c r="H325" s="29">
        <f>IF(C325="","",IF(AND(G325="мастер участка",ISNUMBER(SEARCH("РЭО",E325))),29,IFERROR(INDEX(Соответствие!$B$2:$B$100,MATCH(G325,Соответствие!$A$2:$A$100,0)),"?")))</f>
        <v>19</v>
      </c>
      <c r="I325" s="33" t="str">
        <f>IF(C325="","",IFERROR(INDEX(Перечень!$C$6:$C$51,MATCH(H325,Перечень!$A$6:$A$51,0)),""))</f>
        <v>п.4.3.1, п.4.3.2, п.4.4, п.5.1, п.6.2, п.15</v>
      </c>
      <c r="J325" s="29">
        <f>IF(C325="","",IFERROR(INDEX(Перечень!$D$6:$D$51,MATCH(H325,Перечень!$A$6:$A$51,0)),12))</f>
        <v>12</v>
      </c>
      <c r="K325" s="34"/>
      <c r="L325" s="34"/>
      <c r="M325" s="31" t="str">
        <f t="shared" si="30"/>
        <v/>
      </c>
      <c r="N325" s="29" t="str">
        <f>IF(C325="","",IFERROR(INDEX(Перечень!$F$6:$F$51,MATCH(H325,Перечень!$A$6:$A$51,0)),""))</f>
        <v>-</v>
      </c>
      <c r="O325" s="34"/>
      <c r="P325" s="31" t="str">
        <f t="shared" si="31"/>
        <v/>
      </c>
      <c r="Q325" s="29" t="str">
        <f t="shared" si="32"/>
        <v/>
      </c>
      <c r="R325" s="29" t="str">
        <f t="shared" ca="1" si="33"/>
        <v>Нет сведений</v>
      </c>
      <c r="S325" s="29" t="str">
        <f t="shared" si="34"/>
        <v/>
      </c>
    </row>
    <row r="326" spans="1:19" x14ac:dyDescent="0.3">
      <c r="A326" s="29">
        <f t="shared" ref="A326:A389" si="35">IF(C326="","",ROW()-5)</f>
        <v>321</v>
      </c>
      <c r="B326" s="30" t="s">
        <v>101</v>
      </c>
      <c r="C326" s="30" t="s">
        <v>579</v>
      </c>
      <c r="D326" s="30" t="s">
        <v>160</v>
      </c>
      <c r="E326" s="30" t="s">
        <v>569</v>
      </c>
      <c r="F326" s="31">
        <v>45551</v>
      </c>
      <c r="G326" s="32" t="str">
        <f t="shared" ref="G326:G389" si="36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29">
        <f>IF(C326="","",IF(AND(G326="мастер участка",ISNUMBER(SEARCH("РЭО",E326))),29,IFERROR(INDEX(Соответствие!$B$2:$B$100,MATCH(G326,Соответствие!$A$2:$A$100,0)),"?")))</f>
        <v>19</v>
      </c>
      <c r="I326" s="33" t="str">
        <f>IF(C326="","",IFERROR(INDEX(Перечень!$C$6:$C$51,MATCH(H326,Перечень!$A$6:$A$51,0)),""))</f>
        <v>п.4.3.1, п.4.3.2, п.4.4, п.5.1, п.6.2, п.15</v>
      </c>
      <c r="J326" s="29">
        <f>IF(C326="","",IFERROR(INDEX(Перечень!$D$6:$D$51,MATCH(H326,Перечень!$A$6:$A$51,0)),12))</f>
        <v>12</v>
      </c>
      <c r="K326" s="34"/>
      <c r="L326" s="34"/>
      <c r="M326" s="31" t="str">
        <f t="shared" ref="M326:M389" si="37">IF(AND(K326="",L326=""),"",EDATE(MAX(K326,L326),J326))</f>
        <v/>
      </c>
      <c r="N326" s="29" t="str">
        <f>IF(C326="","",IFERROR(INDEX(Перечень!$F$6:$F$51,MATCH(H326,Перечень!$A$6:$A$51,0)),""))</f>
        <v>-</v>
      </c>
      <c r="O326" s="34"/>
      <c r="P326" s="31" t="str">
        <f t="shared" ref="P326:P389" si="38">IF(O326="","",EDATE(O326,60))</f>
        <v/>
      </c>
      <c r="Q326" s="29" t="str">
        <f t="shared" ref="Q326:Q389" si="39">IF(AND(K326&lt;&gt;"",F326&lt;&gt;"",K326&gt;F326),"Да","")</f>
        <v/>
      </c>
      <c r="R326" s="29" t="str">
        <f t="shared" ref="R326:R389" ca="1" si="40">IF(C326="","",IF(M326="","Нет сведений",IF(M326&lt;TODAY(),"Просрочен",IF(M326-TODAY()&lt;=30,"Истекает","В срок"))))</f>
        <v>Нет сведений</v>
      </c>
      <c r="S326" s="29" t="str">
        <f t="shared" ref="S326:S389" si="41">IF(AND(N326="Да",O326=""),"Не пройдено","")</f>
        <v/>
      </c>
    </row>
    <row r="327" spans="1:19" x14ac:dyDescent="0.3">
      <c r="A327" s="29">
        <f t="shared" si="35"/>
        <v>322</v>
      </c>
      <c r="B327" s="30" t="s">
        <v>101</v>
      </c>
      <c r="C327" s="30" t="s">
        <v>580</v>
      </c>
      <c r="D327" s="30" t="s">
        <v>581</v>
      </c>
      <c r="E327" s="30" t="s">
        <v>582</v>
      </c>
      <c r="F327" s="31">
        <v>44718</v>
      </c>
      <c r="G327" s="32" t="str">
        <f t="shared" si="36"/>
        <v>старший специалист по пошиву</v>
      </c>
      <c r="H327" s="29">
        <f>IF(C327="","",IF(AND(G327="мастер участка",ISNUMBER(SEARCH("РЭО",E327))),29,IFERROR(INDEX(Соответствие!$B$2:$B$100,MATCH(G327,Соответствие!$A$2:$A$100,0)),"?")))</f>
        <v>44</v>
      </c>
      <c r="I327" s="33" t="str">
        <f>IF(C327="","",IFERROR(INDEX(Перечень!$C$6:$C$51,MATCH(H327,Перечень!$A$6:$A$51,0)),""))</f>
        <v>п.4.3.1, п.4.3.2, п.4.4, п.5.1, п.5.2, п.15</v>
      </c>
      <c r="J327" s="29">
        <f>IF(C327="","",IFERROR(INDEX(Перечень!$D$6:$D$51,MATCH(H327,Перечень!$A$6:$A$51,0)),12))</f>
        <v>12</v>
      </c>
      <c r="K327" s="34"/>
      <c r="L327" s="34"/>
      <c r="M327" s="31" t="str">
        <f t="shared" si="37"/>
        <v/>
      </c>
      <c r="N327" s="29" t="str">
        <f>IF(C327="","",IFERROR(INDEX(Перечень!$F$6:$F$51,MATCH(H327,Перечень!$A$6:$A$51,0)),""))</f>
        <v>-</v>
      </c>
      <c r="O327" s="34"/>
      <c r="P327" s="31" t="str">
        <f t="shared" si="38"/>
        <v/>
      </c>
      <c r="Q327" s="29" t="str">
        <f t="shared" si="39"/>
        <v/>
      </c>
      <c r="R327" s="29" t="str">
        <f t="shared" ca="1" si="40"/>
        <v>Нет сведений</v>
      </c>
      <c r="S327" s="29" t="str">
        <f t="shared" si="41"/>
        <v/>
      </c>
    </row>
    <row r="328" spans="1:19" x14ac:dyDescent="0.3">
      <c r="A328" s="29">
        <f t="shared" si="35"/>
        <v>323</v>
      </c>
      <c r="B328" s="30" t="s">
        <v>101</v>
      </c>
      <c r="C328" s="30" t="s">
        <v>583</v>
      </c>
      <c r="D328" s="30" t="s">
        <v>581</v>
      </c>
      <c r="E328" s="30" t="s">
        <v>582</v>
      </c>
      <c r="F328" s="31">
        <v>45194</v>
      </c>
      <c r="G328" s="32" t="str">
        <f t="shared" si="36"/>
        <v>старший специалист по пошиву</v>
      </c>
      <c r="H328" s="29">
        <f>IF(C328="","",IF(AND(G328="мастер участка",ISNUMBER(SEARCH("РЭО",E328))),29,IFERROR(INDEX(Соответствие!$B$2:$B$100,MATCH(G328,Соответствие!$A$2:$A$100,0)),"?")))</f>
        <v>44</v>
      </c>
      <c r="I328" s="33" t="str">
        <f>IF(C328="","",IFERROR(INDEX(Перечень!$C$6:$C$51,MATCH(H328,Перечень!$A$6:$A$51,0)),""))</f>
        <v>п.4.3.1, п.4.3.2, п.4.4, п.5.1, п.5.2, п.15</v>
      </c>
      <c r="J328" s="29">
        <f>IF(C328="","",IFERROR(INDEX(Перечень!$D$6:$D$51,MATCH(H328,Перечень!$A$6:$A$51,0)),12))</f>
        <v>12</v>
      </c>
      <c r="K328" s="34"/>
      <c r="L328" s="34"/>
      <c r="M328" s="31" t="str">
        <f t="shared" si="37"/>
        <v/>
      </c>
      <c r="N328" s="29" t="str">
        <f>IF(C328="","",IFERROR(INDEX(Перечень!$F$6:$F$51,MATCH(H328,Перечень!$A$6:$A$51,0)),""))</f>
        <v>-</v>
      </c>
      <c r="O328" s="34"/>
      <c r="P328" s="31" t="str">
        <f t="shared" si="38"/>
        <v/>
      </c>
      <c r="Q328" s="29" t="str">
        <f t="shared" si="39"/>
        <v/>
      </c>
      <c r="R328" s="29" t="str">
        <f t="shared" ca="1" si="40"/>
        <v>Нет сведений</v>
      </c>
      <c r="S328" s="29" t="str">
        <f t="shared" si="41"/>
        <v/>
      </c>
    </row>
    <row r="329" spans="1:19" x14ac:dyDescent="0.3">
      <c r="A329" s="29">
        <f t="shared" si="35"/>
        <v>324</v>
      </c>
      <c r="B329" s="30" t="s">
        <v>101</v>
      </c>
      <c r="C329" s="30" t="s">
        <v>584</v>
      </c>
      <c r="D329" s="30" t="s">
        <v>581</v>
      </c>
      <c r="E329" s="30" t="s">
        <v>582</v>
      </c>
      <c r="F329" s="31">
        <v>44621</v>
      </c>
      <c r="G329" s="32" t="str">
        <f t="shared" si="36"/>
        <v>старший специалист по пошиву</v>
      </c>
      <c r="H329" s="29">
        <f>IF(C329="","",IF(AND(G329="мастер участка",ISNUMBER(SEARCH("РЭО",E329))),29,IFERROR(INDEX(Соответствие!$B$2:$B$100,MATCH(G329,Соответствие!$A$2:$A$100,0)),"?")))</f>
        <v>44</v>
      </c>
      <c r="I329" s="33" t="str">
        <f>IF(C329="","",IFERROR(INDEX(Перечень!$C$6:$C$51,MATCH(H329,Перечень!$A$6:$A$51,0)),""))</f>
        <v>п.4.3.1, п.4.3.2, п.4.4, п.5.1, п.5.2, п.15</v>
      </c>
      <c r="J329" s="29">
        <f>IF(C329="","",IFERROR(INDEX(Перечень!$D$6:$D$51,MATCH(H329,Перечень!$A$6:$A$51,0)),12))</f>
        <v>12</v>
      </c>
      <c r="K329" s="34"/>
      <c r="L329" s="34"/>
      <c r="M329" s="31" t="str">
        <f t="shared" si="37"/>
        <v/>
      </c>
      <c r="N329" s="29" t="str">
        <f>IF(C329="","",IFERROR(INDEX(Перечень!$F$6:$F$51,MATCH(H329,Перечень!$A$6:$A$51,0)),""))</f>
        <v>-</v>
      </c>
      <c r="O329" s="34"/>
      <c r="P329" s="31" t="str">
        <f t="shared" si="38"/>
        <v/>
      </c>
      <c r="Q329" s="29" t="str">
        <f t="shared" si="39"/>
        <v/>
      </c>
      <c r="R329" s="29" t="str">
        <f t="shared" ca="1" si="40"/>
        <v>Нет сведений</v>
      </c>
      <c r="S329" s="29" t="str">
        <f t="shared" si="41"/>
        <v/>
      </c>
    </row>
    <row r="330" spans="1:19" x14ac:dyDescent="0.3">
      <c r="A330" s="29">
        <f t="shared" si="35"/>
        <v>325</v>
      </c>
      <c r="B330" s="30" t="s">
        <v>101</v>
      </c>
      <c r="C330" s="30" t="s">
        <v>585</v>
      </c>
      <c r="D330" s="30" t="s">
        <v>581</v>
      </c>
      <c r="E330" s="30" t="s">
        <v>582</v>
      </c>
      <c r="F330" s="31">
        <v>43132</v>
      </c>
      <c r="G330" s="32" t="str">
        <f t="shared" si="36"/>
        <v>старший специалист по пошиву</v>
      </c>
      <c r="H330" s="29">
        <f>IF(C330="","",IF(AND(G330="мастер участка",ISNUMBER(SEARCH("РЭО",E330))),29,IFERROR(INDEX(Соответствие!$B$2:$B$100,MATCH(G330,Соответствие!$A$2:$A$100,0)),"?")))</f>
        <v>44</v>
      </c>
      <c r="I330" s="33" t="str">
        <f>IF(C330="","",IFERROR(INDEX(Перечень!$C$6:$C$51,MATCH(H330,Перечень!$A$6:$A$51,0)),""))</f>
        <v>п.4.3.1, п.4.3.2, п.4.4, п.5.1, п.5.2, п.15</v>
      </c>
      <c r="J330" s="29">
        <f>IF(C330="","",IFERROR(INDEX(Перечень!$D$6:$D$51,MATCH(H330,Перечень!$A$6:$A$51,0)),12))</f>
        <v>12</v>
      </c>
      <c r="K330" s="34"/>
      <c r="L330" s="34"/>
      <c r="M330" s="31" t="str">
        <f t="shared" si="37"/>
        <v/>
      </c>
      <c r="N330" s="29" t="str">
        <f>IF(C330="","",IFERROR(INDEX(Перечень!$F$6:$F$51,MATCH(H330,Перечень!$A$6:$A$51,0)),""))</f>
        <v>-</v>
      </c>
      <c r="O330" s="34"/>
      <c r="P330" s="31" t="str">
        <f t="shared" si="38"/>
        <v/>
      </c>
      <c r="Q330" s="29" t="str">
        <f t="shared" si="39"/>
        <v/>
      </c>
      <c r="R330" s="29" t="str">
        <f t="shared" ca="1" si="40"/>
        <v>Нет сведений</v>
      </c>
      <c r="S330" s="29" t="str">
        <f t="shared" si="41"/>
        <v/>
      </c>
    </row>
    <row r="331" spans="1:19" x14ac:dyDescent="0.3">
      <c r="A331" s="29">
        <f t="shared" si="35"/>
        <v>326</v>
      </c>
      <c r="B331" s="30" t="s">
        <v>101</v>
      </c>
      <c r="C331" s="30" t="s">
        <v>586</v>
      </c>
      <c r="D331" s="30" t="s">
        <v>581</v>
      </c>
      <c r="E331" s="30" t="s">
        <v>582</v>
      </c>
      <c r="F331" s="31">
        <v>40088</v>
      </c>
      <c r="G331" s="32" t="str">
        <f t="shared" si="36"/>
        <v>старший специалист по пошиву</v>
      </c>
      <c r="H331" s="29">
        <f>IF(C331="","",IF(AND(G331="мастер участка",ISNUMBER(SEARCH("РЭО",E331))),29,IFERROR(INDEX(Соответствие!$B$2:$B$100,MATCH(G331,Соответствие!$A$2:$A$100,0)),"?")))</f>
        <v>44</v>
      </c>
      <c r="I331" s="33" t="str">
        <f>IF(C331="","",IFERROR(INDEX(Перечень!$C$6:$C$51,MATCH(H331,Перечень!$A$6:$A$51,0)),""))</f>
        <v>п.4.3.1, п.4.3.2, п.4.4, п.5.1, п.5.2, п.15</v>
      </c>
      <c r="J331" s="29">
        <f>IF(C331="","",IFERROR(INDEX(Перечень!$D$6:$D$51,MATCH(H331,Перечень!$A$6:$A$51,0)),12))</f>
        <v>12</v>
      </c>
      <c r="K331" s="34"/>
      <c r="L331" s="34"/>
      <c r="M331" s="31" t="str">
        <f t="shared" si="37"/>
        <v/>
      </c>
      <c r="N331" s="29" t="str">
        <f>IF(C331="","",IFERROR(INDEX(Перечень!$F$6:$F$51,MATCH(H331,Перечень!$A$6:$A$51,0)),""))</f>
        <v>-</v>
      </c>
      <c r="O331" s="34"/>
      <c r="P331" s="31" t="str">
        <f t="shared" si="38"/>
        <v/>
      </c>
      <c r="Q331" s="29" t="str">
        <f t="shared" si="39"/>
        <v/>
      </c>
      <c r="R331" s="29" t="str">
        <f t="shared" ca="1" si="40"/>
        <v>Нет сведений</v>
      </c>
      <c r="S331" s="29" t="str">
        <f t="shared" si="41"/>
        <v/>
      </c>
    </row>
    <row r="332" spans="1:19" x14ac:dyDescent="0.3">
      <c r="A332" s="29">
        <f t="shared" si="35"/>
        <v>327</v>
      </c>
      <c r="B332" s="30" t="s">
        <v>101</v>
      </c>
      <c r="C332" s="30" t="s">
        <v>587</v>
      </c>
      <c r="D332" s="30" t="s">
        <v>588</v>
      </c>
      <c r="E332" s="30" t="s">
        <v>582</v>
      </c>
      <c r="F332" s="31">
        <v>45497</v>
      </c>
      <c r="G332" s="32" t="str">
        <f t="shared" si="36"/>
        <v>специалист по пошиву</v>
      </c>
      <c r="H332" s="29">
        <f>IF(C332="","",IF(AND(G332="мастер участка",ISNUMBER(SEARCH("РЭО",E332))),29,IFERROR(INDEX(Соответствие!$B$2:$B$100,MATCH(G332,Соответствие!$A$2:$A$100,0)),"?")))</f>
        <v>44</v>
      </c>
      <c r="I332" s="33" t="str">
        <f>IF(C332="","",IFERROR(INDEX(Перечень!$C$6:$C$51,MATCH(H332,Перечень!$A$6:$A$51,0)),""))</f>
        <v>п.4.3.1, п.4.3.2, п.4.4, п.5.1, п.5.2, п.15</v>
      </c>
      <c r="J332" s="29">
        <f>IF(C332="","",IFERROR(INDEX(Перечень!$D$6:$D$51,MATCH(H332,Перечень!$A$6:$A$51,0)),12))</f>
        <v>12</v>
      </c>
      <c r="K332" s="34"/>
      <c r="L332" s="34"/>
      <c r="M332" s="31" t="str">
        <f t="shared" si="37"/>
        <v/>
      </c>
      <c r="N332" s="29" t="str">
        <f>IF(C332="","",IFERROR(INDEX(Перечень!$F$6:$F$51,MATCH(H332,Перечень!$A$6:$A$51,0)),""))</f>
        <v>-</v>
      </c>
      <c r="O332" s="34"/>
      <c r="P332" s="31" t="str">
        <f t="shared" si="38"/>
        <v/>
      </c>
      <c r="Q332" s="29" t="str">
        <f t="shared" si="39"/>
        <v/>
      </c>
      <c r="R332" s="29" t="str">
        <f t="shared" ca="1" si="40"/>
        <v>Нет сведений</v>
      </c>
      <c r="S332" s="29" t="str">
        <f t="shared" si="41"/>
        <v/>
      </c>
    </row>
    <row r="333" spans="1:19" x14ac:dyDescent="0.3">
      <c r="A333" s="29">
        <f t="shared" si="35"/>
        <v>328</v>
      </c>
      <c r="B333" s="30" t="s">
        <v>101</v>
      </c>
      <c r="C333" s="30" t="s">
        <v>589</v>
      </c>
      <c r="D333" s="30" t="s">
        <v>588</v>
      </c>
      <c r="E333" s="30" t="s">
        <v>582</v>
      </c>
      <c r="F333" s="31">
        <v>46057</v>
      </c>
      <c r="G333" s="32" t="str">
        <f t="shared" si="36"/>
        <v>специалист по пошиву</v>
      </c>
      <c r="H333" s="29">
        <f>IF(C333="","",IF(AND(G333="мастер участка",ISNUMBER(SEARCH("РЭО",E333))),29,IFERROR(INDEX(Соответствие!$B$2:$B$100,MATCH(G333,Соответствие!$A$2:$A$100,0)),"?")))</f>
        <v>44</v>
      </c>
      <c r="I333" s="33" t="str">
        <f>IF(C333="","",IFERROR(INDEX(Перечень!$C$6:$C$51,MATCH(H333,Перечень!$A$6:$A$51,0)),""))</f>
        <v>п.4.3.1, п.4.3.2, п.4.4, п.5.1, п.5.2, п.15</v>
      </c>
      <c r="J333" s="29">
        <f>IF(C333="","",IFERROR(INDEX(Перечень!$D$6:$D$51,MATCH(H333,Перечень!$A$6:$A$51,0)),12))</f>
        <v>12</v>
      </c>
      <c r="K333" s="34"/>
      <c r="L333" s="34"/>
      <c r="M333" s="31" t="str">
        <f t="shared" si="37"/>
        <v/>
      </c>
      <c r="N333" s="29" t="str">
        <f>IF(C333="","",IFERROR(INDEX(Перечень!$F$6:$F$51,MATCH(H333,Перечень!$A$6:$A$51,0)),""))</f>
        <v>-</v>
      </c>
      <c r="O333" s="34"/>
      <c r="P333" s="31" t="str">
        <f t="shared" si="38"/>
        <v/>
      </c>
      <c r="Q333" s="29" t="str">
        <f t="shared" si="39"/>
        <v/>
      </c>
      <c r="R333" s="29" t="str">
        <f t="shared" ca="1" si="40"/>
        <v>Нет сведений</v>
      </c>
      <c r="S333" s="29" t="str">
        <f t="shared" si="41"/>
        <v/>
      </c>
    </row>
    <row r="334" spans="1:19" x14ac:dyDescent="0.3">
      <c r="A334" s="29">
        <f t="shared" si="35"/>
        <v>329</v>
      </c>
      <c r="B334" s="30" t="s">
        <v>101</v>
      </c>
      <c r="C334" s="30" t="s">
        <v>590</v>
      </c>
      <c r="D334" s="30" t="s">
        <v>588</v>
      </c>
      <c r="E334" s="30" t="s">
        <v>582</v>
      </c>
      <c r="F334" s="31">
        <v>42156</v>
      </c>
      <c r="G334" s="32" t="str">
        <f t="shared" si="36"/>
        <v>специалист по пошиву</v>
      </c>
      <c r="H334" s="29">
        <f>IF(C334="","",IF(AND(G334="мастер участка",ISNUMBER(SEARCH("РЭО",E334))),29,IFERROR(INDEX(Соответствие!$B$2:$B$100,MATCH(G334,Соответствие!$A$2:$A$100,0)),"?")))</f>
        <v>44</v>
      </c>
      <c r="I334" s="33" t="str">
        <f>IF(C334="","",IFERROR(INDEX(Перечень!$C$6:$C$51,MATCH(H334,Перечень!$A$6:$A$51,0)),""))</f>
        <v>п.4.3.1, п.4.3.2, п.4.4, п.5.1, п.5.2, п.15</v>
      </c>
      <c r="J334" s="29">
        <f>IF(C334="","",IFERROR(INDEX(Перечень!$D$6:$D$51,MATCH(H334,Перечень!$A$6:$A$51,0)),12))</f>
        <v>12</v>
      </c>
      <c r="K334" s="34"/>
      <c r="L334" s="34"/>
      <c r="M334" s="31" t="str">
        <f t="shared" si="37"/>
        <v/>
      </c>
      <c r="N334" s="29" t="str">
        <f>IF(C334="","",IFERROR(INDEX(Перечень!$F$6:$F$51,MATCH(H334,Перечень!$A$6:$A$51,0)),""))</f>
        <v>-</v>
      </c>
      <c r="O334" s="34"/>
      <c r="P334" s="31" t="str">
        <f t="shared" si="38"/>
        <v/>
      </c>
      <c r="Q334" s="29" t="str">
        <f t="shared" si="39"/>
        <v/>
      </c>
      <c r="R334" s="29" t="str">
        <f t="shared" ca="1" si="40"/>
        <v>Нет сведений</v>
      </c>
      <c r="S334" s="29" t="str">
        <f t="shared" si="41"/>
        <v/>
      </c>
    </row>
    <row r="335" spans="1:19" x14ac:dyDescent="0.3">
      <c r="A335" s="29">
        <f t="shared" si="35"/>
        <v>330</v>
      </c>
      <c r="B335" s="30" t="s">
        <v>101</v>
      </c>
      <c r="C335" s="30" t="s">
        <v>591</v>
      </c>
      <c r="D335" s="30" t="s">
        <v>588</v>
      </c>
      <c r="E335" s="30" t="s">
        <v>582</v>
      </c>
      <c r="F335" s="31">
        <v>45819</v>
      </c>
      <c r="G335" s="32" t="str">
        <f t="shared" si="36"/>
        <v>специалист по пошиву</v>
      </c>
      <c r="H335" s="29">
        <f>IF(C335="","",IF(AND(G335="мастер участка",ISNUMBER(SEARCH("РЭО",E335))),29,IFERROR(INDEX(Соответствие!$B$2:$B$100,MATCH(G335,Соответствие!$A$2:$A$100,0)),"?")))</f>
        <v>44</v>
      </c>
      <c r="I335" s="33" t="str">
        <f>IF(C335="","",IFERROR(INDEX(Перечень!$C$6:$C$51,MATCH(H335,Перечень!$A$6:$A$51,0)),""))</f>
        <v>п.4.3.1, п.4.3.2, п.4.4, п.5.1, п.5.2, п.15</v>
      </c>
      <c r="J335" s="29">
        <f>IF(C335="","",IFERROR(INDEX(Перечень!$D$6:$D$51,MATCH(H335,Перечень!$A$6:$A$51,0)),12))</f>
        <v>12</v>
      </c>
      <c r="K335" s="34"/>
      <c r="L335" s="34"/>
      <c r="M335" s="31" t="str">
        <f t="shared" si="37"/>
        <v/>
      </c>
      <c r="N335" s="29" t="str">
        <f>IF(C335="","",IFERROR(INDEX(Перечень!$F$6:$F$51,MATCH(H335,Перечень!$A$6:$A$51,0)),""))</f>
        <v>-</v>
      </c>
      <c r="O335" s="34"/>
      <c r="P335" s="31" t="str">
        <f t="shared" si="38"/>
        <v/>
      </c>
      <c r="Q335" s="29" t="str">
        <f t="shared" si="39"/>
        <v/>
      </c>
      <c r="R335" s="29" t="str">
        <f t="shared" ca="1" si="40"/>
        <v>Нет сведений</v>
      </c>
      <c r="S335" s="29" t="str">
        <f t="shared" si="41"/>
        <v/>
      </c>
    </row>
    <row r="336" spans="1:19" x14ac:dyDescent="0.3">
      <c r="A336" s="29">
        <f t="shared" si="35"/>
        <v>331</v>
      </c>
      <c r="B336" s="30" t="s">
        <v>101</v>
      </c>
      <c r="C336" s="30" t="s">
        <v>592</v>
      </c>
      <c r="D336" s="30" t="s">
        <v>588</v>
      </c>
      <c r="E336" s="30" t="s">
        <v>582</v>
      </c>
      <c r="F336" s="31">
        <v>45968</v>
      </c>
      <c r="G336" s="32" t="str">
        <f t="shared" si="36"/>
        <v>специалист по пошиву</v>
      </c>
      <c r="H336" s="29">
        <f>IF(C336="","",IF(AND(G336="мастер участка",ISNUMBER(SEARCH("РЭО",E336))),29,IFERROR(INDEX(Соответствие!$B$2:$B$100,MATCH(G336,Соответствие!$A$2:$A$100,0)),"?")))</f>
        <v>44</v>
      </c>
      <c r="I336" s="33" t="str">
        <f>IF(C336="","",IFERROR(INDEX(Перечень!$C$6:$C$51,MATCH(H336,Перечень!$A$6:$A$51,0)),""))</f>
        <v>п.4.3.1, п.4.3.2, п.4.4, п.5.1, п.5.2, п.15</v>
      </c>
      <c r="J336" s="29">
        <f>IF(C336="","",IFERROR(INDEX(Перечень!$D$6:$D$51,MATCH(H336,Перечень!$A$6:$A$51,0)),12))</f>
        <v>12</v>
      </c>
      <c r="K336" s="34">
        <v>45957</v>
      </c>
      <c r="L336" s="34"/>
      <c r="M336" s="31">
        <f t="shared" si="37"/>
        <v>46322</v>
      </c>
      <c r="N336" s="29" t="str">
        <f>IF(C336="","",IFERROR(INDEX(Перечень!$F$6:$F$51,MATCH(H336,Перечень!$A$6:$A$51,0)),""))</f>
        <v>-</v>
      </c>
      <c r="O336" s="34"/>
      <c r="P336" s="31" t="str">
        <f t="shared" si="38"/>
        <v/>
      </c>
      <c r="Q336" s="29" t="str">
        <f t="shared" si="39"/>
        <v/>
      </c>
      <c r="R336" s="29" t="str">
        <f t="shared" ca="1" si="40"/>
        <v>Истекает</v>
      </c>
      <c r="S336" s="29" t="str">
        <f t="shared" si="41"/>
        <v/>
      </c>
    </row>
    <row r="337" spans="1:19" x14ac:dyDescent="0.3">
      <c r="A337" s="29">
        <f t="shared" si="35"/>
        <v>332</v>
      </c>
      <c r="B337" s="30" t="s">
        <v>101</v>
      </c>
      <c r="C337" s="30" t="s">
        <v>593</v>
      </c>
      <c r="D337" s="30" t="s">
        <v>588</v>
      </c>
      <c r="E337" s="30" t="s">
        <v>582</v>
      </c>
      <c r="F337" s="31">
        <v>46077</v>
      </c>
      <c r="G337" s="32" t="str">
        <f t="shared" si="36"/>
        <v>специалист по пошиву</v>
      </c>
      <c r="H337" s="29">
        <f>IF(C337="","",IF(AND(G337="мастер участка",ISNUMBER(SEARCH("РЭО",E337))),29,IFERROR(INDEX(Соответствие!$B$2:$B$100,MATCH(G337,Соответствие!$A$2:$A$100,0)),"?")))</f>
        <v>44</v>
      </c>
      <c r="I337" s="33" t="str">
        <f>IF(C337="","",IFERROR(INDEX(Перечень!$C$6:$C$51,MATCH(H337,Перечень!$A$6:$A$51,0)),""))</f>
        <v>п.4.3.1, п.4.3.2, п.4.4, п.5.1, п.5.2, п.15</v>
      </c>
      <c r="J337" s="29">
        <f>IF(C337="","",IFERROR(INDEX(Перечень!$D$6:$D$51,MATCH(H337,Перечень!$A$6:$A$51,0)),12))</f>
        <v>12</v>
      </c>
      <c r="K337" s="34"/>
      <c r="L337" s="34"/>
      <c r="M337" s="31" t="str">
        <f t="shared" si="37"/>
        <v/>
      </c>
      <c r="N337" s="29" t="str">
        <f>IF(C337="","",IFERROR(INDEX(Перечень!$F$6:$F$51,MATCH(H337,Перечень!$A$6:$A$51,0)),""))</f>
        <v>-</v>
      </c>
      <c r="O337" s="34"/>
      <c r="P337" s="31" t="str">
        <f t="shared" si="38"/>
        <v/>
      </c>
      <c r="Q337" s="29" t="str">
        <f t="shared" si="39"/>
        <v/>
      </c>
      <c r="R337" s="29" t="str">
        <f t="shared" ca="1" si="40"/>
        <v>Нет сведений</v>
      </c>
      <c r="S337" s="29" t="str">
        <f t="shared" si="41"/>
        <v/>
      </c>
    </row>
    <row r="338" spans="1:19" x14ac:dyDescent="0.3">
      <c r="A338" s="29">
        <f t="shared" si="35"/>
        <v>333</v>
      </c>
      <c r="B338" s="30" t="s">
        <v>101</v>
      </c>
      <c r="C338" s="30" t="s">
        <v>594</v>
      </c>
      <c r="D338" s="30" t="s">
        <v>588</v>
      </c>
      <c r="E338" s="30" t="s">
        <v>582</v>
      </c>
      <c r="F338" s="31">
        <v>42380</v>
      </c>
      <c r="G338" s="32" t="str">
        <f t="shared" si="36"/>
        <v>специалист по пошиву</v>
      </c>
      <c r="H338" s="29">
        <f>IF(C338="","",IF(AND(G338="мастер участка",ISNUMBER(SEARCH("РЭО",E338))),29,IFERROR(INDEX(Соответствие!$B$2:$B$100,MATCH(G338,Соответствие!$A$2:$A$100,0)),"?")))</f>
        <v>44</v>
      </c>
      <c r="I338" s="33" t="str">
        <f>IF(C338="","",IFERROR(INDEX(Перечень!$C$6:$C$51,MATCH(H338,Перечень!$A$6:$A$51,0)),""))</f>
        <v>п.4.3.1, п.4.3.2, п.4.4, п.5.1, п.5.2, п.15</v>
      </c>
      <c r="J338" s="29">
        <f>IF(C338="","",IFERROR(INDEX(Перечень!$D$6:$D$51,MATCH(H338,Перечень!$A$6:$A$51,0)),12))</f>
        <v>12</v>
      </c>
      <c r="K338" s="34"/>
      <c r="L338" s="34"/>
      <c r="M338" s="31" t="str">
        <f t="shared" si="37"/>
        <v/>
      </c>
      <c r="N338" s="29" t="str">
        <f>IF(C338="","",IFERROR(INDEX(Перечень!$F$6:$F$51,MATCH(H338,Перечень!$A$6:$A$51,0)),""))</f>
        <v>-</v>
      </c>
      <c r="O338" s="34"/>
      <c r="P338" s="31" t="str">
        <f t="shared" si="38"/>
        <v/>
      </c>
      <c r="Q338" s="29" t="str">
        <f t="shared" si="39"/>
        <v/>
      </c>
      <c r="R338" s="29" t="str">
        <f t="shared" ca="1" si="40"/>
        <v>Нет сведений</v>
      </c>
      <c r="S338" s="29" t="str">
        <f t="shared" si="41"/>
        <v/>
      </c>
    </row>
    <row r="339" spans="1:19" x14ac:dyDescent="0.3">
      <c r="A339" s="29">
        <f t="shared" si="35"/>
        <v>334</v>
      </c>
      <c r="B339" s="30" t="s">
        <v>101</v>
      </c>
      <c r="C339" s="30" t="s">
        <v>595</v>
      </c>
      <c r="D339" s="30" t="s">
        <v>596</v>
      </c>
      <c r="E339" s="30" t="s">
        <v>582</v>
      </c>
      <c r="F339" s="31">
        <v>45859</v>
      </c>
      <c r="G339" s="32" t="str">
        <f t="shared" si="36"/>
        <v>специалист по пошиву</v>
      </c>
      <c r="H339" s="29">
        <f>IF(C339="","",IF(AND(G339="мастер участка",ISNUMBER(SEARCH("РЭО",E339))),29,IFERROR(INDEX(Соответствие!$B$2:$B$100,MATCH(G339,Соответствие!$A$2:$A$100,0)),"?")))</f>
        <v>44</v>
      </c>
      <c r="I339" s="33" t="str">
        <f>IF(C339="","",IFERROR(INDEX(Перечень!$C$6:$C$51,MATCH(H339,Перечень!$A$6:$A$51,0)),""))</f>
        <v>п.4.3.1, п.4.3.2, п.4.4, п.5.1, п.5.2, п.15</v>
      </c>
      <c r="J339" s="29">
        <f>IF(C339="","",IFERROR(INDEX(Перечень!$D$6:$D$51,MATCH(H339,Перечень!$A$6:$A$51,0)),12))</f>
        <v>12</v>
      </c>
      <c r="K339" s="34"/>
      <c r="L339" s="34"/>
      <c r="M339" s="31" t="str">
        <f t="shared" si="37"/>
        <v/>
      </c>
      <c r="N339" s="29" t="str">
        <f>IF(C339="","",IFERROR(INDEX(Перечень!$F$6:$F$51,MATCH(H339,Перечень!$A$6:$A$51,0)),""))</f>
        <v>-</v>
      </c>
      <c r="O339" s="34"/>
      <c r="P339" s="31" t="str">
        <f t="shared" si="38"/>
        <v/>
      </c>
      <c r="Q339" s="29" t="str">
        <f t="shared" si="39"/>
        <v/>
      </c>
      <c r="R339" s="29" t="str">
        <f t="shared" ca="1" si="40"/>
        <v>Нет сведений</v>
      </c>
      <c r="S339" s="29" t="str">
        <f t="shared" si="41"/>
        <v/>
      </c>
    </row>
    <row r="340" spans="1:19" x14ac:dyDescent="0.3">
      <c r="A340" s="29">
        <f t="shared" si="35"/>
        <v>335</v>
      </c>
      <c r="B340" s="30" t="s">
        <v>101</v>
      </c>
      <c r="C340" s="30" t="s">
        <v>597</v>
      </c>
      <c r="D340" s="30" t="s">
        <v>596</v>
      </c>
      <c r="E340" s="30" t="s">
        <v>582</v>
      </c>
      <c r="F340" s="31">
        <v>45034</v>
      </c>
      <c r="G340" s="32" t="str">
        <f t="shared" si="36"/>
        <v>специалист по пошиву</v>
      </c>
      <c r="H340" s="29">
        <f>IF(C340="","",IF(AND(G340="мастер участка",ISNUMBER(SEARCH("РЭО",E340))),29,IFERROR(INDEX(Соответствие!$B$2:$B$100,MATCH(G340,Соответствие!$A$2:$A$100,0)),"?")))</f>
        <v>44</v>
      </c>
      <c r="I340" s="33" t="str">
        <f>IF(C340="","",IFERROR(INDEX(Перечень!$C$6:$C$51,MATCH(H340,Перечень!$A$6:$A$51,0)),""))</f>
        <v>п.4.3.1, п.4.3.2, п.4.4, п.5.1, п.5.2, п.15</v>
      </c>
      <c r="J340" s="29">
        <f>IF(C340="","",IFERROR(INDEX(Перечень!$D$6:$D$51,MATCH(H340,Перечень!$A$6:$A$51,0)),12))</f>
        <v>12</v>
      </c>
      <c r="K340" s="34"/>
      <c r="L340" s="34"/>
      <c r="M340" s="31" t="str">
        <f t="shared" si="37"/>
        <v/>
      </c>
      <c r="N340" s="29" t="str">
        <f>IF(C340="","",IFERROR(INDEX(Перечень!$F$6:$F$51,MATCH(H340,Перечень!$A$6:$A$51,0)),""))</f>
        <v>-</v>
      </c>
      <c r="O340" s="34"/>
      <c r="P340" s="31" t="str">
        <f t="shared" si="38"/>
        <v/>
      </c>
      <c r="Q340" s="29" t="str">
        <f t="shared" si="39"/>
        <v/>
      </c>
      <c r="R340" s="29" t="str">
        <f t="shared" ca="1" si="40"/>
        <v>Нет сведений</v>
      </c>
      <c r="S340" s="29" t="str">
        <f t="shared" si="41"/>
        <v/>
      </c>
    </row>
    <row r="341" spans="1:19" x14ac:dyDescent="0.3">
      <c r="A341" s="29">
        <f t="shared" si="35"/>
        <v>336</v>
      </c>
      <c r="B341" s="30" t="s">
        <v>101</v>
      </c>
      <c r="C341" s="30" t="s">
        <v>598</v>
      </c>
      <c r="D341" s="30" t="s">
        <v>250</v>
      </c>
      <c r="E341" s="30" t="s">
        <v>599</v>
      </c>
      <c r="F341" s="31">
        <v>46223</v>
      </c>
      <c r="G341" s="32" t="str">
        <f t="shared" si="36"/>
        <v>диспетчер</v>
      </c>
      <c r="H341" s="29">
        <f>IF(C341="","",IF(AND(G341="мастер участка",ISNUMBER(SEARCH("РЭО",E341))),29,IFERROR(INDEX(Соответствие!$B$2:$B$100,MATCH(G341,Соответствие!$A$2:$A$100,0)),"?")))</f>
        <v>28</v>
      </c>
      <c r="I341" s="33" t="str">
        <f>IF(C341="","",IFERROR(INDEX(Перечень!$C$6:$C$51,MATCH(H341,Перечень!$A$6:$A$51,0)),""))</f>
        <v>п.4.4, п.5.1, п.5.2</v>
      </c>
      <c r="J341" s="29">
        <f>IF(C341="","",IFERROR(INDEX(Перечень!$D$6:$D$51,MATCH(H341,Перечень!$A$6:$A$51,0)),12))</f>
        <v>12</v>
      </c>
      <c r="K341" s="34">
        <v>46219</v>
      </c>
      <c r="L341" s="34"/>
      <c r="M341" s="31">
        <f t="shared" si="37"/>
        <v>46584</v>
      </c>
      <c r="N341" s="29" t="str">
        <f>IF(C341="","",IFERROR(INDEX(Перечень!$F$6:$F$51,MATCH(H341,Перечень!$A$6:$A$51,0)),""))</f>
        <v>-</v>
      </c>
      <c r="O341" s="34"/>
      <c r="P341" s="31" t="str">
        <f t="shared" si="38"/>
        <v/>
      </c>
      <c r="Q341" s="29" t="str">
        <f t="shared" si="39"/>
        <v/>
      </c>
      <c r="R341" s="29" t="str">
        <f t="shared" ca="1" si="40"/>
        <v>В срок</v>
      </c>
      <c r="S341" s="29" t="str">
        <f t="shared" si="41"/>
        <v/>
      </c>
    </row>
    <row r="342" spans="1:19" x14ac:dyDescent="0.3">
      <c r="A342" s="29">
        <f t="shared" si="35"/>
        <v>337</v>
      </c>
      <c r="B342" s="30" t="s">
        <v>101</v>
      </c>
      <c r="C342" s="30" t="s">
        <v>600</v>
      </c>
      <c r="D342" s="30" t="s">
        <v>250</v>
      </c>
      <c r="E342" s="30" t="s">
        <v>599</v>
      </c>
      <c r="F342" s="31">
        <v>46155</v>
      </c>
      <c r="G342" s="32" t="str">
        <f t="shared" si="36"/>
        <v>диспетчер</v>
      </c>
      <c r="H342" s="29">
        <f>IF(C342="","",IF(AND(G342="мастер участка",ISNUMBER(SEARCH("РЭО",E342))),29,IFERROR(INDEX(Соответствие!$B$2:$B$100,MATCH(G342,Соответствие!$A$2:$A$100,0)),"?")))</f>
        <v>28</v>
      </c>
      <c r="I342" s="33" t="str">
        <f>IF(C342="","",IFERROR(INDEX(Перечень!$C$6:$C$51,MATCH(H342,Перечень!$A$6:$A$51,0)),""))</f>
        <v>п.4.4, п.5.1, п.5.2</v>
      </c>
      <c r="J342" s="29">
        <f>IF(C342="","",IFERROR(INDEX(Перечень!$D$6:$D$51,MATCH(H342,Перечень!$A$6:$A$51,0)),12))</f>
        <v>12</v>
      </c>
      <c r="K342" s="34"/>
      <c r="L342" s="34"/>
      <c r="M342" s="31" t="str">
        <f t="shared" si="37"/>
        <v/>
      </c>
      <c r="N342" s="29" t="str">
        <f>IF(C342="","",IFERROR(INDEX(Перечень!$F$6:$F$51,MATCH(H342,Перечень!$A$6:$A$51,0)),""))</f>
        <v>-</v>
      </c>
      <c r="O342" s="34"/>
      <c r="P342" s="31" t="str">
        <f t="shared" si="38"/>
        <v/>
      </c>
      <c r="Q342" s="29" t="str">
        <f t="shared" si="39"/>
        <v/>
      </c>
      <c r="R342" s="29" t="str">
        <f t="shared" ca="1" si="40"/>
        <v>Нет сведений</v>
      </c>
      <c r="S342" s="29" t="str">
        <f t="shared" si="41"/>
        <v/>
      </c>
    </row>
    <row r="343" spans="1:19" x14ac:dyDescent="0.3">
      <c r="A343" s="29">
        <f t="shared" si="35"/>
        <v>338</v>
      </c>
      <c r="B343" s="30" t="s">
        <v>101</v>
      </c>
      <c r="C343" s="30" t="s">
        <v>601</v>
      </c>
      <c r="D343" s="30" t="s">
        <v>258</v>
      </c>
      <c r="E343" s="30" t="s">
        <v>599</v>
      </c>
      <c r="F343" s="31">
        <v>46156</v>
      </c>
      <c r="G343" s="32" t="str">
        <f t="shared" si="36"/>
        <v>ведущий диспетчер</v>
      </c>
      <c r="H343" s="29">
        <f>IF(C343="","",IF(AND(G343="мастер участка",ISNUMBER(SEARCH("РЭО",E343))),29,IFERROR(INDEX(Соответствие!$B$2:$B$100,MATCH(G343,Соответствие!$A$2:$A$100,0)),"?")))</f>
        <v>28</v>
      </c>
      <c r="I343" s="33" t="str">
        <f>IF(C343="","",IFERROR(INDEX(Перечень!$C$6:$C$51,MATCH(H343,Перечень!$A$6:$A$51,0)),""))</f>
        <v>п.4.4, п.5.1, п.5.2</v>
      </c>
      <c r="J343" s="29">
        <f>IF(C343="","",IFERROR(INDEX(Перечень!$D$6:$D$51,MATCH(H343,Перечень!$A$6:$A$51,0)),12))</f>
        <v>12</v>
      </c>
      <c r="K343" s="34"/>
      <c r="L343" s="34"/>
      <c r="M343" s="31" t="str">
        <f t="shared" si="37"/>
        <v/>
      </c>
      <c r="N343" s="29" t="str">
        <f>IF(C343="","",IFERROR(INDEX(Перечень!$F$6:$F$51,MATCH(H343,Перечень!$A$6:$A$51,0)),""))</f>
        <v>-</v>
      </c>
      <c r="O343" s="34"/>
      <c r="P343" s="31" t="str">
        <f t="shared" si="38"/>
        <v/>
      </c>
      <c r="Q343" s="29" t="str">
        <f t="shared" si="39"/>
        <v/>
      </c>
      <c r="R343" s="29" t="str">
        <f t="shared" ca="1" si="40"/>
        <v>Нет сведений</v>
      </c>
      <c r="S343" s="29" t="str">
        <f t="shared" si="41"/>
        <v/>
      </c>
    </row>
    <row r="344" spans="1:19" x14ac:dyDescent="0.3">
      <c r="A344" s="29">
        <f t="shared" si="35"/>
        <v>339</v>
      </c>
      <c r="B344" s="30" t="s">
        <v>101</v>
      </c>
      <c r="C344" s="30" t="s">
        <v>602</v>
      </c>
      <c r="D344" s="30" t="s">
        <v>258</v>
      </c>
      <c r="E344" s="30" t="s">
        <v>599</v>
      </c>
      <c r="F344" s="31">
        <v>45793</v>
      </c>
      <c r="G344" s="32" t="str">
        <f t="shared" si="36"/>
        <v>ведущий диспетчер</v>
      </c>
      <c r="H344" s="29">
        <f>IF(C344="","",IF(AND(G344="мастер участка",ISNUMBER(SEARCH("РЭО",E344))),29,IFERROR(INDEX(Соответствие!$B$2:$B$100,MATCH(G344,Соответствие!$A$2:$A$100,0)),"?")))</f>
        <v>28</v>
      </c>
      <c r="I344" s="33" t="str">
        <f>IF(C344="","",IFERROR(INDEX(Перечень!$C$6:$C$51,MATCH(H344,Перечень!$A$6:$A$51,0)),""))</f>
        <v>п.4.4, п.5.1, п.5.2</v>
      </c>
      <c r="J344" s="29">
        <f>IF(C344="","",IFERROR(INDEX(Перечень!$D$6:$D$51,MATCH(H344,Перечень!$A$6:$A$51,0)),12))</f>
        <v>12</v>
      </c>
      <c r="K344" s="34"/>
      <c r="L344" s="34"/>
      <c r="M344" s="31" t="str">
        <f t="shared" si="37"/>
        <v/>
      </c>
      <c r="N344" s="29" t="str">
        <f>IF(C344="","",IFERROR(INDEX(Перечень!$F$6:$F$51,MATCH(H344,Перечень!$A$6:$A$51,0)),""))</f>
        <v>-</v>
      </c>
      <c r="O344" s="34"/>
      <c r="P344" s="31" t="str">
        <f t="shared" si="38"/>
        <v/>
      </c>
      <c r="Q344" s="29" t="str">
        <f t="shared" si="39"/>
        <v/>
      </c>
      <c r="R344" s="29" t="str">
        <f t="shared" ca="1" si="40"/>
        <v>Нет сведений</v>
      </c>
      <c r="S344" s="29" t="str">
        <f t="shared" si="41"/>
        <v/>
      </c>
    </row>
    <row r="345" spans="1:19" x14ac:dyDescent="0.3">
      <c r="A345" s="29">
        <f t="shared" si="35"/>
        <v>340</v>
      </c>
      <c r="B345" s="30" t="s">
        <v>101</v>
      </c>
      <c r="C345" s="30" t="s">
        <v>603</v>
      </c>
      <c r="D345" s="30" t="s">
        <v>262</v>
      </c>
      <c r="E345" s="30" t="s">
        <v>599</v>
      </c>
      <c r="F345" s="31">
        <v>40931</v>
      </c>
      <c r="G345" s="32" t="str">
        <f t="shared" si="36"/>
        <v>ведущий инженер пдо</v>
      </c>
      <c r="H345" s="29">
        <f>IF(C345="","",IF(AND(G345="мастер участка",ISNUMBER(SEARCH("РЭО",E345))),29,IFERROR(INDEX(Соответствие!$B$2:$B$100,MATCH(G345,Соответствие!$A$2:$A$100,0)),"?")))</f>
        <v>27</v>
      </c>
      <c r="I345" s="33" t="str">
        <f>IF(C345="","",IFERROR(INDEX(Перечень!$C$6:$C$51,MATCH(H345,Перечень!$A$6:$A$51,0)),""))</f>
        <v>п.4.4, п.5.1, п.5.2</v>
      </c>
      <c r="J345" s="29">
        <f>IF(C345="","",IFERROR(INDEX(Перечень!$D$6:$D$51,MATCH(H345,Перечень!$A$6:$A$51,0)),12))</f>
        <v>12</v>
      </c>
      <c r="K345" s="34"/>
      <c r="L345" s="34"/>
      <c r="M345" s="31" t="str">
        <f t="shared" si="37"/>
        <v/>
      </c>
      <c r="N345" s="29" t="str">
        <f>IF(C345="","",IFERROR(INDEX(Перечень!$F$6:$F$51,MATCH(H345,Перечень!$A$6:$A$51,0)),""))</f>
        <v>-</v>
      </c>
      <c r="O345" s="34"/>
      <c r="P345" s="31" t="str">
        <f t="shared" si="38"/>
        <v/>
      </c>
      <c r="Q345" s="29" t="str">
        <f t="shared" si="39"/>
        <v/>
      </c>
      <c r="R345" s="29" t="str">
        <f t="shared" ca="1" si="40"/>
        <v>Нет сведений</v>
      </c>
      <c r="S345" s="29" t="str">
        <f t="shared" si="41"/>
        <v/>
      </c>
    </row>
    <row r="346" spans="1:19" x14ac:dyDescent="0.3">
      <c r="A346" s="29">
        <f t="shared" si="35"/>
        <v>341</v>
      </c>
      <c r="B346" s="30" t="s">
        <v>101</v>
      </c>
      <c r="C346" s="30" t="s">
        <v>604</v>
      </c>
      <c r="D346" s="30" t="s">
        <v>453</v>
      </c>
      <c r="E346" s="30" t="s">
        <v>605</v>
      </c>
      <c r="F346" s="31">
        <v>45265</v>
      </c>
      <c r="G346" s="32" t="str">
        <f t="shared" si="36"/>
        <v>старший кладовщик</v>
      </c>
      <c r="H346" s="29">
        <f>IF(C346="","",IF(AND(G346="мастер участка",ISNUMBER(SEARCH("РЭО",E346))),29,IFERROR(INDEX(Соответствие!$B$2:$B$100,MATCH(G346,Соответствие!$A$2:$A$100,0)),"?")))</f>
        <v>14</v>
      </c>
      <c r="I346" s="33" t="str">
        <f>IF(C346="","",IFERROR(INDEX(Перечень!$C$6:$C$51,MATCH(H346,Перечень!$A$6:$A$51,0)),""))</f>
        <v>п.4.4, п.5.1, п.6.2</v>
      </c>
      <c r="J346" s="29">
        <f>IF(C346="","",IFERROR(INDEX(Перечень!$D$6:$D$51,MATCH(H346,Перечень!$A$6:$A$51,0)),12))</f>
        <v>12</v>
      </c>
      <c r="K346" s="34"/>
      <c r="L346" s="34"/>
      <c r="M346" s="31" t="str">
        <f t="shared" si="37"/>
        <v/>
      </c>
      <c r="N346" s="29" t="str">
        <f>IF(C346="","",IFERROR(INDEX(Перечень!$F$6:$F$51,MATCH(H346,Перечень!$A$6:$A$51,0)),""))</f>
        <v>-</v>
      </c>
      <c r="O346" s="34"/>
      <c r="P346" s="31" t="str">
        <f t="shared" si="38"/>
        <v/>
      </c>
      <c r="Q346" s="29" t="str">
        <f t="shared" si="39"/>
        <v/>
      </c>
      <c r="R346" s="29" t="str">
        <f t="shared" ca="1" si="40"/>
        <v>Нет сведений</v>
      </c>
      <c r="S346" s="29" t="str">
        <f t="shared" si="41"/>
        <v/>
      </c>
    </row>
    <row r="347" spans="1:19" x14ac:dyDescent="0.3">
      <c r="A347" s="29">
        <f t="shared" si="35"/>
        <v>342</v>
      </c>
      <c r="B347" s="30" t="s">
        <v>101</v>
      </c>
      <c r="C347" s="30" t="s">
        <v>606</v>
      </c>
      <c r="D347" s="30" t="s">
        <v>197</v>
      </c>
      <c r="E347" s="30" t="s">
        <v>605</v>
      </c>
      <c r="F347" s="31">
        <v>45252</v>
      </c>
      <c r="G347" s="32" t="str">
        <f t="shared" si="36"/>
        <v>кладовщик</v>
      </c>
      <c r="H347" s="29">
        <f>IF(C347="","",IF(AND(G347="мастер участка",ISNUMBER(SEARCH("РЭО",E347))),29,IFERROR(INDEX(Соответствие!$B$2:$B$100,MATCH(G347,Соответствие!$A$2:$A$100,0)),"?")))</f>
        <v>14</v>
      </c>
      <c r="I347" s="33" t="str">
        <f>IF(C347="","",IFERROR(INDEX(Перечень!$C$6:$C$51,MATCH(H347,Перечень!$A$6:$A$51,0)),""))</f>
        <v>п.4.4, п.5.1, п.6.2</v>
      </c>
      <c r="J347" s="29">
        <f>IF(C347="","",IFERROR(INDEX(Перечень!$D$6:$D$51,MATCH(H347,Перечень!$A$6:$A$51,0)),12))</f>
        <v>12</v>
      </c>
      <c r="K347" s="34"/>
      <c r="L347" s="34"/>
      <c r="M347" s="31" t="str">
        <f t="shared" si="37"/>
        <v/>
      </c>
      <c r="N347" s="29" t="str">
        <f>IF(C347="","",IFERROR(INDEX(Перечень!$F$6:$F$51,MATCH(H347,Перечень!$A$6:$A$51,0)),""))</f>
        <v>-</v>
      </c>
      <c r="O347" s="34"/>
      <c r="P347" s="31" t="str">
        <f t="shared" si="38"/>
        <v/>
      </c>
      <c r="Q347" s="29" t="str">
        <f t="shared" si="39"/>
        <v/>
      </c>
      <c r="R347" s="29" t="str">
        <f t="shared" ca="1" si="40"/>
        <v>Нет сведений</v>
      </c>
      <c r="S347" s="29" t="str">
        <f t="shared" si="41"/>
        <v/>
      </c>
    </row>
    <row r="348" spans="1:19" x14ac:dyDescent="0.3">
      <c r="A348" s="29">
        <f t="shared" si="35"/>
        <v>343</v>
      </c>
      <c r="B348" s="30" t="s">
        <v>101</v>
      </c>
      <c r="C348" s="30" t="s">
        <v>607</v>
      </c>
      <c r="D348" s="30" t="s">
        <v>197</v>
      </c>
      <c r="E348" s="30" t="s">
        <v>605</v>
      </c>
      <c r="F348" s="31">
        <v>46141</v>
      </c>
      <c r="G348" s="32" t="str">
        <f t="shared" si="36"/>
        <v>кладовщик</v>
      </c>
      <c r="H348" s="29">
        <f>IF(C348="","",IF(AND(G348="мастер участка",ISNUMBER(SEARCH("РЭО",E348))),29,IFERROR(INDEX(Соответствие!$B$2:$B$100,MATCH(G348,Соответствие!$A$2:$A$100,0)),"?")))</f>
        <v>14</v>
      </c>
      <c r="I348" s="33" t="str">
        <f>IF(C348="","",IFERROR(INDEX(Перечень!$C$6:$C$51,MATCH(H348,Перечень!$A$6:$A$51,0)),""))</f>
        <v>п.4.4, п.5.1, п.6.2</v>
      </c>
      <c r="J348" s="29">
        <f>IF(C348="","",IFERROR(INDEX(Перечень!$D$6:$D$51,MATCH(H348,Перечень!$A$6:$A$51,0)),12))</f>
        <v>12</v>
      </c>
      <c r="K348" s="34">
        <v>46139</v>
      </c>
      <c r="L348" s="34"/>
      <c r="M348" s="31">
        <f t="shared" si="37"/>
        <v>46504</v>
      </c>
      <c r="N348" s="29" t="str">
        <f>IF(C348="","",IFERROR(INDEX(Перечень!$F$6:$F$51,MATCH(H348,Перечень!$A$6:$A$51,0)),""))</f>
        <v>-</v>
      </c>
      <c r="O348" s="34"/>
      <c r="P348" s="31" t="str">
        <f t="shared" si="38"/>
        <v/>
      </c>
      <c r="Q348" s="29" t="str">
        <f t="shared" si="39"/>
        <v/>
      </c>
      <c r="R348" s="29" t="str">
        <f t="shared" ca="1" si="40"/>
        <v>В срок</v>
      </c>
      <c r="S348" s="29" t="str">
        <f t="shared" si="41"/>
        <v/>
      </c>
    </row>
    <row r="349" spans="1:19" x14ac:dyDescent="0.3">
      <c r="A349" s="29">
        <f t="shared" si="35"/>
        <v>344</v>
      </c>
      <c r="B349" s="30" t="s">
        <v>101</v>
      </c>
      <c r="C349" s="30" t="s">
        <v>608</v>
      </c>
      <c r="D349" s="30" t="s">
        <v>466</v>
      </c>
      <c r="E349" s="30" t="s">
        <v>605</v>
      </c>
      <c r="F349" s="31">
        <v>46268</v>
      </c>
      <c r="G349" s="32" t="str">
        <f t="shared" si="36"/>
        <v>кладовщик-комплектовщик</v>
      </c>
      <c r="H349" s="29">
        <f>IF(C349="","",IF(AND(G349="мастер участка",ISNUMBER(SEARCH("РЭО",E349))),29,IFERROR(INDEX(Соответствие!$B$2:$B$100,MATCH(G349,Соответствие!$A$2:$A$100,0)),"?")))</f>
        <v>46</v>
      </c>
      <c r="I349" s="33" t="str">
        <f>IF(C349="","",IFERROR(INDEX(Перечень!$C$6:$C$51,MATCH(H349,Перечень!$A$6:$A$51,0)),""))</f>
        <v>п.4.3.1, п.4.3.2, п.4.4, п.5.1, п.6.2, п.18.1</v>
      </c>
      <c r="J349" s="29">
        <f>IF(C349="","",IFERROR(INDEX(Перечень!$D$6:$D$51,MATCH(H349,Перечень!$A$6:$A$51,0)),12))</f>
        <v>12</v>
      </c>
      <c r="K349" s="34">
        <v>46266</v>
      </c>
      <c r="L349" s="34"/>
      <c r="M349" s="31">
        <f t="shared" si="37"/>
        <v>46631</v>
      </c>
      <c r="N349" s="29" t="str">
        <f>IF(C349="","",IFERROR(INDEX(Перечень!$F$6:$F$51,MATCH(H349,Перечень!$A$6:$A$51,0)),""))</f>
        <v>Да</v>
      </c>
      <c r="O349" s="34"/>
      <c r="P349" s="31" t="str">
        <f t="shared" si="38"/>
        <v/>
      </c>
      <c r="Q349" s="29" t="str">
        <f t="shared" si="39"/>
        <v/>
      </c>
      <c r="R349" s="29" t="str">
        <f t="shared" ca="1" si="40"/>
        <v>В срок</v>
      </c>
      <c r="S349" s="29" t="str">
        <f t="shared" si="41"/>
        <v>Не пройдено</v>
      </c>
    </row>
    <row r="350" spans="1:19" x14ac:dyDescent="0.3">
      <c r="A350" s="29">
        <f t="shared" si="35"/>
        <v>345</v>
      </c>
      <c r="B350" s="30" t="s">
        <v>101</v>
      </c>
      <c r="C350" s="30" t="s">
        <v>609</v>
      </c>
      <c r="D350" s="30" t="s">
        <v>466</v>
      </c>
      <c r="E350" s="30" t="s">
        <v>605</v>
      </c>
      <c r="F350" s="31">
        <v>46140</v>
      </c>
      <c r="G350" s="32" t="str">
        <f t="shared" si="36"/>
        <v>кладовщик-комплектовщик</v>
      </c>
      <c r="H350" s="29">
        <f>IF(C350="","",IF(AND(G350="мастер участка",ISNUMBER(SEARCH("РЭО",E350))),29,IFERROR(INDEX(Соответствие!$B$2:$B$100,MATCH(G350,Соответствие!$A$2:$A$100,0)),"?")))</f>
        <v>46</v>
      </c>
      <c r="I350" s="33" t="str">
        <f>IF(C350="","",IFERROR(INDEX(Перечень!$C$6:$C$51,MATCH(H350,Перечень!$A$6:$A$51,0)),""))</f>
        <v>п.4.3.1, п.4.3.2, п.4.4, п.5.1, п.6.2, п.18.1</v>
      </c>
      <c r="J350" s="29">
        <f>IF(C350="","",IFERROR(INDEX(Перечень!$D$6:$D$51,MATCH(H350,Перечень!$A$6:$A$51,0)),12))</f>
        <v>12</v>
      </c>
      <c r="K350" s="34">
        <v>46139</v>
      </c>
      <c r="L350" s="34"/>
      <c r="M350" s="31">
        <f t="shared" si="37"/>
        <v>46504</v>
      </c>
      <c r="N350" s="29" t="str">
        <f>IF(C350="","",IFERROR(INDEX(Перечень!$F$6:$F$51,MATCH(H350,Перечень!$A$6:$A$51,0)),""))</f>
        <v>Да</v>
      </c>
      <c r="O350" s="34"/>
      <c r="P350" s="31" t="str">
        <f t="shared" si="38"/>
        <v/>
      </c>
      <c r="Q350" s="29" t="str">
        <f t="shared" si="39"/>
        <v/>
      </c>
      <c r="R350" s="29" t="str">
        <f t="shared" ca="1" si="40"/>
        <v>В срок</v>
      </c>
      <c r="S350" s="29" t="str">
        <f t="shared" si="41"/>
        <v>Не пройдено</v>
      </c>
    </row>
    <row r="351" spans="1:19" x14ac:dyDescent="0.3">
      <c r="A351" s="29">
        <f t="shared" si="35"/>
        <v>346</v>
      </c>
      <c r="B351" s="30" t="s">
        <v>101</v>
      </c>
      <c r="C351" s="30" t="s">
        <v>610</v>
      </c>
      <c r="D351" s="30" t="s">
        <v>466</v>
      </c>
      <c r="E351" s="30" t="s">
        <v>605</v>
      </c>
      <c r="F351" s="31">
        <v>46246</v>
      </c>
      <c r="G351" s="32" t="str">
        <f t="shared" si="36"/>
        <v>кладовщик-комплектовщик</v>
      </c>
      <c r="H351" s="29">
        <f>IF(C351="","",IF(AND(G351="мастер участка",ISNUMBER(SEARCH("РЭО",E351))),29,IFERROR(INDEX(Соответствие!$B$2:$B$100,MATCH(G351,Соответствие!$A$2:$A$100,0)),"?")))</f>
        <v>46</v>
      </c>
      <c r="I351" s="33" t="str">
        <f>IF(C351="","",IFERROR(INDEX(Перечень!$C$6:$C$51,MATCH(H351,Перечень!$A$6:$A$51,0)),""))</f>
        <v>п.4.3.1, п.4.3.2, п.4.4, п.5.1, п.6.2, п.18.1</v>
      </c>
      <c r="J351" s="29">
        <f>IF(C351="","",IFERROR(INDEX(Перечень!$D$6:$D$51,MATCH(H351,Перечень!$A$6:$A$51,0)),12))</f>
        <v>12</v>
      </c>
      <c r="K351" s="34">
        <v>46241</v>
      </c>
      <c r="L351" s="34"/>
      <c r="M351" s="31">
        <f t="shared" si="37"/>
        <v>46606</v>
      </c>
      <c r="N351" s="29" t="str">
        <f>IF(C351="","",IFERROR(INDEX(Перечень!$F$6:$F$51,MATCH(H351,Перечень!$A$6:$A$51,0)),""))</f>
        <v>Да</v>
      </c>
      <c r="O351" s="34"/>
      <c r="P351" s="31" t="str">
        <f t="shared" si="38"/>
        <v/>
      </c>
      <c r="Q351" s="29" t="str">
        <f t="shared" si="39"/>
        <v/>
      </c>
      <c r="R351" s="29" t="str">
        <f t="shared" ca="1" si="40"/>
        <v>В срок</v>
      </c>
      <c r="S351" s="29" t="str">
        <f t="shared" si="41"/>
        <v>Не пройдено</v>
      </c>
    </row>
    <row r="352" spans="1:19" x14ac:dyDescent="0.3">
      <c r="A352" s="29">
        <f t="shared" si="35"/>
        <v>347</v>
      </c>
      <c r="B352" s="30" t="s">
        <v>101</v>
      </c>
      <c r="C352" s="30" t="s">
        <v>611</v>
      </c>
      <c r="D352" s="30" t="s">
        <v>127</v>
      </c>
      <c r="E352" s="30" t="s">
        <v>612</v>
      </c>
      <c r="F352" s="31">
        <v>46162</v>
      </c>
      <c r="G352" s="32" t="str">
        <f t="shared" si="36"/>
        <v>инженер отк</v>
      </c>
      <c r="H352" s="29">
        <f>IF(C352="","",IF(AND(G352="мастер участка",ISNUMBER(SEARCH("РЭО",E352))),29,IFERROR(INDEX(Соответствие!$B$2:$B$100,MATCH(G352,Соответствие!$A$2:$A$100,0)),"?")))</f>
        <v>13</v>
      </c>
      <c r="I352" s="33" t="str">
        <f>IF(C352="","",IFERROR(INDEX(Перечень!$C$6:$C$51,MATCH(H352,Перечень!$A$6:$A$51,0)),""))</f>
        <v>п.4.4, п.5.1, п.5.2</v>
      </c>
      <c r="J352" s="29">
        <f>IF(C352="","",IFERROR(INDEX(Перечень!$D$6:$D$51,MATCH(H352,Перечень!$A$6:$A$51,0)),12))</f>
        <v>12</v>
      </c>
      <c r="K352" s="34">
        <v>46146</v>
      </c>
      <c r="L352" s="34"/>
      <c r="M352" s="31">
        <f t="shared" si="37"/>
        <v>46511</v>
      </c>
      <c r="N352" s="29" t="str">
        <f>IF(C352="","",IFERROR(INDEX(Перечень!$F$6:$F$51,MATCH(H352,Перечень!$A$6:$A$51,0)),""))</f>
        <v>-</v>
      </c>
      <c r="O352" s="34"/>
      <c r="P352" s="31" t="str">
        <f t="shared" si="38"/>
        <v/>
      </c>
      <c r="Q352" s="29" t="str">
        <f t="shared" si="39"/>
        <v/>
      </c>
      <c r="R352" s="29" t="str">
        <f t="shared" ca="1" si="40"/>
        <v>В срок</v>
      </c>
      <c r="S352" s="29" t="str">
        <f t="shared" si="41"/>
        <v/>
      </c>
    </row>
    <row r="353" spans="1:19" x14ac:dyDescent="0.3">
      <c r="A353" s="29">
        <f t="shared" si="35"/>
        <v>348</v>
      </c>
      <c r="B353" s="30" t="s">
        <v>101</v>
      </c>
      <c r="C353" s="30" t="s">
        <v>613</v>
      </c>
      <c r="D353" s="30" t="s">
        <v>130</v>
      </c>
      <c r="E353" s="30" t="s">
        <v>612</v>
      </c>
      <c r="F353" s="31">
        <v>44713</v>
      </c>
      <c r="G353" s="32" t="str">
        <f t="shared" si="36"/>
        <v>инженер отк</v>
      </c>
      <c r="H353" s="29">
        <f>IF(C353="","",IF(AND(G353="мастер участка",ISNUMBER(SEARCH("РЭО",E353))),29,IFERROR(INDEX(Соответствие!$B$2:$B$100,MATCH(G353,Соответствие!$A$2:$A$100,0)),"?")))</f>
        <v>13</v>
      </c>
      <c r="I353" s="33" t="str">
        <f>IF(C353="","",IFERROR(INDEX(Перечень!$C$6:$C$51,MATCH(H353,Перечень!$A$6:$A$51,0)),""))</f>
        <v>п.4.4, п.5.1, п.5.2</v>
      </c>
      <c r="J353" s="29">
        <f>IF(C353="","",IFERROR(INDEX(Перечень!$D$6:$D$51,MATCH(H353,Перечень!$A$6:$A$51,0)),12))</f>
        <v>12</v>
      </c>
      <c r="K353" s="34"/>
      <c r="L353" s="34"/>
      <c r="M353" s="31" t="str">
        <f t="shared" si="37"/>
        <v/>
      </c>
      <c r="N353" s="29" t="str">
        <f>IF(C353="","",IFERROR(INDEX(Перечень!$F$6:$F$51,MATCH(H353,Перечень!$A$6:$A$51,0)),""))</f>
        <v>-</v>
      </c>
      <c r="O353" s="34"/>
      <c r="P353" s="31" t="str">
        <f t="shared" si="38"/>
        <v/>
      </c>
      <c r="Q353" s="29" t="str">
        <f t="shared" si="39"/>
        <v/>
      </c>
      <c r="R353" s="29" t="str">
        <f t="shared" ca="1" si="40"/>
        <v>Нет сведений</v>
      </c>
      <c r="S353" s="29" t="str">
        <f t="shared" si="41"/>
        <v/>
      </c>
    </row>
    <row r="354" spans="1:19" x14ac:dyDescent="0.3">
      <c r="A354" s="29">
        <f t="shared" si="35"/>
        <v>349</v>
      </c>
      <c r="B354" s="30" t="s">
        <v>101</v>
      </c>
      <c r="C354" s="30" t="s">
        <v>614</v>
      </c>
      <c r="D354" s="30" t="s">
        <v>133</v>
      </c>
      <c r="E354" s="30" t="s">
        <v>612</v>
      </c>
      <c r="F354" s="31">
        <v>46162</v>
      </c>
      <c r="G354" s="32" t="str">
        <f t="shared" si="36"/>
        <v>инженер отк</v>
      </c>
      <c r="H354" s="29">
        <f>IF(C354="","",IF(AND(G354="мастер участка",ISNUMBER(SEARCH("РЭО",E354))),29,IFERROR(INDEX(Соответствие!$B$2:$B$100,MATCH(G354,Соответствие!$A$2:$A$100,0)),"?")))</f>
        <v>13</v>
      </c>
      <c r="I354" s="33" t="str">
        <f>IF(C354="","",IFERROR(INDEX(Перечень!$C$6:$C$51,MATCH(H354,Перечень!$A$6:$A$51,0)),""))</f>
        <v>п.4.4, п.5.1, п.5.2</v>
      </c>
      <c r="J354" s="29">
        <f>IF(C354="","",IFERROR(INDEX(Перечень!$D$6:$D$51,MATCH(H354,Перечень!$A$6:$A$51,0)),12))</f>
        <v>12</v>
      </c>
      <c r="K354" s="34">
        <v>46148</v>
      </c>
      <c r="L354" s="34"/>
      <c r="M354" s="31">
        <f t="shared" si="37"/>
        <v>46513</v>
      </c>
      <c r="N354" s="29" t="str">
        <f>IF(C354="","",IFERROR(INDEX(Перечень!$F$6:$F$51,MATCH(H354,Перечень!$A$6:$A$51,0)),""))</f>
        <v>-</v>
      </c>
      <c r="O354" s="34"/>
      <c r="P354" s="31" t="str">
        <f t="shared" si="38"/>
        <v/>
      </c>
      <c r="Q354" s="29" t="str">
        <f t="shared" si="39"/>
        <v/>
      </c>
      <c r="R354" s="29" t="str">
        <f t="shared" ca="1" si="40"/>
        <v>В срок</v>
      </c>
      <c r="S354" s="29" t="str">
        <f t="shared" si="41"/>
        <v/>
      </c>
    </row>
    <row r="355" spans="1:19" x14ac:dyDescent="0.3">
      <c r="A355" s="29">
        <f t="shared" si="35"/>
        <v>350</v>
      </c>
      <c r="B355" s="30" t="s">
        <v>96</v>
      </c>
      <c r="C355" s="30" t="s">
        <v>615</v>
      </c>
      <c r="D355" s="30" t="s">
        <v>250</v>
      </c>
      <c r="E355" s="30" t="s">
        <v>616</v>
      </c>
      <c r="F355" s="31">
        <v>46245</v>
      </c>
      <c r="G355" s="32" t="str">
        <f t="shared" si="36"/>
        <v>диспетчер</v>
      </c>
      <c r="H355" s="29">
        <f>IF(C355="","",IF(AND(G355="мастер участка",ISNUMBER(SEARCH("РЭО",E355))),29,IFERROR(INDEX(Соответствие!$B$2:$B$100,MATCH(G355,Соответствие!$A$2:$A$100,0)),"?")))</f>
        <v>28</v>
      </c>
      <c r="I355" s="33" t="str">
        <f>IF(C355="","",IFERROR(INDEX(Перечень!$C$6:$C$51,MATCH(H355,Перечень!$A$6:$A$51,0)),""))</f>
        <v>п.4.4, п.5.1, п.5.2</v>
      </c>
      <c r="J355" s="29">
        <f>IF(C355="","",IFERROR(INDEX(Перечень!$D$6:$D$51,MATCH(H355,Перечень!$A$6:$A$51,0)),12))</f>
        <v>12</v>
      </c>
      <c r="K355" s="34"/>
      <c r="L355" s="34"/>
      <c r="M355" s="31" t="str">
        <f t="shared" si="37"/>
        <v/>
      </c>
      <c r="N355" s="29" t="str">
        <f>IF(C355="","",IFERROR(INDEX(Перечень!$F$6:$F$51,MATCH(H355,Перечень!$A$6:$A$51,0)),""))</f>
        <v>-</v>
      </c>
      <c r="O355" s="34"/>
      <c r="P355" s="31" t="str">
        <f t="shared" si="38"/>
        <v/>
      </c>
      <c r="Q355" s="29" t="str">
        <f t="shared" si="39"/>
        <v/>
      </c>
      <c r="R355" s="29" t="str">
        <f t="shared" ca="1" si="40"/>
        <v>Нет сведений</v>
      </c>
      <c r="S355" s="29" t="str">
        <f t="shared" si="41"/>
        <v/>
      </c>
    </row>
    <row r="356" spans="1:19" x14ac:dyDescent="0.3">
      <c r="A356" s="29">
        <f t="shared" si="35"/>
        <v>351</v>
      </c>
      <c r="B356" s="30" t="s">
        <v>96</v>
      </c>
      <c r="C356" s="30" t="s">
        <v>617</v>
      </c>
      <c r="D356" s="30" t="s">
        <v>197</v>
      </c>
      <c r="E356" s="30" t="s">
        <v>198</v>
      </c>
      <c r="F356" s="31">
        <v>46260</v>
      </c>
      <c r="G356" s="32" t="str">
        <f t="shared" si="36"/>
        <v>кладовщик</v>
      </c>
      <c r="H356" s="29">
        <f>IF(C356="","",IF(AND(G356="мастер участка",ISNUMBER(SEARCH("РЭО",E356))),29,IFERROR(INDEX(Соответствие!$B$2:$B$100,MATCH(G356,Соответствие!$A$2:$A$100,0)),"?")))</f>
        <v>14</v>
      </c>
      <c r="I356" s="33" t="str">
        <f>IF(C356="","",IFERROR(INDEX(Перечень!$C$6:$C$51,MATCH(H356,Перечень!$A$6:$A$51,0)),""))</f>
        <v>п.4.4, п.5.1, п.6.2</v>
      </c>
      <c r="J356" s="29">
        <f>IF(C356="","",IFERROR(INDEX(Перечень!$D$6:$D$51,MATCH(H356,Перечень!$A$6:$A$51,0)),12))</f>
        <v>12</v>
      </c>
      <c r="K356" s="34">
        <v>46260</v>
      </c>
      <c r="L356" s="34"/>
      <c r="M356" s="31">
        <f t="shared" si="37"/>
        <v>46625</v>
      </c>
      <c r="N356" s="29" t="str">
        <f>IF(C356="","",IFERROR(INDEX(Перечень!$F$6:$F$51,MATCH(H356,Перечень!$A$6:$A$51,0)),""))</f>
        <v>-</v>
      </c>
      <c r="O356" s="34"/>
      <c r="P356" s="31" t="str">
        <f t="shared" si="38"/>
        <v/>
      </c>
      <c r="Q356" s="29" t="str">
        <f t="shared" si="39"/>
        <v/>
      </c>
      <c r="R356" s="29" t="str">
        <f t="shared" ca="1" si="40"/>
        <v>В срок</v>
      </c>
      <c r="S356" s="29" t="str">
        <f t="shared" si="41"/>
        <v/>
      </c>
    </row>
    <row r="357" spans="1:19" x14ac:dyDescent="0.3">
      <c r="A357" s="29">
        <f t="shared" si="35"/>
        <v>352</v>
      </c>
      <c r="B357" s="30" t="s">
        <v>96</v>
      </c>
      <c r="C357" s="30" t="s">
        <v>618</v>
      </c>
      <c r="D357" s="30" t="s">
        <v>127</v>
      </c>
      <c r="E357" s="30" t="s">
        <v>619</v>
      </c>
      <c r="F357" s="31">
        <v>41351</v>
      </c>
      <c r="G357" s="32" t="str">
        <f t="shared" si="36"/>
        <v>инженер отк</v>
      </c>
      <c r="H357" s="29">
        <f>IF(C357="","",IF(AND(G357="мастер участка",ISNUMBER(SEARCH("РЭО",E357))),29,IFERROR(INDEX(Соответствие!$B$2:$B$100,MATCH(G357,Соответствие!$A$2:$A$100,0)),"?")))</f>
        <v>13</v>
      </c>
      <c r="I357" s="33" t="str">
        <f>IF(C357="","",IFERROR(INDEX(Перечень!$C$6:$C$51,MATCH(H357,Перечень!$A$6:$A$51,0)),""))</f>
        <v>п.4.4, п.5.1, п.5.2</v>
      </c>
      <c r="J357" s="29">
        <f>IF(C357="","",IFERROR(INDEX(Перечень!$D$6:$D$51,MATCH(H357,Перечень!$A$6:$A$51,0)),12))</f>
        <v>12</v>
      </c>
      <c r="K357" s="34"/>
      <c r="L357" s="34"/>
      <c r="M357" s="31" t="str">
        <f t="shared" si="37"/>
        <v/>
      </c>
      <c r="N357" s="29" t="str">
        <f>IF(C357="","",IFERROR(INDEX(Перечень!$F$6:$F$51,MATCH(H357,Перечень!$A$6:$A$51,0)),""))</f>
        <v>-</v>
      </c>
      <c r="O357" s="34"/>
      <c r="P357" s="31" t="str">
        <f t="shared" si="38"/>
        <v/>
      </c>
      <c r="Q357" s="29" t="str">
        <f t="shared" si="39"/>
        <v/>
      </c>
      <c r="R357" s="29" t="str">
        <f t="shared" ca="1" si="40"/>
        <v>Нет сведений</v>
      </c>
      <c r="S357" s="29" t="str">
        <f t="shared" si="41"/>
        <v/>
      </c>
    </row>
    <row r="358" spans="1:19" x14ac:dyDescent="0.3">
      <c r="A358" s="29">
        <f t="shared" si="35"/>
        <v>353</v>
      </c>
      <c r="B358" s="30" t="s">
        <v>96</v>
      </c>
      <c r="C358" s="30" t="s">
        <v>620</v>
      </c>
      <c r="D358" s="30" t="s">
        <v>135</v>
      </c>
      <c r="E358" s="30" t="s">
        <v>619</v>
      </c>
      <c r="F358" s="31">
        <v>45852</v>
      </c>
      <c r="G358" s="32" t="str">
        <f t="shared" si="36"/>
        <v>контролер отк</v>
      </c>
      <c r="H358" s="29">
        <f>IF(C358="","",IF(AND(G358="мастер участка",ISNUMBER(SEARCH("РЭО",E358))),29,IFERROR(INDEX(Соответствие!$B$2:$B$100,MATCH(G358,Соответствие!$A$2:$A$100,0)),"?")))</f>
        <v>13</v>
      </c>
      <c r="I358" s="33" t="str">
        <f>IF(C358="","",IFERROR(INDEX(Перечень!$C$6:$C$51,MATCH(H358,Перечень!$A$6:$A$51,0)),""))</f>
        <v>п.4.4, п.5.1, п.5.2</v>
      </c>
      <c r="J358" s="29">
        <f>IF(C358="","",IFERROR(INDEX(Перечень!$D$6:$D$51,MATCH(H358,Перечень!$A$6:$A$51,0)),12))</f>
        <v>12</v>
      </c>
      <c r="K358" s="34"/>
      <c r="L358" s="34"/>
      <c r="M358" s="31" t="str">
        <f t="shared" si="37"/>
        <v/>
      </c>
      <c r="N358" s="29" t="str">
        <f>IF(C358="","",IFERROR(INDEX(Перечень!$F$6:$F$51,MATCH(H358,Перечень!$A$6:$A$51,0)),""))</f>
        <v>-</v>
      </c>
      <c r="O358" s="34"/>
      <c r="P358" s="31" t="str">
        <f t="shared" si="38"/>
        <v/>
      </c>
      <c r="Q358" s="29" t="str">
        <f t="shared" si="39"/>
        <v/>
      </c>
      <c r="R358" s="29" t="str">
        <f t="shared" ca="1" si="40"/>
        <v>Нет сведений</v>
      </c>
      <c r="S358" s="29" t="str">
        <f t="shared" si="41"/>
        <v/>
      </c>
    </row>
    <row r="359" spans="1:19" x14ac:dyDescent="0.3">
      <c r="A359" s="29">
        <f t="shared" si="35"/>
        <v>354</v>
      </c>
      <c r="B359" s="30" t="s">
        <v>99</v>
      </c>
      <c r="C359" s="30" t="s">
        <v>621</v>
      </c>
      <c r="D359" s="30" t="s">
        <v>352</v>
      </c>
      <c r="E359" s="30" t="s">
        <v>314</v>
      </c>
      <c r="F359" s="31">
        <v>46286</v>
      </c>
      <c r="G359" s="32" t="str">
        <f t="shared" si="36"/>
        <v>сборщик стеклопластиковых изделий</v>
      </c>
      <c r="H359" s="29">
        <f>IF(C359="","",IF(AND(G359="мастер участка",ISNUMBER(SEARCH("РЭО",E359))),29,IFERROR(INDEX(Соответствие!$B$2:$B$100,MATCH(G359,Соответствие!$A$2:$A$100,0)),"?")))</f>
        <v>26</v>
      </c>
      <c r="I359" s="33" t="str">
        <f>IF(C359="","",IFERROR(INDEX(Перечень!$C$6:$C$51,MATCH(H359,Перечень!$A$6:$A$51,0)),""))</f>
        <v>п.1.37.1, п.3.1.8.3, п.4.3.1, п.4.4, п.5.1, п.15</v>
      </c>
      <c r="J359" s="29">
        <f>IF(C359="","",IFERROR(INDEX(Перечень!$D$6:$D$51,MATCH(H359,Перечень!$A$6:$A$51,0)),12))</f>
        <v>12</v>
      </c>
      <c r="K359" s="34">
        <v>46280</v>
      </c>
      <c r="L359" s="34"/>
      <c r="M359" s="31">
        <f t="shared" si="37"/>
        <v>46645</v>
      </c>
      <c r="N359" s="29" t="str">
        <f>IF(C359="","",IFERROR(INDEX(Перечень!$F$6:$F$51,MATCH(H359,Перечень!$A$6:$A$51,0)),""))</f>
        <v>Нет</v>
      </c>
      <c r="O359" s="34"/>
      <c r="P359" s="31" t="str">
        <f t="shared" si="38"/>
        <v/>
      </c>
      <c r="Q359" s="29" t="str">
        <f t="shared" si="39"/>
        <v/>
      </c>
      <c r="R359" s="29" t="str">
        <f t="shared" ca="1" si="40"/>
        <v>В срок</v>
      </c>
      <c r="S359" s="29" t="str">
        <f t="shared" si="41"/>
        <v/>
      </c>
    </row>
    <row r="360" spans="1:19" x14ac:dyDescent="0.3">
      <c r="A360" s="29">
        <f t="shared" si="35"/>
        <v>355</v>
      </c>
      <c r="B360" s="30" t="s">
        <v>99</v>
      </c>
      <c r="C360" s="30" t="s">
        <v>622</v>
      </c>
      <c r="D360" s="30" t="s">
        <v>319</v>
      </c>
      <c r="E360" s="30" t="s">
        <v>314</v>
      </c>
      <c r="F360" s="31">
        <v>46163</v>
      </c>
      <c r="G360" s="32" t="str">
        <f t="shared" si="36"/>
        <v>техник-сборщик</v>
      </c>
      <c r="H360" s="29">
        <f>IF(C360="","",IF(AND(G360="мастер участка",ISNUMBER(SEARCH("РЭО",E360))),29,IFERROR(INDEX(Соответствие!$B$2:$B$100,MATCH(G360,Соответствие!$A$2:$A$100,0)),"?")))</f>
        <v>21</v>
      </c>
      <c r="I360" s="33" t="str">
        <f>IF(C360="","",IFERROR(INDEX(Перечень!$C$6:$C$51,MATCH(H360,Перечень!$A$6:$A$51,0)),""))</f>
        <v>п.1.49.2, п.1.49.14, п.4.3.1, п.4.3.2, п.4.4, п.5.1, п.15</v>
      </c>
      <c r="J360" s="29">
        <f>IF(C360="","",IFERROR(INDEX(Перечень!$D$6:$D$51,MATCH(H360,Перечень!$A$6:$A$51,0)),12))</f>
        <v>12</v>
      </c>
      <c r="K360" s="34"/>
      <c r="L360" s="34"/>
      <c r="M360" s="31" t="str">
        <f t="shared" si="37"/>
        <v/>
      </c>
      <c r="N360" s="29" t="str">
        <f>IF(C360="","",IFERROR(INDEX(Перечень!$F$6:$F$51,MATCH(H360,Перечень!$A$6:$A$51,0)),""))</f>
        <v>-</v>
      </c>
      <c r="O360" s="34"/>
      <c r="P360" s="31" t="str">
        <f t="shared" si="38"/>
        <v/>
      </c>
      <c r="Q360" s="29" t="str">
        <f t="shared" si="39"/>
        <v/>
      </c>
      <c r="R360" s="29" t="str">
        <f t="shared" ca="1" si="40"/>
        <v>Нет сведений</v>
      </c>
      <c r="S360" s="29" t="str">
        <f t="shared" si="41"/>
        <v/>
      </c>
    </row>
    <row r="361" spans="1:19" x14ac:dyDescent="0.3">
      <c r="A361" s="29">
        <f t="shared" si="35"/>
        <v>356</v>
      </c>
      <c r="B361" s="30" t="s">
        <v>99</v>
      </c>
      <c r="C361" s="30" t="s">
        <v>623</v>
      </c>
      <c r="D361" s="30" t="s">
        <v>394</v>
      </c>
      <c r="E361" s="30" t="s">
        <v>375</v>
      </c>
      <c r="F361" s="31">
        <v>46267</v>
      </c>
      <c r="G361" s="32" t="str">
        <f t="shared" si="36"/>
        <v>техник</v>
      </c>
      <c r="H361" s="29">
        <f>IF(C361="","",IF(AND(G361="мастер участка",ISNUMBER(SEARCH("РЭО",E361))),29,IFERROR(INDEX(Соответствие!$B$2:$B$100,MATCH(G361,Соответствие!$A$2:$A$100,0)),"?")))</f>
        <v>36</v>
      </c>
      <c r="I361" s="33" t="str">
        <f>IF(C361="","",IFERROR(INDEX(Перечень!$C$6:$C$51,MATCH(H361,Перечень!$A$6:$A$51,0)),""))</f>
        <v>п.1.14.2, п.1.36, п.1.37.1, п.1.45.1, п.1.45.2, п.1.50, п.4.3.1, п.4.4, п.5.1, п.17</v>
      </c>
      <c r="J361" s="29">
        <f>IF(C361="","",IFERROR(INDEX(Перечень!$D$6:$D$51,MATCH(H361,Перечень!$A$6:$A$51,0)),12))</f>
        <v>12</v>
      </c>
      <c r="K361" s="34">
        <v>46262</v>
      </c>
      <c r="L361" s="34"/>
      <c r="M361" s="31">
        <f t="shared" si="37"/>
        <v>46627</v>
      </c>
      <c r="N361" s="29" t="str">
        <f>IF(C361="","",IFERROR(INDEX(Перечень!$F$6:$F$51,MATCH(H361,Перечень!$A$6:$A$51,0)),""))</f>
        <v>-</v>
      </c>
      <c r="O361" s="34"/>
      <c r="P361" s="31" t="str">
        <f t="shared" si="38"/>
        <v/>
      </c>
      <c r="Q361" s="29" t="str">
        <f t="shared" si="39"/>
        <v/>
      </c>
      <c r="R361" s="29" t="str">
        <f t="shared" ca="1" si="40"/>
        <v>В срок</v>
      </c>
      <c r="S361" s="29" t="str">
        <f t="shared" si="41"/>
        <v/>
      </c>
    </row>
    <row r="362" spans="1:19" x14ac:dyDescent="0.3">
      <c r="A362" s="29">
        <f t="shared" si="35"/>
        <v>357</v>
      </c>
      <c r="B362" s="30" t="s">
        <v>99</v>
      </c>
      <c r="C362" s="30" t="s">
        <v>624</v>
      </c>
      <c r="D362" s="30" t="s">
        <v>234</v>
      </c>
      <c r="E362" s="30" t="s">
        <v>275</v>
      </c>
      <c r="F362" s="31">
        <v>46290</v>
      </c>
      <c r="G362" s="32" t="str">
        <f t="shared" si="36"/>
        <v>мастер участка</v>
      </c>
      <c r="H362" s="29">
        <f>IF(C362="","",IF(AND(G362="мастер участка",ISNUMBER(SEARCH("РЭО",E362))),29,IFERROR(INDEX(Соответствие!$B$2:$B$100,MATCH(G362,Соответствие!$A$2:$A$100,0)),"?")))</f>
        <v>18</v>
      </c>
      <c r="I362" s="33" t="str">
        <f>IF(C362="","",IFERROR(INDEX(Перечень!$C$6:$C$51,MATCH(H362,Перечень!$A$6:$A$51,0)),""))</f>
        <v>п.4.4, п.5.1, п.5.2</v>
      </c>
      <c r="J362" s="29">
        <f>IF(C362="","",IFERROR(INDEX(Перечень!$D$6:$D$51,MATCH(H362,Перечень!$A$6:$A$51,0)),12))</f>
        <v>12</v>
      </c>
      <c r="K362" s="34">
        <v>46286</v>
      </c>
      <c r="L362" s="34"/>
      <c r="M362" s="31">
        <f t="shared" si="37"/>
        <v>46651</v>
      </c>
      <c r="N362" s="29" t="str">
        <f>IF(C362="","",IFERROR(INDEX(Перечень!$F$6:$F$51,MATCH(H362,Перечень!$A$6:$A$51,0)),""))</f>
        <v>-</v>
      </c>
      <c r="O362" s="34"/>
      <c r="P362" s="31" t="str">
        <f t="shared" si="38"/>
        <v/>
      </c>
      <c r="Q362" s="29" t="str">
        <f t="shared" si="39"/>
        <v/>
      </c>
      <c r="R362" s="29" t="str">
        <f t="shared" ca="1" si="40"/>
        <v>В срок</v>
      </c>
      <c r="S362" s="29" t="str">
        <f t="shared" si="41"/>
        <v/>
      </c>
    </row>
    <row r="363" spans="1:19" x14ac:dyDescent="0.3">
      <c r="A363" s="29">
        <f t="shared" si="35"/>
        <v>358</v>
      </c>
      <c r="B363" s="30" t="s">
        <v>99</v>
      </c>
      <c r="C363" s="30" t="s">
        <v>625</v>
      </c>
      <c r="D363" s="30" t="s">
        <v>324</v>
      </c>
      <c r="E363" s="30" t="s">
        <v>275</v>
      </c>
      <c r="F363" s="31">
        <v>46286</v>
      </c>
      <c r="G363" s="32" t="str">
        <f t="shared" si="36"/>
        <v>оператор станков с чпу</v>
      </c>
      <c r="H363" s="29">
        <f>IF(C363="","",IF(AND(G363="мастер участка",ISNUMBER(SEARCH("РЭО",E363))),29,IFERROR(INDEX(Соответствие!$B$2:$B$100,MATCH(G363,Соответствие!$A$2:$A$100,0)),"?")))</f>
        <v>30</v>
      </c>
      <c r="I363" s="33" t="str">
        <f>IF(C363="","",IFERROR(INDEX(Перечень!$C$6:$C$51,MATCH(H363,Перечень!$A$6:$A$51,0)),""))</f>
        <v>п.4.3.1, п.4.3.2, п.4.4, п.5.1, п.5.2, п.15</v>
      </c>
      <c r="J363" s="29">
        <f>IF(C363="","",IFERROR(INDEX(Перечень!$D$6:$D$51,MATCH(H363,Перечень!$A$6:$A$51,0)),12))</f>
        <v>12</v>
      </c>
      <c r="K363" s="34">
        <v>46279</v>
      </c>
      <c r="L363" s="34"/>
      <c r="M363" s="31">
        <f t="shared" si="37"/>
        <v>46644</v>
      </c>
      <c r="N363" s="29" t="str">
        <f>IF(C363="","",IFERROR(INDEX(Перечень!$F$6:$F$51,MATCH(H363,Перечень!$A$6:$A$51,0)),""))</f>
        <v>-</v>
      </c>
      <c r="O363" s="34"/>
      <c r="P363" s="31" t="str">
        <f t="shared" si="38"/>
        <v/>
      </c>
      <c r="Q363" s="29" t="str">
        <f t="shared" si="39"/>
        <v/>
      </c>
      <c r="R363" s="29" t="str">
        <f t="shared" ca="1" si="40"/>
        <v>В срок</v>
      </c>
      <c r="S363" s="29" t="str">
        <f t="shared" si="41"/>
        <v/>
      </c>
    </row>
    <row r="364" spans="1:19" x14ac:dyDescent="0.3">
      <c r="A364" s="29">
        <f t="shared" si="35"/>
        <v>359</v>
      </c>
      <c r="B364" s="30" t="s">
        <v>99</v>
      </c>
      <c r="C364" s="30" t="s">
        <v>626</v>
      </c>
      <c r="D364" s="30" t="s">
        <v>627</v>
      </c>
      <c r="E364" s="30" t="s">
        <v>275</v>
      </c>
      <c r="F364" s="31">
        <v>46296</v>
      </c>
      <c r="G364" s="32" t="str">
        <f t="shared" si="36"/>
        <v>оператор станков с чпу</v>
      </c>
      <c r="H364" s="29">
        <f>IF(C364="","",IF(AND(G364="мастер участка",ISNUMBER(SEARCH("РЭО",E364))),29,IFERROR(INDEX(Соответствие!$B$2:$B$100,MATCH(G364,Соответствие!$A$2:$A$100,0)),"?")))</f>
        <v>30</v>
      </c>
      <c r="I364" s="33" t="str">
        <f>IF(C364="","",IFERROR(INDEX(Перечень!$C$6:$C$51,MATCH(H364,Перечень!$A$6:$A$51,0)),""))</f>
        <v>п.4.3.1, п.4.3.2, п.4.4, п.5.1, п.5.2, п.15</v>
      </c>
      <c r="J364" s="29">
        <f>IF(C364="","",IFERROR(INDEX(Перечень!$D$6:$D$51,MATCH(H364,Перечень!$A$6:$A$51,0)),12))</f>
        <v>12</v>
      </c>
      <c r="K364" s="34">
        <v>46287</v>
      </c>
      <c r="L364" s="34"/>
      <c r="M364" s="31">
        <f t="shared" si="37"/>
        <v>46652</v>
      </c>
      <c r="N364" s="29" t="str">
        <f>IF(C364="","",IFERROR(INDEX(Перечень!$F$6:$F$51,MATCH(H364,Перечень!$A$6:$A$51,0)),""))</f>
        <v>-</v>
      </c>
      <c r="O364" s="34"/>
      <c r="P364" s="31" t="str">
        <f t="shared" si="38"/>
        <v/>
      </c>
      <c r="Q364" s="29" t="str">
        <f t="shared" si="39"/>
        <v/>
      </c>
      <c r="R364" s="29" t="str">
        <f t="shared" ca="1" si="40"/>
        <v>В срок</v>
      </c>
      <c r="S364" s="29" t="str">
        <f t="shared" si="41"/>
        <v/>
      </c>
    </row>
    <row r="365" spans="1:19" x14ac:dyDescent="0.3">
      <c r="A365" s="29">
        <f t="shared" si="35"/>
        <v>360</v>
      </c>
      <c r="B365" s="30" t="s">
        <v>101</v>
      </c>
      <c r="C365" s="30" t="s">
        <v>628</v>
      </c>
      <c r="D365" s="30" t="s">
        <v>629</v>
      </c>
      <c r="E365" s="30" t="s">
        <v>541</v>
      </c>
      <c r="F365" s="31">
        <v>46296</v>
      </c>
      <c r="G365" s="32" t="str">
        <f t="shared" si="36"/>
        <v>инженер-механик</v>
      </c>
      <c r="H365" s="29">
        <f>IF(C365="","",IF(AND(G365="мастер участка",ISNUMBER(SEARCH("РЭО",E365))),29,IFERROR(INDEX(Соответствие!$B$2:$B$100,MATCH(G365,Соответствие!$A$2:$A$100,0)),"?")))</f>
        <v>11</v>
      </c>
      <c r="I365" s="33" t="str">
        <f>IF(C365="","",IFERROR(INDEX(Перечень!$C$6:$C$51,MATCH(H365,Перечень!$A$6:$A$51,0)),""))</f>
        <v>п.4.3.1, п.4.3.2, п.4.4, п.4.6, п.5.1, п.6.2</v>
      </c>
      <c r="J365" s="29">
        <f>IF(C365="","",IFERROR(INDEX(Перечень!$D$6:$D$51,MATCH(H365,Перечень!$A$6:$A$51,0)),12))</f>
        <v>12</v>
      </c>
      <c r="K365" s="34">
        <v>46287</v>
      </c>
      <c r="L365" s="34"/>
      <c r="M365" s="31">
        <f t="shared" si="37"/>
        <v>46652</v>
      </c>
      <c r="N365" s="29" t="str">
        <f>IF(C365="","",IFERROR(INDEX(Перечень!$F$6:$F$51,MATCH(H365,Перечень!$A$6:$A$51,0)),""))</f>
        <v>-</v>
      </c>
      <c r="O365" s="34"/>
      <c r="P365" s="31" t="str">
        <f t="shared" si="38"/>
        <v/>
      </c>
      <c r="Q365" s="29" t="str">
        <f t="shared" si="39"/>
        <v/>
      </c>
      <c r="R365" s="29" t="str">
        <f t="shared" ca="1" si="40"/>
        <v>В срок</v>
      </c>
      <c r="S365" s="29" t="str">
        <f t="shared" si="41"/>
        <v/>
      </c>
    </row>
    <row r="366" spans="1:19" x14ac:dyDescent="0.3">
      <c r="A366" s="29">
        <f t="shared" si="35"/>
        <v>361</v>
      </c>
      <c r="B366" s="30" t="s">
        <v>101</v>
      </c>
      <c r="C366" s="30" t="s">
        <v>630</v>
      </c>
      <c r="D366" s="30" t="s">
        <v>197</v>
      </c>
      <c r="E366" s="30" t="s">
        <v>605</v>
      </c>
      <c r="F366" s="31">
        <v>46297</v>
      </c>
      <c r="G366" s="32" t="str">
        <f t="shared" si="36"/>
        <v>кладовщик</v>
      </c>
      <c r="H366" s="29">
        <f>IF(C366="","",IF(AND(G366="мастер участка",ISNUMBER(SEARCH("РЭО",E366))),29,IFERROR(INDEX(Соответствие!$B$2:$B$100,MATCH(G366,Соответствие!$A$2:$A$100,0)),"?")))</f>
        <v>14</v>
      </c>
      <c r="I366" s="33" t="str">
        <f>IF(C366="","",IFERROR(INDEX(Перечень!$C$6:$C$51,MATCH(H366,Перечень!$A$6:$A$51,0)),""))</f>
        <v>п.4.4, п.5.1, п.6.2</v>
      </c>
      <c r="J366" s="29">
        <f>IF(C366="","",IFERROR(INDEX(Перечень!$D$6:$D$51,MATCH(H366,Перечень!$A$6:$A$51,0)),12))</f>
        <v>12</v>
      </c>
      <c r="K366" s="34">
        <v>46294</v>
      </c>
      <c r="L366" s="34"/>
      <c r="M366" s="31">
        <f t="shared" si="37"/>
        <v>46659</v>
      </c>
      <c r="N366" s="29" t="str">
        <f>IF(C366="","",IFERROR(INDEX(Перечень!$F$6:$F$51,MATCH(H366,Перечень!$A$6:$A$51,0)),""))</f>
        <v>-</v>
      </c>
      <c r="O366" s="34"/>
      <c r="P366" s="31" t="str">
        <f t="shared" si="38"/>
        <v/>
      </c>
      <c r="Q366" s="29" t="str">
        <f t="shared" si="39"/>
        <v/>
      </c>
      <c r="R366" s="29" t="str">
        <f t="shared" ca="1" si="40"/>
        <v>В срок</v>
      </c>
      <c r="S366" s="29" t="str">
        <f t="shared" si="41"/>
        <v/>
      </c>
    </row>
    <row r="367" spans="1:19" x14ac:dyDescent="0.3">
      <c r="A367" s="29">
        <f t="shared" si="35"/>
        <v>362</v>
      </c>
      <c r="B367" s="30" t="s">
        <v>96</v>
      </c>
      <c r="C367" s="30" t="s">
        <v>631</v>
      </c>
      <c r="D367" s="30" t="s">
        <v>499</v>
      </c>
      <c r="E367" s="30" t="s">
        <v>200</v>
      </c>
      <c r="F367" s="31">
        <v>46293</v>
      </c>
      <c r="G367" s="32" t="str">
        <f t="shared" si="36"/>
        <v>электромонтажник</v>
      </c>
      <c r="H367" s="29">
        <f>IF(C367="","",IF(AND(G367="мастер участка",ISNUMBER(SEARCH("РЭО",E367))),29,IFERROR(INDEX(Соответствие!$B$2:$B$100,MATCH(G367,Соответствие!$A$2:$A$100,0)),"?")))</f>
        <v>20</v>
      </c>
      <c r="I367" s="33" t="str">
        <f>IF(C367="","",IFERROR(INDEX(Перечень!$C$6:$C$51,MATCH(H367,Перечень!$A$6:$A$51,0)),""))</f>
        <v>п.4.3.1, п.4.3.2, п.4.4, п.4.9, п.5.1, п.5.2, п.6.2, п.9</v>
      </c>
      <c r="J367" s="29">
        <f>IF(C367="","",IFERROR(INDEX(Перечень!$D$6:$D$51,MATCH(H367,Перечень!$A$6:$A$51,0)),12))</f>
        <v>12</v>
      </c>
      <c r="K367" s="34"/>
      <c r="L367" s="34"/>
      <c r="M367" s="31" t="str">
        <f t="shared" si="37"/>
        <v/>
      </c>
      <c r="N367" s="29" t="str">
        <f>IF(C367="","",IFERROR(INDEX(Перечень!$F$6:$F$51,MATCH(H367,Перечень!$A$6:$A$51,0)),""))</f>
        <v>Да</v>
      </c>
      <c r="O367" s="34"/>
      <c r="P367" s="31" t="str">
        <f t="shared" si="38"/>
        <v/>
      </c>
      <c r="Q367" s="29" t="str">
        <f t="shared" si="39"/>
        <v/>
      </c>
      <c r="R367" s="29" t="str">
        <f t="shared" ca="1" si="40"/>
        <v>Нет сведений</v>
      </c>
      <c r="S367" s="29" t="str">
        <f t="shared" si="41"/>
        <v>Не пройдено</v>
      </c>
    </row>
    <row r="368" spans="1:19" x14ac:dyDescent="0.3">
      <c r="A368" s="29">
        <f t="shared" si="35"/>
        <v>363</v>
      </c>
      <c r="B368" s="30" t="s">
        <v>96</v>
      </c>
      <c r="C368" s="30" t="s">
        <v>632</v>
      </c>
      <c r="D368" s="30" t="s">
        <v>157</v>
      </c>
      <c r="E368" s="30" t="s">
        <v>177</v>
      </c>
      <c r="F368" s="31">
        <v>46296</v>
      </c>
      <c r="G368" s="32" t="str">
        <f t="shared" si="36"/>
        <v>слесарь-сборщик</v>
      </c>
      <c r="H368" s="29">
        <f>IF(C368="","",IF(AND(G368="мастер участка",ISNUMBER(SEARCH("РЭО",E368))),29,IFERROR(INDEX(Соответствие!$B$2:$B$100,MATCH(G368,Соответствие!$A$2:$A$100,0)),"?")))</f>
        <v>19</v>
      </c>
      <c r="I368" s="33" t="str">
        <f>IF(C368="","",IFERROR(INDEX(Перечень!$C$6:$C$51,MATCH(H368,Перечень!$A$6:$A$51,0)),""))</f>
        <v>п.4.3.1, п.4.3.2, п.4.4, п.5.1, п.6.2, п.15</v>
      </c>
      <c r="J368" s="29">
        <f>IF(C368="","",IFERROR(INDEX(Перечень!$D$6:$D$51,MATCH(H368,Перечень!$A$6:$A$51,0)),12))</f>
        <v>12</v>
      </c>
      <c r="K368" s="34"/>
      <c r="L368" s="34"/>
      <c r="M368" s="31" t="str">
        <f t="shared" si="37"/>
        <v/>
      </c>
      <c r="N368" s="29" t="str">
        <f>IF(C368="","",IFERROR(INDEX(Перечень!$F$6:$F$51,MATCH(H368,Перечень!$A$6:$A$51,0)),""))</f>
        <v>-</v>
      </c>
      <c r="O368" s="34"/>
      <c r="P368" s="31" t="str">
        <f t="shared" si="38"/>
        <v/>
      </c>
      <c r="Q368" s="29" t="str">
        <f t="shared" si="39"/>
        <v/>
      </c>
      <c r="R368" s="29" t="str">
        <f t="shared" ca="1" si="40"/>
        <v>Нет сведений</v>
      </c>
      <c r="S368" s="29" t="str">
        <f t="shared" si="41"/>
        <v/>
      </c>
    </row>
    <row r="369" spans="1:19" x14ac:dyDescent="0.3">
      <c r="A369" s="29">
        <f t="shared" si="35"/>
        <v>364</v>
      </c>
      <c r="B369" s="30" t="s">
        <v>96</v>
      </c>
      <c r="C369" s="30" t="s">
        <v>633</v>
      </c>
      <c r="D369" s="30" t="s">
        <v>157</v>
      </c>
      <c r="E369" s="30" t="s">
        <v>177</v>
      </c>
      <c r="F369" s="31">
        <v>46286</v>
      </c>
      <c r="G369" s="32" t="str">
        <f t="shared" si="36"/>
        <v>слесарь-сборщик</v>
      </c>
      <c r="H369" s="29">
        <f>IF(C369="","",IF(AND(G369="мастер участка",ISNUMBER(SEARCH("РЭО",E369))),29,IFERROR(INDEX(Соответствие!$B$2:$B$100,MATCH(G369,Соответствие!$A$2:$A$100,0)),"?")))</f>
        <v>19</v>
      </c>
      <c r="I369" s="33" t="str">
        <f>IF(C369="","",IFERROR(INDEX(Перечень!$C$6:$C$51,MATCH(H369,Перечень!$A$6:$A$51,0)),""))</f>
        <v>п.4.3.1, п.4.3.2, п.4.4, п.5.1, п.6.2, п.15</v>
      </c>
      <c r="J369" s="29">
        <f>IF(C369="","",IFERROR(INDEX(Перечень!$D$6:$D$51,MATCH(H369,Перечень!$A$6:$A$51,0)),12))</f>
        <v>12</v>
      </c>
      <c r="K369" s="34">
        <v>46276</v>
      </c>
      <c r="L369" s="34"/>
      <c r="M369" s="31">
        <f t="shared" si="37"/>
        <v>46641</v>
      </c>
      <c r="N369" s="29" t="str">
        <f>IF(C369="","",IFERROR(INDEX(Перечень!$F$6:$F$51,MATCH(H369,Перечень!$A$6:$A$51,0)),""))</f>
        <v>-</v>
      </c>
      <c r="O369" s="34"/>
      <c r="P369" s="31" t="str">
        <f t="shared" si="38"/>
        <v/>
      </c>
      <c r="Q369" s="29" t="str">
        <f t="shared" si="39"/>
        <v/>
      </c>
      <c r="R369" s="29" t="str">
        <f t="shared" ca="1" si="40"/>
        <v>В срок</v>
      </c>
      <c r="S369" s="29" t="str">
        <f t="shared" si="41"/>
        <v/>
      </c>
    </row>
    <row r="370" spans="1:19" x14ac:dyDescent="0.3">
      <c r="A370" s="29">
        <f t="shared" si="35"/>
        <v>365</v>
      </c>
      <c r="B370" s="30" t="s">
        <v>96</v>
      </c>
      <c r="C370" s="30" t="s">
        <v>634</v>
      </c>
      <c r="D370" s="30" t="s">
        <v>197</v>
      </c>
      <c r="E370" s="30" t="s">
        <v>198</v>
      </c>
      <c r="F370" s="31">
        <v>46269</v>
      </c>
      <c r="G370" s="32" t="str">
        <f t="shared" si="36"/>
        <v>кладовщик</v>
      </c>
      <c r="H370" s="29">
        <f>IF(C370="","",IF(AND(G370="мастер участка",ISNUMBER(SEARCH("РЭО",E370))),29,IFERROR(INDEX(Соответствие!$B$2:$B$100,MATCH(G370,Соответствие!$A$2:$A$100,0)),"?")))</f>
        <v>14</v>
      </c>
      <c r="I370" s="33" t="str">
        <f>IF(C370="","",IFERROR(INDEX(Перечень!$C$6:$C$51,MATCH(H370,Перечень!$A$6:$A$51,0)),""))</f>
        <v>п.4.4, п.5.1, п.6.2</v>
      </c>
      <c r="J370" s="29">
        <f>IF(C370="","",IFERROR(INDEX(Перечень!$D$6:$D$51,MATCH(H370,Перечень!$A$6:$A$51,0)),12))</f>
        <v>12</v>
      </c>
      <c r="K370" s="34">
        <v>46266</v>
      </c>
      <c r="L370" s="34"/>
      <c r="M370" s="31">
        <f t="shared" si="37"/>
        <v>46631</v>
      </c>
      <c r="N370" s="29" t="str">
        <f>IF(C370="","",IFERROR(INDEX(Перечень!$F$6:$F$51,MATCH(H370,Перечень!$A$6:$A$51,0)),""))</f>
        <v>-</v>
      </c>
      <c r="O370" s="34"/>
      <c r="P370" s="31" t="str">
        <f t="shared" si="38"/>
        <v/>
      </c>
      <c r="Q370" s="29" t="str">
        <f t="shared" si="39"/>
        <v/>
      </c>
      <c r="R370" s="29" t="str">
        <f t="shared" ca="1" si="40"/>
        <v>В срок</v>
      </c>
      <c r="S370" s="29" t="str">
        <f t="shared" si="41"/>
        <v/>
      </c>
    </row>
    <row r="371" spans="1:19" x14ac:dyDescent="0.3">
      <c r="A371" s="29" t="str">
        <f t="shared" si="35"/>
        <v/>
      </c>
      <c r="B371" s="30"/>
      <c r="C371" s="30"/>
      <c r="D371" s="30"/>
      <c r="E371" s="30"/>
      <c r="F371" s="31"/>
      <c r="G371" s="32" t="str">
        <f t="shared" si="36"/>
        <v/>
      </c>
      <c r="H371" s="29" t="str">
        <f>IF(C371="","",IF(AND(G371="мастер участка",ISNUMBER(SEARCH("РЭО",E371))),29,IFERROR(INDEX(Соответствие!$B$2:$B$100,MATCH(G371,Соответствие!$A$2:$A$100,0)),"?")))</f>
        <v/>
      </c>
      <c r="I371" s="33" t="str">
        <f>IF(C371="","",IFERROR(INDEX(Перечень!$C$6:$C$51,MATCH(H371,Перечень!$A$6:$A$51,0)),""))</f>
        <v/>
      </c>
      <c r="J371" s="29" t="str">
        <f>IF(C371="","",IFERROR(INDEX(Перечень!$D$6:$D$51,MATCH(H371,Перечень!$A$6:$A$51,0)),12))</f>
        <v/>
      </c>
      <c r="K371" s="34"/>
      <c r="L371" s="34"/>
      <c r="M371" s="31" t="str">
        <f t="shared" si="37"/>
        <v/>
      </c>
      <c r="N371" s="29" t="str">
        <f>IF(C371="","",IFERROR(INDEX(Перечень!$F$6:$F$51,MATCH(H371,Перечень!$A$6:$A$51,0)),""))</f>
        <v/>
      </c>
      <c r="O371" s="34"/>
      <c r="P371" s="31" t="str">
        <f t="shared" si="38"/>
        <v/>
      </c>
      <c r="Q371" s="29" t="str">
        <f t="shared" si="39"/>
        <v/>
      </c>
      <c r="R371" s="29" t="str">
        <f t="shared" ca="1" si="40"/>
        <v/>
      </c>
      <c r="S371" s="29" t="str">
        <f t="shared" si="41"/>
        <v/>
      </c>
    </row>
    <row r="372" spans="1:19" x14ac:dyDescent="0.3">
      <c r="A372" s="29" t="str">
        <f t="shared" si="35"/>
        <v/>
      </c>
      <c r="B372" s="30"/>
      <c r="C372" s="30"/>
      <c r="D372" s="30"/>
      <c r="E372" s="30"/>
      <c r="F372" s="31"/>
      <c r="G372" s="32" t="str">
        <f t="shared" si="36"/>
        <v/>
      </c>
      <c r="H372" s="29" t="str">
        <f>IF(C372="","",IF(AND(G372="мастер участка",ISNUMBER(SEARCH("РЭО",E372))),29,IFERROR(INDEX(Соответствие!$B$2:$B$100,MATCH(G372,Соответствие!$A$2:$A$100,0)),"?")))</f>
        <v/>
      </c>
      <c r="I372" s="33" t="str">
        <f>IF(C372="","",IFERROR(INDEX(Перечень!$C$6:$C$51,MATCH(H372,Перечень!$A$6:$A$51,0)),""))</f>
        <v/>
      </c>
      <c r="J372" s="29" t="str">
        <f>IF(C372="","",IFERROR(INDEX(Перечень!$D$6:$D$51,MATCH(H372,Перечень!$A$6:$A$51,0)),12))</f>
        <v/>
      </c>
      <c r="K372" s="34"/>
      <c r="L372" s="34"/>
      <c r="M372" s="31" t="str">
        <f t="shared" si="37"/>
        <v/>
      </c>
      <c r="N372" s="29" t="str">
        <f>IF(C372="","",IFERROR(INDEX(Перечень!$F$6:$F$51,MATCH(H372,Перечень!$A$6:$A$51,0)),""))</f>
        <v/>
      </c>
      <c r="O372" s="34"/>
      <c r="P372" s="31" t="str">
        <f t="shared" si="38"/>
        <v/>
      </c>
      <c r="Q372" s="29" t="str">
        <f t="shared" si="39"/>
        <v/>
      </c>
      <c r="R372" s="29" t="str">
        <f t="shared" ca="1" si="40"/>
        <v/>
      </c>
      <c r="S372" s="29" t="str">
        <f t="shared" si="41"/>
        <v/>
      </c>
    </row>
    <row r="373" spans="1:19" x14ac:dyDescent="0.3">
      <c r="A373" s="29" t="str">
        <f t="shared" si="35"/>
        <v/>
      </c>
      <c r="B373" s="30"/>
      <c r="C373" s="30"/>
      <c r="D373" s="30"/>
      <c r="E373" s="30"/>
      <c r="F373" s="31"/>
      <c r="G373" s="32" t="str">
        <f t="shared" si="36"/>
        <v/>
      </c>
      <c r="H373" s="29" t="str">
        <f>IF(C373="","",IF(AND(G373="мастер участка",ISNUMBER(SEARCH("РЭО",E373))),29,IFERROR(INDEX(Соответствие!$B$2:$B$100,MATCH(G373,Соответствие!$A$2:$A$100,0)),"?")))</f>
        <v/>
      </c>
      <c r="I373" s="33" t="str">
        <f>IF(C373="","",IFERROR(INDEX(Перечень!$C$6:$C$51,MATCH(H373,Перечень!$A$6:$A$51,0)),""))</f>
        <v/>
      </c>
      <c r="J373" s="29" t="str">
        <f>IF(C373="","",IFERROR(INDEX(Перечень!$D$6:$D$51,MATCH(H373,Перечень!$A$6:$A$51,0)),12))</f>
        <v/>
      </c>
      <c r="K373" s="34"/>
      <c r="L373" s="34"/>
      <c r="M373" s="31" t="str">
        <f t="shared" si="37"/>
        <v/>
      </c>
      <c r="N373" s="29" t="str">
        <f>IF(C373="","",IFERROR(INDEX(Перечень!$F$6:$F$51,MATCH(H373,Перечень!$A$6:$A$51,0)),""))</f>
        <v/>
      </c>
      <c r="O373" s="34"/>
      <c r="P373" s="31" t="str">
        <f t="shared" si="38"/>
        <v/>
      </c>
      <c r="Q373" s="29" t="str">
        <f t="shared" si="39"/>
        <v/>
      </c>
      <c r="R373" s="29" t="str">
        <f t="shared" ca="1" si="40"/>
        <v/>
      </c>
      <c r="S373" s="29" t="str">
        <f t="shared" si="41"/>
        <v/>
      </c>
    </row>
    <row r="374" spans="1:19" x14ac:dyDescent="0.3">
      <c r="A374" s="29" t="str">
        <f t="shared" si="35"/>
        <v/>
      </c>
      <c r="B374" s="30"/>
      <c r="C374" s="30"/>
      <c r="D374" s="30"/>
      <c r="E374" s="30"/>
      <c r="F374" s="31"/>
      <c r="G374" s="32" t="str">
        <f t="shared" si="36"/>
        <v/>
      </c>
      <c r="H374" s="29" t="str">
        <f>IF(C374="","",IF(AND(G374="мастер участка",ISNUMBER(SEARCH("РЭО",E374))),29,IFERROR(INDEX(Соответствие!$B$2:$B$100,MATCH(G374,Соответствие!$A$2:$A$100,0)),"?")))</f>
        <v/>
      </c>
      <c r="I374" s="33" t="str">
        <f>IF(C374="","",IFERROR(INDEX(Перечень!$C$6:$C$51,MATCH(H374,Перечень!$A$6:$A$51,0)),""))</f>
        <v/>
      </c>
      <c r="J374" s="29" t="str">
        <f>IF(C374="","",IFERROR(INDEX(Перечень!$D$6:$D$51,MATCH(H374,Перечень!$A$6:$A$51,0)),12))</f>
        <v/>
      </c>
      <c r="K374" s="34"/>
      <c r="L374" s="34"/>
      <c r="M374" s="31" t="str">
        <f t="shared" si="37"/>
        <v/>
      </c>
      <c r="N374" s="29" t="str">
        <f>IF(C374="","",IFERROR(INDEX(Перечень!$F$6:$F$51,MATCH(H374,Перечень!$A$6:$A$51,0)),""))</f>
        <v/>
      </c>
      <c r="O374" s="34"/>
      <c r="P374" s="31" t="str">
        <f t="shared" si="38"/>
        <v/>
      </c>
      <c r="Q374" s="29" t="str">
        <f t="shared" si="39"/>
        <v/>
      </c>
      <c r="R374" s="29" t="str">
        <f t="shared" ca="1" si="40"/>
        <v/>
      </c>
      <c r="S374" s="29" t="str">
        <f t="shared" si="41"/>
        <v/>
      </c>
    </row>
    <row r="375" spans="1:19" x14ac:dyDescent="0.3">
      <c r="A375" s="29" t="str">
        <f t="shared" si="35"/>
        <v/>
      </c>
      <c r="B375" s="30"/>
      <c r="C375" s="30"/>
      <c r="D375" s="30"/>
      <c r="E375" s="30"/>
      <c r="F375" s="31"/>
      <c r="G375" s="32" t="str">
        <f t="shared" si="36"/>
        <v/>
      </c>
      <c r="H375" s="29" t="str">
        <f>IF(C375="","",IF(AND(G375="мастер участка",ISNUMBER(SEARCH("РЭО",E375))),29,IFERROR(INDEX(Соответствие!$B$2:$B$100,MATCH(G375,Соответствие!$A$2:$A$100,0)),"?")))</f>
        <v/>
      </c>
      <c r="I375" s="33" t="str">
        <f>IF(C375="","",IFERROR(INDEX(Перечень!$C$6:$C$51,MATCH(H375,Перечень!$A$6:$A$51,0)),""))</f>
        <v/>
      </c>
      <c r="J375" s="29" t="str">
        <f>IF(C375="","",IFERROR(INDEX(Перечень!$D$6:$D$51,MATCH(H375,Перечень!$A$6:$A$51,0)),12))</f>
        <v/>
      </c>
      <c r="K375" s="34"/>
      <c r="L375" s="34"/>
      <c r="M375" s="31" t="str">
        <f t="shared" si="37"/>
        <v/>
      </c>
      <c r="N375" s="29" t="str">
        <f>IF(C375="","",IFERROR(INDEX(Перечень!$F$6:$F$51,MATCH(H375,Перечень!$A$6:$A$51,0)),""))</f>
        <v/>
      </c>
      <c r="O375" s="34"/>
      <c r="P375" s="31" t="str">
        <f t="shared" si="38"/>
        <v/>
      </c>
      <c r="Q375" s="29" t="str">
        <f t="shared" si="39"/>
        <v/>
      </c>
      <c r="R375" s="29" t="str">
        <f t="shared" ca="1" si="40"/>
        <v/>
      </c>
      <c r="S375" s="29" t="str">
        <f t="shared" si="41"/>
        <v/>
      </c>
    </row>
    <row r="376" spans="1:19" x14ac:dyDescent="0.3">
      <c r="A376" s="29" t="str">
        <f t="shared" si="35"/>
        <v/>
      </c>
      <c r="B376" s="30"/>
      <c r="C376" s="30"/>
      <c r="D376" s="30"/>
      <c r="E376" s="30"/>
      <c r="F376" s="31"/>
      <c r="G376" s="32" t="str">
        <f t="shared" si="36"/>
        <v/>
      </c>
      <c r="H376" s="29" t="str">
        <f>IF(C376="","",IF(AND(G376="мастер участка",ISNUMBER(SEARCH("РЭО",E376))),29,IFERROR(INDEX(Соответствие!$B$2:$B$100,MATCH(G376,Соответствие!$A$2:$A$100,0)),"?")))</f>
        <v/>
      </c>
      <c r="I376" s="33" t="str">
        <f>IF(C376="","",IFERROR(INDEX(Перечень!$C$6:$C$51,MATCH(H376,Перечень!$A$6:$A$51,0)),""))</f>
        <v/>
      </c>
      <c r="J376" s="29" t="str">
        <f>IF(C376="","",IFERROR(INDEX(Перечень!$D$6:$D$51,MATCH(H376,Перечень!$A$6:$A$51,0)),12))</f>
        <v/>
      </c>
      <c r="K376" s="34"/>
      <c r="L376" s="34"/>
      <c r="M376" s="31" t="str">
        <f t="shared" si="37"/>
        <v/>
      </c>
      <c r="N376" s="29" t="str">
        <f>IF(C376="","",IFERROR(INDEX(Перечень!$F$6:$F$51,MATCH(H376,Перечень!$A$6:$A$51,0)),""))</f>
        <v/>
      </c>
      <c r="O376" s="34"/>
      <c r="P376" s="31" t="str">
        <f t="shared" si="38"/>
        <v/>
      </c>
      <c r="Q376" s="29" t="str">
        <f t="shared" si="39"/>
        <v/>
      </c>
      <c r="R376" s="29" t="str">
        <f t="shared" ca="1" si="40"/>
        <v/>
      </c>
      <c r="S376" s="29" t="str">
        <f t="shared" si="41"/>
        <v/>
      </c>
    </row>
    <row r="377" spans="1:19" x14ac:dyDescent="0.3">
      <c r="A377" s="29" t="str">
        <f t="shared" si="35"/>
        <v/>
      </c>
      <c r="B377" s="30"/>
      <c r="C377" s="30"/>
      <c r="D377" s="30"/>
      <c r="E377" s="30"/>
      <c r="F377" s="31"/>
      <c r="G377" s="32" t="str">
        <f t="shared" si="36"/>
        <v/>
      </c>
      <c r="H377" s="29" t="str">
        <f>IF(C377="","",IF(AND(G377="мастер участка",ISNUMBER(SEARCH("РЭО",E377))),29,IFERROR(INDEX(Соответствие!$B$2:$B$100,MATCH(G377,Соответствие!$A$2:$A$100,0)),"?")))</f>
        <v/>
      </c>
      <c r="I377" s="33" t="str">
        <f>IF(C377="","",IFERROR(INDEX(Перечень!$C$6:$C$51,MATCH(H377,Перечень!$A$6:$A$51,0)),""))</f>
        <v/>
      </c>
      <c r="J377" s="29" t="str">
        <f>IF(C377="","",IFERROR(INDEX(Перечень!$D$6:$D$51,MATCH(H377,Перечень!$A$6:$A$51,0)),12))</f>
        <v/>
      </c>
      <c r="K377" s="34"/>
      <c r="L377" s="34"/>
      <c r="M377" s="31" t="str">
        <f t="shared" si="37"/>
        <v/>
      </c>
      <c r="N377" s="29" t="str">
        <f>IF(C377="","",IFERROR(INDEX(Перечень!$F$6:$F$51,MATCH(H377,Перечень!$A$6:$A$51,0)),""))</f>
        <v/>
      </c>
      <c r="O377" s="34"/>
      <c r="P377" s="31" t="str">
        <f t="shared" si="38"/>
        <v/>
      </c>
      <c r="Q377" s="29" t="str">
        <f t="shared" si="39"/>
        <v/>
      </c>
      <c r="R377" s="29" t="str">
        <f t="shared" ca="1" si="40"/>
        <v/>
      </c>
      <c r="S377" s="29" t="str">
        <f t="shared" si="41"/>
        <v/>
      </c>
    </row>
    <row r="378" spans="1:19" x14ac:dyDescent="0.3">
      <c r="A378" s="29" t="str">
        <f t="shared" si="35"/>
        <v/>
      </c>
      <c r="B378" s="30"/>
      <c r="C378" s="30"/>
      <c r="D378" s="30"/>
      <c r="E378" s="30"/>
      <c r="F378" s="31"/>
      <c r="G378" s="32" t="str">
        <f t="shared" si="36"/>
        <v/>
      </c>
      <c r="H378" s="29" t="str">
        <f>IF(C378="","",IF(AND(G378="мастер участка",ISNUMBER(SEARCH("РЭО",E378))),29,IFERROR(INDEX(Соответствие!$B$2:$B$100,MATCH(G378,Соответствие!$A$2:$A$100,0)),"?")))</f>
        <v/>
      </c>
      <c r="I378" s="33" t="str">
        <f>IF(C378="","",IFERROR(INDEX(Перечень!$C$6:$C$51,MATCH(H378,Перечень!$A$6:$A$51,0)),""))</f>
        <v/>
      </c>
      <c r="J378" s="29" t="str">
        <f>IF(C378="","",IFERROR(INDEX(Перечень!$D$6:$D$51,MATCH(H378,Перечень!$A$6:$A$51,0)),12))</f>
        <v/>
      </c>
      <c r="K378" s="34"/>
      <c r="L378" s="34"/>
      <c r="M378" s="31" t="str">
        <f t="shared" si="37"/>
        <v/>
      </c>
      <c r="N378" s="29" t="str">
        <f>IF(C378="","",IFERROR(INDEX(Перечень!$F$6:$F$51,MATCH(H378,Перечень!$A$6:$A$51,0)),""))</f>
        <v/>
      </c>
      <c r="O378" s="34"/>
      <c r="P378" s="31" t="str">
        <f t="shared" si="38"/>
        <v/>
      </c>
      <c r="Q378" s="29" t="str">
        <f t="shared" si="39"/>
        <v/>
      </c>
      <c r="R378" s="29" t="str">
        <f t="shared" ca="1" si="40"/>
        <v/>
      </c>
      <c r="S378" s="29" t="str">
        <f t="shared" si="41"/>
        <v/>
      </c>
    </row>
    <row r="379" spans="1:19" x14ac:dyDescent="0.3">
      <c r="A379" s="29" t="str">
        <f t="shared" si="35"/>
        <v/>
      </c>
      <c r="B379" s="30"/>
      <c r="C379" s="30"/>
      <c r="D379" s="30"/>
      <c r="E379" s="30"/>
      <c r="F379" s="31"/>
      <c r="G379" s="32" t="str">
        <f t="shared" si="36"/>
        <v/>
      </c>
      <c r="H379" s="29" t="str">
        <f>IF(C379="","",IF(AND(G379="мастер участка",ISNUMBER(SEARCH("РЭО",E379))),29,IFERROR(INDEX(Соответствие!$B$2:$B$100,MATCH(G379,Соответствие!$A$2:$A$100,0)),"?")))</f>
        <v/>
      </c>
      <c r="I379" s="33" t="str">
        <f>IF(C379="","",IFERROR(INDEX(Перечень!$C$6:$C$51,MATCH(H379,Перечень!$A$6:$A$51,0)),""))</f>
        <v/>
      </c>
      <c r="J379" s="29" t="str">
        <f>IF(C379="","",IFERROR(INDEX(Перечень!$D$6:$D$51,MATCH(H379,Перечень!$A$6:$A$51,0)),12))</f>
        <v/>
      </c>
      <c r="K379" s="34"/>
      <c r="L379" s="34"/>
      <c r="M379" s="31" t="str">
        <f t="shared" si="37"/>
        <v/>
      </c>
      <c r="N379" s="29" t="str">
        <f>IF(C379="","",IFERROR(INDEX(Перечень!$F$6:$F$51,MATCH(H379,Перечень!$A$6:$A$51,0)),""))</f>
        <v/>
      </c>
      <c r="O379" s="34"/>
      <c r="P379" s="31" t="str">
        <f t="shared" si="38"/>
        <v/>
      </c>
      <c r="Q379" s="29" t="str">
        <f t="shared" si="39"/>
        <v/>
      </c>
      <c r="R379" s="29" t="str">
        <f t="shared" ca="1" si="40"/>
        <v/>
      </c>
      <c r="S379" s="29" t="str">
        <f t="shared" si="41"/>
        <v/>
      </c>
    </row>
    <row r="380" spans="1:19" x14ac:dyDescent="0.3">
      <c r="A380" s="29" t="str">
        <f t="shared" si="35"/>
        <v/>
      </c>
      <c r="B380" s="30"/>
      <c r="C380" s="30"/>
      <c r="D380" s="30"/>
      <c r="E380" s="30"/>
      <c r="F380" s="31"/>
      <c r="G380" s="32" t="str">
        <f t="shared" si="36"/>
        <v/>
      </c>
      <c r="H380" s="29" t="str">
        <f>IF(C380="","",IF(AND(G380="мастер участка",ISNUMBER(SEARCH("РЭО",E380))),29,IFERROR(INDEX(Соответствие!$B$2:$B$100,MATCH(G380,Соответствие!$A$2:$A$100,0)),"?")))</f>
        <v/>
      </c>
      <c r="I380" s="33" t="str">
        <f>IF(C380="","",IFERROR(INDEX(Перечень!$C$6:$C$51,MATCH(H380,Перечень!$A$6:$A$51,0)),""))</f>
        <v/>
      </c>
      <c r="J380" s="29" t="str">
        <f>IF(C380="","",IFERROR(INDEX(Перечень!$D$6:$D$51,MATCH(H380,Перечень!$A$6:$A$51,0)),12))</f>
        <v/>
      </c>
      <c r="K380" s="34"/>
      <c r="L380" s="34"/>
      <c r="M380" s="31" t="str">
        <f t="shared" si="37"/>
        <v/>
      </c>
      <c r="N380" s="29" t="str">
        <f>IF(C380="","",IFERROR(INDEX(Перечень!$F$6:$F$51,MATCH(H380,Перечень!$A$6:$A$51,0)),""))</f>
        <v/>
      </c>
      <c r="O380" s="34"/>
      <c r="P380" s="31" t="str">
        <f t="shared" si="38"/>
        <v/>
      </c>
      <c r="Q380" s="29" t="str">
        <f t="shared" si="39"/>
        <v/>
      </c>
      <c r="R380" s="29" t="str">
        <f t="shared" ca="1" si="40"/>
        <v/>
      </c>
      <c r="S380" s="29" t="str">
        <f t="shared" si="41"/>
        <v/>
      </c>
    </row>
    <row r="381" spans="1:19" x14ac:dyDescent="0.3">
      <c r="A381" s="29" t="str">
        <f t="shared" si="35"/>
        <v/>
      </c>
      <c r="B381" s="30"/>
      <c r="C381" s="30"/>
      <c r="D381" s="30"/>
      <c r="E381" s="30"/>
      <c r="F381" s="31"/>
      <c r="G381" s="32" t="str">
        <f t="shared" si="36"/>
        <v/>
      </c>
      <c r="H381" s="29" t="str">
        <f>IF(C381="","",IF(AND(G381="мастер участка",ISNUMBER(SEARCH("РЭО",E381))),29,IFERROR(INDEX(Соответствие!$B$2:$B$100,MATCH(G381,Соответствие!$A$2:$A$100,0)),"?")))</f>
        <v/>
      </c>
      <c r="I381" s="33" t="str">
        <f>IF(C381="","",IFERROR(INDEX(Перечень!$C$6:$C$51,MATCH(H381,Перечень!$A$6:$A$51,0)),""))</f>
        <v/>
      </c>
      <c r="J381" s="29" t="str">
        <f>IF(C381="","",IFERROR(INDEX(Перечень!$D$6:$D$51,MATCH(H381,Перечень!$A$6:$A$51,0)),12))</f>
        <v/>
      </c>
      <c r="K381" s="34"/>
      <c r="L381" s="34"/>
      <c r="M381" s="31" t="str">
        <f t="shared" si="37"/>
        <v/>
      </c>
      <c r="N381" s="29" t="str">
        <f>IF(C381="","",IFERROR(INDEX(Перечень!$F$6:$F$51,MATCH(H381,Перечень!$A$6:$A$51,0)),""))</f>
        <v/>
      </c>
      <c r="O381" s="34"/>
      <c r="P381" s="31" t="str">
        <f t="shared" si="38"/>
        <v/>
      </c>
      <c r="Q381" s="29" t="str">
        <f t="shared" si="39"/>
        <v/>
      </c>
      <c r="R381" s="29" t="str">
        <f t="shared" ca="1" si="40"/>
        <v/>
      </c>
      <c r="S381" s="29" t="str">
        <f t="shared" si="41"/>
        <v/>
      </c>
    </row>
    <row r="382" spans="1:19" x14ac:dyDescent="0.3">
      <c r="A382" s="29" t="str">
        <f t="shared" si="35"/>
        <v/>
      </c>
      <c r="B382" s="30"/>
      <c r="C382" s="30"/>
      <c r="D382" s="30"/>
      <c r="E382" s="30"/>
      <c r="F382" s="31"/>
      <c r="G382" s="32" t="str">
        <f t="shared" si="36"/>
        <v/>
      </c>
      <c r="H382" s="29" t="str">
        <f>IF(C382="","",IF(AND(G382="мастер участка",ISNUMBER(SEARCH("РЭО",E382))),29,IFERROR(INDEX(Соответствие!$B$2:$B$100,MATCH(G382,Соответствие!$A$2:$A$100,0)),"?")))</f>
        <v/>
      </c>
      <c r="I382" s="33" t="str">
        <f>IF(C382="","",IFERROR(INDEX(Перечень!$C$6:$C$51,MATCH(H382,Перечень!$A$6:$A$51,0)),""))</f>
        <v/>
      </c>
      <c r="J382" s="29" t="str">
        <f>IF(C382="","",IFERROR(INDEX(Перечень!$D$6:$D$51,MATCH(H382,Перечень!$A$6:$A$51,0)),12))</f>
        <v/>
      </c>
      <c r="K382" s="34"/>
      <c r="L382" s="34"/>
      <c r="M382" s="31" t="str">
        <f t="shared" si="37"/>
        <v/>
      </c>
      <c r="N382" s="29" t="str">
        <f>IF(C382="","",IFERROR(INDEX(Перечень!$F$6:$F$51,MATCH(H382,Перечень!$A$6:$A$51,0)),""))</f>
        <v/>
      </c>
      <c r="O382" s="34"/>
      <c r="P382" s="31" t="str">
        <f t="shared" si="38"/>
        <v/>
      </c>
      <c r="Q382" s="29" t="str">
        <f t="shared" si="39"/>
        <v/>
      </c>
      <c r="R382" s="29" t="str">
        <f t="shared" ca="1" si="40"/>
        <v/>
      </c>
      <c r="S382" s="29" t="str">
        <f t="shared" si="41"/>
        <v/>
      </c>
    </row>
    <row r="383" spans="1:19" x14ac:dyDescent="0.3">
      <c r="A383" s="29" t="str">
        <f t="shared" si="35"/>
        <v/>
      </c>
      <c r="B383" s="30"/>
      <c r="C383" s="30"/>
      <c r="D383" s="30"/>
      <c r="E383" s="30"/>
      <c r="F383" s="31"/>
      <c r="G383" s="32" t="str">
        <f t="shared" si="36"/>
        <v/>
      </c>
      <c r="H383" s="29" t="str">
        <f>IF(C383="","",IF(AND(G383="мастер участка",ISNUMBER(SEARCH("РЭО",E383))),29,IFERROR(INDEX(Соответствие!$B$2:$B$100,MATCH(G383,Соответствие!$A$2:$A$100,0)),"?")))</f>
        <v/>
      </c>
      <c r="I383" s="33" t="str">
        <f>IF(C383="","",IFERROR(INDEX(Перечень!$C$6:$C$51,MATCH(H383,Перечень!$A$6:$A$51,0)),""))</f>
        <v/>
      </c>
      <c r="J383" s="29" t="str">
        <f>IF(C383="","",IFERROR(INDEX(Перечень!$D$6:$D$51,MATCH(H383,Перечень!$A$6:$A$51,0)),12))</f>
        <v/>
      </c>
      <c r="K383" s="34"/>
      <c r="L383" s="34"/>
      <c r="M383" s="31" t="str">
        <f t="shared" si="37"/>
        <v/>
      </c>
      <c r="N383" s="29" t="str">
        <f>IF(C383="","",IFERROR(INDEX(Перечень!$F$6:$F$51,MATCH(H383,Перечень!$A$6:$A$51,0)),""))</f>
        <v/>
      </c>
      <c r="O383" s="34"/>
      <c r="P383" s="31" t="str">
        <f t="shared" si="38"/>
        <v/>
      </c>
      <c r="Q383" s="29" t="str">
        <f t="shared" si="39"/>
        <v/>
      </c>
      <c r="R383" s="29" t="str">
        <f t="shared" ca="1" si="40"/>
        <v/>
      </c>
      <c r="S383" s="29" t="str">
        <f t="shared" si="41"/>
        <v/>
      </c>
    </row>
    <row r="384" spans="1:19" x14ac:dyDescent="0.3">
      <c r="A384" s="29" t="str">
        <f t="shared" si="35"/>
        <v/>
      </c>
      <c r="B384" s="30"/>
      <c r="C384" s="30"/>
      <c r="D384" s="30"/>
      <c r="E384" s="30"/>
      <c r="F384" s="31"/>
      <c r="G384" s="32" t="str">
        <f t="shared" si="36"/>
        <v/>
      </c>
      <c r="H384" s="29" t="str">
        <f>IF(C384="","",IF(AND(G384="мастер участка",ISNUMBER(SEARCH("РЭО",E384))),29,IFERROR(INDEX(Соответствие!$B$2:$B$100,MATCH(G384,Соответствие!$A$2:$A$100,0)),"?")))</f>
        <v/>
      </c>
      <c r="I384" s="33" t="str">
        <f>IF(C384="","",IFERROR(INDEX(Перечень!$C$6:$C$51,MATCH(H384,Перечень!$A$6:$A$51,0)),""))</f>
        <v/>
      </c>
      <c r="J384" s="29" t="str">
        <f>IF(C384="","",IFERROR(INDEX(Перечень!$D$6:$D$51,MATCH(H384,Перечень!$A$6:$A$51,0)),12))</f>
        <v/>
      </c>
      <c r="K384" s="34"/>
      <c r="L384" s="34"/>
      <c r="M384" s="31" t="str">
        <f t="shared" si="37"/>
        <v/>
      </c>
      <c r="N384" s="29" t="str">
        <f>IF(C384="","",IFERROR(INDEX(Перечень!$F$6:$F$51,MATCH(H384,Перечень!$A$6:$A$51,0)),""))</f>
        <v/>
      </c>
      <c r="O384" s="34"/>
      <c r="P384" s="31" t="str">
        <f t="shared" si="38"/>
        <v/>
      </c>
      <c r="Q384" s="29" t="str">
        <f t="shared" si="39"/>
        <v/>
      </c>
      <c r="R384" s="29" t="str">
        <f t="shared" ca="1" si="40"/>
        <v/>
      </c>
      <c r="S384" s="29" t="str">
        <f t="shared" si="41"/>
        <v/>
      </c>
    </row>
    <row r="385" spans="1:19" x14ac:dyDescent="0.3">
      <c r="A385" s="29" t="str">
        <f t="shared" si="35"/>
        <v/>
      </c>
      <c r="B385" s="30"/>
      <c r="C385" s="30"/>
      <c r="D385" s="30"/>
      <c r="E385" s="30"/>
      <c r="F385" s="31"/>
      <c r="G385" s="32" t="str">
        <f t="shared" si="36"/>
        <v/>
      </c>
      <c r="H385" s="29" t="str">
        <f>IF(C385="","",IF(AND(G385="мастер участка",ISNUMBER(SEARCH("РЭО",E385))),29,IFERROR(INDEX(Соответствие!$B$2:$B$100,MATCH(G385,Соответствие!$A$2:$A$100,0)),"?")))</f>
        <v/>
      </c>
      <c r="I385" s="33" t="str">
        <f>IF(C385="","",IFERROR(INDEX(Перечень!$C$6:$C$51,MATCH(H385,Перечень!$A$6:$A$51,0)),""))</f>
        <v/>
      </c>
      <c r="J385" s="29" t="str">
        <f>IF(C385="","",IFERROR(INDEX(Перечень!$D$6:$D$51,MATCH(H385,Перечень!$A$6:$A$51,0)),12))</f>
        <v/>
      </c>
      <c r="K385" s="34"/>
      <c r="L385" s="34"/>
      <c r="M385" s="31" t="str">
        <f t="shared" si="37"/>
        <v/>
      </c>
      <c r="N385" s="29" t="str">
        <f>IF(C385="","",IFERROR(INDEX(Перечень!$F$6:$F$51,MATCH(H385,Перечень!$A$6:$A$51,0)),""))</f>
        <v/>
      </c>
      <c r="O385" s="34"/>
      <c r="P385" s="31" t="str">
        <f t="shared" si="38"/>
        <v/>
      </c>
      <c r="Q385" s="29" t="str">
        <f t="shared" si="39"/>
        <v/>
      </c>
      <c r="R385" s="29" t="str">
        <f t="shared" ca="1" si="40"/>
        <v/>
      </c>
      <c r="S385" s="29" t="str">
        <f t="shared" si="41"/>
        <v/>
      </c>
    </row>
    <row r="386" spans="1:19" x14ac:dyDescent="0.3">
      <c r="A386" s="29" t="str">
        <f t="shared" si="35"/>
        <v/>
      </c>
      <c r="B386" s="30"/>
      <c r="C386" s="30"/>
      <c r="D386" s="30"/>
      <c r="E386" s="30"/>
      <c r="F386" s="31"/>
      <c r="G386" s="32" t="str">
        <f t="shared" si="36"/>
        <v/>
      </c>
      <c r="H386" s="29" t="str">
        <f>IF(C386="","",IF(AND(G386="мастер участка",ISNUMBER(SEARCH("РЭО",E386))),29,IFERROR(INDEX(Соответствие!$B$2:$B$100,MATCH(G386,Соответствие!$A$2:$A$100,0)),"?")))</f>
        <v/>
      </c>
      <c r="I386" s="33" t="str">
        <f>IF(C386="","",IFERROR(INDEX(Перечень!$C$6:$C$51,MATCH(H386,Перечень!$A$6:$A$51,0)),""))</f>
        <v/>
      </c>
      <c r="J386" s="29" t="str">
        <f>IF(C386="","",IFERROR(INDEX(Перечень!$D$6:$D$51,MATCH(H386,Перечень!$A$6:$A$51,0)),12))</f>
        <v/>
      </c>
      <c r="K386" s="34"/>
      <c r="L386" s="34"/>
      <c r="M386" s="31" t="str">
        <f t="shared" si="37"/>
        <v/>
      </c>
      <c r="N386" s="29" t="str">
        <f>IF(C386="","",IFERROR(INDEX(Перечень!$F$6:$F$51,MATCH(H386,Перечень!$A$6:$A$51,0)),""))</f>
        <v/>
      </c>
      <c r="O386" s="34"/>
      <c r="P386" s="31" t="str">
        <f t="shared" si="38"/>
        <v/>
      </c>
      <c r="Q386" s="29" t="str">
        <f t="shared" si="39"/>
        <v/>
      </c>
      <c r="R386" s="29" t="str">
        <f t="shared" ca="1" si="40"/>
        <v/>
      </c>
      <c r="S386" s="29" t="str">
        <f t="shared" si="41"/>
        <v/>
      </c>
    </row>
    <row r="387" spans="1:19" x14ac:dyDescent="0.3">
      <c r="A387" s="29" t="str">
        <f t="shared" si="35"/>
        <v/>
      </c>
      <c r="B387" s="30"/>
      <c r="C387" s="30"/>
      <c r="D387" s="30"/>
      <c r="E387" s="30"/>
      <c r="F387" s="31"/>
      <c r="G387" s="32" t="str">
        <f t="shared" si="36"/>
        <v/>
      </c>
      <c r="H387" s="29" t="str">
        <f>IF(C387="","",IF(AND(G387="мастер участка",ISNUMBER(SEARCH("РЭО",E387))),29,IFERROR(INDEX(Соответствие!$B$2:$B$100,MATCH(G387,Соответствие!$A$2:$A$100,0)),"?")))</f>
        <v/>
      </c>
      <c r="I387" s="33" t="str">
        <f>IF(C387="","",IFERROR(INDEX(Перечень!$C$6:$C$51,MATCH(H387,Перечень!$A$6:$A$51,0)),""))</f>
        <v/>
      </c>
      <c r="J387" s="29" t="str">
        <f>IF(C387="","",IFERROR(INDEX(Перечень!$D$6:$D$51,MATCH(H387,Перечень!$A$6:$A$51,0)),12))</f>
        <v/>
      </c>
      <c r="K387" s="34"/>
      <c r="L387" s="34"/>
      <c r="M387" s="31" t="str">
        <f t="shared" si="37"/>
        <v/>
      </c>
      <c r="N387" s="29" t="str">
        <f>IF(C387="","",IFERROR(INDEX(Перечень!$F$6:$F$51,MATCH(H387,Перечень!$A$6:$A$51,0)),""))</f>
        <v/>
      </c>
      <c r="O387" s="34"/>
      <c r="P387" s="31" t="str">
        <f t="shared" si="38"/>
        <v/>
      </c>
      <c r="Q387" s="29" t="str">
        <f t="shared" si="39"/>
        <v/>
      </c>
      <c r="R387" s="29" t="str">
        <f t="shared" ca="1" si="40"/>
        <v/>
      </c>
      <c r="S387" s="29" t="str">
        <f t="shared" si="41"/>
        <v/>
      </c>
    </row>
    <row r="388" spans="1:19" x14ac:dyDescent="0.3">
      <c r="A388" s="29" t="str">
        <f t="shared" si="35"/>
        <v/>
      </c>
      <c r="B388" s="30"/>
      <c r="C388" s="30"/>
      <c r="D388" s="30"/>
      <c r="E388" s="30"/>
      <c r="F388" s="31"/>
      <c r="G388" s="32" t="str">
        <f t="shared" si="36"/>
        <v/>
      </c>
      <c r="H388" s="29" t="str">
        <f>IF(C388="","",IF(AND(G388="мастер участка",ISNUMBER(SEARCH("РЭО",E388))),29,IFERROR(INDEX(Соответствие!$B$2:$B$100,MATCH(G388,Соответствие!$A$2:$A$100,0)),"?")))</f>
        <v/>
      </c>
      <c r="I388" s="33" t="str">
        <f>IF(C388="","",IFERROR(INDEX(Перечень!$C$6:$C$51,MATCH(H388,Перечень!$A$6:$A$51,0)),""))</f>
        <v/>
      </c>
      <c r="J388" s="29" t="str">
        <f>IF(C388="","",IFERROR(INDEX(Перечень!$D$6:$D$51,MATCH(H388,Перечень!$A$6:$A$51,0)),12))</f>
        <v/>
      </c>
      <c r="K388" s="34"/>
      <c r="L388" s="34"/>
      <c r="M388" s="31" t="str">
        <f t="shared" si="37"/>
        <v/>
      </c>
      <c r="N388" s="29" t="str">
        <f>IF(C388="","",IFERROR(INDEX(Перечень!$F$6:$F$51,MATCH(H388,Перечень!$A$6:$A$51,0)),""))</f>
        <v/>
      </c>
      <c r="O388" s="34"/>
      <c r="P388" s="31" t="str">
        <f t="shared" si="38"/>
        <v/>
      </c>
      <c r="Q388" s="29" t="str">
        <f t="shared" si="39"/>
        <v/>
      </c>
      <c r="R388" s="29" t="str">
        <f t="shared" ca="1" si="40"/>
        <v/>
      </c>
      <c r="S388" s="29" t="str">
        <f t="shared" si="41"/>
        <v/>
      </c>
    </row>
    <row r="389" spans="1:19" x14ac:dyDescent="0.3">
      <c r="A389" s="29" t="str">
        <f t="shared" si="35"/>
        <v/>
      </c>
      <c r="B389" s="30"/>
      <c r="C389" s="30"/>
      <c r="D389" s="30"/>
      <c r="E389" s="30"/>
      <c r="F389" s="31"/>
      <c r="G389" s="32" t="str">
        <f t="shared" si="36"/>
        <v/>
      </c>
      <c r="H389" s="29" t="str">
        <f>IF(C389="","",IF(AND(G389="мастер участка",ISNUMBER(SEARCH("РЭО",E389))),29,IFERROR(INDEX(Соответствие!$B$2:$B$100,MATCH(G389,Соответствие!$A$2:$A$100,0)),"?")))</f>
        <v/>
      </c>
      <c r="I389" s="33" t="str">
        <f>IF(C389="","",IFERROR(INDEX(Перечень!$C$6:$C$51,MATCH(H389,Перечень!$A$6:$A$51,0)),""))</f>
        <v/>
      </c>
      <c r="J389" s="29" t="str">
        <f>IF(C389="","",IFERROR(INDEX(Перечень!$D$6:$D$51,MATCH(H389,Перечень!$A$6:$A$51,0)),12))</f>
        <v/>
      </c>
      <c r="K389" s="34"/>
      <c r="L389" s="34"/>
      <c r="M389" s="31" t="str">
        <f t="shared" si="37"/>
        <v/>
      </c>
      <c r="N389" s="29" t="str">
        <f>IF(C389="","",IFERROR(INDEX(Перечень!$F$6:$F$51,MATCH(H389,Перечень!$A$6:$A$51,0)),""))</f>
        <v/>
      </c>
      <c r="O389" s="34"/>
      <c r="P389" s="31" t="str">
        <f t="shared" si="38"/>
        <v/>
      </c>
      <c r="Q389" s="29" t="str">
        <f t="shared" si="39"/>
        <v/>
      </c>
      <c r="R389" s="29" t="str">
        <f t="shared" ca="1" si="40"/>
        <v/>
      </c>
      <c r="S389" s="29" t="str">
        <f t="shared" si="41"/>
        <v/>
      </c>
    </row>
    <row r="390" spans="1:19" x14ac:dyDescent="0.3">
      <c r="A390" s="29" t="str">
        <f t="shared" ref="A390:A405" si="42">IF(C390="","",ROW()-5)</f>
        <v/>
      </c>
      <c r="B390" s="30"/>
      <c r="C390" s="30"/>
      <c r="D390" s="30"/>
      <c r="E390" s="30"/>
      <c r="F390" s="31"/>
      <c r="G390" s="32" t="str">
        <f t="shared" ref="G390:G405" si="43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29" t="str">
        <f>IF(C390="","",IF(AND(G390="мастер участка",ISNUMBER(SEARCH("РЭО",E390))),29,IFERROR(INDEX(Соответствие!$B$2:$B$100,MATCH(G390,Соответствие!$A$2:$A$100,0)),"?")))</f>
        <v/>
      </c>
      <c r="I390" s="33" t="str">
        <f>IF(C390="","",IFERROR(INDEX(Перечень!$C$6:$C$51,MATCH(H390,Перечень!$A$6:$A$51,0)),""))</f>
        <v/>
      </c>
      <c r="J390" s="29" t="str">
        <f>IF(C390="","",IFERROR(INDEX(Перечень!$D$6:$D$51,MATCH(H390,Перечень!$A$6:$A$51,0)),12))</f>
        <v/>
      </c>
      <c r="K390" s="34"/>
      <c r="L390" s="34"/>
      <c r="M390" s="31" t="str">
        <f t="shared" ref="M390:M405" si="44">IF(AND(K390="",L390=""),"",EDATE(MAX(K390,L390),J390))</f>
        <v/>
      </c>
      <c r="N390" s="29" t="str">
        <f>IF(C390="","",IFERROR(INDEX(Перечень!$F$6:$F$51,MATCH(H390,Перечень!$A$6:$A$51,0)),""))</f>
        <v/>
      </c>
      <c r="O390" s="34"/>
      <c r="P390" s="31" t="str">
        <f t="shared" ref="P390:P405" si="45">IF(O390="","",EDATE(O390,60))</f>
        <v/>
      </c>
      <c r="Q390" s="29" t="str">
        <f t="shared" ref="Q390:Q405" si="46">IF(AND(K390&lt;&gt;"",F390&lt;&gt;"",K390&gt;F390),"Да","")</f>
        <v/>
      </c>
      <c r="R390" s="29" t="str">
        <f t="shared" ref="R390:R405" ca="1" si="47">IF(C390="","",IF(M390="","Нет сведений",IF(M390&lt;TODAY(),"Просрочен",IF(M390-TODAY()&lt;=30,"Истекает","В срок"))))</f>
        <v/>
      </c>
      <c r="S390" s="29" t="str">
        <f t="shared" ref="S390:S405" si="48">IF(AND(N390="Да",O390=""),"Не пройдено","")</f>
        <v/>
      </c>
    </row>
    <row r="391" spans="1:19" x14ac:dyDescent="0.3">
      <c r="A391" s="29" t="str">
        <f t="shared" si="42"/>
        <v/>
      </c>
      <c r="B391" s="30"/>
      <c r="C391" s="30"/>
      <c r="D391" s="30"/>
      <c r="E391" s="30"/>
      <c r="F391" s="31"/>
      <c r="G391" s="32" t="str">
        <f t="shared" si="43"/>
        <v/>
      </c>
      <c r="H391" s="29" t="str">
        <f>IF(C391="","",IF(AND(G391="мастер участка",ISNUMBER(SEARCH("РЭО",E391))),29,IFERROR(INDEX(Соответствие!$B$2:$B$100,MATCH(G391,Соответствие!$A$2:$A$100,0)),"?")))</f>
        <v/>
      </c>
      <c r="I391" s="33" t="str">
        <f>IF(C391="","",IFERROR(INDEX(Перечень!$C$6:$C$51,MATCH(H391,Перечень!$A$6:$A$51,0)),""))</f>
        <v/>
      </c>
      <c r="J391" s="29" t="str">
        <f>IF(C391="","",IFERROR(INDEX(Перечень!$D$6:$D$51,MATCH(H391,Перечень!$A$6:$A$51,0)),12))</f>
        <v/>
      </c>
      <c r="K391" s="34"/>
      <c r="L391" s="34"/>
      <c r="M391" s="31" t="str">
        <f t="shared" si="44"/>
        <v/>
      </c>
      <c r="N391" s="29" t="str">
        <f>IF(C391="","",IFERROR(INDEX(Перечень!$F$6:$F$51,MATCH(H391,Перечень!$A$6:$A$51,0)),""))</f>
        <v/>
      </c>
      <c r="O391" s="34"/>
      <c r="P391" s="31" t="str">
        <f t="shared" si="45"/>
        <v/>
      </c>
      <c r="Q391" s="29" t="str">
        <f t="shared" si="46"/>
        <v/>
      </c>
      <c r="R391" s="29" t="str">
        <f t="shared" ca="1" si="47"/>
        <v/>
      </c>
      <c r="S391" s="29" t="str">
        <f t="shared" si="48"/>
        <v/>
      </c>
    </row>
    <row r="392" spans="1:19" x14ac:dyDescent="0.3">
      <c r="A392" s="29" t="str">
        <f t="shared" si="42"/>
        <v/>
      </c>
      <c r="B392" s="30"/>
      <c r="C392" s="30"/>
      <c r="D392" s="30"/>
      <c r="E392" s="30"/>
      <c r="F392" s="31"/>
      <c r="G392" s="32" t="str">
        <f t="shared" si="43"/>
        <v/>
      </c>
      <c r="H392" s="29" t="str">
        <f>IF(C392="","",IF(AND(G392="мастер участка",ISNUMBER(SEARCH("РЭО",E392))),29,IFERROR(INDEX(Соответствие!$B$2:$B$100,MATCH(G392,Соответствие!$A$2:$A$100,0)),"?")))</f>
        <v/>
      </c>
      <c r="I392" s="33" t="str">
        <f>IF(C392="","",IFERROR(INDEX(Перечень!$C$6:$C$51,MATCH(H392,Перечень!$A$6:$A$51,0)),""))</f>
        <v/>
      </c>
      <c r="J392" s="29" t="str">
        <f>IF(C392="","",IFERROR(INDEX(Перечень!$D$6:$D$51,MATCH(H392,Перечень!$A$6:$A$51,0)),12))</f>
        <v/>
      </c>
      <c r="K392" s="34"/>
      <c r="L392" s="34"/>
      <c r="M392" s="31" t="str">
        <f t="shared" si="44"/>
        <v/>
      </c>
      <c r="N392" s="29" t="str">
        <f>IF(C392="","",IFERROR(INDEX(Перечень!$F$6:$F$51,MATCH(H392,Перечень!$A$6:$A$51,0)),""))</f>
        <v/>
      </c>
      <c r="O392" s="34"/>
      <c r="P392" s="31" t="str">
        <f t="shared" si="45"/>
        <v/>
      </c>
      <c r="Q392" s="29" t="str">
        <f t="shared" si="46"/>
        <v/>
      </c>
      <c r="R392" s="29" t="str">
        <f t="shared" ca="1" si="47"/>
        <v/>
      </c>
      <c r="S392" s="29" t="str">
        <f t="shared" si="48"/>
        <v/>
      </c>
    </row>
    <row r="393" spans="1:19" x14ac:dyDescent="0.3">
      <c r="A393" s="29" t="str">
        <f t="shared" si="42"/>
        <v/>
      </c>
      <c r="B393" s="30"/>
      <c r="C393" s="30"/>
      <c r="D393" s="30"/>
      <c r="E393" s="30"/>
      <c r="F393" s="31"/>
      <c r="G393" s="32" t="str">
        <f t="shared" si="43"/>
        <v/>
      </c>
      <c r="H393" s="29" t="str">
        <f>IF(C393="","",IF(AND(G393="мастер участка",ISNUMBER(SEARCH("РЭО",E393))),29,IFERROR(INDEX(Соответствие!$B$2:$B$100,MATCH(G393,Соответствие!$A$2:$A$100,0)),"?")))</f>
        <v/>
      </c>
      <c r="I393" s="33" t="str">
        <f>IF(C393="","",IFERROR(INDEX(Перечень!$C$6:$C$51,MATCH(H393,Перечень!$A$6:$A$51,0)),""))</f>
        <v/>
      </c>
      <c r="J393" s="29" t="str">
        <f>IF(C393="","",IFERROR(INDEX(Перечень!$D$6:$D$51,MATCH(H393,Перечень!$A$6:$A$51,0)),12))</f>
        <v/>
      </c>
      <c r="K393" s="34"/>
      <c r="L393" s="34"/>
      <c r="M393" s="31" t="str">
        <f t="shared" si="44"/>
        <v/>
      </c>
      <c r="N393" s="29" t="str">
        <f>IF(C393="","",IFERROR(INDEX(Перечень!$F$6:$F$51,MATCH(H393,Перечень!$A$6:$A$51,0)),""))</f>
        <v/>
      </c>
      <c r="O393" s="34"/>
      <c r="P393" s="31" t="str">
        <f t="shared" si="45"/>
        <v/>
      </c>
      <c r="Q393" s="29" t="str">
        <f t="shared" si="46"/>
        <v/>
      </c>
      <c r="R393" s="29" t="str">
        <f t="shared" ca="1" si="47"/>
        <v/>
      </c>
      <c r="S393" s="29" t="str">
        <f t="shared" si="48"/>
        <v/>
      </c>
    </row>
    <row r="394" spans="1:19" x14ac:dyDescent="0.3">
      <c r="A394" s="29" t="str">
        <f t="shared" si="42"/>
        <v/>
      </c>
      <c r="B394" s="30"/>
      <c r="C394" s="30"/>
      <c r="D394" s="30"/>
      <c r="E394" s="30"/>
      <c r="F394" s="31"/>
      <c r="G394" s="32" t="str">
        <f t="shared" si="43"/>
        <v/>
      </c>
      <c r="H394" s="29" t="str">
        <f>IF(C394="","",IF(AND(G394="мастер участка",ISNUMBER(SEARCH("РЭО",E394))),29,IFERROR(INDEX(Соответствие!$B$2:$B$100,MATCH(G394,Соответствие!$A$2:$A$100,0)),"?")))</f>
        <v/>
      </c>
      <c r="I394" s="33" t="str">
        <f>IF(C394="","",IFERROR(INDEX(Перечень!$C$6:$C$51,MATCH(H394,Перечень!$A$6:$A$51,0)),""))</f>
        <v/>
      </c>
      <c r="J394" s="29" t="str">
        <f>IF(C394="","",IFERROR(INDEX(Перечень!$D$6:$D$51,MATCH(H394,Перечень!$A$6:$A$51,0)),12))</f>
        <v/>
      </c>
      <c r="K394" s="34"/>
      <c r="L394" s="34"/>
      <c r="M394" s="31" t="str">
        <f t="shared" si="44"/>
        <v/>
      </c>
      <c r="N394" s="29" t="str">
        <f>IF(C394="","",IFERROR(INDEX(Перечень!$F$6:$F$51,MATCH(H394,Перечень!$A$6:$A$51,0)),""))</f>
        <v/>
      </c>
      <c r="O394" s="34"/>
      <c r="P394" s="31" t="str">
        <f t="shared" si="45"/>
        <v/>
      </c>
      <c r="Q394" s="29" t="str">
        <f t="shared" si="46"/>
        <v/>
      </c>
      <c r="R394" s="29" t="str">
        <f t="shared" ca="1" si="47"/>
        <v/>
      </c>
      <c r="S394" s="29" t="str">
        <f t="shared" si="48"/>
        <v/>
      </c>
    </row>
    <row r="395" spans="1:19" x14ac:dyDescent="0.3">
      <c r="A395" s="29" t="str">
        <f t="shared" si="42"/>
        <v/>
      </c>
      <c r="B395" s="30"/>
      <c r="C395" s="30"/>
      <c r="D395" s="30"/>
      <c r="E395" s="30"/>
      <c r="F395" s="31"/>
      <c r="G395" s="32" t="str">
        <f t="shared" si="43"/>
        <v/>
      </c>
      <c r="H395" s="29" t="str">
        <f>IF(C395="","",IF(AND(G395="мастер участка",ISNUMBER(SEARCH("РЭО",E395))),29,IFERROR(INDEX(Соответствие!$B$2:$B$100,MATCH(G395,Соответствие!$A$2:$A$100,0)),"?")))</f>
        <v/>
      </c>
      <c r="I395" s="33" t="str">
        <f>IF(C395="","",IFERROR(INDEX(Перечень!$C$6:$C$51,MATCH(H395,Перечень!$A$6:$A$51,0)),""))</f>
        <v/>
      </c>
      <c r="J395" s="29" t="str">
        <f>IF(C395="","",IFERROR(INDEX(Перечень!$D$6:$D$51,MATCH(H395,Перечень!$A$6:$A$51,0)),12))</f>
        <v/>
      </c>
      <c r="K395" s="34"/>
      <c r="L395" s="34"/>
      <c r="M395" s="31" t="str">
        <f t="shared" si="44"/>
        <v/>
      </c>
      <c r="N395" s="29" t="str">
        <f>IF(C395="","",IFERROR(INDEX(Перечень!$F$6:$F$51,MATCH(H395,Перечень!$A$6:$A$51,0)),""))</f>
        <v/>
      </c>
      <c r="O395" s="34"/>
      <c r="P395" s="31" t="str">
        <f t="shared" si="45"/>
        <v/>
      </c>
      <c r="Q395" s="29" t="str">
        <f t="shared" si="46"/>
        <v/>
      </c>
      <c r="R395" s="29" t="str">
        <f t="shared" ca="1" si="47"/>
        <v/>
      </c>
      <c r="S395" s="29" t="str">
        <f t="shared" si="48"/>
        <v/>
      </c>
    </row>
    <row r="396" spans="1:19" x14ac:dyDescent="0.3">
      <c r="A396" s="29" t="str">
        <f t="shared" si="42"/>
        <v/>
      </c>
      <c r="B396" s="30"/>
      <c r="C396" s="30"/>
      <c r="D396" s="30"/>
      <c r="E396" s="30"/>
      <c r="F396" s="31"/>
      <c r="G396" s="32" t="str">
        <f t="shared" si="43"/>
        <v/>
      </c>
      <c r="H396" s="29" t="str">
        <f>IF(C396="","",IF(AND(G396="мастер участка",ISNUMBER(SEARCH("РЭО",E396))),29,IFERROR(INDEX(Соответствие!$B$2:$B$100,MATCH(G396,Соответствие!$A$2:$A$100,0)),"?")))</f>
        <v/>
      </c>
      <c r="I396" s="33" t="str">
        <f>IF(C396="","",IFERROR(INDEX(Перечень!$C$6:$C$51,MATCH(H396,Перечень!$A$6:$A$51,0)),""))</f>
        <v/>
      </c>
      <c r="J396" s="29" t="str">
        <f>IF(C396="","",IFERROR(INDEX(Перечень!$D$6:$D$51,MATCH(H396,Перечень!$A$6:$A$51,0)),12))</f>
        <v/>
      </c>
      <c r="K396" s="34"/>
      <c r="L396" s="34"/>
      <c r="M396" s="31" t="str">
        <f t="shared" si="44"/>
        <v/>
      </c>
      <c r="N396" s="29" t="str">
        <f>IF(C396="","",IFERROR(INDEX(Перечень!$F$6:$F$51,MATCH(H396,Перечень!$A$6:$A$51,0)),""))</f>
        <v/>
      </c>
      <c r="O396" s="34"/>
      <c r="P396" s="31" t="str">
        <f t="shared" si="45"/>
        <v/>
      </c>
      <c r="Q396" s="29" t="str">
        <f t="shared" si="46"/>
        <v/>
      </c>
      <c r="R396" s="29" t="str">
        <f t="shared" ca="1" si="47"/>
        <v/>
      </c>
      <c r="S396" s="29" t="str">
        <f t="shared" si="48"/>
        <v/>
      </c>
    </row>
    <row r="397" spans="1:19" x14ac:dyDescent="0.3">
      <c r="A397" s="29" t="str">
        <f t="shared" si="42"/>
        <v/>
      </c>
      <c r="B397" s="30"/>
      <c r="C397" s="30"/>
      <c r="D397" s="30"/>
      <c r="E397" s="30"/>
      <c r="F397" s="31"/>
      <c r="G397" s="32" t="str">
        <f t="shared" si="43"/>
        <v/>
      </c>
      <c r="H397" s="29" t="str">
        <f>IF(C397="","",IF(AND(G397="мастер участка",ISNUMBER(SEARCH("РЭО",E397))),29,IFERROR(INDEX(Соответствие!$B$2:$B$100,MATCH(G397,Соответствие!$A$2:$A$100,0)),"?")))</f>
        <v/>
      </c>
      <c r="I397" s="33" t="str">
        <f>IF(C397="","",IFERROR(INDEX(Перечень!$C$6:$C$51,MATCH(H397,Перечень!$A$6:$A$51,0)),""))</f>
        <v/>
      </c>
      <c r="J397" s="29" t="str">
        <f>IF(C397="","",IFERROR(INDEX(Перечень!$D$6:$D$51,MATCH(H397,Перечень!$A$6:$A$51,0)),12))</f>
        <v/>
      </c>
      <c r="K397" s="34"/>
      <c r="L397" s="34"/>
      <c r="M397" s="31" t="str">
        <f t="shared" si="44"/>
        <v/>
      </c>
      <c r="N397" s="29" t="str">
        <f>IF(C397="","",IFERROR(INDEX(Перечень!$F$6:$F$51,MATCH(H397,Перечень!$A$6:$A$51,0)),""))</f>
        <v/>
      </c>
      <c r="O397" s="34"/>
      <c r="P397" s="31" t="str">
        <f t="shared" si="45"/>
        <v/>
      </c>
      <c r="Q397" s="29" t="str">
        <f t="shared" si="46"/>
        <v/>
      </c>
      <c r="R397" s="29" t="str">
        <f t="shared" ca="1" si="47"/>
        <v/>
      </c>
      <c r="S397" s="29" t="str">
        <f t="shared" si="48"/>
        <v/>
      </c>
    </row>
    <row r="398" spans="1:19" x14ac:dyDescent="0.3">
      <c r="A398" s="29" t="str">
        <f t="shared" si="42"/>
        <v/>
      </c>
      <c r="B398" s="30"/>
      <c r="C398" s="30"/>
      <c r="D398" s="30"/>
      <c r="E398" s="30"/>
      <c r="F398" s="31"/>
      <c r="G398" s="32" t="str">
        <f t="shared" si="43"/>
        <v/>
      </c>
      <c r="H398" s="29" t="str">
        <f>IF(C398="","",IF(AND(G398="мастер участка",ISNUMBER(SEARCH("РЭО",E398))),29,IFERROR(INDEX(Соответствие!$B$2:$B$100,MATCH(G398,Соответствие!$A$2:$A$100,0)),"?")))</f>
        <v/>
      </c>
      <c r="I398" s="33" t="str">
        <f>IF(C398="","",IFERROR(INDEX(Перечень!$C$6:$C$51,MATCH(H398,Перечень!$A$6:$A$51,0)),""))</f>
        <v/>
      </c>
      <c r="J398" s="29" t="str">
        <f>IF(C398="","",IFERROR(INDEX(Перечень!$D$6:$D$51,MATCH(H398,Перечень!$A$6:$A$51,0)),12))</f>
        <v/>
      </c>
      <c r="K398" s="34"/>
      <c r="L398" s="34"/>
      <c r="M398" s="31" t="str">
        <f t="shared" si="44"/>
        <v/>
      </c>
      <c r="N398" s="29" t="str">
        <f>IF(C398="","",IFERROR(INDEX(Перечень!$F$6:$F$51,MATCH(H398,Перечень!$A$6:$A$51,0)),""))</f>
        <v/>
      </c>
      <c r="O398" s="34"/>
      <c r="P398" s="31" t="str">
        <f t="shared" si="45"/>
        <v/>
      </c>
      <c r="Q398" s="29" t="str">
        <f t="shared" si="46"/>
        <v/>
      </c>
      <c r="R398" s="29" t="str">
        <f t="shared" ca="1" si="47"/>
        <v/>
      </c>
      <c r="S398" s="29" t="str">
        <f t="shared" si="48"/>
        <v/>
      </c>
    </row>
    <row r="399" spans="1:19" x14ac:dyDescent="0.3">
      <c r="A399" s="29" t="str">
        <f t="shared" si="42"/>
        <v/>
      </c>
      <c r="B399" s="30"/>
      <c r="C399" s="30"/>
      <c r="D399" s="30"/>
      <c r="E399" s="30"/>
      <c r="F399" s="31"/>
      <c r="G399" s="32" t="str">
        <f t="shared" si="43"/>
        <v/>
      </c>
      <c r="H399" s="29" t="str">
        <f>IF(C399="","",IF(AND(G399="мастер участка",ISNUMBER(SEARCH("РЭО",E399))),29,IFERROR(INDEX(Соответствие!$B$2:$B$100,MATCH(G399,Соответствие!$A$2:$A$100,0)),"?")))</f>
        <v/>
      </c>
      <c r="I399" s="33" t="str">
        <f>IF(C399="","",IFERROR(INDEX(Перечень!$C$6:$C$51,MATCH(H399,Перечень!$A$6:$A$51,0)),""))</f>
        <v/>
      </c>
      <c r="J399" s="29" t="str">
        <f>IF(C399="","",IFERROR(INDEX(Перечень!$D$6:$D$51,MATCH(H399,Перечень!$A$6:$A$51,0)),12))</f>
        <v/>
      </c>
      <c r="K399" s="34"/>
      <c r="L399" s="34"/>
      <c r="M399" s="31" t="str">
        <f t="shared" si="44"/>
        <v/>
      </c>
      <c r="N399" s="29" t="str">
        <f>IF(C399="","",IFERROR(INDEX(Перечень!$F$6:$F$51,MATCH(H399,Перечень!$A$6:$A$51,0)),""))</f>
        <v/>
      </c>
      <c r="O399" s="34"/>
      <c r="P399" s="31" t="str">
        <f t="shared" si="45"/>
        <v/>
      </c>
      <c r="Q399" s="29" t="str">
        <f t="shared" si="46"/>
        <v/>
      </c>
      <c r="R399" s="29" t="str">
        <f t="shared" ca="1" si="47"/>
        <v/>
      </c>
      <c r="S399" s="29" t="str">
        <f t="shared" si="48"/>
        <v/>
      </c>
    </row>
    <row r="400" spans="1:19" x14ac:dyDescent="0.3">
      <c r="A400" s="29" t="str">
        <f t="shared" si="42"/>
        <v/>
      </c>
      <c r="B400" s="30"/>
      <c r="C400" s="30"/>
      <c r="D400" s="30"/>
      <c r="E400" s="30"/>
      <c r="F400" s="31"/>
      <c r="G400" s="32" t="str">
        <f t="shared" si="43"/>
        <v/>
      </c>
      <c r="H400" s="29" t="str">
        <f>IF(C400="","",IF(AND(G400="мастер участка",ISNUMBER(SEARCH("РЭО",E400))),29,IFERROR(INDEX(Соответствие!$B$2:$B$100,MATCH(G400,Соответствие!$A$2:$A$100,0)),"?")))</f>
        <v/>
      </c>
      <c r="I400" s="33" t="str">
        <f>IF(C400="","",IFERROR(INDEX(Перечень!$C$6:$C$51,MATCH(H400,Перечень!$A$6:$A$51,0)),""))</f>
        <v/>
      </c>
      <c r="J400" s="29" t="str">
        <f>IF(C400="","",IFERROR(INDEX(Перечень!$D$6:$D$51,MATCH(H400,Перечень!$A$6:$A$51,0)),12))</f>
        <v/>
      </c>
      <c r="K400" s="34"/>
      <c r="L400" s="34"/>
      <c r="M400" s="31" t="str">
        <f t="shared" si="44"/>
        <v/>
      </c>
      <c r="N400" s="29" t="str">
        <f>IF(C400="","",IFERROR(INDEX(Перечень!$F$6:$F$51,MATCH(H400,Перечень!$A$6:$A$51,0)),""))</f>
        <v/>
      </c>
      <c r="O400" s="34"/>
      <c r="P400" s="31" t="str">
        <f t="shared" si="45"/>
        <v/>
      </c>
      <c r="Q400" s="29" t="str">
        <f t="shared" si="46"/>
        <v/>
      </c>
      <c r="R400" s="29" t="str">
        <f t="shared" ca="1" si="47"/>
        <v/>
      </c>
      <c r="S400" s="29" t="str">
        <f t="shared" si="48"/>
        <v/>
      </c>
    </row>
    <row r="401" spans="1:19" x14ac:dyDescent="0.3">
      <c r="A401" s="29" t="str">
        <f t="shared" si="42"/>
        <v/>
      </c>
      <c r="B401" s="30"/>
      <c r="C401" s="30"/>
      <c r="D401" s="30"/>
      <c r="E401" s="30"/>
      <c r="F401" s="31"/>
      <c r="G401" s="32" t="str">
        <f t="shared" si="43"/>
        <v/>
      </c>
      <c r="H401" s="29" t="str">
        <f>IF(C401="","",IF(AND(G401="мастер участка",ISNUMBER(SEARCH("РЭО",E401))),29,IFERROR(INDEX(Соответствие!$B$2:$B$100,MATCH(G401,Соответствие!$A$2:$A$100,0)),"?")))</f>
        <v/>
      </c>
      <c r="I401" s="33" t="str">
        <f>IF(C401="","",IFERROR(INDEX(Перечень!$C$6:$C$51,MATCH(H401,Перечень!$A$6:$A$51,0)),""))</f>
        <v/>
      </c>
      <c r="J401" s="29" t="str">
        <f>IF(C401="","",IFERROR(INDEX(Перечень!$D$6:$D$51,MATCH(H401,Перечень!$A$6:$A$51,0)),12))</f>
        <v/>
      </c>
      <c r="K401" s="34"/>
      <c r="L401" s="34"/>
      <c r="M401" s="31" t="str">
        <f t="shared" si="44"/>
        <v/>
      </c>
      <c r="N401" s="29" t="str">
        <f>IF(C401="","",IFERROR(INDEX(Перечень!$F$6:$F$51,MATCH(H401,Перечень!$A$6:$A$51,0)),""))</f>
        <v/>
      </c>
      <c r="O401" s="34"/>
      <c r="P401" s="31" t="str">
        <f t="shared" si="45"/>
        <v/>
      </c>
      <c r="Q401" s="29" t="str">
        <f t="shared" si="46"/>
        <v/>
      </c>
      <c r="R401" s="29" t="str">
        <f t="shared" ca="1" si="47"/>
        <v/>
      </c>
      <c r="S401" s="29" t="str">
        <f t="shared" si="48"/>
        <v/>
      </c>
    </row>
    <row r="402" spans="1:19" x14ac:dyDescent="0.3">
      <c r="A402" s="29" t="str">
        <f t="shared" si="42"/>
        <v/>
      </c>
      <c r="B402" s="30"/>
      <c r="C402" s="30"/>
      <c r="D402" s="30"/>
      <c r="E402" s="30"/>
      <c r="F402" s="31"/>
      <c r="G402" s="32" t="str">
        <f t="shared" si="43"/>
        <v/>
      </c>
      <c r="H402" s="29" t="str">
        <f>IF(C402="","",IF(AND(G402="мастер участка",ISNUMBER(SEARCH("РЭО",E402))),29,IFERROR(INDEX(Соответствие!$B$2:$B$100,MATCH(G402,Соответствие!$A$2:$A$100,0)),"?")))</f>
        <v/>
      </c>
      <c r="I402" s="33" t="str">
        <f>IF(C402="","",IFERROR(INDEX(Перечень!$C$6:$C$51,MATCH(H402,Перечень!$A$6:$A$51,0)),""))</f>
        <v/>
      </c>
      <c r="J402" s="29" t="str">
        <f>IF(C402="","",IFERROR(INDEX(Перечень!$D$6:$D$51,MATCH(H402,Перечень!$A$6:$A$51,0)),12))</f>
        <v/>
      </c>
      <c r="K402" s="34"/>
      <c r="L402" s="34"/>
      <c r="M402" s="31" t="str">
        <f t="shared" si="44"/>
        <v/>
      </c>
      <c r="N402" s="29" t="str">
        <f>IF(C402="","",IFERROR(INDEX(Перечень!$F$6:$F$51,MATCH(H402,Перечень!$A$6:$A$51,0)),""))</f>
        <v/>
      </c>
      <c r="O402" s="34"/>
      <c r="P402" s="31" t="str">
        <f t="shared" si="45"/>
        <v/>
      </c>
      <c r="Q402" s="29" t="str">
        <f t="shared" si="46"/>
        <v/>
      </c>
      <c r="R402" s="29" t="str">
        <f t="shared" ca="1" si="47"/>
        <v/>
      </c>
      <c r="S402" s="29" t="str">
        <f t="shared" si="48"/>
        <v/>
      </c>
    </row>
    <row r="403" spans="1:19" x14ac:dyDescent="0.3">
      <c r="A403" s="29" t="str">
        <f t="shared" si="42"/>
        <v/>
      </c>
      <c r="B403" s="30"/>
      <c r="C403" s="30"/>
      <c r="D403" s="30"/>
      <c r="E403" s="30"/>
      <c r="F403" s="31"/>
      <c r="G403" s="32" t="str">
        <f t="shared" si="43"/>
        <v/>
      </c>
      <c r="H403" s="29" t="str">
        <f>IF(C403="","",IF(AND(G403="мастер участка",ISNUMBER(SEARCH("РЭО",E403))),29,IFERROR(INDEX(Соответствие!$B$2:$B$100,MATCH(G403,Соответствие!$A$2:$A$100,0)),"?")))</f>
        <v/>
      </c>
      <c r="I403" s="33" t="str">
        <f>IF(C403="","",IFERROR(INDEX(Перечень!$C$6:$C$51,MATCH(H403,Перечень!$A$6:$A$51,0)),""))</f>
        <v/>
      </c>
      <c r="J403" s="29" t="str">
        <f>IF(C403="","",IFERROR(INDEX(Перечень!$D$6:$D$51,MATCH(H403,Перечень!$A$6:$A$51,0)),12))</f>
        <v/>
      </c>
      <c r="K403" s="34"/>
      <c r="L403" s="34"/>
      <c r="M403" s="31" t="str">
        <f t="shared" si="44"/>
        <v/>
      </c>
      <c r="N403" s="29" t="str">
        <f>IF(C403="","",IFERROR(INDEX(Перечень!$F$6:$F$51,MATCH(H403,Перечень!$A$6:$A$51,0)),""))</f>
        <v/>
      </c>
      <c r="O403" s="34"/>
      <c r="P403" s="31" t="str">
        <f t="shared" si="45"/>
        <v/>
      </c>
      <c r="Q403" s="29" t="str">
        <f t="shared" si="46"/>
        <v/>
      </c>
      <c r="R403" s="29" t="str">
        <f t="shared" ca="1" si="47"/>
        <v/>
      </c>
      <c r="S403" s="29" t="str">
        <f t="shared" si="48"/>
        <v/>
      </c>
    </row>
    <row r="404" spans="1:19" x14ac:dyDescent="0.3">
      <c r="A404" s="29" t="str">
        <f t="shared" si="42"/>
        <v/>
      </c>
      <c r="B404" s="30"/>
      <c r="C404" s="30"/>
      <c r="D404" s="30"/>
      <c r="E404" s="30"/>
      <c r="F404" s="31"/>
      <c r="G404" s="32" t="str">
        <f t="shared" si="43"/>
        <v/>
      </c>
      <c r="H404" s="29" t="str">
        <f>IF(C404="","",IF(AND(G404="мастер участка",ISNUMBER(SEARCH("РЭО",E404))),29,IFERROR(INDEX(Соответствие!$B$2:$B$100,MATCH(G404,Соответствие!$A$2:$A$100,0)),"?")))</f>
        <v/>
      </c>
      <c r="I404" s="33" t="str">
        <f>IF(C404="","",IFERROR(INDEX(Перечень!$C$6:$C$51,MATCH(H404,Перечень!$A$6:$A$51,0)),""))</f>
        <v/>
      </c>
      <c r="J404" s="29" t="str">
        <f>IF(C404="","",IFERROR(INDEX(Перечень!$D$6:$D$51,MATCH(H404,Перечень!$A$6:$A$51,0)),12))</f>
        <v/>
      </c>
      <c r="K404" s="34"/>
      <c r="L404" s="34"/>
      <c r="M404" s="31" t="str">
        <f t="shared" si="44"/>
        <v/>
      </c>
      <c r="N404" s="29" t="str">
        <f>IF(C404="","",IFERROR(INDEX(Перечень!$F$6:$F$51,MATCH(H404,Перечень!$A$6:$A$51,0)),""))</f>
        <v/>
      </c>
      <c r="O404" s="34"/>
      <c r="P404" s="31" t="str">
        <f t="shared" si="45"/>
        <v/>
      </c>
      <c r="Q404" s="29" t="str">
        <f t="shared" si="46"/>
        <v/>
      </c>
      <c r="R404" s="29" t="str">
        <f t="shared" ca="1" si="47"/>
        <v/>
      </c>
      <c r="S404" s="29" t="str">
        <f t="shared" si="48"/>
        <v/>
      </c>
    </row>
    <row r="405" spans="1:19" x14ac:dyDescent="0.3">
      <c r="A405" s="29" t="str">
        <f t="shared" si="42"/>
        <v/>
      </c>
      <c r="B405" s="30"/>
      <c r="C405" s="30"/>
      <c r="D405" s="30"/>
      <c r="E405" s="30"/>
      <c r="F405" s="31"/>
      <c r="G405" s="32" t="str">
        <f t="shared" si="43"/>
        <v/>
      </c>
      <c r="H405" s="29" t="str">
        <f>IF(C405="","",IF(AND(G405="мастер участка",ISNUMBER(SEARCH("РЭО",E405))),29,IFERROR(INDEX(Соответствие!$B$2:$B$100,MATCH(G405,Соответствие!$A$2:$A$100,0)),"?")))</f>
        <v/>
      </c>
      <c r="I405" s="33" t="str">
        <f>IF(C405="","",IFERROR(INDEX(Перечень!$C$6:$C$51,MATCH(H405,Перечень!$A$6:$A$51,0)),""))</f>
        <v/>
      </c>
      <c r="J405" s="29" t="str">
        <f>IF(C405="","",IFERROR(INDEX(Перечень!$D$6:$D$51,MATCH(H405,Перечень!$A$6:$A$51,0)),12))</f>
        <v/>
      </c>
      <c r="K405" s="34"/>
      <c r="L405" s="34"/>
      <c r="M405" s="31" t="str">
        <f t="shared" si="44"/>
        <v/>
      </c>
      <c r="N405" s="29" t="str">
        <f>IF(C405="","",IFERROR(INDEX(Перечень!$F$6:$F$51,MATCH(H405,Перечень!$A$6:$A$51,0)),""))</f>
        <v/>
      </c>
      <c r="O405" s="34"/>
      <c r="P405" s="31" t="str">
        <f t="shared" si="45"/>
        <v/>
      </c>
      <c r="Q405" s="29" t="str">
        <f t="shared" si="46"/>
        <v/>
      </c>
      <c r="R405" s="29" t="str">
        <f t="shared" ca="1" si="47"/>
        <v/>
      </c>
      <c r="S405" s="29" t="str">
        <f t="shared" si="48"/>
        <v/>
      </c>
    </row>
  </sheetData>
  <autoFilter ref="A5:S405" xr:uid="{00000000-0009-0000-0000-000002000000}"/>
  <mergeCells count="5">
    <mergeCell ref="A4:G4"/>
    <mergeCell ref="H4:J4"/>
    <mergeCell ref="K4:M4"/>
    <mergeCell ref="N4:P4"/>
    <mergeCell ref="Q4:S4"/>
  </mergeCells>
  <conditionalFormatting sqref="H6:H405">
    <cfRule type="expression" dxfId="17" priority="17">
      <formula>H6="?"</formula>
    </cfRule>
  </conditionalFormatting>
  <conditionalFormatting sqref="K6:K405">
    <cfRule type="expression" dxfId="16" priority="2">
      <formula>AND($C6&lt;&gt;"",K6="",L6="")</formula>
    </cfRule>
    <cfRule type="expression" dxfId="15" priority="3">
      <formula>AND($C6&lt;&gt;"",K6="")</formula>
    </cfRule>
  </conditionalFormatting>
  <conditionalFormatting sqref="M6:M405">
    <cfRule type="expression" dxfId="14" priority="4">
      <formula>AND(M6&lt;&gt;"",M6&lt;TODAY())</formula>
    </cfRule>
    <cfRule type="expression" dxfId="13" priority="5">
      <formula>AND(M6&lt;&gt;"",M6-TODAY()&lt;=30)</formula>
    </cfRule>
    <cfRule type="expression" dxfId="12" priority="6">
      <formula>M6&lt;&gt;""</formula>
    </cfRule>
  </conditionalFormatting>
  <conditionalFormatting sqref="N6:N405">
    <cfRule type="expression" dxfId="11" priority="10">
      <formula>N6="Да"</formula>
    </cfRule>
    <cfRule type="expression" dxfId="10" priority="11">
      <formula>N6="Проверить"</formula>
    </cfRule>
  </conditionalFormatting>
  <conditionalFormatting sqref="P6:P405">
    <cfRule type="expression" dxfId="9" priority="7">
      <formula>AND(P6&lt;&gt;"",P6&lt;TODAY())</formula>
    </cfRule>
    <cfRule type="expression" dxfId="8" priority="8">
      <formula>AND(P6&lt;&gt;"",P6-TODAY()&lt;=30)</formula>
    </cfRule>
    <cfRule type="expression" dxfId="7" priority="9">
      <formula>P6&lt;&gt;""</formula>
    </cfRule>
  </conditionalFormatting>
  <conditionalFormatting sqref="Q6:Q405">
    <cfRule type="expression" dxfId="6" priority="12">
      <formula>Q6="Да"</formula>
    </cfRule>
  </conditionalFormatting>
  <conditionalFormatting sqref="R6:R405">
    <cfRule type="expression" dxfId="5" priority="13">
      <formula>OR(R6="Просрочен",R6="Нет сведений")</formula>
    </cfRule>
    <cfRule type="expression" dxfId="4" priority="14">
      <formula>R6="Истекает"</formula>
    </cfRule>
    <cfRule type="expression" dxfId="3" priority="15">
      <formula>R6="В срок"</formula>
    </cfRule>
  </conditionalFormatting>
  <conditionalFormatting sqref="S6:S405">
    <cfRule type="expression" dxfId="2" priority="16">
      <formula>S6="Не пройдено"</formula>
    </cfRule>
  </conditionalFormatting>
  <dataValidations count="1">
    <dataValidation type="date" allowBlank="1" showErrorMessage="1" errorTitle="Дата" error="Введите дату в формате ДД.ММ.ГГГГ" sqref="F6:F405 K6:L405 O6:O405" xr:uid="{00000000-0002-0000-0200-000000000000}">
      <formula1>DATE(2000,1,1)</formula1>
      <formula2>DATE(2100,12,31)</formula2>
    </dataValidation>
  </dataValidations>
  <pageMargins left="0.4" right="0.4" top="0.5" bottom="0.5" header="0.511811023622047" footer="0.5"/>
  <pageSetup paperSize="9" fitToHeight="0" orientation="landscape" horizontalDpi="300" verticalDpi="300"/>
  <headerFooter>
    <oddFooter>&amp;R&amp;8 Лист &amp;P из &amp;N</oddFooter>
  </headerFooter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Площадка" error="Выберите площадку из списка" xr:uid="{00000000-0002-0000-0200-000001000000}">
          <x14:formula1>
            <xm:f>Сводка!$A$27:$A$34</xm:f>
          </x14:formula1>
          <x14:formula2>
            <xm:f>0</xm:f>
          </x14:formula2>
          <xm:sqref>B6:B405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B79C"/>
    <pageSetUpPr fitToPage="1"/>
  </sheetPr>
  <dimension ref="A1:H56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42" customWidth="1"/>
    <col min="3" max="3" width="32" customWidth="1"/>
    <col min="4" max="4" width="9" customWidth="1"/>
    <col min="5" max="5" width="26" customWidth="1"/>
    <col min="6" max="6" width="11" customWidth="1"/>
    <col min="7" max="7" width="58" customWidth="1"/>
    <col min="8" max="8" width="10" customWidth="1"/>
  </cols>
  <sheetData>
    <row r="1" spans="1:8" ht="17.399999999999999" x14ac:dyDescent="0.3">
      <c r="A1" s="1" t="s">
        <v>635</v>
      </c>
    </row>
    <row r="2" spans="1:8" x14ac:dyDescent="0.3">
      <c r="A2" s="2" t="s">
        <v>636</v>
      </c>
    </row>
    <row r="5" spans="1:8" ht="39.75" customHeight="1" x14ac:dyDescent="0.3">
      <c r="A5" s="27" t="s">
        <v>109</v>
      </c>
      <c r="B5" s="27" t="s">
        <v>637</v>
      </c>
      <c r="C5" s="27" t="s">
        <v>638</v>
      </c>
      <c r="D5" s="27" t="s">
        <v>117</v>
      </c>
      <c r="E5" s="27" t="s">
        <v>639</v>
      </c>
      <c r="F5" s="27" t="s">
        <v>125</v>
      </c>
      <c r="G5" s="27" t="s">
        <v>640</v>
      </c>
      <c r="H5" s="27" t="s">
        <v>641</v>
      </c>
    </row>
    <row r="6" spans="1:8" ht="28.5" customHeight="1" x14ac:dyDescent="0.3">
      <c r="A6" s="20">
        <v>1</v>
      </c>
      <c r="B6" s="35" t="s">
        <v>642</v>
      </c>
      <c r="C6" s="35" t="s">
        <v>643</v>
      </c>
      <c r="D6" s="36">
        <v>12</v>
      </c>
      <c r="E6" s="35" t="s">
        <v>644</v>
      </c>
      <c r="F6" s="37" t="s">
        <v>645</v>
      </c>
      <c r="G6" s="35"/>
      <c r="H6" s="20">
        <f>COUNTIF('Учёт медосмотров'!$H$6:$H$405,A6)</f>
        <v>3</v>
      </c>
    </row>
    <row r="7" spans="1:8" ht="28.5" customHeight="1" x14ac:dyDescent="0.3">
      <c r="A7" s="20">
        <v>2</v>
      </c>
      <c r="B7" s="35" t="s">
        <v>646</v>
      </c>
      <c r="C7" s="35" t="s">
        <v>647</v>
      </c>
      <c r="D7" s="36">
        <v>12</v>
      </c>
      <c r="E7" s="35" t="s">
        <v>648</v>
      </c>
      <c r="F7" s="37" t="s">
        <v>649</v>
      </c>
      <c r="G7" s="35" t="s">
        <v>650</v>
      </c>
      <c r="H7" s="20">
        <f>COUNTIF('Учёт медосмотров'!$H$6:$H$405,A7)</f>
        <v>5</v>
      </c>
    </row>
    <row r="8" spans="1:8" ht="42" customHeight="1" x14ac:dyDescent="0.3">
      <c r="A8" s="20">
        <v>3</v>
      </c>
      <c r="B8" s="35" t="s">
        <v>407</v>
      </c>
      <c r="C8" s="35" t="s">
        <v>651</v>
      </c>
      <c r="D8" s="36">
        <v>12</v>
      </c>
      <c r="E8" s="35" t="s">
        <v>648</v>
      </c>
      <c r="F8" s="37" t="s">
        <v>645</v>
      </c>
      <c r="G8" s="35"/>
      <c r="H8" s="20">
        <f>COUNTIF('Учёт медосмотров'!$H$6:$H$405,A8)</f>
        <v>1</v>
      </c>
    </row>
    <row r="9" spans="1:8" ht="28.5" customHeight="1" x14ac:dyDescent="0.3">
      <c r="A9" s="20">
        <v>4</v>
      </c>
      <c r="B9" s="35" t="s">
        <v>422</v>
      </c>
      <c r="C9" s="35" t="s">
        <v>652</v>
      </c>
      <c r="D9" s="36">
        <v>12</v>
      </c>
      <c r="E9" s="35" t="s">
        <v>648</v>
      </c>
      <c r="F9" s="37" t="s">
        <v>645</v>
      </c>
      <c r="G9" s="35"/>
      <c r="H9" s="20">
        <f>COUNTIF('Учёт медосмотров'!$H$6:$H$405,A9)</f>
        <v>1</v>
      </c>
    </row>
    <row r="10" spans="1:8" ht="28.5" customHeight="1" x14ac:dyDescent="0.3">
      <c r="A10" s="20">
        <v>5</v>
      </c>
      <c r="B10" s="35" t="s">
        <v>415</v>
      </c>
      <c r="C10" s="35" t="s">
        <v>653</v>
      </c>
      <c r="D10" s="36">
        <v>12</v>
      </c>
      <c r="E10" s="35" t="s">
        <v>654</v>
      </c>
      <c r="F10" s="37" t="s">
        <v>649</v>
      </c>
      <c r="G10" s="35" t="s">
        <v>655</v>
      </c>
      <c r="H10" s="20">
        <f>COUNTIF('Учёт медосмотров'!$H$6:$H$405,A10)</f>
        <v>1</v>
      </c>
    </row>
    <row r="11" spans="1:8" ht="42" customHeight="1" x14ac:dyDescent="0.3">
      <c r="A11" s="20">
        <v>6</v>
      </c>
      <c r="B11" s="35" t="s">
        <v>417</v>
      </c>
      <c r="C11" s="35" t="s">
        <v>653</v>
      </c>
      <c r="D11" s="36">
        <v>12</v>
      </c>
      <c r="E11" s="35" t="s">
        <v>654</v>
      </c>
      <c r="F11" s="37" t="s">
        <v>656</v>
      </c>
      <c r="G11" s="35" t="s">
        <v>657</v>
      </c>
      <c r="H11" s="20">
        <f>COUNTIF('Учёт медосмотров'!$H$6:$H$405,A11)</f>
        <v>1</v>
      </c>
    </row>
    <row r="12" spans="1:8" ht="28.5" customHeight="1" x14ac:dyDescent="0.3">
      <c r="A12" s="20">
        <v>7</v>
      </c>
      <c r="B12" s="35" t="s">
        <v>412</v>
      </c>
      <c r="C12" s="35" t="s">
        <v>643</v>
      </c>
      <c r="D12" s="36">
        <v>12</v>
      </c>
      <c r="E12" s="35" t="s">
        <v>644</v>
      </c>
      <c r="F12" s="37" t="s">
        <v>645</v>
      </c>
      <c r="G12" s="35"/>
      <c r="H12" s="20">
        <f>COUNTIF('Учёт медосмотров'!$H$6:$H$405,A12)</f>
        <v>3</v>
      </c>
    </row>
    <row r="13" spans="1:8" ht="28.5" customHeight="1" x14ac:dyDescent="0.3">
      <c r="A13" s="20">
        <v>8</v>
      </c>
      <c r="B13" s="35" t="s">
        <v>658</v>
      </c>
      <c r="C13" s="35" t="s">
        <v>659</v>
      </c>
      <c r="D13" s="36">
        <v>12</v>
      </c>
      <c r="E13" s="35" t="s">
        <v>648</v>
      </c>
      <c r="F13" s="37" t="s">
        <v>645</v>
      </c>
      <c r="G13" s="35"/>
      <c r="H13" s="20">
        <f>COUNTIF('Учёт медосмотров'!$H$6:$H$405,A13)</f>
        <v>1</v>
      </c>
    </row>
    <row r="14" spans="1:8" ht="28.5" customHeight="1" x14ac:dyDescent="0.3">
      <c r="A14" s="20">
        <v>9</v>
      </c>
      <c r="B14" s="35" t="s">
        <v>660</v>
      </c>
      <c r="C14" s="35" t="s">
        <v>661</v>
      </c>
      <c r="D14" s="36">
        <v>12</v>
      </c>
      <c r="E14" s="35" t="s">
        <v>662</v>
      </c>
      <c r="F14" s="37" t="s">
        <v>645</v>
      </c>
      <c r="G14" s="35"/>
      <c r="H14" s="20">
        <f>COUNTIF('Учёт медосмотров'!$H$6:$H$405,A14)</f>
        <v>2</v>
      </c>
    </row>
    <row r="15" spans="1:8" ht="54.75" customHeight="1" x14ac:dyDescent="0.3">
      <c r="A15" s="20">
        <v>10</v>
      </c>
      <c r="B15" s="35" t="s">
        <v>663</v>
      </c>
      <c r="C15" s="35" t="s">
        <v>664</v>
      </c>
      <c r="D15" s="36">
        <v>12</v>
      </c>
      <c r="E15" s="35" t="s">
        <v>662</v>
      </c>
      <c r="F15" s="37" t="s">
        <v>645</v>
      </c>
      <c r="G15" s="35"/>
      <c r="H15" s="20">
        <f>COUNTIF('Учёт медосмотров'!$H$6:$H$405,A15)</f>
        <v>16</v>
      </c>
    </row>
    <row r="16" spans="1:8" ht="28.5" customHeight="1" x14ac:dyDescent="0.3">
      <c r="A16" s="20">
        <v>11</v>
      </c>
      <c r="B16" s="35" t="s">
        <v>665</v>
      </c>
      <c r="C16" s="35" t="s">
        <v>666</v>
      </c>
      <c r="D16" s="36">
        <v>12</v>
      </c>
      <c r="E16" s="35" t="s">
        <v>667</v>
      </c>
      <c r="F16" s="37" t="s">
        <v>645</v>
      </c>
      <c r="G16" s="35"/>
      <c r="H16" s="20">
        <f>COUNTIF('Учёт медосмотров'!$H$6:$H$405,A16)</f>
        <v>2</v>
      </c>
    </row>
    <row r="17" spans="1:8" ht="15.75" customHeight="1" x14ac:dyDescent="0.3">
      <c r="A17" s="20">
        <v>12</v>
      </c>
      <c r="B17" s="35" t="s">
        <v>430</v>
      </c>
      <c r="C17" s="35" t="s">
        <v>668</v>
      </c>
      <c r="D17" s="36">
        <v>12</v>
      </c>
      <c r="E17" s="35" t="s">
        <v>662</v>
      </c>
      <c r="F17" s="37" t="s">
        <v>645</v>
      </c>
      <c r="G17" s="35"/>
      <c r="H17" s="20">
        <f>COUNTIF('Учёт медосмотров'!$H$6:$H$405,A17)</f>
        <v>2</v>
      </c>
    </row>
    <row r="18" spans="1:8" ht="15.75" customHeight="1" x14ac:dyDescent="0.3">
      <c r="A18" s="20">
        <v>13</v>
      </c>
      <c r="B18" s="35" t="s">
        <v>669</v>
      </c>
      <c r="C18" s="35" t="s">
        <v>668</v>
      </c>
      <c r="D18" s="36">
        <v>12</v>
      </c>
      <c r="E18" s="35" t="s">
        <v>662</v>
      </c>
      <c r="F18" s="37" t="s">
        <v>645</v>
      </c>
      <c r="G18" s="35"/>
      <c r="H18" s="20">
        <f>COUNTIF('Учёт медосмотров'!$H$6:$H$405,A18)</f>
        <v>14</v>
      </c>
    </row>
    <row r="19" spans="1:8" ht="28.5" customHeight="1" x14ac:dyDescent="0.3">
      <c r="A19" s="20">
        <v>14</v>
      </c>
      <c r="B19" s="35" t="s">
        <v>805</v>
      </c>
      <c r="C19" s="35" t="s">
        <v>648</v>
      </c>
      <c r="D19" s="36">
        <v>12</v>
      </c>
      <c r="E19" s="35" t="s">
        <v>648</v>
      </c>
      <c r="F19" s="37" t="s">
        <v>645</v>
      </c>
      <c r="G19" s="35" t="s">
        <v>671</v>
      </c>
      <c r="H19" s="20">
        <f>COUNTIF('Учёт медосмотров'!$H$6:$H$405,A19)</f>
        <v>19</v>
      </c>
    </row>
    <row r="20" spans="1:8" ht="28.5" customHeight="1" x14ac:dyDescent="0.3">
      <c r="A20" s="20">
        <v>15</v>
      </c>
      <c r="B20" s="35" t="s">
        <v>464</v>
      </c>
      <c r="C20" s="35" t="s">
        <v>672</v>
      </c>
      <c r="D20" s="36">
        <v>12</v>
      </c>
      <c r="E20" s="35" t="s">
        <v>654</v>
      </c>
      <c r="F20" s="37" t="s">
        <v>645</v>
      </c>
      <c r="G20" s="35"/>
      <c r="H20" s="20">
        <f>COUNTIF('Учёт медосмотров'!$H$6:$H$405,A20)</f>
        <v>1</v>
      </c>
    </row>
    <row r="21" spans="1:8" ht="28.5" customHeight="1" x14ac:dyDescent="0.3">
      <c r="A21" s="20">
        <v>16</v>
      </c>
      <c r="B21" s="35" t="s">
        <v>243</v>
      </c>
      <c r="C21" s="35" t="s">
        <v>648</v>
      </c>
      <c r="D21" s="36">
        <v>12</v>
      </c>
      <c r="E21" s="35" t="s">
        <v>648</v>
      </c>
      <c r="F21" s="37" t="s">
        <v>645</v>
      </c>
      <c r="G21" s="35"/>
      <c r="H21" s="20">
        <f>COUNTIF('Учёт медосмотров'!$H$6:$H$405,A21)</f>
        <v>3</v>
      </c>
    </row>
    <row r="22" spans="1:8" ht="15.75" customHeight="1" x14ac:dyDescent="0.3">
      <c r="A22" s="20">
        <v>17</v>
      </c>
      <c r="B22" s="35" t="s">
        <v>674</v>
      </c>
      <c r="C22" s="35" t="s">
        <v>675</v>
      </c>
      <c r="D22" s="36">
        <v>12</v>
      </c>
      <c r="E22" s="35" t="s">
        <v>648</v>
      </c>
      <c r="F22" s="37" t="s">
        <v>645</v>
      </c>
      <c r="G22" s="35"/>
      <c r="H22" s="20">
        <f>COUNTIF('Учёт медосмотров'!$H$6:$H$405,A22)</f>
        <v>0</v>
      </c>
    </row>
    <row r="23" spans="1:8" ht="15.75" customHeight="1" x14ac:dyDescent="0.3">
      <c r="A23" s="20">
        <v>18</v>
      </c>
      <c r="B23" s="35" t="s">
        <v>676</v>
      </c>
      <c r="C23" s="35" t="s">
        <v>668</v>
      </c>
      <c r="D23" s="36">
        <v>12</v>
      </c>
      <c r="E23" s="35" t="s">
        <v>662</v>
      </c>
      <c r="F23" s="37" t="s">
        <v>645</v>
      </c>
      <c r="G23" s="35"/>
      <c r="H23" s="20">
        <f>COUNTIF('Учёт медосмотров'!$H$6:$H$405,A23)</f>
        <v>13</v>
      </c>
    </row>
    <row r="24" spans="1:8" ht="28.5" customHeight="1" x14ac:dyDescent="0.3">
      <c r="A24" s="20">
        <v>19</v>
      </c>
      <c r="B24" s="35" t="s">
        <v>677</v>
      </c>
      <c r="C24" s="35" t="s">
        <v>678</v>
      </c>
      <c r="D24" s="36">
        <v>12</v>
      </c>
      <c r="E24" s="35" t="s">
        <v>648</v>
      </c>
      <c r="F24" s="37" t="s">
        <v>645</v>
      </c>
      <c r="G24" s="35"/>
      <c r="H24" s="20">
        <f>COUNTIF('Учёт медосмотров'!$H$6:$H$405,A24)</f>
        <v>67</v>
      </c>
    </row>
    <row r="25" spans="1:8" ht="28.5" customHeight="1" x14ac:dyDescent="0.3">
      <c r="A25" s="20">
        <v>20</v>
      </c>
      <c r="B25" s="35" t="s">
        <v>679</v>
      </c>
      <c r="C25" s="35" t="s">
        <v>680</v>
      </c>
      <c r="D25" s="36">
        <v>12</v>
      </c>
      <c r="E25" s="35" t="s">
        <v>648</v>
      </c>
      <c r="F25" s="37" t="s">
        <v>649</v>
      </c>
      <c r="G25" s="35" t="s">
        <v>681</v>
      </c>
      <c r="H25" s="20">
        <f>COUNTIF('Учёт медосмотров'!$H$6:$H$405,A25)</f>
        <v>32</v>
      </c>
    </row>
    <row r="26" spans="1:8" ht="28.5" customHeight="1" x14ac:dyDescent="0.3">
      <c r="A26" s="20">
        <v>21</v>
      </c>
      <c r="B26" s="35" t="s">
        <v>682</v>
      </c>
      <c r="C26" s="35" t="s">
        <v>683</v>
      </c>
      <c r="D26" s="36">
        <v>12</v>
      </c>
      <c r="E26" s="35" t="s">
        <v>662</v>
      </c>
      <c r="F26" s="37" t="s">
        <v>645</v>
      </c>
      <c r="G26" s="35"/>
      <c r="H26" s="20">
        <f>COUNTIF('Учёт медосмотров'!$H$6:$H$405,A26)</f>
        <v>23</v>
      </c>
    </row>
    <row r="27" spans="1:8" ht="15.75" customHeight="1" x14ac:dyDescent="0.3">
      <c r="A27" s="20">
        <v>22</v>
      </c>
      <c r="B27" s="35" t="s">
        <v>162</v>
      </c>
      <c r="C27" s="35" t="s">
        <v>648</v>
      </c>
      <c r="D27" s="36">
        <v>12</v>
      </c>
      <c r="E27" s="35" t="s">
        <v>648</v>
      </c>
      <c r="F27" s="37" t="s">
        <v>645</v>
      </c>
      <c r="G27" s="35"/>
      <c r="H27" s="20">
        <f>COUNTIF('Учёт медосмотров'!$H$6:$H$405,A27)</f>
        <v>1</v>
      </c>
    </row>
    <row r="28" spans="1:8" ht="28.5" customHeight="1" x14ac:dyDescent="0.3">
      <c r="A28" s="20">
        <v>23</v>
      </c>
      <c r="B28" s="35" t="s">
        <v>684</v>
      </c>
      <c r="C28" s="35" t="s">
        <v>683</v>
      </c>
      <c r="D28" s="36">
        <v>12</v>
      </c>
      <c r="E28" s="35" t="s">
        <v>662</v>
      </c>
      <c r="F28" s="37" t="s">
        <v>645</v>
      </c>
      <c r="G28" s="35"/>
      <c r="H28" s="20">
        <f>COUNTIF('Учёт медосмотров'!$H$6:$H$405,A28)</f>
        <v>6</v>
      </c>
    </row>
    <row r="29" spans="1:8" ht="28.5" customHeight="1" x14ac:dyDescent="0.3">
      <c r="A29" s="20">
        <v>24</v>
      </c>
      <c r="B29" s="35" t="s">
        <v>685</v>
      </c>
      <c r="C29" s="35" t="s">
        <v>683</v>
      </c>
      <c r="D29" s="36">
        <v>12</v>
      </c>
      <c r="E29" s="35" t="s">
        <v>662</v>
      </c>
      <c r="F29" s="37" t="s">
        <v>645</v>
      </c>
      <c r="G29" s="35"/>
      <c r="H29" s="20">
        <f>COUNTIF('Учёт медосмотров'!$H$6:$H$405,A29)</f>
        <v>0</v>
      </c>
    </row>
    <row r="30" spans="1:8" ht="28.5" customHeight="1" x14ac:dyDescent="0.3">
      <c r="A30" s="20">
        <v>25</v>
      </c>
      <c r="B30" s="35" t="s">
        <v>296</v>
      </c>
      <c r="C30" s="35" t="s">
        <v>686</v>
      </c>
      <c r="D30" s="36">
        <v>12</v>
      </c>
      <c r="E30" s="35" t="s">
        <v>662</v>
      </c>
      <c r="F30" s="37" t="s">
        <v>645</v>
      </c>
      <c r="G30" s="35"/>
      <c r="H30" s="20">
        <f>COUNTIF('Учёт медосмотров'!$H$6:$H$405,A30)</f>
        <v>7</v>
      </c>
    </row>
    <row r="31" spans="1:8" ht="42" customHeight="1" x14ac:dyDescent="0.3">
      <c r="A31" s="20">
        <v>26</v>
      </c>
      <c r="B31" s="35" t="s">
        <v>687</v>
      </c>
      <c r="C31" s="35" t="s">
        <v>688</v>
      </c>
      <c r="D31" s="36">
        <v>12</v>
      </c>
      <c r="E31" s="35" t="s">
        <v>689</v>
      </c>
      <c r="F31" s="37" t="s">
        <v>656</v>
      </c>
      <c r="G31" s="35" t="s">
        <v>690</v>
      </c>
      <c r="H31" s="20">
        <f>COUNTIF('Учёт медосмотров'!$H$6:$H$405,A31)</f>
        <v>9</v>
      </c>
    </row>
    <row r="32" spans="1:8" ht="28.5" customHeight="1" x14ac:dyDescent="0.3">
      <c r="A32" s="20">
        <v>27</v>
      </c>
      <c r="B32" s="35" t="s">
        <v>691</v>
      </c>
      <c r="C32" s="35" t="s">
        <v>668</v>
      </c>
      <c r="D32" s="36">
        <v>12</v>
      </c>
      <c r="E32" s="35" t="s">
        <v>662</v>
      </c>
      <c r="F32" s="37" t="s">
        <v>645</v>
      </c>
      <c r="G32" s="35"/>
      <c r="H32" s="20">
        <f>COUNTIF('Учёт медосмотров'!$H$6:$H$405,A32)</f>
        <v>5</v>
      </c>
    </row>
    <row r="33" spans="1:8" ht="15.75" customHeight="1" x14ac:dyDescent="0.3">
      <c r="A33" s="20">
        <v>28</v>
      </c>
      <c r="B33" s="35" t="s">
        <v>692</v>
      </c>
      <c r="C33" s="35" t="s">
        <v>668</v>
      </c>
      <c r="D33" s="36">
        <v>12</v>
      </c>
      <c r="E33" s="35" t="s">
        <v>662</v>
      </c>
      <c r="F33" s="37" t="s">
        <v>645</v>
      </c>
      <c r="G33" s="35"/>
      <c r="H33" s="20">
        <f>COUNTIF('Учёт медосмотров'!$H$6:$H$405,A33)</f>
        <v>18</v>
      </c>
    </row>
    <row r="34" spans="1:8" ht="42" customHeight="1" x14ac:dyDescent="0.3">
      <c r="A34" s="20">
        <v>29</v>
      </c>
      <c r="B34" s="35" t="s">
        <v>693</v>
      </c>
      <c r="C34" s="35" t="s">
        <v>680</v>
      </c>
      <c r="D34" s="36">
        <v>12</v>
      </c>
      <c r="E34" s="35" t="s">
        <v>648</v>
      </c>
      <c r="F34" s="37" t="s">
        <v>649</v>
      </c>
      <c r="G34" s="35" t="s">
        <v>694</v>
      </c>
      <c r="H34" s="20">
        <f>COUNTIF('Учёт медосмотров'!$H$6:$H$405,A34)</f>
        <v>3</v>
      </c>
    </row>
    <row r="35" spans="1:8" ht="28.5" customHeight="1" x14ac:dyDescent="0.3">
      <c r="A35" s="20">
        <v>30</v>
      </c>
      <c r="B35" s="35" t="s">
        <v>695</v>
      </c>
      <c r="C35" s="35" t="s">
        <v>686</v>
      </c>
      <c r="D35" s="36">
        <v>12</v>
      </c>
      <c r="E35" s="35" t="s">
        <v>662</v>
      </c>
      <c r="F35" s="37" t="s">
        <v>645</v>
      </c>
      <c r="G35" s="35"/>
      <c r="H35" s="20">
        <f>COUNTIF('Учёт медосмотров'!$H$6:$H$405,A35)</f>
        <v>14</v>
      </c>
    </row>
    <row r="36" spans="1:8" ht="28.5" customHeight="1" x14ac:dyDescent="0.3">
      <c r="A36" s="20">
        <v>31</v>
      </c>
      <c r="B36" s="35" t="s">
        <v>696</v>
      </c>
      <c r="C36" s="35" t="s">
        <v>697</v>
      </c>
      <c r="D36" s="36">
        <v>12</v>
      </c>
      <c r="E36" s="35" t="s">
        <v>662</v>
      </c>
      <c r="F36" s="37" t="s">
        <v>645</v>
      </c>
      <c r="G36" s="35"/>
      <c r="H36" s="20">
        <f>COUNTIF('Учёт медосмотров'!$H$6:$H$405,A36)</f>
        <v>1</v>
      </c>
    </row>
    <row r="37" spans="1:8" ht="28.5" customHeight="1" x14ac:dyDescent="0.3">
      <c r="A37" s="20">
        <v>32</v>
      </c>
      <c r="B37" s="35" t="s">
        <v>698</v>
      </c>
      <c r="C37" s="35" t="s">
        <v>699</v>
      </c>
      <c r="D37" s="36">
        <v>12</v>
      </c>
      <c r="E37" s="35" t="s">
        <v>662</v>
      </c>
      <c r="F37" s="37" t="s">
        <v>645</v>
      </c>
      <c r="G37" s="35"/>
      <c r="H37" s="20">
        <f>COUNTIF('Учёт медосмотров'!$H$6:$H$405,A37)</f>
        <v>16</v>
      </c>
    </row>
    <row r="38" spans="1:8" ht="28.5" customHeight="1" x14ac:dyDescent="0.3">
      <c r="A38" s="20">
        <v>33</v>
      </c>
      <c r="B38" s="35" t="s">
        <v>700</v>
      </c>
      <c r="C38" s="35" t="s">
        <v>686</v>
      </c>
      <c r="D38" s="36">
        <v>12</v>
      </c>
      <c r="E38" s="35" t="s">
        <v>662</v>
      </c>
      <c r="F38" s="37" t="s">
        <v>645</v>
      </c>
      <c r="G38" s="35"/>
      <c r="H38" s="20">
        <f>COUNTIF('Учёт медосмотров'!$H$6:$H$405,A38)</f>
        <v>2</v>
      </c>
    </row>
    <row r="39" spans="1:8" ht="28.5" customHeight="1" x14ac:dyDescent="0.3">
      <c r="A39" s="20">
        <v>34</v>
      </c>
      <c r="B39" s="35" t="s">
        <v>701</v>
      </c>
      <c r="C39" s="35" t="s">
        <v>686</v>
      </c>
      <c r="D39" s="36">
        <v>12</v>
      </c>
      <c r="E39" s="35" t="s">
        <v>662</v>
      </c>
      <c r="F39" s="37" t="s">
        <v>645</v>
      </c>
      <c r="G39" s="35"/>
      <c r="H39" s="20">
        <f>COUNTIF('Учёт медосмотров'!$H$6:$H$405,A39)</f>
        <v>8</v>
      </c>
    </row>
    <row r="40" spans="1:8" ht="28.5" customHeight="1" x14ac:dyDescent="0.3">
      <c r="A40" s="20">
        <v>35</v>
      </c>
      <c r="B40" s="35" t="s">
        <v>702</v>
      </c>
      <c r="C40" s="35" t="s">
        <v>686</v>
      </c>
      <c r="D40" s="36">
        <v>12</v>
      </c>
      <c r="E40" s="35" t="s">
        <v>662</v>
      </c>
      <c r="F40" s="37" t="s">
        <v>645</v>
      </c>
      <c r="G40" s="35"/>
      <c r="H40" s="20">
        <f>COUNTIF('Учёт медосмотров'!$H$6:$H$405,A40)</f>
        <v>2</v>
      </c>
    </row>
    <row r="41" spans="1:8" ht="42" customHeight="1" x14ac:dyDescent="0.3">
      <c r="A41" s="20">
        <v>36</v>
      </c>
      <c r="B41" s="35" t="s">
        <v>703</v>
      </c>
      <c r="C41" s="35" t="s">
        <v>704</v>
      </c>
      <c r="D41" s="36">
        <v>12</v>
      </c>
      <c r="E41" s="35" t="s">
        <v>705</v>
      </c>
      <c r="F41" s="37" t="s">
        <v>645</v>
      </c>
      <c r="G41" s="35"/>
      <c r="H41" s="20">
        <f>COUNTIF('Учёт медосмотров'!$H$6:$H$405,A41)</f>
        <v>15</v>
      </c>
    </row>
    <row r="42" spans="1:8" ht="54.75" customHeight="1" x14ac:dyDescent="0.3">
      <c r="A42" s="20">
        <v>37</v>
      </c>
      <c r="B42" s="35" t="s">
        <v>706</v>
      </c>
      <c r="C42" s="35" t="s">
        <v>707</v>
      </c>
      <c r="D42" s="36">
        <v>12</v>
      </c>
      <c r="E42" s="35" t="s">
        <v>708</v>
      </c>
      <c r="F42" s="37" t="s">
        <v>645</v>
      </c>
      <c r="G42" s="35"/>
      <c r="H42" s="20">
        <f>COUNTIF('Учёт медосмотров'!$H$6:$H$405,A42)</f>
        <v>0</v>
      </c>
    </row>
    <row r="43" spans="1:8" ht="28.5" customHeight="1" x14ac:dyDescent="0.3">
      <c r="A43" s="20">
        <v>38</v>
      </c>
      <c r="B43" s="35" t="s">
        <v>474</v>
      </c>
      <c r="C43" s="35" t="s">
        <v>709</v>
      </c>
      <c r="D43" s="36">
        <v>12</v>
      </c>
      <c r="E43" s="35" t="s">
        <v>662</v>
      </c>
      <c r="F43" s="37" t="s">
        <v>649</v>
      </c>
      <c r="G43" s="35" t="s">
        <v>710</v>
      </c>
      <c r="H43" s="20">
        <f>COUNTIF('Учёт медосмотров'!$H$6:$H$405,A43)</f>
        <v>9</v>
      </c>
    </row>
    <row r="44" spans="1:8" ht="28.5" customHeight="1" x14ac:dyDescent="0.3">
      <c r="A44" s="20">
        <v>39</v>
      </c>
      <c r="B44" s="35" t="s">
        <v>138</v>
      </c>
      <c r="C44" s="35" t="s">
        <v>711</v>
      </c>
      <c r="D44" s="36">
        <v>12</v>
      </c>
      <c r="E44" s="35" t="s">
        <v>662</v>
      </c>
      <c r="F44" s="37" t="s">
        <v>649</v>
      </c>
      <c r="G44" s="35" t="s">
        <v>710</v>
      </c>
      <c r="H44" s="20">
        <f>COUNTIF('Учёт медосмотров'!$H$6:$H$405,A44)</f>
        <v>1</v>
      </c>
    </row>
    <row r="45" spans="1:8" ht="28.5" customHeight="1" x14ac:dyDescent="0.3">
      <c r="A45" s="20">
        <v>40</v>
      </c>
      <c r="B45" s="35" t="s">
        <v>240</v>
      </c>
      <c r="C45" s="35" t="s">
        <v>667</v>
      </c>
      <c r="D45" s="36">
        <v>12</v>
      </c>
      <c r="E45" s="35" t="s">
        <v>667</v>
      </c>
      <c r="F45" s="37" t="s">
        <v>645</v>
      </c>
      <c r="G45" s="35"/>
      <c r="H45" s="20">
        <f>COUNTIF('Учёт медосмотров'!$H$6:$H$405,A45)</f>
        <v>1</v>
      </c>
    </row>
    <row r="46" spans="1:8" ht="28.5" customHeight="1" x14ac:dyDescent="0.3">
      <c r="A46" s="20">
        <v>41</v>
      </c>
      <c r="B46" s="35" t="s">
        <v>712</v>
      </c>
      <c r="C46" s="35" t="s">
        <v>686</v>
      </c>
      <c r="D46" s="36">
        <v>12</v>
      </c>
      <c r="E46" s="35" t="s">
        <v>662</v>
      </c>
      <c r="F46" s="37" t="s">
        <v>645</v>
      </c>
      <c r="G46" s="35"/>
      <c r="H46" s="20">
        <f>COUNTIF('Учёт медосмотров'!$H$6:$H$405,A46)</f>
        <v>1</v>
      </c>
    </row>
    <row r="47" spans="1:8" ht="42" customHeight="1" x14ac:dyDescent="0.3">
      <c r="A47" s="20">
        <v>42</v>
      </c>
      <c r="B47" s="35" t="s">
        <v>713</v>
      </c>
      <c r="C47" s="35" t="s">
        <v>714</v>
      </c>
      <c r="D47" s="36">
        <v>12</v>
      </c>
      <c r="E47" s="35" t="s">
        <v>648</v>
      </c>
      <c r="F47" s="37" t="s">
        <v>645</v>
      </c>
      <c r="G47" s="35"/>
      <c r="H47" s="20">
        <f>COUNTIF('Учёт медосмотров'!$H$6:$H$405,A47)</f>
        <v>1</v>
      </c>
    </row>
    <row r="48" spans="1:8" ht="28.5" customHeight="1" x14ac:dyDescent="0.3">
      <c r="A48" s="20">
        <v>43</v>
      </c>
      <c r="B48" s="35" t="s">
        <v>715</v>
      </c>
      <c r="C48" s="35" t="s">
        <v>716</v>
      </c>
      <c r="D48" s="36">
        <v>12</v>
      </c>
      <c r="E48" s="35" t="s">
        <v>662</v>
      </c>
      <c r="F48" s="37" t="s">
        <v>645</v>
      </c>
      <c r="G48" s="35"/>
      <c r="H48" s="20">
        <f>COUNTIF('Учёт медосмотров'!$H$6:$H$405,A48)</f>
        <v>0</v>
      </c>
    </row>
    <row r="49" spans="1:8" ht="28.5" customHeight="1" x14ac:dyDescent="0.3">
      <c r="A49" s="20">
        <v>44</v>
      </c>
      <c r="B49" s="35" t="s">
        <v>717</v>
      </c>
      <c r="C49" s="35" t="s">
        <v>686</v>
      </c>
      <c r="D49" s="36">
        <v>12</v>
      </c>
      <c r="E49" s="35" t="s">
        <v>662</v>
      </c>
      <c r="F49" s="37" t="s">
        <v>645</v>
      </c>
      <c r="G49" s="35"/>
      <c r="H49" s="20">
        <f>COUNTIF('Учёт медосмотров'!$H$6:$H$405,A49)</f>
        <v>14</v>
      </c>
    </row>
    <row r="50" spans="1:8" ht="42" customHeight="1" x14ac:dyDescent="0.3">
      <c r="A50" s="20">
        <v>45</v>
      </c>
      <c r="B50" s="35" t="s">
        <v>718</v>
      </c>
      <c r="C50" s="35" t="s">
        <v>719</v>
      </c>
      <c r="D50" s="36">
        <v>12</v>
      </c>
      <c r="E50" s="35" t="s">
        <v>720</v>
      </c>
      <c r="F50" s="37" t="s">
        <v>656</v>
      </c>
      <c r="G50" s="35" t="s">
        <v>721</v>
      </c>
      <c r="H50" s="20">
        <f>COUNTIF('Учёт медосмотров'!$H$6:$H$405,A50)</f>
        <v>13</v>
      </c>
    </row>
    <row r="51" spans="1:8" ht="28.5" customHeight="1" x14ac:dyDescent="0.3">
      <c r="A51" s="20">
        <v>46</v>
      </c>
      <c r="B51" s="35" t="s">
        <v>807</v>
      </c>
      <c r="C51" s="35" t="s">
        <v>673</v>
      </c>
      <c r="D51" s="36">
        <v>12</v>
      </c>
      <c r="E51" s="35" t="s">
        <v>648</v>
      </c>
      <c r="F51" s="37" t="s">
        <v>649</v>
      </c>
      <c r="G51" s="35" t="s">
        <v>806</v>
      </c>
      <c r="H51" s="20">
        <f>COUNTIF('Учёт медосмотров'!$H$6:$H$405,A51)</f>
        <v>8</v>
      </c>
    </row>
    <row r="52" spans="1:8" x14ac:dyDescent="0.3">
      <c r="A52" s="38"/>
      <c r="B52" s="39" t="s">
        <v>103</v>
      </c>
      <c r="C52" s="38"/>
      <c r="D52" s="38"/>
      <c r="E52" s="38"/>
      <c r="F52" s="38"/>
      <c r="G52" s="38"/>
      <c r="H52" s="40">
        <f>SUM(H6:H51)</f>
        <v>365</v>
      </c>
    </row>
    <row r="54" spans="1:8" ht="27.75" customHeight="1" x14ac:dyDescent="0.3">
      <c r="A54" s="49" t="s">
        <v>722</v>
      </c>
      <c r="B54" s="49"/>
      <c r="C54" s="49"/>
      <c r="D54" s="49"/>
      <c r="E54" s="49"/>
      <c r="F54" s="49"/>
      <c r="G54" s="49"/>
      <c r="H54" s="49"/>
    </row>
    <row r="55" spans="1:8" ht="27.75" customHeight="1" x14ac:dyDescent="0.3">
      <c r="A55" s="49" t="s">
        <v>723</v>
      </c>
      <c r="B55" s="49"/>
      <c r="C55" s="49"/>
      <c r="D55" s="49"/>
      <c r="E55" s="49"/>
      <c r="F55" s="49"/>
      <c r="G55" s="49"/>
      <c r="H55" s="49"/>
    </row>
    <row r="56" spans="1:8" ht="27.75" customHeight="1" x14ac:dyDescent="0.3">
      <c r="A56" s="49" t="s">
        <v>724</v>
      </c>
      <c r="B56" s="49"/>
      <c r="C56" s="49"/>
      <c r="D56" s="49"/>
      <c r="E56" s="49"/>
      <c r="F56" s="49"/>
      <c r="G56" s="49"/>
      <c r="H56" s="49"/>
    </row>
  </sheetData>
  <mergeCells count="3">
    <mergeCell ref="A54:H54"/>
    <mergeCell ref="A55:H55"/>
    <mergeCell ref="A56:H56"/>
  </mergeCells>
  <conditionalFormatting sqref="F6:F51">
    <cfRule type="expression" dxfId="1" priority="2">
      <formula>F6="Да"</formula>
    </cfRule>
    <cfRule type="expression" dxfId="0" priority="3">
      <formula>F6="Проверить"</formula>
    </cfRule>
  </conditionalFormatting>
  <dataValidations count="2">
    <dataValidation type="list" allowBlank="1" sqref="F6:F51" xr:uid="{00000000-0002-0000-0300-000000000000}">
      <formula1>"Да,Нет,-,Проверить"</formula1>
      <formula2>0</formula2>
    </dataValidation>
    <dataValidation type="whole" showErrorMessage="1" errorTitle="Периодичность" error="Укажите число месяцев" sqref="D6:D51" xr:uid="{00000000-0002-0000-0300-000001000000}">
      <formula1>1</formula1>
      <formula2>60</formula2>
    </dataValidation>
  </dataValidations>
  <pageMargins left="0.4" right="0.4" top="0.5" bottom="0.5" header="0.511811023622047" footer="0.5"/>
  <pageSetup paperSize="9" fitToHeight="0" orientation="landscape" horizontalDpi="300" verticalDpi="300"/>
  <headerFooter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6"/>
  <sheetViews>
    <sheetView zoomScaleNormal="100" workbookViewId="0"/>
  </sheetViews>
  <sheetFormatPr defaultColWidth="8.6640625" defaultRowHeight="14.4" x14ac:dyDescent="0.3"/>
  <cols>
    <col min="1" max="1" width="60" customWidth="1"/>
  </cols>
  <sheetData>
    <row r="1" spans="1:4" x14ac:dyDescent="0.3">
      <c r="A1" s="41" t="s">
        <v>725</v>
      </c>
      <c r="B1" s="41" t="s">
        <v>726</v>
      </c>
      <c r="D1" t="s">
        <v>727</v>
      </c>
    </row>
    <row r="2" spans="1:4" x14ac:dyDescent="0.3">
      <c r="A2" s="42" t="s">
        <v>728</v>
      </c>
      <c r="B2" s="42">
        <v>18</v>
      </c>
    </row>
    <row r="3" spans="1:4" x14ac:dyDescent="0.3">
      <c r="A3" s="42" t="s">
        <v>729</v>
      </c>
      <c r="B3" s="42">
        <v>19</v>
      </c>
    </row>
    <row r="4" spans="1:4" x14ac:dyDescent="0.3">
      <c r="A4" s="42" t="s">
        <v>730</v>
      </c>
      <c r="B4" s="42">
        <v>28</v>
      </c>
    </row>
    <row r="5" spans="1:4" x14ac:dyDescent="0.3">
      <c r="A5" s="42" t="s">
        <v>731</v>
      </c>
      <c r="B5" s="42">
        <v>28</v>
      </c>
    </row>
    <row r="6" spans="1:4" x14ac:dyDescent="0.3">
      <c r="A6" s="42" t="s">
        <v>732</v>
      </c>
      <c r="B6" s="42">
        <v>27</v>
      </c>
    </row>
    <row r="7" spans="1:4" x14ac:dyDescent="0.3">
      <c r="A7" s="42" t="s">
        <v>733</v>
      </c>
      <c r="B7" s="42">
        <v>9</v>
      </c>
    </row>
    <row r="8" spans="1:4" x14ac:dyDescent="0.3">
      <c r="A8" s="42" t="s">
        <v>734</v>
      </c>
      <c r="B8" s="42">
        <v>27</v>
      </c>
    </row>
    <row r="9" spans="1:4" x14ac:dyDescent="0.3">
      <c r="A9" s="42" t="s">
        <v>735</v>
      </c>
      <c r="B9" s="42">
        <v>27</v>
      </c>
    </row>
    <row r="10" spans="1:4" x14ac:dyDescent="0.3">
      <c r="A10" s="42" t="s">
        <v>736</v>
      </c>
      <c r="B10" s="42">
        <v>39</v>
      </c>
    </row>
    <row r="11" spans="1:4" x14ac:dyDescent="0.3">
      <c r="A11" s="42" t="s">
        <v>737</v>
      </c>
      <c r="B11" s="42">
        <v>39</v>
      </c>
    </row>
    <row r="12" spans="1:4" x14ac:dyDescent="0.3">
      <c r="A12" s="42" t="s">
        <v>738</v>
      </c>
      <c r="B12" s="42">
        <v>38</v>
      </c>
    </row>
    <row r="13" spans="1:4" x14ac:dyDescent="0.3">
      <c r="A13" s="42" t="s">
        <v>739</v>
      </c>
      <c r="B13" s="42">
        <v>6</v>
      </c>
    </row>
    <row r="14" spans="1:4" x14ac:dyDescent="0.3">
      <c r="A14" s="42" t="s">
        <v>740</v>
      </c>
      <c r="B14" s="42">
        <v>5</v>
      </c>
    </row>
    <row r="15" spans="1:4" x14ac:dyDescent="0.3">
      <c r="A15" s="42" t="s">
        <v>741</v>
      </c>
      <c r="B15" s="42">
        <v>28</v>
      </c>
    </row>
    <row r="16" spans="1:4" x14ac:dyDescent="0.3">
      <c r="A16" s="42" t="s">
        <v>742</v>
      </c>
      <c r="B16" s="42">
        <v>28</v>
      </c>
    </row>
    <row r="17" spans="1:2" x14ac:dyDescent="0.3">
      <c r="A17" s="42" t="s">
        <v>743</v>
      </c>
      <c r="B17" s="42">
        <v>42</v>
      </c>
    </row>
    <row r="18" spans="1:2" x14ac:dyDescent="0.3">
      <c r="A18" s="42" t="s">
        <v>744</v>
      </c>
      <c r="B18" s="42">
        <v>42</v>
      </c>
    </row>
    <row r="19" spans="1:2" x14ac:dyDescent="0.3">
      <c r="A19" s="42" t="s">
        <v>745</v>
      </c>
      <c r="B19" s="42">
        <v>13</v>
      </c>
    </row>
    <row r="20" spans="1:2" x14ac:dyDescent="0.3">
      <c r="A20" s="42" t="s">
        <v>746</v>
      </c>
      <c r="B20" s="42">
        <v>27</v>
      </c>
    </row>
    <row r="21" spans="1:2" x14ac:dyDescent="0.3">
      <c r="A21" s="42" t="s">
        <v>747</v>
      </c>
      <c r="B21" s="42">
        <v>40</v>
      </c>
    </row>
    <row r="22" spans="1:2" x14ac:dyDescent="0.3">
      <c r="A22" s="42" t="s">
        <v>748</v>
      </c>
      <c r="B22" s="42">
        <v>17</v>
      </c>
    </row>
    <row r="23" spans="1:2" x14ac:dyDescent="0.3">
      <c r="A23" s="42" t="s">
        <v>749</v>
      </c>
      <c r="B23" s="42">
        <v>4</v>
      </c>
    </row>
    <row r="24" spans="1:2" x14ac:dyDescent="0.3">
      <c r="A24" s="42" t="s">
        <v>750</v>
      </c>
      <c r="B24" s="42">
        <v>11</v>
      </c>
    </row>
    <row r="25" spans="1:2" x14ac:dyDescent="0.3">
      <c r="A25" s="42" t="s">
        <v>751</v>
      </c>
      <c r="B25" s="42">
        <v>2</v>
      </c>
    </row>
    <row r="26" spans="1:2" x14ac:dyDescent="0.3">
      <c r="A26" s="42" t="s">
        <v>752</v>
      </c>
      <c r="B26" s="42">
        <v>14</v>
      </c>
    </row>
    <row r="27" spans="1:2" x14ac:dyDescent="0.3">
      <c r="A27" s="42" t="s">
        <v>753</v>
      </c>
      <c r="B27" s="42">
        <v>46</v>
      </c>
    </row>
    <row r="28" spans="1:2" x14ac:dyDescent="0.3">
      <c r="A28" s="42" t="s">
        <v>754</v>
      </c>
      <c r="B28" s="42">
        <v>13</v>
      </c>
    </row>
    <row r="29" spans="1:2" x14ac:dyDescent="0.3">
      <c r="A29" s="42" t="s">
        <v>755</v>
      </c>
      <c r="B29" s="42">
        <v>15</v>
      </c>
    </row>
    <row r="30" spans="1:2" x14ac:dyDescent="0.3">
      <c r="A30" s="42" t="s">
        <v>756</v>
      </c>
      <c r="B30" s="42">
        <v>36</v>
      </c>
    </row>
    <row r="31" spans="1:2" x14ac:dyDescent="0.3">
      <c r="A31" s="42" t="s">
        <v>757</v>
      </c>
      <c r="B31" s="42">
        <v>18</v>
      </c>
    </row>
    <row r="32" spans="1:2" x14ac:dyDescent="0.3">
      <c r="A32" s="42" t="s">
        <v>758</v>
      </c>
      <c r="B32" s="42">
        <v>18</v>
      </c>
    </row>
    <row r="33" spans="1:2" x14ac:dyDescent="0.3">
      <c r="A33" s="42" t="s">
        <v>759</v>
      </c>
      <c r="B33" s="42">
        <v>29</v>
      </c>
    </row>
    <row r="34" spans="1:2" x14ac:dyDescent="0.3">
      <c r="A34" s="42" t="s">
        <v>760</v>
      </c>
      <c r="B34" s="42">
        <v>29</v>
      </c>
    </row>
    <row r="35" spans="1:2" x14ac:dyDescent="0.3">
      <c r="A35" s="42" t="s">
        <v>761</v>
      </c>
      <c r="B35" s="42">
        <v>22</v>
      </c>
    </row>
    <row r="36" spans="1:2" x14ac:dyDescent="0.3">
      <c r="A36" s="42" t="s">
        <v>762</v>
      </c>
      <c r="B36" s="42">
        <v>3</v>
      </c>
    </row>
    <row r="37" spans="1:2" x14ac:dyDescent="0.3">
      <c r="A37" s="42" t="s">
        <v>763</v>
      </c>
      <c r="B37" s="42">
        <v>11</v>
      </c>
    </row>
    <row r="38" spans="1:2" x14ac:dyDescent="0.3">
      <c r="A38" s="42" t="s">
        <v>764</v>
      </c>
      <c r="B38" s="42">
        <v>37</v>
      </c>
    </row>
    <row r="39" spans="1:2" x14ac:dyDescent="0.3">
      <c r="A39" s="42" t="s">
        <v>765</v>
      </c>
      <c r="B39" s="42">
        <v>23</v>
      </c>
    </row>
    <row r="40" spans="1:2" x14ac:dyDescent="0.3">
      <c r="A40" s="42" t="s">
        <v>766</v>
      </c>
      <c r="B40" s="42">
        <v>45</v>
      </c>
    </row>
    <row r="41" spans="1:2" x14ac:dyDescent="0.3">
      <c r="A41" s="42" t="s">
        <v>767</v>
      </c>
      <c r="B41" s="42">
        <v>31</v>
      </c>
    </row>
    <row r="42" spans="1:2" x14ac:dyDescent="0.3">
      <c r="A42" s="42" t="s">
        <v>768</v>
      </c>
      <c r="B42" s="42">
        <v>35</v>
      </c>
    </row>
    <row r="43" spans="1:2" x14ac:dyDescent="0.3">
      <c r="A43" s="42" t="s">
        <v>769</v>
      </c>
      <c r="B43" s="42">
        <v>16</v>
      </c>
    </row>
    <row r="44" spans="1:2" x14ac:dyDescent="0.3">
      <c r="A44" s="42" t="s">
        <v>770</v>
      </c>
      <c r="B44" s="42">
        <v>30</v>
      </c>
    </row>
    <row r="45" spans="1:2" x14ac:dyDescent="0.3">
      <c r="A45" s="42" t="s">
        <v>771</v>
      </c>
      <c r="B45" s="42">
        <v>43</v>
      </c>
    </row>
    <row r="46" spans="1:2" x14ac:dyDescent="0.3">
      <c r="A46" s="42" t="s">
        <v>772</v>
      </c>
      <c r="B46" s="42">
        <v>25</v>
      </c>
    </row>
    <row r="47" spans="1:2" x14ac:dyDescent="0.3">
      <c r="A47" s="42" t="s">
        <v>773</v>
      </c>
      <c r="B47" s="42">
        <v>1</v>
      </c>
    </row>
    <row r="48" spans="1:2" x14ac:dyDescent="0.3">
      <c r="A48" s="42" t="s">
        <v>774</v>
      </c>
      <c r="B48" s="42">
        <v>7</v>
      </c>
    </row>
    <row r="49" spans="1:2" x14ac:dyDescent="0.3">
      <c r="A49" s="42" t="s">
        <v>775</v>
      </c>
      <c r="B49" s="42">
        <v>9</v>
      </c>
    </row>
    <row r="50" spans="1:2" x14ac:dyDescent="0.3">
      <c r="A50" s="42" t="s">
        <v>776</v>
      </c>
      <c r="B50" s="42">
        <v>26</v>
      </c>
    </row>
    <row r="51" spans="1:2" x14ac:dyDescent="0.3">
      <c r="A51" s="42" t="s">
        <v>777</v>
      </c>
      <c r="B51" s="42">
        <v>32</v>
      </c>
    </row>
    <row r="52" spans="1:2" x14ac:dyDescent="0.3">
      <c r="A52" s="42" t="s">
        <v>778</v>
      </c>
      <c r="B52" s="42">
        <v>41</v>
      </c>
    </row>
    <row r="53" spans="1:2" x14ac:dyDescent="0.3">
      <c r="A53" s="42" t="s">
        <v>779</v>
      </c>
      <c r="B53" s="42">
        <v>8</v>
      </c>
    </row>
    <row r="54" spans="1:2" x14ac:dyDescent="0.3">
      <c r="A54" s="42" t="s">
        <v>780</v>
      </c>
      <c r="B54" s="42">
        <v>19</v>
      </c>
    </row>
    <row r="55" spans="1:2" x14ac:dyDescent="0.3">
      <c r="A55" s="42" t="s">
        <v>781</v>
      </c>
      <c r="B55" s="42">
        <v>19</v>
      </c>
    </row>
    <row r="56" spans="1:2" x14ac:dyDescent="0.3">
      <c r="A56" s="42" t="s">
        <v>782</v>
      </c>
      <c r="B56" s="42">
        <v>12</v>
      </c>
    </row>
    <row r="57" spans="1:2" x14ac:dyDescent="0.3">
      <c r="A57" s="42" t="s">
        <v>783</v>
      </c>
      <c r="B57" s="42">
        <v>44</v>
      </c>
    </row>
    <row r="58" spans="1:2" x14ac:dyDescent="0.3">
      <c r="A58" s="42" t="s">
        <v>784</v>
      </c>
      <c r="B58" s="42">
        <v>14</v>
      </c>
    </row>
    <row r="59" spans="1:2" x14ac:dyDescent="0.3">
      <c r="A59" s="42" t="s">
        <v>785</v>
      </c>
      <c r="B59" s="42">
        <v>45</v>
      </c>
    </row>
    <row r="60" spans="1:2" x14ac:dyDescent="0.3">
      <c r="A60" s="42" t="s">
        <v>786</v>
      </c>
      <c r="B60" s="42">
        <v>45</v>
      </c>
    </row>
    <row r="61" spans="1:2" x14ac:dyDescent="0.3">
      <c r="A61" s="42" t="s">
        <v>787</v>
      </c>
      <c r="B61" s="42">
        <v>44</v>
      </c>
    </row>
    <row r="62" spans="1:2" x14ac:dyDescent="0.3">
      <c r="A62" s="42" t="s">
        <v>788</v>
      </c>
      <c r="B62" s="42">
        <v>45</v>
      </c>
    </row>
    <row r="63" spans="1:2" x14ac:dyDescent="0.3">
      <c r="A63" s="42" t="s">
        <v>789</v>
      </c>
      <c r="B63" s="42">
        <v>10</v>
      </c>
    </row>
    <row r="64" spans="1:2" x14ac:dyDescent="0.3">
      <c r="A64" s="42" t="s">
        <v>790</v>
      </c>
      <c r="B64" s="42">
        <v>21</v>
      </c>
    </row>
    <row r="65" spans="1:2" x14ac:dyDescent="0.3">
      <c r="A65" s="42" t="s">
        <v>791</v>
      </c>
      <c r="B65" s="42">
        <v>24</v>
      </c>
    </row>
    <row r="66" spans="1:2" x14ac:dyDescent="0.3">
      <c r="A66" s="42" t="s">
        <v>792</v>
      </c>
      <c r="B66" s="42">
        <v>45</v>
      </c>
    </row>
    <row r="67" spans="1:2" x14ac:dyDescent="0.3">
      <c r="A67" s="42" t="s">
        <v>793</v>
      </c>
      <c r="B67" s="42">
        <v>10</v>
      </c>
    </row>
    <row r="68" spans="1:2" x14ac:dyDescent="0.3">
      <c r="A68" s="42" t="s">
        <v>794</v>
      </c>
      <c r="B68" s="42">
        <v>34</v>
      </c>
    </row>
    <row r="69" spans="1:2" x14ac:dyDescent="0.3">
      <c r="A69" s="42" t="s">
        <v>795</v>
      </c>
      <c r="B69" s="42">
        <v>10</v>
      </c>
    </row>
    <row r="70" spans="1:2" x14ac:dyDescent="0.3">
      <c r="A70" s="42" t="s">
        <v>796</v>
      </c>
      <c r="B70" s="42">
        <v>10</v>
      </c>
    </row>
    <row r="71" spans="1:2" x14ac:dyDescent="0.3">
      <c r="A71" s="42" t="s">
        <v>797</v>
      </c>
      <c r="B71" s="42">
        <v>33</v>
      </c>
    </row>
    <row r="72" spans="1:2" x14ac:dyDescent="0.3">
      <c r="A72" s="42" t="s">
        <v>798</v>
      </c>
      <c r="B72" s="42">
        <v>20</v>
      </c>
    </row>
    <row r="73" spans="1:2" x14ac:dyDescent="0.3">
      <c r="A73" s="42" t="s">
        <v>799</v>
      </c>
      <c r="B73" s="42">
        <v>2</v>
      </c>
    </row>
    <row r="74" spans="1:2" x14ac:dyDescent="0.3">
      <c r="A74" s="42" t="s">
        <v>800</v>
      </c>
      <c r="B74" s="42">
        <v>30</v>
      </c>
    </row>
    <row r="75" spans="1:2" x14ac:dyDescent="0.3">
      <c r="A75" s="42" t="s">
        <v>801</v>
      </c>
      <c r="B75" s="42">
        <v>21</v>
      </c>
    </row>
    <row r="76" spans="1:2" x14ac:dyDescent="0.3">
      <c r="A76" s="42" t="s">
        <v>802</v>
      </c>
      <c r="B76" s="42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2</vt:i4>
      </vt:variant>
    </vt:vector>
  </HeadingPairs>
  <TitlesOfParts>
    <vt:vector size="7" baseType="lpstr">
      <vt:lpstr>Инструкция</vt:lpstr>
      <vt:lpstr>Сводка</vt:lpstr>
      <vt:lpstr>Учёт медосмотров</vt:lpstr>
      <vt:lpstr>Перечень</vt:lpstr>
      <vt:lpstr>Соответствие</vt:lpstr>
      <vt:lpstr>Перечень!Заголовки_для_печати</vt:lpstr>
      <vt:lpstr>'Учёт медосмотров'!Заголовки_для_печати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Учёт медицинских осмотров</dc:title>
  <dc:subject/>
  <dc:creator>Отдел ОТиПБ</dc:creator>
  <dc:description/>
  <cp:lastModifiedBy>Айкешева Айгуль Кайргалиевна</cp:lastModifiedBy>
  <cp:revision>0</cp:revision>
  <dcterms:created xsi:type="dcterms:W3CDTF">2026-10-15T12:33:19Z</dcterms:created>
  <dcterms:modified xsi:type="dcterms:W3CDTF">2026-10-16T08:26:48Z</dcterms:modified>
  <dc:language>en-US</dc:language>
</cp:coreProperties>
</file>