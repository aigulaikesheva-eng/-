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Инструкция" sheetId="1" state="visible" r:id="rId3"/>
    <sheet name="Сводка" sheetId="2" state="visible" r:id="rId4"/>
    <sheet name="Учёт медосмотров" sheetId="3" state="visible" r:id="rId5"/>
    <sheet name="Перечень" sheetId="4" state="visible" r:id="rId6"/>
    <sheet name="Соответствие" sheetId="5" state="hidden" r:id="rId7"/>
  </sheets>
  <definedNames>
    <definedName function="false" hidden="false" localSheetId="3" name="_xlnm.Print_Titles" vbProcedure="false">Перечень!$5:$5</definedName>
    <definedName function="false" hidden="false" localSheetId="2" name="_xlnm.Print_Titles" vbProcedure="false">'Учёт медосмотров'!$4:$5</definedName>
    <definedName function="false" hidden="true" localSheetId="2" name="_xlnm._FilterDatabase" vbProcedure="false">'Учёт медосмотров'!$A$5:$S$405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45" authorId="0">
      <text>
        <r>
          <rPr>
            <sz val="10"/>
            <rFont val="Arial"/>
            <family val="2"/>
          </rPr>
          <t xml:space="preserve">Подпункт п.18.2 — по категории водительского удостоверения (решение ОТиПБ от 19.10.2026).</t>
        </r>
      </text>
    </comment>
    <comment ref="I246" authorId="0">
      <text>
        <r>
          <rPr>
            <sz val="10"/>
            <rFont val="Arial"/>
            <family val="2"/>
          </rPr>
          <t xml:space="preserve">Подпункт п.18.1 — по категории водительского удостоверения (решение ОТиПБ от 19.10.2026).</t>
        </r>
      </text>
    </comment>
    <comment ref="I247" authorId="0">
      <text>
        <r>
          <rPr>
            <sz val="10"/>
            <rFont val="Arial"/>
            <family val="2"/>
          </rPr>
          <t xml:space="preserve">Подпункт п.18.1 — по категории водительского удостоверения (решение ОТиПБ от 19.10.2026).</t>
        </r>
      </text>
    </comment>
    <comment ref="I248" authorId="0">
      <text>
        <r>
          <rPr>
            <sz val="10"/>
            <rFont val="Arial"/>
            <family val="2"/>
          </rPr>
          <t xml:space="preserve">Подпункт п.18.2 — по категории водительского удостоверения (решение ОТиПБ от 19.10.2026).</t>
        </r>
      </text>
    </comment>
    <comment ref="I249" authorId="0">
      <text>
        <r>
          <rPr>
            <sz val="10"/>
            <rFont val="Arial"/>
            <family val="2"/>
          </rPr>
          <t xml:space="preserve">Подпункт п.18.1 — по категории водительского удостоверения (решение ОТиПБ от 19.10.2026).</t>
        </r>
      </text>
    </comment>
    <comment ref="I250" authorId="0">
      <text>
        <r>
          <rPr>
            <sz val="10"/>
            <rFont val="Arial"/>
            <family val="2"/>
          </rPr>
          <t xml:space="preserve">Подпункт п.18.1 — по категории водительского удостоверения (решение ОТиПБ от 19.10.2026).</t>
        </r>
      </text>
    </comment>
    <comment ref="I251" authorId="0">
      <text>
        <r>
          <rPr>
            <sz val="10"/>
            <rFont val="Arial"/>
            <family val="2"/>
          </rPr>
          <t xml:space="preserve">Подпункт п.18.2 — по категории водительского удостоверения (решение ОТиПБ от 19.10.2026).</t>
        </r>
      </text>
    </comment>
    <comment ref="I252" authorId="0">
      <text>
        <r>
          <rPr>
            <sz val="10"/>
            <rFont val="Arial"/>
            <family val="2"/>
          </rPr>
          <t xml:space="preserve">Подпункт п.18.1 — по категории водительского удостоверения (решение ОТиПБ от 19.10.2026).</t>
        </r>
      </text>
    </comment>
    <comment ref="I253" authorId="0">
      <text>
        <r>
          <rPr>
            <sz val="10"/>
            <rFont val="Arial"/>
            <family val="2"/>
          </rPr>
          <t xml:space="preserve">Подпункт п.18.1 — по категории водительского удостоверения (решение ОТиПБ от 19.10.2026).</t>
        </r>
      </text>
    </comment>
    <comment ref="K5" authorId="0">
      <text>
        <r>
          <rPr>
            <sz val="10"/>
            <rFont val="Arial"/>
            <family val="2"/>
          </rPr>
          <t xml:space="preserve">Дата фактического прохождения предварительного осмотра.</t>
        </r>
      </text>
    </comment>
    <comment ref="L5" authorId="0">
      <text>
        <r>
          <rPr>
            <sz val="10"/>
            <rFont val="Arial"/>
            <family val="2"/>
          </rPr>
          <t xml:space="preserve">Дата последнего пройденного периодического осмотра. При прохождении нового — заменить.</t>
        </r>
      </text>
    </comment>
    <comment ref="M5" authorId="0">
      <text>
        <r>
          <rPr>
            <sz val="10"/>
            <rFont val="Arial"/>
            <family val="2"/>
          </rPr>
          <t xml:space="preserve">Рассчитывается от наиболее поздней из дат предварительного и периодического осмотра.</t>
        </r>
      </text>
    </comment>
    <comment ref="P5" authorId="0">
      <text>
        <r>
          <rPr>
            <sz val="10"/>
            <rFont val="Arial"/>
            <family val="2"/>
          </rPr>
          <t xml:space="preserve">Внутренний контрольный срок (5 лет). Приказом №342н периодичность не установлена.</t>
        </r>
      </text>
    </comment>
    <comment ref="Q5" authorId="0">
      <text>
        <r>
          <rPr>
            <sz val="10"/>
            <rFont val="Arial"/>
            <family val="2"/>
          </rPr>
          <t xml:space="preserve">«Да» — дата предварительного осмотра позже даты приёма.</t>
        </r>
      </text>
    </comment>
  </commentList>
</comments>
</file>

<file path=xl/sharedStrings.xml><?xml version="1.0" encoding="utf-8"?>
<sst xmlns="http://schemas.openxmlformats.org/spreadsheetml/2006/main" count="1921" uniqueCount="800">
  <si>
    <t xml:space="preserve">Порядок ведения учёта медицинских осмотров</t>
  </si>
  <si>
    <t xml:space="preserve">ООО «Авиационные интерьеры-СН». Редакция от 19.10.2026.</t>
  </si>
  <si>
    <t xml:space="preserve">1. Общие положения</t>
  </si>
  <si>
    <t xml:space="preserve">Назначение</t>
  </si>
  <si>
    <t xml:space="preserve">Учёт предварительных и периодических медицинских осмотров и психиатрического освидетельствования работников, занятых на должностях (профессиях) по Перечню Приказа №43 от 03.04.2026.</t>
  </si>
  <si>
    <t xml:space="preserve">Состав файла</t>
  </si>
  <si>
    <t xml:space="preserve">«Сводка» — показатели по предприятию и площадкам; «Учёт медосмотров» — журнал по работникам; «Перечень» — должности, пункты вредных факторов, периодичность и признак психиатрического освидетельствования.</t>
  </si>
  <si>
    <t xml:space="preserve">Ответственный</t>
  </si>
  <si>
    <t xml:space="preserve">Отдел охраны труда и промышленной безопасности.</t>
  </si>
  <si>
    <t xml:space="preserve">2. Порядок заполнения</t>
  </si>
  <si>
    <t xml:space="preserve">Приём работника</t>
  </si>
  <si>
    <t xml:space="preserve">Внести данные в первую свободную строку журнала: площадка, ФИО, должность по штатному расписанию, подразделение, дата приёма. Номер, пункт Перечня, периодичность и признак психиатрического освидетельствования заполнятся автоматически.</t>
  </si>
  <si>
    <t xml:space="preserve">Предварительный осмотр</t>
  </si>
  <si>
    <t xml:space="preserve">Дата — в графу «Предварительный».</t>
  </si>
  <si>
    <t xml:space="preserve">Периодический осмотр</t>
  </si>
  <si>
    <t xml:space="preserve">Дата последнего пройденного осмотра — в графу «Последний периодический» (прежняя дата заменяется). Если сведений о предварительном осмотре нет, дата периодического всё равно вносится — срок следующего осмотра рассчитается от неё.</t>
  </si>
  <si>
    <t xml:space="preserve">Психиатрическое освид.</t>
  </si>
  <si>
    <t xml:space="preserve">Дата — в графу «Дата прохождения». Требуется, если в графе «Подлежит» стоит «Да».</t>
  </si>
  <si>
    <t xml:space="preserve">Увольнение, перевод</t>
  </si>
  <si>
    <t xml:space="preserve">Строку работника удалить целиком (правая кнопка мыши → «Удалить» → «Строку»). При переводе — изменить должность и подразделение.</t>
  </si>
  <si>
    <t xml:space="preserve">Новая должность</t>
  </si>
  <si>
    <t xml:space="preserve">Если в графе «№ по Перечню» появился знак «?», должность отсутствует в Перечне — требуется внести её в Приказ №43 и в лист «Перечень».</t>
  </si>
  <si>
    <t xml:space="preserve">Контроль сроков</t>
  </si>
  <si>
    <t xml:space="preserve">Фильтр по графе «Периодический осмотр»: «Просрочен», «Истекает», «Нет сведений». По графе «Психиатр. освид.»: «Не пройдено».</t>
  </si>
  <si>
    <t xml:space="preserve">Резерв строк</t>
  </si>
  <si>
    <t xml:space="preserve">В конце журнала подготовлено 35 пустых строк. При их исчерпании — вставлять строки внутри таблицы, выше последней заполненной.</t>
  </si>
  <si>
    <t xml:space="preserve">3. Условные обозначения</t>
  </si>
  <si>
    <t xml:space="preserve">Поле для заполнения.</t>
  </si>
  <si>
    <t xml:space="preserve">Срок не наступил.</t>
  </si>
  <si>
    <t xml:space="preserve">Срок наступает в течение 30 дней; нет даты предварительного осмотра при наличии периодического.</t>
  </si>
  <si>
    <t xml:space="preserve">Срок прошёл; нет сведений об осмотрах; осмотр пройден позже даты приёма.</t>
  </si>
  <si>
    <t xml:space="preserve">Подлежит психиатрическому освидетельствованию / освидетельствование не пройдено.</t>
  </si>
  <si>
    <t xml:space="preserve">4. Психиатрическое освидетельствование</t>
  </si>
  <si>
    <t xml:space="preserve">Подлежат</t>
  </si>
  <si>
    <t xml:space="preserve">Электромонтёр по ремонту и обслуживанию электрооборудования, инженер-электрик (п.2); главный энергетик (п.5); электромонтажник (п.20); мастер электромонтажного участка, мастер участка РЭО (п.29) — п.11–12 Приложения №2 к Приказу №342н. Водители (п.38, 39), кладовщик-комплектовщик (п.46) — п.1 Приложения №2.</t>
  </si>
  <si>
    <t xml:space="preserve">Не подлежат</t>
  </si>
  <si>
    <t xml:space="preserve">Главный механик (п.6), сборщик стеклопластиковых изделий (п.26), охрана (п.45) — по решению ОТиПБ. Пересматривается при непосредственном обслуживании оборудования под давлением, поставленного на учёт в Ростехнадзоре (п.13 Прил.№2); для кладовщиков (п.14) — при управлении кранами (п.6 Прил.№2).</t>
  </si>
  <si>
    <t xml:space="preserve">Периодичность</t>
  </si>
  <si>
    <t xml:space="preserve">Не установлена (письмо Минздрава России №30-0/3066769). Освидетельствование проводится при приёме (переводе) и по направлению по итогам медосмотра. Контрольная дата +5 лет — внутренняя мера.</t>
  </si>
  <si>
    <t xml:space="preserve">5. Нормативные документы</t>
  </si>
  <si>
    <t xml:space="preserve">ТК РФ</t>
  </si>
  <si>
    <t xml:space="preserve">ст. 76, 214, 220.</t>
  </si>
  <si>
    <t xml:space="preserve">Приказ №29н</t>
  </si>
  <si>
    <t xml:space="preserve">Минздрава России от 28.01.2021 «Об утверждении Порядка проведения обязательных предварительных и периодических медицинских осмотров работников…».</t>
  </si>
  <si>
    <t xml:space="preserve">Приказ №988н/1420н</t>
  </si>
  <si>
    <t xml:space="preserve">Минтруда России / Минздрава России от 31.12.2020 — перечень вредных и (или) опасных производственных факторов и работ.</t>
  </si>
  <si>
    <t xml:space="preserve">Приказ №342н</t>
  </si>
  <si>
    <t xml:space="preserve">Минздрава России от 20.05.2022 — порядок прохождения обязательного психиатрического освидетельствования (изм. Приказ №392н от 02.07.2025).</t>
  </si>
  <si>
    <t xml:space="preserve">Приказ №43</t>
  </si>
  <si>
    <t xml:space="preserve">от 03.04.2026 — перечень должностей и профессий, подлежащих медицинским осмотрам.</t>
  </si>
  <si>
    <t xml:space="preserve">6. Вопросы к решению</t>
  </si>
  <si>
    <t xml:space="preserve">Внести должности «Техник-сборщик» и «Техник» (Машково; учитываются по п.21 и п.36). Внести должности «Контролер КПП» и «Контролер КПП-старший смены» (Машково, переименование должностей «Сторож», «Старший сторож»; учитываются по п.45).</t>
  </si>
  <si>
    <t xml:space="preserve">Сверить номера пунктов Приложения №2 с редакцией Приказа №392н.</t>
  </si>
  <si>
    <t xml:space="preserve">Даты осмотров</t>
  </si>
  <si>
    <t xml:space="preserve">Запросить в медицинском центре сведения об осмотрах работников, по которым дат нет.</t>
  </si>
  <si>
    <t xml:space="preserve">7. Лист регистрации изменений</t>
  </si>
  <si>
    <t xml:space="preserve">10.09.2026</t>
  </si>
  <si>
    <t xml:space="preserve">Журнал сформирован по штатному расписанию на 04.09.2026.</t>
  </si>
  <si>
    <t xml:space="preserve">13.10.2026</t>
  </si>
  <si>
    <t xml:space="preserve">Сверка со штатным расписанием на 05.10.2026: добавлено 12 работников, исключено 6.</t>
  </si>
  <si>
    <t xml:space="preserve">15.10.2026</t>
  </si>
  <si>
    <t xml:space="preserve">Электромонтажник (п.20), мастер электромонтажного участка и мастер участка РЭО (п.29) отнесены к подлежащим психиатрическому освидетельствованию.</t>
  </si>
  <si>
    <t xml:space="preserve">Исключены из учёта: Максимов Ю.А. (перевод на должность вне Перечня); Богачева М.С., Рысева П.В., Медведева С.Е., Костин А.И., Андреева Н.В. (специалисты, Москва).</t>
  </si>
  <si>
    <t xml:space="preserve">Подтверждены даты предварительного осмотра 11.04.2022: Зеленов М.В., Ковалёв А.А., Солмин А.Ю., Павлов А.С.</t>
  </si>
  <si>
    <t xml:space="preserve">19.10.2026</t>
  </si>
  <si>
    <t xml:space="preserve">Пункты Приказа №29н: оператору склада (п.16) установлены п.4.4, п.5.1, п.6.2 (ранее п.4.3.1, п.4.3.2, п.4.4, п.5.1, п.6.2, п.18.1); кладовщик-комплектовщик выделен из п.14 в отдельную позицию п.46 с пунктами п.4.3.1, п.4.3.2, п.4.4, п.5.1, п.6.2, п.18.1 (ранее п.4.4, п.5.1, п.6.2) и отнесён к подлежащим психиатрическому освидетельствованию (п.1 Прил.№2 к Приказу №342н).</t>
  </si>
  <si>
    <t xml:space="preserve">Сверка со штатным расписанием на 19.10.2026: добавлено 6 работников (Архипенко О.Д., Вавилин А.А., Котов К.О., Грачев А.Н., Решилова Ю.Е., Зайцев А.В.; дата предварительного осмотра 01.10.2026), исключено 2 (уволены: Трофимов В.Д., Первоченков В.В.); у 96 работников должность и (или) подразделение приведены к штатному расписанию.</t>
  </si>
  <si>
    <t xml:space="preserve">Не включены в учёт: Гапеенко Э.В. (специалист, Москва) — по решению от 15.10.2026 для специалистов Москвы.</t>
  </si>
  <si>
    <t xml:space="preserve">Гришин А.Валерьевич (Руднево), перевод слесарь-ремонтник → слесарь механосборочных работ (добавлен п.4.3.2): решение ОТиПБ — медицинский осмотр по пунктам новой должности (п.4.3.1, п.4.3.2, п.4.4, п.5.1, п.15) в выездном осмотре 28.10.2026.</t>
  </si>
  <si>
    <t xml:space="preserve">Должности «Контролер КПП», «Контролер КПП-старший смены» (бывш. «Сторож», «Старший сторож») сопоставлены с п.45 Перечня (лист «Соответствие»).</t>
  </si>
  <si>
    <t xml:space="preserve">Наименования подразделений приведены без обозначения площадки «Р», «МШ», «(МШ н/д)», у работников Машково и Руднево — также «М» (решение ОТиПБ); площадка указывается в графе «Площадка».</t>
  </si>
  <si>
    <t xml:space="preserve">Решение ОТиПБ: уборщикам (п.10) установлены п.1.48, п.4.4, п.5.1 (исключён п.4.3.1); специалисту (п.12), инженеру ОТК и контролеру ОТК (п.13), мастеру участка (п.18), должностям ПДО (п.27, п.28) — п.4.4, п.5.2 (исключён п.5.1); бригадир выделен из п.18 в п.47 с прежними пунктами п.4.4, п.5.1, п.5.2; водителям-экспедиторам (п.38) подпункт п.18 указан по каждому работнику (п.18.1 или п.18.2, примечание в графе «Пункты приказа №29н»). Внести в Приказ №43.</t>
  </si>
  <si>
    <t xml:space="preserve">Сводка по медицинским осмотрам</t>
  </si>
  <si>
    <t xml:space="preserve">ООО «Авиационные интерьеры-СН»</t>
  </si>
  <si>
    <t xml:space="preserve">по состоянию на</t>
  </si>
  <si>
    <t xml:space="preserve">Медицинские осмотры</t>
  </si>
  <si>
    <t xml:space="preserve">Показатель</t>
  </si>
  <si>
    <t xml:space="preserve">чел.</t>
  </si>
  <si>
    <t xml:space="preserve">%</t>
  </si>
  <si>
    <t xml:space="preserve">Всего работников, подлежащих осмотру</t>
  </si>
  <si>
    <t xml:space="preserve">Указана дата предварительного осмотра</t>
  </si>
  <si>
    <t xml:space="preserve">Не указана дата предварительного осмотра</t>
  </si>
  <si>
    <t xml:space="preserve">      в т.ч. принятые более года назад</t>
  </si>
  <si>
    <t xml:space="preserve">Указана дата периодического осмотра</t>
  </si>
  <si>
    <t xml:space="preserve">Периодический осмотр: в срок</t>
  </si>
  <si>
    <t xml:space="preserve">Периодический осмотр: истекает в течение 30 дней</t>
  </si>
  <si>
    <t xml:space="preserve">Периодический осмотр: просрочен</t>
  </si>
  <si>
    <t xml:space="preserve">Нет сведений об осмотрах</t>
  </si>
  <si>
    <t xml:space="preserve">Предварительный осмотр пройден позже даты приёма</t>
  </si>
  <si>
    <t xml:space="preserve">Психиатрическое освидетельствование</t>
  </si>
  <si>
    <t xml:space="preserve">Подлежат освидетельствованию</t>
  </si>
  <si>
    <t xml:space="preserve">      дата прохождения указана</t>
  </si>
  <si>
    <t xml:space="preserve">      дата прохождения не указана</t>
  </si>
  <si>
    <t xml:space="preserve">Истёк внутренний контрольный срок (5 лет)</t>
  </si>
  <si>
    <t xml:space="preserve">По площадкам</t>
  </si>
  <si>
    <t xml:space="preserve">Площадка</t>
  </si>
  <si>
    <t xml:space="preserve">Всего</t>
  </si>
  <si>
    <t xml:space="preserve">В срок</t>
  </si>
  <si>
    <t xml:space="preserve">Истекает (30 дн.)</t>
  </si>
  <si>
    <t xml:space="preserve">Просрочен</t>
  </si>
  <si>
    <t xml:space="preserve">Нет сведений</t>
  </si>
  <si>
    <t xml:space="preserve">Психиатр.: подлежат</t>
  </si>
  <si>
    <t xml:space="preserve">Психиатр.: не пройдено</t>
  </si>
  <si>
    <t xml:space="preserve">Внуково</t>
  </si>
  <si>
    <t xml:space="preserve">Воронеж</t>
  </si>
  <si>
    <t xml:space="preserve">Жуковский</t>
  </si>
  <si>
    <t xml:space="preserve">Казань</t>
  </si>
  <si>
    <t xml:space="preserve">Машково</t>
  </si>
  <si>
    <t xml:space="preserve">Москва</t>
  </si>
  <si>
    <t xml:space="preserve">Руднево</t>
  </si>
  <si>
    <t xml:space="preserve">Ульяновск</t>
  </si>
  <si>
    <t xml:space="preserve">Итого</t>
  </si>
  <si>
    <t xml:space="preserve">Учет обязательных медицинских осмотров работников</t>
  </si>
  <si>
    <t xml:space="preserve">на дату:</t>
  </si>
  <si>
    <t xml:space="preserve"> основание: Приказ №43 от 03.04.2026, Приказ Минздрава России №29н от 28.01.2021, Приказ №342н от 20.05.2022</t>
  </si>
  <si>
    <t xml:space="preserve">Работник</t>
  </si>
  <si>
    <t xml:space="preserve">Перечень (Приказ №43)</t>
  </si>
  <si>
    <t xml:space="preserve">Медицинский осмотр, дата</t>
  </si>
  <si>
    <t xml:space="preserve">Контроль</t>
  </si>
  <si>
    <t xml:space="preserve">№</t>
  </si>
  <si>
    <t xml:space="preserve">ФИО работника</t>
  </si>
  <si>
    <t xml:space="preserve">Должность (профессия)</t>
  </si>
  <si>
    <t xml:space="preserve">Структурное подразделение</t>
  </si>
  <si>
    <t xml:space="preserve">Дата приёма</t>
  </si>
  <si>
    <t xml:space="preserve">ключ</t>
  </si>
  <si>
    <t xml:space="preserve">№ по Перечню</t>
  </si>
  <si>
    <t xml:space="preserve">Пункты приказа №29н</t>
  </si>
  <si>
    <t xml:space="preserve">Период., мес.</t>
  </si>
  <si>
    <t xml:space="preserve">Предварительный</t>
  </si>
  <si>
    <t xml:space="preserve">Последний периодический</t>
  </si>
  <si>
    <t xml:space="preserve">Следующий (план)</t>
  </si>
  <si>
    <t xml:space="preserve">Подлежит</t>
  </si>
  <si>
    <t xml:space="preserve">Дата прохождения</t>
  </si>
  <si>
    <t xml:space="preserve">Контрольная дата</t>
  </si>
  <si>
    <t xml:space="preserve">Осмотр позже приёма</t>
  </si>
  <si>
    <t xml:space="preserve">Психиатр. освид.</t>
  </si>
  <si>
    <t xml:space="preserve">Юдакова Регина Юрьевна</t>
  </si>
  <si>
    <t xml:space="preserve">Инженер 3 категории</t>
  </si>
  <si>
    <t xml:space="preserve">Отдел технического контроля М</t>
  </si>
  <si>
    <t xml:space="preserve">Петрунина Людмила Александровна</t>
  </si>
  <si>
    <t xml:space="preserve">Инженер 1 категории</t>
  </si>
  <si>
    <t xml:space="preserve">Ястребов Александр Сергеевич</t>
  </si>
  <si>
    <t xml:space="preserve">Отдел технического контроля</t>
  </si>
  <si>
    <t xml:space="preserve">Гудумак Анастасия Сергеевна</t>
  </si>
  <si>
    <t xml:space="preserve">Инженер 2 категории</t>
  </si>
  <si>
    <t xml:space="preserve">Ермакова Наталья Васильевна</t>
  </si>
  <si>
    <t xml:space="preserve">Контролер 1 категории</t>
  </si>
  <si>
    <t xml:space="preserve">Шрамко Наталья Викторовна</t>
  </si>
  <si>
    <t xml:space="preserve">Высокий Владимир Евгеньевич</t>
  </si>
  <si>
    <t xml:space="preserve">Водитель автомобиля (персональный 2 категории)</t>
  </si>
  <si>
    <t xml:space="preserve">Отдел транспортного обеспечения (М н/д)</t>
  </si>
  <si>
    <t xml:space="preserve">Киреева Вера Антоновна</t>
  </si>
  <si>
    <t xml:space="preserve">Старший технический работник</t>
  </si>
  <si>
    <t xml:space="preserve">Административно-хозяйственный отдел М</t>
  </si>
  <si>
    <t xml:space="preserve">Лебедева Валентина Михайловна</t>
  </si>
  <si>
    <t xml:space="preserve">Никонова Наталия Евгеньевна</t>
  </si>
  <si>
    <t xml:space="preserve">Кукин Эрнст Валерьевич</t>
  </si>
  <si>
    <t xml:space="preserve">Реставратор</t>
  </si>
  <si>
    <t xml:space="preserve">Производственное подразделение Внуково М</t>
  </si>
  <si>
    <t xml:space="preserve">Туманов Сергей Дмитриевич</t>
  </si>
  <si>
    <t xml:space="preserve">Электромонтажник 4 разряда</t>
  </si>
  <si>
    <t xml:space="preserve">Алфимов Дмитрий Юрьевич</t>
  </si>
  <si>
    <t xml:space="preserve">Электромонтажник 5 разряда</t>
  </si>
  <si>
    <t xml:space="preserve">Зосимов Александр Геннадиевич</t>
  </si>
  <si>
    <t xml:space="preserve">Слесарь-сборщик 6 разряда</t>
  </si>
  <si>
    <t xml:space="preserve">Шевченко Сергей Васильевич</t>
  </si>
  <si>
    <t xml:space="preserve">Ведущий специалист по реставрации</t>
  </si>
  <si>
    <t xml:space="preserve">Нитяговский Сергей Александрович</t>
  </si>
  <si>
    <t xml:space="preserve">Слесарь-сборщик 5 разряда</t>
  </si>
  <si>
    <t xml:space="preserve">Постульгин Александр Валентинович</t>
  </si>
  <si>
    <t xml:space="preserve">Луданцев Алексей Владимирович</t>
  </si>
  <si>
    <t xml:space="preserve">Слесарь-сборщик 4 разряда</t>
  </si>
  <si>
    <t xml:space="preserve">Варламов Олег Владимирович</t>
  </si>
  <si>
    <t xml:space="preserve">Менеджер-комплектовщик</t>
  </si>
  <si>
    <t xml:space="preserve">Климачев Сергей Валерьевич</t>
  </si>
  <si>
    <t xml:space="preserve">Заместитель директора департамента-Начальник производственного подразделения</t>
  </si>
  <si>
    <t xml:space="preserve">Заворотный Дмитрий Дмитриевич</t>
  </si>
  <si>
    <t xml:space="preserve">Старший оперативный дежурный</t>
  </si>
  <si>
    <t xml:space="preserve">Отдел режима М</t>
  </si>
  <si>
    <t xml:space="preserve">Горбушин Сергей Юрьевич</t>
  </si>
  <si>
    <t xml:space="preserve">Оперативный дежурный</t>
  </si>
  <si>
    <t xml:space="preserve">Кисельников Николай Михайлович</t>
  </si>
  <si>
    <t xml:space="preserve">Сорокин Виктор Фомич</t>
  </si>
  <si>
    <t xml:space="preserve">Боровенский Андрей Алексеевич</t>
  </si>
  <si>
    <t xml:space="preserve">Участок сборки В</t>
  </si>
  <si>
    <t xml:space="preserve">Гаршин Сергей Александрович</t>
  </si>
  <si>
    <t xml:space="preserve">Голев Вадим Алексеевич</t>
  </si>
  <si>
    <t xml:space="preserve">Гринёв Игорь Сергеевич</t>
  </si>
  <si>
    <t xml:space="preserve">Гунькин Юрий Игоревич</t>
  </si>
  <si>
    <t xml:space="preserve">Долгих Георгий Дмитриевич</t>
  </si>
  <si>
    <t xml:space="preserve">Зиновьев Вадим Дмитриевич</t>
  </si>
  <si>
    <t xml:space="preserve">Зубарев Владимир Владимирович</t>
  </si>
  <si>
    <t xml:space="preserve">Ковряков Дмитрий Александрович</t>
  </si>
  <si>
    <t xml:space="preserve">Косменко Игорь Юрьевич</t>
  </si>
  <si>
    <t xml:space="preserve">Кумицкий Алексей Иванович</t>
  </si>
  <si>
    <t xml:space="preserve">Михайлов Никита Алексеевич</t>
  </si>
  <si>
    <t xml:space="preserve">Попов Андрей Михайлович</t>
  </si>
  <si>
    <t xml:space="preserve">Попов Роман Юрьевич</t>
  </si>
  <si>
    <t xml:space="preserve">Потамошнев Константин Сергеевич</t>
  </si>
  <si>
    <t xml:space="preserve">Самодуров Алексей Юрьевич</t>
  </si>
  <si>
    <t xml:space="preserve">Сидоренко Сергей Владимирович</t>
  </si>
  <si>
    <t xml:space="preserve">Сорокин Олег Владимирович</t>
  </si>
  <si>
    <t xml:space="preserve">Сухинин Андрей Алексеевич</t>
  </si>
  <si>
    <t xml:space="preserve">Червяков Владислав Вячеславович</t>
  </si>
  <si>
    <t xml:space="preserve">Юрьев Александр Николаевич</t>
  </si>
  <si>
    <t xml:space="preserve">Белоусова Людмила Владимировна</t>
  </si>
  <si>
    <t xml:space="preserve">Кладовщик</t>
  </si>
  <si>
    <t xml:space="preserve">Склад В</t>
  </si>
  <si>
    <t xml:space="preserve">Басов Вадим Романович</t>
  </si>
  <si>
    <t xml:space="preserve">Участок РЭО В</t>
  </si>
  <si>
    <t xml:space="preserve">Левин Александр Владимирович</t>
  </si>
  <si>
    <t xml:space="preserve">Лисунов Кирилл Андреевич</t>
  </si>
  <si>
    <t xml:space="preserve">Попов Денис Игоревич</t>
  </si>
  <si>
    <t xml:space="preserve">Тимофеев Владимир Николаевич</t>
  </si>
  <si>
    <t xml:space="preserve">Труфанов Павел Игоревич</t>
  </si>
  <si>
    <t xml:space="preserve">Ячмень Евгений Григорьевич</t>
  </si>
  <si>
    <t xml:space="preserve">Воробьев Николай Александрович</t>
  </si>
  <si>
    <t xml:space="preserve">Зеленов Михаил Валерьевич</t>
  </si>
  <si>
    <t xml:space="preserve">Золотарев Сергей Константинович</t>
  </si>
  <si>
    <t xml:space="preserve">Ковалёв Алексей Александрович</t>
  </si>
  <si>
    <t xml:space="preserve">Силуянов Виктор Ильич</t>
  </si>
  <si>
    <t xml:space="preserve">Соболев Виталий Юрьевич</t>
  </si>
  <si>
    <t xml:space="preserve">Солмин Александр Юрьевич</t>
  </si>
  <si>
    <t xml:space="preserve">Толстоплётов Денис Анатольевич</t>
  </si>
  <si>
    <t xml:space="preserve">Самсонов Виталий Игоревич</t>
  </si>
  <si>
    <t xml:space="preserve">Слесарь-сборщик 3 разряда</t>
  </si>
  <si>
    <t xml:space="preserve">Производственное подразделение №6 (В н/д)</t>
  </si>
  <si>
    <t xml:space="preserve">Аралов Евгений Васильевич</t>
  </si>
  <si>
    <t xml:space="preserve">Вечканов Константин Дмитриевич</t>
  </si>
  <si>
    <t xml:space="preserve">Галактионов Александр Александрович</t>
  </si>
  <si>
    <t xml:space="preserve">Иванов Алексей Николаевич</t>
  </si>
  <si>
    <t xml:space="preserve">Мелконян Нерсес Эдвардович</t>
  </si>
  <si>
    <t xml:space="preserve">Мысовских Александр Александрович</t>
  </si>
  <si>
    <t xml:space="preserve">Петренко Дмитрий Сергеевич</t>
  </si>
  <si>
    <t xml:space="preserve">Попов Олег Владимирович</t>
  </si>
  <si>
    <t xml:space="preserve">Роговский Александр Викторович</t>
  </si>
  <si>
    <t xml:space="preserve">Русанов Александр Евгеньевич</t>
  </si>
  <si>
    <t xml:space="preserve">Рябинин Александр Анатольевич</t>
  </si>
  <si>
    <t xml:space="preserve">Тимошкин Сергей Александрович</t>
  </si>
  <si>
    <t xml:space="preserve">Шпилев Михаил Сергеевич</t>
  </si>
  <si>
    <t xml:space="preserve">Будавских Вадим Григорьевич</t>
  </si>
  <si>
    <t xml:space="preserve">Мастер участка</t>
  </si>
  <si>
    <t xml:space="preserve">Бысенко Юрий Павлович</t>
  </si>
  <si>
    <t xml:space="preserve">Деревянченко Андрей Павлович</t>
  </si>
  <si>
    <t xml:space="preserve">Студеникин Михаил Вячеславович</t>
  </si>
  <si>
    <t xml:space="preserve">Павлов Александр Сергеевич</t>
  </si>
  <si>
    <t xml:space="preserve">Дуленков Александр Вячеславович</t>
  </si>
  <si>
    <t xml:space="preserve">Инженер по авиационному и радиоэлектронному оборудованию</t>
  </si>
  <si>
    <t xml:space="preserve">Производственное подразделение Воронеж</t>
  </si>
  <si>
    <t xml:space="preserve">Петина Ирина Викторовна</t>
  </si>
  <si>
    <t xml:space="preserve">Оператор склада</t>
  </si>
  <si>
    <t xml:space="preserve">Склад</t>
  </si>
  <si>
    <t xml:space="preserve">Рузайкин Юрий Андреевич</t>
  </si>
  <si>
    <t xml:space="preserve">Инженер</t>
  </si>
  <si>
    <t xml:space="preserve">Планово-диспетчерский отдел</t>
  </si>
  <si>
    <t xml:space="preserve">Хлыщенко Александр Александрович</t>
  </si>
  <si>
    <t xml:space="preserve">Ведущий инженер</t>
  </si>
  <si>
    <t xml:space="preserve">Абрамович Светлана Николаевна</t>
  </si>
  <si>
    <t xml:space="preserve">Диспетчер</t>
  </si>
  <si>
    <t xml:space="preserve">Баранникова Елена Александровна</t>
  </si>
  <si>
    <t xml:space="preserve">Гришин Алексей Владимирович</t>
  </si>
  <si>
    <t xml:space="preserve">Зубехин Григорий Александрович</t>
  </si>
  <si>
    <t xml:space="preserve">Кадиева Наталья Борисовна</t>
  </si>
  <si>
    <t xml:space="preserve">Лапкин Виталий Олегович</t>
  </si>
  <si>
    <t xml:space="preserve">Лапкина Анастасия Владимировна</t>
  </si>
  <si>
    <t xml:space="preserve">Гришина Неля Евгеньевна</t>
  </si>
  <si>
    <t xml:space="preserve">Ведущий диспетчер</t>
  </si>
  <si>
    <t xml:space="preserve">Запотылок Алена Владимировна</t>
  </si>
  <si>
    <t xml:space="preserve">Паукова Наталья Владимировна</t>
  </si>
  <si>
    <t xml:space="preserve">Полозов Василий Борисович</t>
  </si>
  <si>
    <t xml:space="preserve">Попова Юлия Александровна</t>
  </si>
  <si>
    <t xml:space="preserve">Ведущий специалист по учету</t>
  </si>
  <si>
    <t xml:space="preserve">Агапов Максим Владимирович</t>
  </si>
  <si>
    <t xml:space="preserve">Токарь 6 разряда</t>
  </si>
  <si>
    <t xml:space="preserve">Механический участок</t>
  </si>
  <si>
    <t xml:space="preserve">Артёмов Антон Анатольевич</t>
  </si>
  <si>
    <t xml:space="preserve">Потапкин Илья Анатольевич</t>
  </si>
  <si>
    <t xml:space="preserve">Назин Владислав Сергеевич</t>
  </si>
  <si>
    <t xml:space="preserve">Оператор станков с ЧПУ 5 разряда</t>
  </si>
  <si>
    <t xml:space="preserve">Орлов Михаил Юрьевич</t>
  </si>
  <si>
    <t xml:space="preserve">Тарасов Борис Анатольевич</t>
  </si>
  <si>
    <t xml:space="preserve">Фрезеровщик 6 разряда</t>
  </si>
  <si>
    <t xml:space="preserve">Фокина Светлана Геннадиевна</t>
  </si>
  <si>
    <t xml:space="preserve">Бондин Денис Игоревич</t>
  </si>
  <si>
    <t xml:space="preserve">Оператор-наладчик станков с ЧПУ</t>
  </si>
  <si>
    <t xml:space="preserve">Саранцев Петр Дмитриевич</t>
  </si>
  <si>
    <t xml:space="preserve">Токарь 5 разряда</t>
  </si>
  <si>
    <t xml:space="preserve">Юдаков Алексей Викторович</t>
  </si>
  <si>
    <t xml:space="preserve">Клюг Андрей Эдуардович</t>
  </si>
  <si>
    <t xml:space="preserve">Фрезеровщик 5 разряда</t>
  </si>
  <si>
    <t xml:space="preserve">Бугаев Сергей Петрович</t>
  </si>
  <si>
    <t xml:space="preserve">Слесарь механосборочных работ 6 разряда</t>
  </si>
  <si>
    <t xml:space="preserve">Слесарный участок</t>
  </si>
  <si>
    <t xml:space="preserve">Макаренков Святослав Михайлович</t>
  </si>
  <si>
    <t xml:space="preserve">Савичев Сергей Сергеевич</t>
  </si>
  <si>
    <t xml:space="preserve">Сафонов Роман Валерьевич</t>
  </si>
  <si>
    <t xml:space="preserve">Филимонов Андрей Владимирович</t>
  </si>
  <si>
    <t xml:space="preserve">Епифанов Александр Сергеевич</t>
  </si>
  <si>
    <t xml:space="preserve">Слесарь механосборочных работ 5 разряда</t>
  </si>
  <si>
    <t xml:space="preserve">Семененко Александр Михайлович</t>
  </si>
  <si>
    <t xml:space="preserve">Сорокин Игорь Анатольевич</t>
  </si>
  <si>
    <t xml:space="preserve">Горелов Андрей Сергеевич</t>
  </si>
  <si>
    <t xml:space="preserve">Зинченко Денис Андреевич</t>
  </si>
  <si>
    <t xml:space="preserve">Кулешов Руслан Викторович</t>
  </si>
  <si>
    <t xml:space="preserve">Нагаев Дмитрий Александрович</t>
  </si>
  <si>
    <t xml:space="preserve">Виноградов Валерий Валерьевич</t>
  </si>
  <si>
    <t xml:space="preserve">Слесарь механосборочных работ 4 разряда</t>
  </si>
  <si>
    <t xml:space="preserve">Карантышов Андрей Витальевич</t>
  </si>
  <si>
    <t xml:space="preserve">Рыскин Вадим Вячеславович</t>
  </si>
  <si>
    <t xml:space="preserve">Терёхин Кирилл Павлович</t>
  </si>
  <si>
    <t xml:space="preserve">Кокорев Анатолий Сергеевич</t>
  </si>
  <si>
    <t xml:space="preserve">Участок РЭО</t>
  </si>
  <si>
    <t xml:space="preserve">Богданов Александр Викторович</t>
  </si>
  <si>
    <t xml:space="preserve">Озорнов Игорь Валерьевич</t>
  </si>
  <si>
    <t xml:space="preserve">Романов Дмитрий Евгеньевич</t>
  </si>
  <si>
    <t xml:space="preserve">Шабалин Александр Сергеевич</t>
  </si>
  <si>
    <t xml:space="preserve">Бабенко Олег Анатольевич</t>
  </si>
  <si>
    <t xml:space="preserve">Техник-сборщик 5 разряда</t>
  </si>
  <si>
    <t xml:space="preserve">Мебельный участок</t>
  </si>
  <si>
    <t xml:space="preserve">Макарский Станислав Иванович</t>
  </si>
  <si>
    <t xml:space="preserve">Мураев Вадим Викторович</t>
  </si>
  <si>
    <t xml:space="preserve">Алманов Вячеслав Михайлович</t>
  </si>
  <si>
    <t xml:space="preserve">Техник-сборщик 4 разряда</t>
  </si>
  <si>
    <t xml:space="preserve">Кротков Александр Юрьевич</t>
  </si>
  <si>
    <t xml:space="preserve">Столяр 4 разряда</t>
  </si>
  <si>
    <t xml:space="preserve">Семенов Александр Александрович</t>
  </si>
  <si>
    <t xml:space="preserve">Техник-сборщик 3 разряда</t>
  </si>
  <si>
    <t xml:space="preserve">Морозов Олег Валерьевич</t>
  </si>
  <si>
    <t xml:space="preserve">Оператор станков с ЧПУ 4 разряда</t>
  </si>
  <si>
    <t xml:space="preserve">Нерозников Роман Анатольевич</t>
  </si>
  <si>
    <t xml:space="preserve">Никитин Валерий Сергеевич</t>
  </si>
  <si>
    <t xml:space="preserve">Бутузов Вадим Владимирович</t>
  </si>
  <si>
    <t xml:space="preserve">Анненков Олег Викторович</t>
  </si>
  <si>
    <t xml:space="preserve">Техник-сборщик 6 разряда</t>
  </si>
  <si>
    <t xml:space="preserve">Захаров Юрий Викторович</t>
  </si>
  <si>
    <t xml:space="preserve">Малышкин Сергей Константинович</t>
  </si>
  <si>
    <t xml:space="preserve">Маркарян Роман Рубикович</t>
  </si>
  <si>
    <t xml:space="preserve">Савельев Станислав Юрьевич</t>
  </si>
  <si>
    <t xml:space="preserve">Селиванов Алексей Алексеевич</t>
  </si>
  <si>
    <t xml:space="preserve">Трушков Сергей Викторович</t>
  </si>
  <si>
    <t xml:space="preserve">Черносвитов Дмитрий Львович</t>
  </si>
  <si>
    <t xml:space="preserve">Кукушкин Дмитрий Вячеславович</t>
  </si>
  <si>
    <t xml:space="preserve">Михиенков Валерий Евгеньевич</t>
  </si>
  <si>
    <t xml:space="preserve">Петушков Дмитрий Сергеевич</t>
  </si>
  <si>
    <t xml:space="preserve">Полудкин Роман Владимирович</t>
  </si>
  <si>
    <t xml:space="preserve">Рыжков Олег Николаевич</t>
  </si>
  <si>
    <t xml:space="preserve">Степанов Валентин Владимирович</t>
  </si>
  <si>
    <t xml:space="preserve">Цибин Николай Дмитриевич</t>
  </si>
  <si>
    <t xml:space="preserve">Бригадир</t>
  </si>
  <si>
    <t xml:space="preserve">Шеин Андрей Геннадьевич</t>
  </si>
  <si>
    <t xml:space="preserve">Балалаев Сергей Викторович</t>
  </si>
  <si>
    <t xml:space="preserve">Сборщик стеклопластиковых изделий 6 разряда</t>
  </si>
  <si>
    <t xml:space="preserve">Матухно Константин Викторович</t>
  </si>
  <si>
    <t xml:space="preserve">Анисимов Игорь Владимирович</t>
  </si>
  <si>
    <t xml:space="preserve">Сборщик стеклопластиковых изделий 3 разряда</t>
  </si>
  <si>
    <t xml:space="preserve">Кукушкин Максим Дмитриевич</t>
  </si>
  <si>
    <t xml:space="preserve">Антропов Иван Юрьевич</t>
  </si>
  <si>
    <t xml:space="preserve">Сборщик стеклопластиковых изделий 5 разряда</t>
  </si>
  <si>
    <t xml:space="preserve">Ветлянский Александр Александрович</t>
  </si>
  <si>
    <t xml:space="preserve">Арифулин Александр Александрович</t>
  </si>
  <si>
    <t xml:space="preserve">Облицовщик деталей мебели 4 разряда</t>
  </si>
  <si>
    <t xml:space="preserve">Пантюхов Вячеслав Владимирович</t>
  </si>
  <si>
    <t xml:space="preserve">Хасянов Ильфат Шамильевич</t>
  </si>
  <si>
    <t xml:space="preserve">Бредихин Евгений Васильевич</t>
  </si>
  <si>
    <t xml:space="preserve">Сборщик стеклопластиковых изделий 4 разряда</t>
  </si>
  <si>
    <t xml:space="preserve">Зайцев Андрей Александрович</t>
  </si>
  <si>
    <t xml:space="preserve">Облицовщик деталей мебели 3 разряда</t>
  </si>
  <si>
    <t xml:space="preserve">Пичугин Александр Владимирович</t>
  </si>
  <si>
    <t xml:space="preserve">Тимошенко Александр Олегович</t>
  </si>
  <si>
    <t xml:space="preserve">Чусов Иван Леонидович</t>
  </si>
  <si>
    <t xml:space="preserve">Техник-сборщик 2 разряда</t>
  </si>
  <si>
    <t xml:space="preserve">Попов Виктор Михайлович</t>
  </si>
  <si>
    <t xml:space="preserve">Участок декоративной отделки</t>
  </si>
  <si>
    <t xml:space="preserve">Габбасов Евгений Рафисович</t>
  </si>
  <si>
    <t xml:space="preserve">Калинкин Анатолий Сергеевич</t>
  </si>
  <si>
    <t xml:space="preserve">Морев Александр Михайлович</t>
  </si>
  <si>
    <t xml:space="preserve">Облицовщик деталей мебели 6 разряда</t>
  </si>
  <si>
    <t xml:space="preserve">Морев Владимир Александрович</t>
  </si>
  <si>
    <t xml:space="preserve">Первушин Максим Александрович</t>
  </si>
  <si>
    <t xml:space="preserve">Техник 6 разряда</t>
  </si>
  <si>
    <t xml:space="preserve">Солодков Максим Юрьевич</t>
  </si>
  <si>
    <t xml:space="preserve">Маляр 6 разряда</t>
  </si>
  <si>
    <t xml:space="preserve">Алманова Дойна Виореловна</t>
  </si>
  <si>
    <t xml:space="preserve">Долинская Валерия Александровна</t>
  </si>
  <si>
    <t xml:space="preserve">Маляр 4 разряда</t>
  </si>
  <si>
    <t xml:space="preserve">Симонова Виктория Александровна</t>
  </si>
  <si>
    <t xml:space="preserve">Тимохин Александр Владимирович</t>
  </si>
  <si>
    <t xml:space="preserve">Техник 4 разряда</t>
  </si>
  <si>
    <t xml:space="preserve">Караваев Игорь Александрович</t>
  </si>
  <si>
    <t xml:space="preserve">Лисовский Александр Валерьевич</t>
  </si>
  <si>
    <t xml:space="preserve">Лысенко Анатолий Алексеевич</t>
  </si>
  <si>
    <t xml:space="preserve">Никитин Марат Николаевич</t>
  </si>
  <si>
    <t xml:space="preserve">Техник 5 разряда</t>
  </si>
  <si>
    <t xml:space="preserve">Ожерельев Сергей Николаевич</t>
  </si>
  <si>
    <t xml:space="preserve">Гимадиев Евгений Искандерович</t>
  </si>
  <si>
    <t xml:space="preserve">Техник 3 разряда</t>
  </si>
  <si>
    <t xml:space="preserve">Китов Алексей Геннадьевич</t>
  </si>
  <si>
    <t xml:space="preserve">Тишин Алексей Владимирович</t>
  </si>
  <si>
    <t xml:space="preserve">Пухова Жанна Аслановна</t>
  </si>
  <si>
    <t xml:space="preserve">Техник 2 разряда</t>
  </si>
  <si>
    <t xml:space="preserve">Иванов Андрей Петрович</t>
  </si>
  <si>
    <t xml:space="preserve">Рабочий по комплексному обслуживанию и ремонту зданий 3 разряда</t>
  </si>
  <si>
    <t xml:space="preserve">Служба главного инженера</t>
  </si>
  <si>
    <t xml:space="preserve">Божьева Ирина Вячеславовна</t>
  </si>
  <si>
    <t xml:space="preserve">Васильева Алина Владимировна</t>
  </si>
  <si>
    <t xml:space="preserve">Райкова Ирина Алексеевна</t>
  </si>
  <si>
    <t xml:space="preserve">Трушаков Владимир Александрович</t>
  </si>
  <si>
    <t xml:space="preserve">Механик</t>
  </si>
  <si>
    <t xml:space="preserve">Иванов Владимир Максимович</t>
  </si>
  <si>
    <t xml:space="preserve">Найденов Андрей Александрович</t>
  </si>
  <si>
    <t xml:space="preserve">Королев Владислав Владимирович</t>
  </si>
  <si>
    <t xml:space="preserve">Разнорабочий</t>
  </si>
  <si>
    <t xml:space="preserve">Омельченко Вячеслав Васильевич</t>
  </si>
  <si>
    <t xml:space="preserve">Калинин Дмитрий Александрович</t>
  </si>
  <si>
    <t xml:space="preserve">Главный энергетик</t>
  </si>
  <si>
    <t xml:space="preserve">Старовойтов Владимир Владимирович</t>
  </si>
  <si>
    <t xml:space="preserve">Главный механик</t>
  </si>
  <si>
    <t xml:space="preserve">Долженко Александр Сергеевич</t>
  </si>
  <si>
    <t xml:space="preserve">Электромонтер по ремонту и обслуживанию электрооборудования 4 разряда</t>
  </si>
  <si>
    <t xml:space="preserve">Климов Дмитрий Николаевич</t>
  </si>
  <si>
    <t xml:space="preserve">Кармазин Александр Николаевич</t>
  </si>
  <si>
    <t xml:space="preserve">Инженер по эксплуатации зданий и сооружений</t>
  </si>
  <si>
    <t xml:space="preserve">Бизюков Сергей Иванович</t>
  </si>
  <si>
    <t xml:space="preserve">Электромонтер по ремонту и обслуживанию электрооборудования 5 разряда</t>
  </si>
  <si>
    <t xml:space="preserve">Хромов Павел Николаевич</t>
  </si>
  <si>
    <t xml:space="preserve">Механик-наладчик</t>
  </si>
  <si>
    <t xml:space="preserve">Жусев Алексей Анатольевич</t>
  </si>
  <si>
    <t xml:space="preserve">Инженер-электрик</t>
  </si>
  <si>
    <t xml:space="preserve">Грачев Андрей Николаевич</t>
  </si>
  <si>
    <t xml:space="preserve">Слесарь-ремонтник 5 разряда</t>
  </si>
  <si>
    <t xml:space="preserve">Захарова Любовь Владимировна</t>
  </si>
  <si>
    <t xml:space="preserve">Специалист</t>
  </si>
  <si>
    <t xml:space="preserve">Административно-хозяйственный отдел</t>
  </si>
  <si>
    <t xml:space="preserve">Гросс Елена Владимировна</t>
  </si>
  <si>
    <t xml:space="preserve">Уборщик производственных и служебных помещений</t>
  </si>
  <si>
    <t xml:space="preserve">Декун Лидия Петровна</t>
  </si>
  <si>
    <t xml:space="preserve">Михеева Наталия Петровна</t>
  </si>
  <si>
    <t xml:space="preserve">Новоторцева Наталия Николаевна</t>
  </si>
  <si>
    <t xml:space="preserve">Савичева Марина Анатольевна</t>
  </si>
  <si>
    <t xml:space="preserve">Хилинская Анна Александровна</t>
  </si>
  <si>
    <t xml:space="preserve">Беспалов Виталий Анатольевич</t>
  </si>
  <si>
    <t xml:space="preserve">Контролер КПП</t>
  </si>
  <si>
    <t xml:space="preserve">Отдел режима</t>
  </si>
  <si>
    <t xml:space="preserve">Волгин Анатолий Иванович</t>
  </si>
  <si>
    <t xml:space="preserve">Гусев Александр Николаевич</t>
  </si>
  <si>
    <t xml:space="preserve">Дудукин Сергей Вячеславович</t>
  </si>
  <si>
    <t xml:space="preserve">Звягин Евгений Иванович</t>
  </si>
  <si>
    <t xml:space="preserve">Макаренко Алексей Иванович</t>
  </si>
  <si>
    <t xml:space="preserve">Матвицкий Виктор Владимирович</t>
  </si>
  <si>
    <t xml:space="preserve">Камбулатов Эсенбулат Камбулатович</t>
  </si>
  <si>
    <t xml:space="preserve">Контролер КПП-старший смены</t>
  </si>
  <si>
    <t xml:space="preserve">Рукин Денис Игоревич</t>
  </si>
  <si>
    <t xml:space="preserve">Старший охраны объекта</t>
  </si>
  <si>
    <t xml:space="preserve">Балкивская Людмила Алексеевна</t>
  </si>
  <si>
    <t xml:space="preserve">Старший кладовщик</t>
  </si>
  <si>
    <t xml:space="preserve">Карпачева Татьяна Владимировна</t>
  </si>
  <si>
    <t xml:space="preserve">Нестеров Аркадий Николаевич</t>
  </si>
  <si>
    <t xml:space="preserve">Густов Александр Витальевич</t>
  </si>
  <si>
    <t xml:space="preserve">Дягин Александр Александрович</t>
  </si>
  <si>
    <t xml:space="preserve">Евменчук Елизавета Александровна</t>
  </si>
  <si>
    <t xml:space="preserve">Ноженко Екатерина Сергеевна</t>
  </si>
  <si>
    <t xml:space="preserve">Прохорова Маргарита Александровна</t>
  </si>
  <si>
    <t xml:space="preserve">Султанов Тимур Боирович</t>
  </si>
  <si>
    <t xml:space="preserve">Богатырев Николай Владимирович</t>
  </si>
  <si>
    <t xml:space="preserve">Лаборант</t>
  </si>
  <si>
    <t xml:space="preserve">Агалиев Рафаэл Рашидович</t>
  </si>
  <si>
    <t xml:space="preserve">Кладовщик-комплектовщик</t>
  </si>
  <si>
    <t xml:space="preserve">Каменев Дмитрий Викторович</t>
  </si>
  <si>
    <t xml:space="preserve">Ласкавый Андрей Викторович</t>
  </si>
  <si>
    <t xml:space="preserve">Моряков Константин Викторович</t>
  </si>
  <si>
    <t xml:space="preserve">Хохлов Александр Николаевич</t>
  </si>
  <si>
    <t xml:space="preserve">Кирбенева Татьяна Александровна</t>
  </si>
  <si>
    <t xml:space="preserve">Лягинова Анастасия Витальевна</t>
  </si>
  <si>
    <t xml:space="preserve">Акимов Михаил Александрович</t>
  </si>
  <si>
    <t xml:space="preserve">Водитель автомобиля-экспедитор</t>
  </si>
  <si>
    <t xml:space="preserve">Отдел транспортного обеспечения</t>
  </si>
  <si>
    <t xml:space="preserve">Батуревич Юрий Викторович</t>
  </si>
  <si>
    <t xml:space="preserve">Василенко Александр Иванович</t>
  </si>
  <si>
    <t xml:space="preserve">Грязнов Анатолий Николаевич</t>
  </si>
  <si>
    <t xml:space="preserve">Евдокимов Игорь Валентинович</t>
  </si>
  <si>
    <t xml:space="preserve">Ерофеев Олег Игоревич</t>
  </si>
  <si>
    <t xml:space="preserve">Жигунов Вячеслав Владимирович</t>
  </si>
  <si>
    <t xml:space="preserve">Крутяков Сергей Владимирович</t>
  </si>
  <si>
    <t xml:space="preserve">Лучкин Евгений Иванович</t>
  </si>
  <si>
    <t xml:space="preserve">Карандаев Юрий Александрович</t>
  </si>
  <si>
    <t xml:space="preserve">Слесарь - сборщик 4 разряда</t>
  </si>
  <si>
    <t xml:space="preserve">Обособленное подразделение Казань</t>
  </si>
  <si>
    <t xml:space="preserve">Мефтахутдинов Ильнар Гаптильнурович</t>
  </si>
  <si>
    <t xml:space="preserve">Саваидис Егор Викторович</t>
  </si>
  <si>
    <t xml:space="preserve">Гаранина Светлана Владимировна</t>
  </si>
  <si>
    <t xml:space="preserve">Хасипова Гульнара Ильясовна</t>
  </si>
  <si>
    <t xml:space="preserve">Николаева Ксения Ивановна</t>
  </si>
  <si>
    <t xml:space="preserve">Филимонова Эльвира Идрисовна</t>
  </si>
  <si>
    <t xml:space="preserve">Аюпов Булат Фаилевич</t>
  </si>
  <si>
    <t xml:space="preserve">Андреев Алексей Владимирович</t>
  </si>
  <si>
    <t xml:space="preserve">Обухов Андрей Евгеньевич</t>
  </si>
  <si>
    <t xml:space="preserve">Гимранов Ильдор Фанизович</t>
  </si>
  <si>
    <t xml:space="preserve">Матвеев Александр Николаевич</t>
  </si>
  <si>
    <t xml:space="preserve">Мастер электромонтажного участка</t>
  </si>
  <si>
    <t xml:space="preserve">Булатова Лия Рустэмовна</t>
  </si>
  <si>
    <t xml:space="preserve">Электромонтажник 3 разряда</t>
  </si>
  <si>
    <t xml:space="preserve">Юсупов Азат Рафаэлевич</t>
  </si>
  <si>
    <t xml:space="preserve">Галиуллин Руслан Рустамович</t>
  </si>
  <si>
    <t xml:space="preserve">Слесарь-клепальщик 6 разряда</t>
  </si>
  <si>
    <t xml:space="preserve">Казаченко Алексей Владимирович</t>
  </si>
  <si>
    <t xml:space="preserve">Планово-диспетчерская группа (У н/д)</t>
  </si>
  <si>
    <t xml:space="preserve">Абрамов Дмитрий Владимирович</t>
  </si>
  <si>
    <t xml:space="preserve">Сборочный участок (У н/д)</t>
  </si>
  <si>
    <t xml:space="preserve">Ахметов Эдуард Ильдарович</t>
  </si>
  <si>
    <t xml:space="preserve">Березин Андрей Дмитриевич</t>
  </si>
  <si>
    <t xml:space="preserve">Китин Дмитрий Витальевич</t>
  </si>
  <si>
    <t xml:space="preserve">Мамедов Рустам Рамизович</t>
  </si>
  <si>
    <t xml:space="preserve">Прохоров Антон Анатольевич</t>
  </si>
  <si>
    <t xml:space="preserve">Терентьев Владислав Вячеславович</t>
  </si>
  <si>
    <t xml:space="preserve">Якупов Искандер Дамирович</t>
  </si>
  <si>
    <t xml:space="preserve">Ефремов Алексей Витальевич</t>
  </si>
  <si>
    <t xml:space="preserve">Слесарь-сборщик</t>
  </si>
  <si>
    <t xml:space="preserve">Новиков Александр Анатольевич</t>
  </si>
  <si>
    <t xml:space="preserve">Куликов Рауф Зэферович</t>
  </si>
  <si>
    <t xml:space="preserve">Электромонтажный участок (У н/д)</t>
  </si>
  <si>
    <t xml:space="preserve">Ветров Игорь Евгеньевич</t>
  </si>
  <si>
    <t xml:space="preserve">Дубровский Дмитрий Сергеевич</t>
  </si>
  <si>
    <t xml:space="preserve">Кныш Елена Леонидовна</t>
  </si>
  <si>
    <t xml:space="preserve">Рычков Александр Анатольевич</t>
  </si>
  <si>
    <t xml:space="preserve">Грицкова Елена Анатольевна</t>
  </si>
  <si>
    <t xml:space="preserve">Склад (У н/д)</t>
  </si>
  <si>
    <t xml:space="preserve">Крючкова Мария Ивановна</t>
  </si>
  <si>
    <t xml:space="preserve">Технический работник</t>
  </si>
  <si>
    <t xml:space="preserve">Административно-хозяйственный отдел У</t>
  </si>
  <si>
    <t xml:space="preserve">Тимофеева Галина Петровна</t>
  </si>
  <si>
    <t xml:space="preserve">Административно-хозяйственный отдел Ж</t>
  </si>
  <si>
    <t xml:space="preserve">Галимзянова Гузель Раисовна</t>
  </si>
  <si>
    <t xml:space="preserve">Донин Алексей Валентинович</t>
  </si>
  <si>
    <t xml:space="preserve">Иванова Светлана Васильевна</t>
  </si>
  <si>
    <t xml:space="preserve">Раззакова Светлана Владимировна</t>
  </si>
  <si>
    <t xml:space="preserve">Терешкина Татьяна Викторовна</t>
  </si>
  <si>
    <t xml:space="preserve">Шибатина Елена Васильевна</t>
  </si>
  <si>
    <t xml:space="preserve">Болденкова Анна Сергеевна</t>
  </si>
  <si>
    <t xml:space="preserve">Уборщик служебных помещений</t>
  </si>
  <si>
    <t xml:space="preserve">Улумбеков Руслан Бинарович</t>
  </si>
  <si>
    <t xml:space="preserve">Гришин Алексей Валерьевич</t>
  </si>
  <si>
    <t xml:space="preserve">Поливанов Иван Юрьевич</t>
  </si>
  <si>
    <t xml:space="preserve">Степанов Максим Анатольевич</t>
  </si>
  <si>
    <t xml:space="preserve">Янышев Тимур Ильгизович</t>
  </si>
  <si>
    <t xml:space="preserve">Геращенко Сергей Владимирович</t>
  </si>
  <si>
    <t xml:space="preserve">Куликов Сергей Сергеевич</t>
  </si>
  <si>
    <t xml:space="preserve">Пак Игорь Трофимович</t>
  </si>
  <si>
    <t xml:space="preserve">Герасимов Александр Александрович</t>
  </si>
  <si>
    <t xml:space="preserve">Кашкаров Сергей Евгеньевич</t>
  </si>
  <si>
    <t xml:space="preserve">Павозков Евгений Александрович</t>
  </si>
  <si>
    <t xml:space="preserve">Баев Сергей Александрович</t>
  </si>
  <si>
    <t xml:space="preserve">Корнеев Виктор Николаевич</t>
  </si>
  <si>
    <t xml:space="preserve">Горнеев Никита Сергеевич</t>
  </si>
  <si>
    <t xml:space="preserve">Панков Иван Валерьевич</t>
  </si>
  <si>
    <t xml:space="preserve">Воркунов Егор Дмитриевич</t>
  </si>
  <si>
    <t xml:space="preserve">Птицын Юрий Юрьевич</t>
  </si>
  <si>
    <t xml:space="preserve">Семячко Константин Григорьевич</t>
  </si>
  <si>
    <t xml:space="preserve">Андреев Кирилл Владимирович</t>
  </si>
  <si>
    <t xml:space="preserve">Федышен Валерий Васильевич</t>
  </si>
  <si>
    <t xml:space="preserve">Козлов Алексей Викторович</t>
  </si>
  <si>
    <t xml:space="preserve">Чепуштанов Александр Геннадьевич</t>
  </si>
  <si>
    <t xml:space="preserve">Участок сборки</t>
  </si>
  <si>
    <t xml:space="preserve">Житников Андрей Николаевич</t>
  </si>
  <si>
    <t xml:space="preserve">Зайцев Дмитрий Евгеньевич</t>
  </si>
  <si>
    <t xml:space="preserve">Мартынов Гавриил Викторович</t>
  </si>
  <si>
    <t xml:space="preserve">Николаев Никита Андреевич</t>
  </si>
  <si>
    <t xml:space="preserve">Бузаев Дмитрий Анатольевич</t>
  </si>
  <si>
    <t xml:space="preserve">Еремеев Сергей Анатольевич</t>
  </si>
  <si>
    <t xml:space="preserve">Балковский Сергей Вадимович</t>
  </si>
  <si>
    <t xml:space="preserve">Гурьянов Евгений Николаевич</t>
  </si>
  <si>
    <t xml:space="preserve">Зайцев Евгений Геннадьевич</t>
  </si>
  <si>
    <t xml:space="preserve">Швецов Андрей Витальевич</t>
  </si>
  <si>
    <t xml:space="preserve">Богатырева Наталья Геннадьевна</t>
  </si>
  <si>
    <t xml:space="preserve">Старший специалист по пошиву</t>
  </si>
  <si>
    <t xml:space="preserve">Швейный участок</t>
  </si>
  <si>
    <t xml:space="preserve">Большаков Сергей Александрович</t>
  </si>
  <si>
    <t xml:space="preserve">Долженко Ольга Васильевна</t>
  </si>
  <si>
    <t xml:space="preserve">Кульков Павел Петрович</t>
  </si>
  <si>
    <t xml:space="preserve">Путилина Ирина Михайловна</t>
  </si>
  <si>
    <t xml:space="preserve">Андрякова Надежда Дмитриевна</t>
  </si>
  <si>
    <t xml:space="preserve">Специалист по пошиву 5 разряда</t>
  </si>
  <si>
    <t xml:space="preserve">Антонова Елена Анатольевна</t>
  </si>
  <si>
    <t xml:space="preserve">Ахмедов Яшар Закир Оглы</t>
  </si>
  <si>
    <t xml:space="preserve">Долматова Екатерина Владимировна</t>
  </si>
  <si>
    <t xml:space="preserve">Китаева Венера Минигалеевна</t>
  </si>
  <si>
    <t xml:space="preserve">Пичугина Оксана Валерьевна</t>
  </si>
  <si>
    <t xml:space="preserve">Треусов Сергей Юрьевич</t>
  </si>
  <si>
    <t xml:space="preserve">Горбушина Венера Энверовна</t>
  </si>
  <si>
    <t xml:space="preserve">Специалист по пошиву 4 разряда</t>
  </si>
  <si>
    <t xml:space="preserve">Кулешова Виктория Викторовна</t>
  </si>
  <si>
    <t xml:space="preserve">Зайцев Антон Валерьевич</t>
  </si>
  <si>
    <t xml:space="preserve">Сабирова Альфия Фаузиевна</t>
  </si>
  <si>
    <t xml:space="preserve">Стребкова Наталья Ивановна</t>
  </si>
  <si>
    <t xml:space="preserve">Оболонина Ирина Валерьевна</t>
  </si>
  <si>
    <t xml:space="preserve">Яковлева Анастасия Юрьевна</t>
  </si>
  <si>
    <t xml:space="preserve">Решилова Юлия Евгеньевна</t>
  </si>
  <si>
    <t xml:space="preserve">Юдина Анна Владимировна</t>
  </si>
  <si>
    <t xml:space="preserve">Садыгова Елена Васильевна</t>
  </si>
  <si>
    <t xml:space="preserve">Трофимов Максим Михайлович</t>
  </si>
  <si>
    <t xml:space="preserve">Гагарин Алексей Владимирович</t>
  </si>
  <si>
    <t xml:space="preserve">Иванов Дмитрий Сергеевич</t>
  </si>
  <si>
    <t xml:space="preserve">Поляков Александр Валентинович</t>
  </si>
  <si>
    <t xml:space="preserve">Козлов Никита Андреевич</t>
  </si>
  <si>
    <t xml:space="preserve">Милованов Александр Сергеевич</t>
  </si>
  <si>
    <t xml:space="preserve">Елсуков Имант Арьевич</t>
  </si>
  <si>
    <t xml:space="preserve">Свиридова Ирина Александровна</t>
  </si>
  <si>
    <t xml:space="preserve">Планово-диспетчерский отдел В</t>
  </si>
  <si>
    <t xml:space="preserve">Архипенко Оксана Дмитриевна</t>
  </si>
  <si>
    <t xml:space="preserve">Хабаров Алексей Владимирович</t>
  </si>
  <si>
    <t xml:space="preserve">Гуровская Ирина Александровна</t>
  </si>
  <si>
    <t xml:space="preserve">Отдел технического контроля В</t>
  </si>
  <si>
    <t xml:space="preserve">Симоненко Дмитрий Андреевич</t>
  </si>
  <si>
    <t xml:space="preserve">Картузов Павел Борисович</t>
  </si>
  <si>
    <t xml:space="preserve">Кляцкин Антон Борисович</t>
  </si>
  <si>
    <t xml:space="preserve">Вавилин Артур Александрович</t>
  </si>
  <si>
    <t xml:space="preserve">Котов Кирилл Олегович</t>
  </si>
  <si>
    <t xml:space="preserve">Каретников Роман Григорьевич</t>
  </si>
  <si>
    <t xml:space="preserve">Дубинкин Александр Сергеевич</t>
  </si>
  <si>
    <t xml:space="preserve">Иванов Юрий Сергеевич</t>
  </si>
  <si>
    <t xml:space="preserve">Серебреников Артем Андреевич</t>
  </si>
  <si>
    <t xml:space="preserve">Оператор станков с ЧПУ 3 разряда</t>
  </si>
  <si>
    <t xml:space="preserve">Тверитин Сергей Алексеевич</t>
  </si>
  <si>
    <t xml:space="preserve">Инженер-механик</t>
  </si>
  <si>
    <t xml:space="preserve">Коровин Сергей Юрьевич</t>
  </si>
  <si>
    <t xml:space="preserve">Власова Ольга Вячеславовна</t>
  </si>
  <si>
    <t xml:space="preserve">Ефременко Роман Вадимович</t>
  </si>
  <si>
    <t xml:space="preserve">Проглядов Евгений Александрович</t>
  </si>
  <si>
    <t xml:space="preserve">Канавец Михаил Сергеевич</t>
  </si>
  <si>
    <t xml:space="preserve">Перечень должностей и профессий, подлежащих обязательным медицинским осмотрам</t>
  </si>
  <si>
    <t xml:space="preserve">Приложение №1 к Приказу №43 от 03.04.2026. Психиатрическое освидетельствование — по Приложению №2 к Приказу Минздрава России №342н.</t>
  </si>
  <si>
    <t xml:space="preserve">Должность, профессия</t>
  </si>
  <si>
    <t xml:space="preserve">Пункты приказов №988н/1420н, №29н</t>
  </si>
  <si>
    <t xml:space="preserve">Пункты с периодичностью 1 раз в год</t>
  </si>
  <si>
    <t xml:space="preserve">Основание / условие</t>
  </si>
  <si>
    <t xml:space="preserve">Числен-ность, чел.</t>
  </si>
  <si>
    <t xml:space="preserve">Рабочий по комплексному обслуживанию и ремонту зданий</t>
  </si>
  <si>
    <t xml:space="preserve">п.4.3.1, п.4.4, п.4.7, п.4.8, п.5.1, п.6.1</t>
  </si>
  <si>
    <t xml:space="preserve">п.4.4, п.5.1, п.6.1</t>
  </si>
  <si>
    <t xml:space="preserve">-</t>
  </si>
  <si>
    <t xml:space="preserve">Электромонтер по ремонту и обслуживанию электрооборудования, инженер-электрик</t>
  </si>
  <si>
    <t xml:space="preserve">п.4.2.3, п.4.3.1, п.4.3.2, п.4.4, п.5.1, п.5.2, п.6.2, п.9</t>
  </si>
  <si>
    <t xml:space="preserve">п.4.4, п.5.1, п.6.2</t>
  </si>
  <si>
    <t xml:space="preserve">Да</t>
  </si>
  <si>
    <t xml:space="preserve">п.11 Прил.№2: обслуживание электроустановок предприятия.</t>
  </si>
  <si>
    <t xml:space="preserve">п.1.50, п.4.3.2, п.4.4, п.4.7, п.4.8, п.5.1, п.5.2, п.6.2, п.15</t>
  </si>
  <si>
    <t xml:space="preserve">п.4.3.1, п.4.4, п.5.1, п.5.2, п.6.2</t>
  </si>
  <si>
    <t xml:space="preserve">п.4.4, п.5.2, п.6.2</t>
  </si>
  <si>
    <t xml:space="preserve">п.4.4, п.6.2</t>
  </si>
  <si>
    <t xml:space="preserve">п.11–12 Прил.№2: электроустановки и объекты теплоснабжения.</t>
  </si>
  <si>
    <t xml:space="preserve">Нет</t>
  </si>
  <si>
    <t xml:space="preserve">Не подлежит (решение ОТиПБ). Подлежит при непосредственном обслуживании оборудования под давлением &gt;0,07 МПа, поставленного на учёт в Ростехнадзоре (п.13 Прил.№2).</t>
  </si>
  <si>
    <t xml:space="preserve">Слесарь-ремонтник</t>
  </si>
  <si>
    <t xml:space="preserve">п.4.3.1, п.4.4, п.5.1, п.6.2, п.15</t>
  </si>
  <si>
    <t xml:space="preserve">Ведущий специалист по реставрации, реставратор</t>
  </si>
  <si>
    <t xml:space="preserve">п.4.3.1, п.4.4, п.5.1, п.5.2, п.15</t>
  </si>
  <si>
    <t xml:space="preserve">п.4.4, п.5.1</t>
  </si>
  <si>
    <t xml:space="preserve">Уборщик производственных и служебных помещений, уборщик служебных помещений, старший технический работник, технический работник</t>
  </si>
  <si>
    <t xml:space="preserve">п.1.48, п.4.4, п.5.1</t>
  </si>
  <si>
    <t xml:space="preserve">Инженер-механик, механик-наладчик</t>
  </si>
  <si>
    <t xml:space="preserve">п.4.3.1, п.4.3.2, п.4.4, п.4.6, п.5.1, п.6.2</t>
  </si>
  <si>
    <t xml:space="preserve">п.4.4, п.4.6, п.5.1, п.6.2</t>
  </si>
  <si>
    <t xml:space="preserve">п.4.4, п.5.2</t>
  </si>
  <si>
    <t xml:space="preserve">п.4.4</t>
  </si>
  <si>
    <t xml:space="preserve">Инженер ОТК, контролер ОТК</t>
  </si>
  <si>
    <t xml:space="preserve">Старший кладовщик, кладовщик</t>
  </si>
  <si>
    <t xml:space="preserve">Подлежит только при управлении кранами, поставленными на учёт в Ростехнадзоре (п.6 Прил.№2).</t>
  </si>
  <si>
    <t xml:space="preserve">п.1.49.2, п.1.49.14, п.1.50, п.4.3.1, п.4.4, п.6.2</t>
  </si>
  <si>
    <t xml:space="preserve">Инженер по эксплуатации</t>
  </si>
  <si>
    <t xml:space="preserve">п.4.3.1, п.4.4, п.5.1, п.6.2</t>
  </si>
  <si>
    <t xml:space="preserve">Слесарь-сборщик, слесарь-сборщик (бригадир)</t>
  </si>
  <si>
    <t xml:space="preserve">п.4.3.1, п.4.3.2, п.4.4, п.5.1, п.6.2, п.15</t>
  </si>
  <si>
    <t xml:space="preserve">Электромонтажник</t>
  </si>
  <si>
    <t xml:space="preserve">п.4.3.1, п.4.3.2, п.4.4, п.4.9, п.5.1, п.5.2, п.6.2, п.9</t>
  </si>
  <si>
    <t xml:space="preserve">п.11 Прил.№2: монтаж, наладка, техническое обслуживание, ремонт электроустановок.</t>
  </si>
  <si>
    <t xml:space="preserve">Столяр</t>
  </si>
  <si>
    <t xml:space="preserve">п.1.49.2, п.1.49.14, п.4.3.1, п.4.3.2, п.4.4, п.5.1, п.15</t>
  </si>
  <si>
    <t xml:space="preserve">Облицовщик деталей мебели</t>
  </si>
  <si>
    <t xml:space="preserve">Столяр-краснодеревщик</t>
  </si>
  <si>
    <t xml:space="preserve">п.4.3.1, п.4.3.2, п.4.4, п.5.1, п.5.2, п.15</t>
  </si>
  <si>
    <t xml:space="preserve">Сборщик стеклопластиковых изделий</t>
  </si>
  <si>
    <t xml:space="preserve">п.1.37.1, п.3.1.8.3, п.4.3.1, п.4.4, п.5.1, п.15</t>
  </si>
  <si>
    <t xml:space="preserve">п.1.37.1, п.4.4, п.5.1</t>
  </si>
  <si>
    <t xml:space="preserve">Не подлежит (решение ОТиПБ). Подлежит при непосредственном обслуживании автоклава &gt;0,07 МПа, поставленного на учёт в Ростехнадзоре (п.13 Прил.№2).</t>
  </si>
  <si>
    <t xml:space="preserve">Ведущий специалист по учёту ПДО, ведущий инженер ПДО, инженер ПДО</t>
  </si>
  <si>
    <t xml:space="preserve">Ведущий диспетчер ПДО, диспетчер ПДО</t>
  </si>
  <si>
    <t xml:space="preserve">Мастер электромонтажного участка, мастер участка электромонтажных работ</t>
  </si>
  <si>
    <t xml:space="preserve">п.11 Прил.№2: руководство работами по монтажу, наладке, ремонту электроустановок. Относится также мастер участка РЭО.</t>
  </si>
  <si>
    <t xml:space="preserve">Оператор станка с ЧПУ</t>
  </si>
  <si>
    <t xml:space="preserve">Оператор лазерных установок</t>
  </si>
  <si>
    <t xml:space="preserve">п.4.2.1, п.4.3.1, п.4.3.2, п.4.4, п.5.1, п.5.2, п.15</t>
  </si>
  <si>
    <t xml:space="preserve">Слесарь механосборочных работ</t>
  </si>
  <si>
    <t xml:space="preserve">п.4.3.1, п.4.3.2, п.4.4, п.5.1, п.15</t>
  </si>
  <si>
    <t xml:space="preserve">Фрезеровщик</t>
  </si>
  <si>
    <t xml:space="preserve">Токарь</t>
  </si>
  <si>
    <t xml:space="preserve">Оператор листогибочного оборудования</t>
  </si>
  <si>
    <t xml:space="preserve">Маляр</t>
  </si>
  <si>
    <t xml:space="preserve">п.1.14.2, п.1.36, п.1.37.1, п.1.45.1, п.1.45.2, п.1.50, п.4.3.1, п.4.4, п.5.1, п.17</t>
  </si>
  <si>
    <t xml:space="preserve">п.1.14.2, п.1.36, п.1.37.1, п.1.45.1, п.1.45.2, п.4.4, п.5.1</t>
  </si>
  <si>
    <t xml:space="preserve">Монтажник электрооборудования летательных аппаратов</t>
  </si>
  <si>
    <t xml:space="preserve">п.1.8.4, п.1.12, п.1.15, п.1.25, п.1.27, п.1.44, п.4.3.1, п.4.4, п.4.6, п.5.1, п.5.2, п.6.2</t>
  </si>
  <si>
    <t xml:space="preserve">п.1.8.4, п.1.12, п.1.15, п.1.27, п.1.44, п.4.4, п.4.6, п.5.1, п.6.2</t>
  </si>
  <si>
    <t xml:space="preserve">п.4.3.1, п.4.3.2, п.4.4, п.5.1, п.5.2, п.18</t>
  </si>
  <si>
    <t xml:space="preserve">п.1 Прил.№2: управление транспортными средствами.</t>
  </si>
  <si>
    <t xml:space="preserve">п.4.3.1, п.4.3.2, п.4.4, п.5.1, п.5.2, п.18.1</t>
  </si>
  <si>
    <t xml:space="preserve">Слесарь-клепальщик</t>
  </si>
  <si>
    <t xml:space="preserve">Заместитель директора департамента - Начальник производственного подразделения № 5</t>
  </si>
  <si>
    <t xml:space="preserve">п.4.3.2, п.4.4, п.5.1, п.5.2, п.6.2</t>
  </si>
  <si>
    <t xml:space="preserve">Оператор термопластавтомата</t>
  </si>
  <si>
    <t xml:space="preserve">п.4.3.1, п.4.3.2, п.4.4, п.4.8, п.5.1, п.5.2, п.15</t>
  </si>
  <si>
    <t xml:space="preserve">Старший специалист по пошиву, специалист по пошиву</t>
  </si>
  <si>
    <t xml:space="preserve">Старший сторож, сторож, старший оперативный дежурный, оперативный дежурный, старший охраны объекта</t>
  </si>
  <si>
    <t xml:space="preserve">п.4.7, п.4.8, п.5.1, п.5.2</t>
  </si>
  <si>
    <t xml:space="preserve">п.5.1</t>
  </si>
  <si>
    <t xml:space="preserve">Не подлежит (решение ОТиПБ).</t>
  </si>
  <si>
    <t xml:space="preserve">п.4.3.1, п.4.3.2, п.4.4, п.5.1, п.6.2, п.18.1</t>
  </si>
  <si>
    <t xml:space="preserve">п.1 Прил.№2: управление транспортными средствами (п.18.1 приложения к Приказу №29н).</t>
  </si>
  <si>
    <t xml:space="preserve">п.4.4, п.5.1, п.5.2</t>
  </si>
  <si>
    <t xml:space="preserve">Периодичность сверена с приложением к Порядку (Приказ №29н, ред. от 29.04.2026): для всех позиций — не реже 1 раза в год. Работники моложе 21 года — ежегодно (п.18 Порядка).</t>
  </si>
  <si>
    <t xml:space="preserve">Психиатрическое освидетельствование проводится при приёме (переводе) на вид деятельности по Приложению №2 к Приказу №342н и по направлению по итогам медосмотра. Периодичность законодательством не установлена (письмо Минздрава России №30-0/3066769). С 01.03.2026 действуют изменения Приказа №392н от 02.07.2025.</t>
  </si>
  <si>
    <t xml:space="preserve">Значения графы «Психиатр. освид.»: Да — подлежит; Нет — не подлежит по решению ОТиПБ; «-» — вид деятельности не входит в Приложение №2.</t>
  </si>
  <si>
    <t xml:space="preserve">Ключ (нормализованная должность)</t>
  </si>
  <si>
    <t xml:space="preserve">№ п/п по Перечню</t>
  </si>
  <si>
    <t xml:space="preserve">Справочник сопоставления должностей с Перечнем.</t>
  </si>
  <si>
    <t xml:space="preserve">бригадир</t>
  </si>
  <si>
    <t xml:space="preserve">бригадир, слесарь-сборщик</t>
  </si>
  <si>
    <t xml:space="preserve">ведущий диспетчер</t>
  </si>
  <si>
    <t xml:space="preserve">ведущий диспетчер пдо</t>
  </si>
  <si>
    <t xml:space="preserve">ведущий инженер пдо</t>
  </si>
  <si>
    <t xml:space="preserve">ведущий специалист по реставрации</t>
  </si>
  <si>
    <t xml:space="preserve">ведущий специалист по учету</t>
  </si>
  <si>
    <t xml:space="preserve">ведущий специалист по учету пдо</t>
  </si>
  <si>
    <t xml:space="preserve">водитель автомобиля (персональный 2 категории)</t>
  </si>
  <si>
    <t xml:space="preserve">водитель автомобиля (персональный)</t>
  </si>
  <si>
    <t xml:space="preserve">водитель автомобиля-экспедитор</t>
  </si>
  <si>
    <t xml:space="preserve">главный механик</t>
  </si>
  <si>
    <t xml:space="preserve">главный энергетик</t>
  </si>
  <si>
    <t xml:space="preserve">диспетчер</t>
  </si>
  <si>
    <t xml:space="preserve">диспетчер пдо</t>
  </si>
  <si>
    <t xml:space="preserve">заместитель директора департамента-начальник производственного подразделения</t>
  </si>
  <si>
    <t xml:space="preserve">заместитель директора департамента-начальник производственного подразделения № 5</t>
  </si>
  <si>
    <t xml:space="preserve">инженер отк</t>
  </si>
  <si>
    <t xml:space="preserve">инженер пдо</t>
  </si>
  <si>
    <t xml:space="preserve">инженер по авиационному и радиоэлектронному оборудованию</t>
  </si>
  <si>
    <t xml:space="preserve">инженер по эксплуатации</t>
  </si>
  <si>
    <t xml:space="preserve">инженер по эксплуатации зданий и сооружений</t>
  </si>
  <si>
    <t xml:space="preserve">инженер-механик</t>
  </si>
  <si>
    <t xml:space="preserve">инженер-электрик</t>
  </si>
  <si>
    <t xml:space="preserve">кладовщик</t>
  </si>
  <si>
    <t xml:space="preserve">кладовщик-комплектовщик</t>
  </si>
  <si>
    <t xml:space="preserve">контролер отк</t>
  </si>
  <si>
    <t xml:space="preserve">лаборант</t>
  </si>
  <si>
    <t xml:space="preserve">маляр</t>
  </si>
  <si>
    <t xml:space="preserve">мастер участка</t>
  </si>
  <si>
    <t xml:space="preserve">мастер участка сборки интерьера</t>
  </si>
  <si>
    <t xml:space="preserve">мастер участка электромонтажных работ</t>
  </si>
  <si>
    <t xml:space="preserve">мастер электромонтажного участка</t>
  </si>
  <si>
    <t xml:space="preserve">менеджер-комплектовщик</t>
  </si>
  <si>
    <t xml:space="preserve">механик</t>
  </si>
  <si>
    <t xml:space="preserve">механик-наладчик</t>
  </si>
  <si>
    <t xml:space="preserve">монтажник электрооборудования летательных аппаратов</t>
  </si>
  <si>
    <t xml:space="preserve">облицовщик деталей мебели</t>
  </si>
  <si>
    <t xml:space="preserve">оперативный дежурный</t>
  </si>
  <si>
    <t xml:space="preserve">оператор лазерных установок</t>
  </si>
  <si>
    <t xml:space="preserve">оператор листогибочного оборудования</t>
  </si>
  <si>
    <t xml:space="preserve">оператор склада</t>
  </si>
  <si>
    <t xml:space="preserve">оператор станка с чпу</t>
  </si>
  <si>
    <t xml:space="preserve">оператор термопластавтомата</t>
  </si>
  <si>
    <t xml:space="preserve">оператор-наладчик станков с чпу</t>
  </si>
  <si>
    <t xml:space="preserve">рабочий по комплексному обслуживанию и ремонту зданий</t>
  </si>
  <si>
    <t xml:space="preserve">разнорабочий</t>
  </si>
  <si>
    <t xml:space="preserve">реставратор</t>
  </si>
  <si>
    <t xml:space="preserve">сборщик стеклопластиковых изделий</t>
  </si>
  <si>
    <t xml:space="preserve">слесарь механосборочных работ</t>
  </si>
  <si>
    <t xml:space="preserve">слесарь-клепальщик</t>
  </si>
  <si>
    <t xml:space="preserve">слесарь-ремонтник</t>
  </si>
  <si>
    <t xml:space="preserve">слесарь-сборщик</t>
  </si>
  <si>
    <t xml:space="preserve">слесарь-сборщик (бригадир)</t>
  </si>
  <si>
    <t xml:space="preserve">специалист</t>
  </si>
  <si>
    <t xml:space="preserve">специалист по пошиву</t>
  </si>
  <si>
    <t xml:space="preserve">старший кладовщик</t>
  </si>
  <si>
    <t xml:space="preserve">старший оперативный дежурный</t>
  </si>
  <si>
    <t xml:space="preserve">старший охраны объекта</t>
  </si>
  <si>
    <t xml:space="preserve">старший специалист по пошиву</t>
  </si>
  <si>
    <t xml:space="preserve">старший сторож</t>
  </si>
  <si>
    <t xml:space="preserve">старший технический работник</t>
  </si>
  <si>
    <t xml:space="preserve">столяр</t>
  </si>
  <si>
    <t xml:space="preserve">столяр-краснодеревщик</t>
  </si>
  <si>
    <t xml:space="preserve">сторож</t>
  </si>
  <si>
    <t xml:space="preserve">технический работник</t>
  </si>
  <si>
    <t xml:space="preserve">токарь</t>
  </si>
  <si>
    <t xml:space="preserve">уборщик производственных и служебных помещений</t>
  </si>
  <si>
    <t xml:space="preserve">уборщик служебных помещений</t>
  </si>
  <si>
    <t xml:space="preserve">фрезеровщик</t>
  </si>
  <si>
    <t xml:space="preserve">электромонтажник</t>
  </si>
  <si>
    <t xml:space="preserve">электромонтер по ремонту и обслуживанию электрооборудования</t>
  </si>
  <si>
    <t xml:space="preserve">оператор станков с чпу</t>
  </si>
  <si>
    <t xml:space="preserve">техник-сборщик</t>
  </si>
  <si>
    <t xml:space="preserve">техник</t>
  </si>
  <si>
    <t xml:space="preserve">контролер кпп</t>
  </si>
  <si>
    <t xml:space="preserve">контролер кпп-старший смены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</si>
</sst>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General"/>
    <numFmt numFmtId="167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4506E"/>
      <name val="Arial"/>
      <family val="0"/>
      <charset val="1"/>
    </font>
    <font>
      <sz val="9"/>
      <color rgb="FF5B6875"/>
      <name val="Arial"/>
      <family val="0"/>
      <charset val="1"/>
    </font>
    <font>
      <b val="true"/>
      <sz val="11"/>
      <color rgb="FF2B3A4A"/>
      <name val="Arial"/>
      <family val="0"/>
      <charset val="1"/>
    </font>
    <font>
      <b val="true"/>
      <sz val="10"/>
      <color rgb="FF2B3A4A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9"/>
      <color rgb="FF5B6875"/>
      <name val="Arial"/>
      <family val="0"/>
      <charset val="1"/>
    </font>
    <font>
      <b val="true"/>
      <sz val="11"/>
      <color rgb="FF86600F"/>
      <name val="Arial"/>
      <family val="0"/>
      <charset val="1"/>
    </font>
    <font>
      <b val="true"/>
      <sz val="11"/>
      <color rgb="FF2F6A40"/>
      <name val="Arial"/>
      <family val="0"/>
      <charset val="1"/>
    </font>
    <font>
      <b val="true"/>
      <sz val="11"/>
      <color rgb="FF9A3A35"/>
      <name val="Arial"/>
      <family val="0"/>
      <charset val="1"/>
    </font>
    <font>
      <b val="true"/>
      <sz val="11"/>
      <color rgb="FF574887"/>
      <name val="Arial"/>
      <family val="0"/>
      <charset val="1"/>
    </font>
    <font>
      <b val="true"/>
      <sz val="9"/>
      <color rgb="FF9A3A35"/>
      <name val="Arial"/>
      <family val="0"/>
      <charset val="1"/>
    </font>
    <font>
      <i val="true"/>
      <sz val="9"/>
      <color rgb="FF5B6875"/>
      <name val="Arial"/>
      <family val="0"/>
      <charset val="1"/>
    </font>
    <font>
      <b val="true"/>
      <sz val="9"/>
      <color rgb="FF2B3A4A"/>
      <name val="Arial"/>
      <family val="0"/>
      <charset val="1"/>
    </font>
    <font>
      <sz val="8"/>
      <color rgb="FFA0A0A0"/>
      <name val="Arial"/>
      <family val="0"/>
      <charset val="1"/>
    </font>
    <font>
      <sz val="10"/>
      <name val="Arial"/>
      <family val="2"/>
    </font>
    <font>
      <b val="true"/>
      <sz val="10"/>
      <color rgb="FF222222"/>
      <name val="Arial"/>
      <family val="0"/>
      <charset val="1"/>
    </font>
    <font>
      <b val="true"/>
      <sz val="9"/>
      <color rgb="FF222222"/>
      <name val="Arial"/>
      <family val="0"/>
      <charset val="1"/>
    </font>
    <font>
      <sz val="9"/>
      <color rgb="FF222222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DCE5EF"/>
        <bgColor rgb="FFE4E7EB"/>
      </patternFill>
    </fill>
    <fill>
      <patternFill patternType="solid">
        <fgColor rgb="FFFFF9E6"/>
        <bgColor rgb="FFFBEFD5"/>
      </patternFill>
    </fill>
    <fill>
      <patternFill patternType="solid">
        <fgColor rgb="FFE1F0E4"/>
        <bgColor rgb="FFDDEBE1"/>
      </patternFill>
    </fill>
    <fill>
      <patternFill patternType="solid">
        <fgColor rgb="FFFBEFD5"/>
        <bgColor rgb="FFF3E6D6"/>
      </patternFill>
    </fill>
    <fill>
      <patternFill patternType="solid">
        <fgColor rgb="FFF8E1DF"/>
        <bgColor rgb="FFF3E6D6"/>
      </patternFill>
    </fill>
    <fill>
      <patternFill patternType="solid">
        <fgColor rgb="FFECE7F4"/>
        <bgColor rgb="FFE8EDF3"/>
      </patternFill>
    </fill>
    <fill>
      <patternFill patternType="solid">
        <fgColor rgb="FFE8EDF3"/>
        <bgColor rgb="FFECE7F4"/>
      </patternFill>
    </fill>
    <fill>
      <patternFill patternType="solid">
        <fgColor rgb="FFE4E7EB"/>
        <bgColor rgb="FFDCE5EF"/>
      </patternFill>
    </fill>
    <fill>
      <patternFill patternType="solid">
        <fgColor rgb="FFDDEBE1"/>
        <bgColor rgb="FFE1F0E4"/>
      </patternFill>
    </fill>
    <fill>
      <patternFill patternType="solid">
        <fgColor rgb="FFE7E1F0"/>
        <bgColor rgb="FFE4E7EB"/>
      </patternFill>
    </fill>
    <fill>
      <patternFill patternType="solid">
        <fgColor rgb="FFF3E6D6"/>
        <bgColor rgb="FFF8E1D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AE2"/>
      </bottom>
      <diagonal/>
    </border>
    <border diagonalUp="false" diagonalDown="false">
      <left style="thin">
        <color rgb="FFD3DAE2"/>
      </left>
      <right style="thin">
        <color rgb="FFD3DAE2"/>
      </right>
      <top style="thin">
        <color rgb="FFD3DAE2"/>
      </top>
      <bottom style="thin">
        <color rgb="FFD3DA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ont>
        <b val="1"/>
        <color rgb="FF2F6A40"/>
      </font>
      <fill>
        <patternFill>
          <bgColor rgb="FFE1F0E4"/>
        </patternFill>
      </fill>
    </dxf>
    <dxf>
      <font>
        <b val="1"/>
        <color rgb="FF86600F"/>
      </font>
      <fill>
        <patternFill>
          <bgColor rgb="FFFBEFD5"/>
        </patternFill>
      </fill>
    </dxf>
    <dxf>
      <font>
        <b val="1"/>
        <color rgb="FF9A3A35"/>
      </font>
      <fill>
        <patternFill>
          <bgColor rgb="FFF8E1DF"/>
        </patternFill>
      </fill>
    </dxf>
    <dxf>
      <font>
        <b val="1"/>
        <color rgb="FF574887"/>
      </font>
      <fill>
        <patternFill>
          <bgColor rgb="FFECE7F4"/>
        </patternFill>
      </fill>
    </dxf>
    <dxf>
      <fill>
        <patternFill patternType="solid">
          <fgColor rgb="FFE8ED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2B3A4A"/>
          <bgColor rgb="FF000000"/>
        </patternFill>
      </fill>
    </dxf>
    <dxf>
      <fill>
        <patternFill patternType="solid">
          <fgColor rgb="FFA0A0A0"/>
          <bgColor rgb="FF000000"/>
        </patternFill>
      </fill>
    </dxf>
    <dxf>
      <fill>
        <patternFill patternType="solid">
          <fgColor rgb="FF5B6875"/>
          <bgColor rgb="FF000000"/>
        </patternFill>
      </fill>
    </dxf>
    <dxf>
      <fill>
        <patternFill patternType="solid">
          <fgColor rgb="FFF8E1DF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9A3A35"/>
          <bgColor rgb="FF000000"/>
        </patternFill>
      </fill>
    </dxf>
    <dxf>
      <fill>
        <patternFill patternType="solid">
          <fgColor rgb="FFE1F0E4"/>
          <bgColor rgb="FF000000"/>
        </patternFill>
      </fill>
    </dxf>
    <dxf>
      <fill>
        <patternFill patternType="solid">
          <fgColor rgb="FFFBEFD5"/>
          <bgColor rgb="FF000000"/>
        </patternFill>
      </fill>
    </dxf>
    <dxf>
      <fill>
        <patternFill patternType="solid">
          <fgColor rgb="FF2F6A40"/>
          <bgColor rgb="FF000000"/>
        </patternFill>
      </fill>
    </dxf>
    <dxf>
      <fill>
        <patternFill patternType="solid">
          <fgColor rgb="FF86600F"/>
          <bgColor rgb="FF000000"/>
        </patternFill>
      </fill>
    </dxf>
    <dxf>
      <fill>
        <patternFill patternType="solid">
          <fgColor rgb="FFECE7F4"/>
          <bgColor rgb="FF000000"/>
        </patternFill>
      </fill>
    </dxf>
    <dxf>
      <fill>
        <patternFill patternType="solid">
          <fgColor rgb="FF574887"/>
          <bgColor rgb="FF000000"/>
        </patternFill>
      </fill>
    </dxf>
    <dxf>
      <font>
        <color rgb="FF9A3A35"/>
      </font>
      <fill>
        <patternFill>
          <bgColor rgb="FFF8E1DF"/>
        </patternFill>
      </fill>
    </dxf>
    <dxf>
      <font>
        <color rgb="FF86600F"/>
      </font>
      <fill>
        <patternFill>
          <bgColor rgb="FFFBEFD5"/>
        </patternFill>
      </fill>
    </dxf>
    <dxf>
      <font>
        <color rgb="FF2F6A40"/>
      </font>
      <fill>
        <patternFill>
          <bgColor rgb="FFE1F0E4"/>
        </patternFill>
      </fill>
    </dxf>
    <dxf>
      <font>
        <color rgb="FF574887"/>
      </font>
      <fill>
        <patternFill>
          <bgColor rgb="FFECE7F4"/>
        </patternFill>
      </fill>
    </dxf>
  </dxfs>
  <colors>
    <indexedColors>
      <rgbColor rgb="FF000000"/>
      <rgbColor rgb="FFFFF9E6"/>
      <rgbColor rgb="FFFF0000"/>
      <rgbColor rgb="FF00FF00"/>
      <rgbColor rgb="FF0000FF"/>
      <rgbColor rgb="FFE4E7EB"/>
      <rgbColor rgb="FFFF00FF"/>
      <rgbColor rgb="FF00FFFF"/>
      <rgbColor rgb="FF800000"/>
      <rgbColor rgb="FF2F6A40"/>
      <rgbColor rgb="FF000080"/>
      <rgbColor rgb="FF86600F"/>
      <rgbColor rgb="FF800080"/>
      <rgbColor rgb="FF008080"/>
      <rgbColor rgb="FFC9B79C"/>
      <rgbColor rgb="FF808080"/>
      <rgbColor rgb="FF8EA3B8"/>
      <rgbColor rgb="FF9A3A35"/>
      <rgbColor rgb="FFFBEFD5"/>
      <rgbColor rgb="FFDDEBE1"/>
      <rgbColor rgb="FF660066"/>
      <rgbColor rgb="FFFF8080"/>
      <rgbColor rgb="FF0066CC"/>
      <rgbColor rgb="FFD3DAE2"/>
      <rgbColor rgb="FF000080"/>
      <rgbColor rgb="FFFF00FF"/>
      <rgbColor rgb="FFECE7F4"/>
      <rgbColor rgb="FF00FFFF"/>
      <rgbColor rgb="FF800080"/>
      <rgbColor rgb="FF800000"/>
      <rgbColor rgb="FF008080"/>
      <rgbColor rgb="FF0000FF"/>
      <rgbColor rgb="FF00CCFF"/>
      <rgbColor rgb="FFE8EDF3"/>
      <rgbColor rgb="FFE1F0E4"/>
      <rgbColor rgb="FFF3E6D6"/>
      <rgbColor rgb="FF9DB8A4"/>
      <rgbColor rgb="FFE7E1F0"/>
      <rgbColor rgb="FFB8A9CF"/>
      <rgbColor rgb="FFF8E1DF"/>
      <rgbColor rgb="FF3366FF"/>
      <rgbColor rgb="FF33CCCC"/>
      <rgbColor rgb="FF99CC00"/>
      <rgbColor rgb="FFDCE5EF"/>
      <rgbColor rgb="FFFF9900"/>
      <rgbColor rgb="FFFF6600"/>
      <rgbColor rgb="FF5B6875"/>
      <rgbColor rgb="FFA0A0A0"/>
      <rgbColor rgb="FF34506E"/>
      <rgbColor rgb="FF339966"/>
      <rgbColor rgb="FF003300"/>
      <rgbColor rgb="FF222222"/>
      <rgbColor rgb="FF993300"/>
      <rgbColor rgb="FF993366"/>
      <rgbColor rgb="FF574887"/>
      <rgbColor rgb="FF2B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8"/>
    <pageSetUpPr fitToPage="true"/>
  </sheetPr>
  <dimension ref="A1:B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95"/>
  </cols>
  <sheetData>
    <row r="1" customFormat="false" ht="17.25" hidden="false" customHeight="tru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/>
    </row>
    <row r="5" customFormat="false" ht="30" hidden="false" customHeight="true" outlineLevel="0" collapsed="false">
      <c r="A5" s="4" t="s">
        <v>3</v>
      </c>
      <c r="B5" s="5" t="s">
        <v>4</v>
      </c>
    </row>
    <row r="6" customFormat="false" ht="42.75" hidden="false" customHeight="true" outlineLevel="0" collapsed="false">
      <c r="A6" s="4" t="s">
        <v>5</v>
      </c>
      <c r="B6" s="5" t="s">
        <v>6</v>
      </c>
    </row>
    <row r="7" customFormat="false" ht="16.5" hidden="false" customHeight="true" outlineLevel="0" collapsed="false">
      <c r="A7" s="4" t="s">
        <v>7</v>
      </c>
      <c r="B7" s="5" t="s">
        <v>8</v>
      </c>
    </row>
    <row r="9" customFormat="false" ht="21.75" hidden="false" customHeight="true" outlineLevel="0" collapsed="false">
      <c r="A9" s="3" t="s">
        <v>9</v>
      </c>
      <c r="B9" s="3"/>
    </row>
    <row r="10" customFormat="false" ht="42.75" hidden="false" customHeight="true" outlineLevel="0" collapsed="false">
      <c r="A10" s="4" t="s">
        <v>10</v>
      </c>
      <c r="B10" s="5" t="s">
        <v>11</v>
      </c>
    </row>
    <row r="11" customFormat="false" ht="16.5" hidden="false" customHeight="true" outlineLevel="0" collapsed="false">
      <c r="A11" s="4" t="s">
        <v>12</v>
      </c>
      <c r="B11" s="5" t="s">
        <v>13</v>
      </c>
    </row>
    <row r="12" customFormat="false" ht="42.75" hidden="false" customHeight="true" outlineLevel="0" collapsed="false">
      <c r="A12" s="4" t="s">
        <v>14</v>
      </c>
      <c r="B12" s="5" t="s">
        <v>15</v>
      </c>
    </row>
    <row r="13" customFormat="false" ht="16.5" hidden="false" customHeight="true" outlineLevel="0" collapsed="false">
      <c r="A13" s="4" t="s">
        <v>16</v>
      </c>
      <c r="B13" s="5" t="s">
        <v>17</v>
      </c>
    </row>
    <row r="14" customFormat="false" ht="30" hidden="false" customHeight="true" outlineLevel="0" collapsed="false">
      <c r="A14" s="4" t="s">
        <v>18</v>
      </c>
      <c r="B14" s="5" t="s">
        <v>19</v>
      </c>
    </row>
    <row r="15" customFormat="false" ht="30" hidden="false" customHeight="true" outlineLevel="0" collapsed="false">
      <c r="A15" s="4" t="s">
        <v>20</v>
      </c>
      <c r="B15" s="5" t="s">
        <v>21</v>
      </c>
    </row>
    <row r="16" customFormat="false" ht="30" hidden="false" customHeight="true" outlineLevel="0" collapsed="false">
      <c r="A16" s="4" t="s">
        <v>22</v>
      </c>
      <c r="B16" s="5" t="s">
        <v>23</v>
      </c>
    </row>
    <row r="17" customFormat="false" ht="30" hidden="false" customHeight="true" outlineLevel="0" collapsed="false">
      <c r="A17" s="4" t="s">
        <v>24</v>
      </c>
      <c r="B17" s="5" t="s">
        <v>25</v>
      </c>
    </row>
    <row r="19" customFormat="false" ht="21.75" hidden="false" customHeight="true" outlineLevel="0" collapsed="false">
      <c r="A19" s="3" t="s">
        <v>26</v>
      </c>
      <c r="B19" s="3"/>
    </row>
    <row r="20" customFormat="false" ht="16.5" hidden="false" customHeight="true" outlineLevel="0" collapsed="false">
      <c r="A20" s="6"/>
      <c r="B20" s="5" t="s">
        <v>27</v>
      </c>
    </row>
    <row r="21" customFormat="false" ht="16.5" hidden="false" customHeight="true" outlineLevel="0" collapsed="false">
      <c r="A21" s="7"/>
      <c r="B21" s="5" t="s">
        <v>28</v>
      </c>
    </row>
    <row r="22" customFormat="false" ht="30" hidden="false" customHeight="true" outlineLevel="0" collapsed="false">
      <c r="A22" s="8"/>
      <c r="B22" s="5" t="s">
        <v>29</v>
      </c>
    </row>
    <row r="23" customFormat="false" ht="16.5" hidden="false" customHeight="true" outlineLevel="0" collapsed="false">
      <c r="A23" s="9"/>
      <c r="B23" s="5" t="s">
        <v>30</v>
      </c>
    </row>
    <row r="24" customFormat="false" ht="16.5" hidden="false" customHeight="true" outlineLevel="0" collapsed="false">
      <c r="A24" s="10"/>
      <c r="B24" s="5" t="s">
        <v>31</v>
      </c>
    </row>
    <row r="26" customFormat="false" ht="21.75" hidden="false" customHeight="true" outlineLevel="0" collapsed="false">
      <c r="A26" s="3" t="s">
        <v>32</v>
      </c>
      <c r="B26" s="3"/>
    </row>
    <row r="27" customFormat="false" ht="57" hidden="false" customHeight="true" outlineLevel="0" collapsed="false">
      <c r="A27" s="4" t="s">
        <v>33</v>
      </c>
      <c r="B27" s="5" t="s">
        <v>34</v>
      </c>
    </row>
    <row r="28" customFormat="false" ht="55.5" hidden="false" customHeight="true" outlineLevel="0" collapsed="false">
      <c r="A28" s="4" t="s">
        <v>35</v>
      </c>
      <c r="B28" s="5" t="s">
        <v>36</v>
      </c>
    </row>
    <row r="29" customFormat="false" ht="42.75" hidden="false" customHeight="true" outlineLevel="0" collapsed="false">
      <c r="A29" s="4" t="s">
        <v>37</v>
      </c>
      <c r="B29" s="5" t="s">
        <v>38</v>
      </c>
    </row>
    <row r="31" customFormat="false" ht="21.75" hidden="false" customHeight="true" outlineLevel="0" collapsed="false">
      <c r="A31" s="3" t="s">
        <v>39</v>
      </c>
      <c r="B31" s="3"/>
    </row>
    <row r="32" customFormat="false" ht="16.5" hidden="false" customHeight="true" outlineLevel="0" collapsed="false">
      <c r="A32" s="4" t="s">
        <v>40</v>
      </c>
      <c r="B32" s="5" t="s">
        <v>41</v>
      </c>
    </row>
    <row r="33" customFormat="false" ht="30" hidden="false" customHeight="true" outlineLevel="0" collapsed="false">
      <c r="A33" s="4" t="s">
        <v>42</v>
      </c>
      <c r="B33" s="5" t="s">
        <v>43</v>
      </c>
    </row>
    <row r="34" customFormat="false" ht="30" hidden="false" customHeight="true" outlineLevel="0" collapsed="false">
      <c r="A34" s="4" t="s">
        <v>44</v>
      </c>
      <c r="B34" s="5" t="s">
        <v>45</v>
      </c>
    </row>
    <row r="35" customFormat="false" ht="30" hidden="false" customHeight="true" outlineLevel="0" collapsed="false">
      <c r="A35" s="4" t="s">
        <v>46</v>
      </c>
      <c r="B35" s="5" t="s">
        <v>47</v>
      </c>
    </row>
    <row r="36" customFormat="false" ht="16.5" hidden="false" customHeight="true" outlineLevel="0" collapsed="false">
      <c r="A36" s="4" t="s">
        <v>48</v>
      </c>
      <c r="B36" s="5" t="s">
        <v>49</v>
      </c>
    </row>
    <row r="38" customFormat="false" ht="21.75" hidden="false" customHeight="true" outlineLevel="0" collapsed="false">
      <c r="A38" s="3" t="s">
        <v>50</v>
      </c>
      <c r="B38" s="3"/>
    </row>
    <row r="39" customFormat="false" ht="57" hidden="false" customHeight="true" outlineLevel="0" collapsed="false">
      <c r="A39" s="4" t="s">
        <v>48</v>
      </c>
      <c r="B39" s="5" t="s">
        <v>51</v>
      </c>
    </row>
    <row r="40" customFormat="false" ht="16.5" hidden="false" customHeight="true" outlineLevel="0" collapsed="false">
      <c r="A40" s="4" t="s">
        <v>46</v>
      </c>
      <c r="B40" s="5" t="s">
        <v>52</v>
      </c>
    </row>
    <row r="41" customFormat="false" ht="16.5" hidden="false" customHeight="true" outlineLevel="0" collapsed="false">
      <c r="A41" s="4" t="s">
        <v>53</v>
      </c>
      <c r="B41" s="5" t="s">
        <v>54</v>
      </c>
    </row>
    <row r="43" customFormat="false" ht="21.75" hidden="false" customHeight="true" outlineLevel="0" collapsed="false">
      <c r="A43" s="3" t="s">
        <v>55</v>
      </c>
      <c r="B43" s="3"/>
    </row>
    <row r="44" customFormat="false" ht="16.5" hidden="false" customHeight="true" outlineLevel="0" collapsed="false">
      <c r="A44" s="4" t="s">
        <v>56</v>
      </c>
      <c r="B44" s="5" t="s">
        <v>57</v>
      </c>
    </row>
    <row r="45" customFormat="false" ht="16.5" hidden="false" customHeight="true" outlineLevel="0" collapsed="false">
      <c r="A45" s="4" t="s">
        <v>58</v>
      </c>
      <c r="B45" s="5" t="s">
        <v>59</v>
      </c>
    </row>
    <row r="46" customFormat="false" ht="30" hidden="false" customHeight="true" outlineLevel="0" collapsed="false">
      <c r="A46" s="4" t="s">
        <v>60</v>
      </c>
      <c r="B46" s="5" t="s">
        <v>61</v>
      </c>
    </row>
    <row r="47" customFormat="false" ht="30" hidden="false" customHeight="true" outlineLevel="0" collapsed="false">
      <c r="A47" s="4" t="s">
        <v>60</v>
      </c>
      <c r="B47" s="5" t="s">
        <v>62</v>
      </c>
    </row>
    <row r="48" customFormat="false" ht="30" hidden="false" customHeight="true" outlineLevel="0" collapsed="false">
      <c r="A48" s="4" t="s">
        <v>60</v>
      </c>
      <c r="B48" s="5" t="s">
        <v>63</v>
      </c>
    </row>
    <row r="49" customFormat="false" ht="57" hidden="false" customHeight="true" outlineLevel="0" collapsed="false">
      <c r="A49" s="4" t="s">
        <v>64</v>
      </c>
      <c r="B49" s="5" t="s">
        <v>65</v>
      </c>
    </row>
    <row r="50" customFormat="false" ht="60" hidden="false" customHeight="true" outlineLevel="0" collapsed="false">
      <c r="A50" s="4" t="s">
        <v>64</v>
      </c>
      <c r="B50" s="5" t="s">
        <v>66</v>
      </c>
    </row>
    <row r="51" customFormat="false" ht="30" hidden="false" customHeight="true" outlineLevel="0" collapsed="false">
      <c r="A51" s="4" t="s">
        <v>64</v>
      </c>
      <c r="B51" s="5" t="s">
        <v>67</v>
      </c>
    </row>
    <row r="52" customFormat="false" ht="45" hidden="false" customHeight="true" outlineLevel="0" collapsed="false">
      <c r="A52" s="4" t="s">
        <v>64</v>
      </c>
      <c r="B52" s="5" t="s">
        <v>68</v>
      </c>
    </row>
    <row r="53" customFormat="false" ht="30" hidden="false" customHeight="true" outlineLevel="0" collapsed="false">
      <c r="A53" s="4" t="s">
        <v>64</v>
      </c>
      <c r="B53" s="5" t="s">
        <v>69</v>
      </c>
    </row>
    <row r="54" customFormat="false" ht="30" hidden="false" customHeight="true" outlineLevel="0" collapsed="false">
      <c r="A54" s="4" t="s">
        <v>64</v>
      </c>
      <c r="B54" s="5" t="s">
        <v>70</v>
      </c>
    </row>
    <row r="55" customFormat="false" ht="75" hidden="false" customHeight="true" outlineLevel="0" collapsed="false">
      <c r="A55" s="4" t="s">
        <v>64</v>
      </c>
      <c r="B55" s="5" t="s">
        <v>71</v>
      </c>
    </row>
  </sheetData>
  <mergeCells count="7">
    <mergeCell ref="A4:B4"/>
    <mergeCell ref="A9:B9"/>
    <mergeCell ref="A19:B19"/>
    <mergeCell ref="A26:B26"/>
    <mergeCell ref="A31:B31"/>
    <mergeCell ref="A38:B38"/>
    <mergeCell ref="A43:B43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&amp;R&amp;8 Лист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B8A4"/>
    <pageSetUpPr fitToPage="tru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50"/>
    <col collapsed="false" customWidth="true" hidden="false" outlineLevel="0" max="3" min="2" style="0" width="10"/>
    <col collapsed="false" customWidth="true" hidden="false" outlineLevel="0" max="6" min="4" style="0" width="11"/>
    <col collapsed="false" customWidth="true" hidden="false" outlineLevel="0" max="8" min="7" style="0" width="12"/>
  </cols>
  <sheetData>
    <row r="1" customFormat="false" ht="17.25" hidden="false" customHeight="true" outlineLevel="0" collapsed="false">
      <c r="A1" s="1" t="s">
        <v>72</v>
      </c>
    </row>
    <row r="2" customFormat="false" ht="14.25" hidden="false" customHeight="false" outlineLevel="0" collapsed="false">
      <c r="A2" s="2" t="s">
        <v>73</v>
      </c>
    </row>
    <row r="3" customFormat="false" ht="14.25" hidden="false" customHeight="false" outlineLevel="0" collapsed="false">
      <c r="A3" s="2" t="s">
        <v>74</v>
      </c>
      <c r="B3" s="11" t="n">
        <f aca="true">TODAY()</f>
        <v>46314</v>
      </c>
    </row>
    <row r="5" customFormat="false" ht="21.75" hidden="false" customHeight="true" outlineLevel="0" collapsed="false">
      <c r="A5" s="3" t="s">
        <v>75</v>
      </c>
      <c r="B5" s="3"/>
      <c r="C5" s="3"/>
    </row>
    <row r="6" customFormat="false" ht="14.25" hidden="false" customHeight="false" outlineLevel="0" collapsed="false">
      <c r="A6" s="12" t="s">
        <v>76</v>
      </c>
      <c r="B6" s="13" t="s">
        <v>77</v>
      </c>
      <c r="C6" s="13" t="s">
        <v>78</v>
      </c>
    </row>
    <row r="7" customFormat="false" ht="14.25" hidden="false" customHeight="false" outlineLevel="0" collapsed="false">
      <c r="A7" s="14" t="s">
        <v>79</v>
      </c>
      <c r="B7" s="15" t="n">
        <f aca="false">COUNTA('Учёт медосмотров'!$C$6:$C$405)</f>
        <v>369</v>
      </c>
      <c r="C7" s="16" t="n">
        <f aca="false">IF($B$7=0,"",B7/$B$7)</f>
        <v>1</v>
      </c>
    </row>
    <row r="8" customFormat="false" ht="14.25" hidden="false" customHeight="false" outlineLevel="0" collapsed="false">
      <c r="A8" s="14" t="s">
        <v>80</v>
      </c>
      <c r="B8" s="15" t="n">
        <f aca="false">COUNTIF('Учёт медосмотров'!$K$6:$K$405,"&lt;&gt;")</f>
        <v>83</v>
      </c>
      <c r="C8" s="16" t="n">
        <f aca="false">IF($B$7=0,"",B8/$B$7)</f>
        <v>0.224932249322493</v>
      </c>
    </row>
    <row r="9" customFormat="false" ht="14.25" hidden="false" customHeight="false" outlineLevel="0" collapsed="false">
      <c r="A9" s="14" t="s">
        <v>81</v>
      </c>
      <c r="B9" s="17" t="n">
        <f aca="false">COUNTIFS('Учёт медосмотров'!$C$6:$C$405,"&lt;&gt;",'Учёт медосмотров'!$K$6:$K$405,"")</f>
        <v>286</v>
      </c>
      <c r="C9" s="16" t="n">
        <f aca="false">IF($B$7=0,"",B9/$B$7)</f>
        <v>0.775067750677507</v>
      </c>
    </row>
    <row r="10" customFormat="false" ht="14.25" hidden="false" customHeight="false" outlineLevel="0" collapsed="false">
      <c r="A10" s="14" t="s">
        <v>82</v>
      </c>
      <c r="B10" s="17" t="n">
        <f aca="true">COUNTIFS('Учёт медосмотров'!$C$6:$C$405,"&lt;&gt;",'Учёт медосмотров'!$F$6:$F$405,"&lt;"&amp;(TODAY()-365),'Учёт медосмотров'!$K$6:$K$405,"")</f>
        <v>221</v>
      </c>
      <c r="C10" s="16" t="n">
        <f aca="false">IF($B$7=0,"",B10/$B$7)</f>
        <v>0.598915989159892</v>
      </c>
    </row>
    <row r="11" customFormat="false" ht="14.25" hidden="false" customHeight="false" outlineLevel="0" collapsed="false">
      <c r="A11" s="14" t="s">
        <v>83</v>
      </c>
      <c r="B11" s="15" t="n">
        <f aca="false">COUNTIF('Учёт медосмотров'!$L$6:$L$405,"&lt;&gt;")</f>
        <v>0</v>
      </c>
      <c r="C11" s="16" t="n">
        <f aca="false">IF($B$7=0,"",B11/$B$7)</f>
        <v>0</v>
      </c>
    </row>
    <row r="12" customFormat="false" ht="14.25" hidden="false" customHeight="false" outlineLevel="0" collapsed="false">
      <c r="A12" s="14" t="s">
        <v>84</v>
      </c>
      <c r="B12" s="18" t="n">
        <f aca="false">COUNTIF('Учёт медосмотров'!$R$6:$R$405,"В срок")</f>
        <v>43</v>
      </c>
      <c r="C12" s="16" t="n">
        <f aca="false">IF($B$7=0,"",B12/$B$7)</f>
        <v>0.116531165311653</v>
      </c>
    </row>
    <row r="13" customFormat="false" ht="14.25" hidden="false" customHeight="false" outlineLevel="0" collapsed="false">
      <c r="A13" s="14" t="s">
        <v>85</v>
      </c>
      <c r="B13" s="17" t="n">
        <f aca="false">COUNTIF('Учёт медосмотров'!$R$6:$R$405,"Истекает")</f>
        <v>5</v>
      </c>
      <c r="C13" s="16" t="n">
        <f aca="false">IF($B$7=0,"",B13/$B$7)</f>
        <v>0.013550135501355</v>
      </c>
    </row>
    <row r="14" customFormat="false" ht="14.25" hidden="false" customHeight="false" outlineLevel="0" collapsed="false">
      <c r="A14" s="14" t="s">
        <v>86</v>
      </c>
      <c r="B14" s="19" t="n">
        <f aca="false">COUNTIF('Учёт медосмотров'!$R$6:$R$405,"Просрочен")</f>
        <v>35</v>
      </c>
      <c r="C14" s="16" t="n">
        <f aca="false">IF($B$7=0,"",B14/$B$7)</f>
        <v>0.0948509485094851</v>
      </c>
    </row>
    <row r="15" customFormat="false" ht="14.25" hidden="false" customHeight="false" outlineLevel="0" collapsed="false">
      <c r="A15" s="14" t="s">
        <v>87</v>
      </c>
      <c r="B15" s="19" t="n">
        <f aca="false">COUNTIF('Учёт медосмотров'!$R$6:$R$405,"Нет сведений")</f>
        <v>286</v>
      </c>
      <c r="C15" s="16" t="n">
        <f aca="false">IF($B$7=0,"",B15/$B$7)</f>
        <v>0.775067750677507</v>
      </c>
    </row>
    <row r="16" customFormat="false" ht="14.25" hidden="false" customHeight="false" outlineLevel="0" collapsed="false">
      <c r="A16" s="14" t="s">
        <v>88</v>
      </c>
      <c r="B16" s="19" t="n">
        <f aca="false">COUNTIF('Учёт медосмотров'!$Q$6:$Q$405,"Да")</f>
        <v>5</v>
      </c>
      <c r="C16" s="16" t="n">
        <f aca="false">IF($B$7=0,"",B16/$B$7)</f>
        <v>0.013550135501355</v>
      </c>
    </row>
    <row r="18" customFormat="false" ht="21.75" hidden="false" customHeight="true" outlineLevel="0" collapsed="false">
      <c r="A18" s="3" t="s">
        <v>89</v>
      </c>
      <c r="B18" s="3"/>
      <c r="C18" s="3"/>
    </row>
    <row r="19" customFormat="false" ht="14.25" hidden="false" customHeight="false" outlineLevel="0" collapsed="false">
      <c r="A19" s="12" t="s">
        <v>76</v>
      </c>
      <c r="B19" s="13" t="s">
        <v>77</v>
      </c>
      <c r="C19" s="13" t="s">
        <v>78</v>
      </c>
    </row>
    <row r="20" customFormat="false" ht="14.25" hidden="false" customHeight="false" outlineLevel="0" collapsed="false">
      <c r="A20" s="14" t="s">
        <v>90</v>
      </c>
      <c r="B20" s="20" t="n">
        <f aca="false">COUNTIF('Учёт медосмотров'!$N$6:$N$405,"Да")</f>
        <v>59</v>
      </c>
      <c r="C20" s="16" t="n">
        <f aca="false">IF($B$7=0,"",B20/$B$7)</f>
        <v>0.159891598915989</v>
      </c>
    </row>
    <row r="21" customFormat="false" ht="14.25" hidden="false" customHeight="false" outlineLevel="0" collapsed="false">
      <c r="A21" s="14" t="s">
        <v>91</v>
      </c>
      <c r="B21" s="18" t="n">
        <f aca="false">COUNTIFS('Учёт медосмотров'!$N$6:$N$405,"Да",'Учёт медосмотров'!$O$6:$O$405,"&lt;&gt;")</f>
        <v>0</v>
      </c>
      <c r="C21" s="16" t="n">
        <f aca="false">IF($B$7=0,"",B21/$B$7)</f>
        <v>0</v>
      </c>
    </row>
    <row r="22" customFormat="false" ht="14.25" hidden="false" customHeight="false" outlineLevel="0" collapsed="false">
      <c r="A22" s="14" t="s">
        <v>92</v>
      </c>
      <c r="B22" s="19" t="n">
        <f aca="false">COUNTIF('Учёт медосмотров'!$S$6:$S$405,"Не пройдено")</f>
        <v>59</v>
      </c>
      <c r="C22" s="16" t="n">
        <f aca="false">IF($B$7=0,"",B22/$B$7)</f>
        <v>0.159891598915989</v>
      </c>
    </row>
    <row r="23" customFormat="false" ht="14.25" hidden="false" customHeight="false" outlineLevel="0" collapsed="false">
      <c r="A23" s="14" t="s">
        <v>93</v>
      </c>
      <c r="B23" s="15" t="n">
        <f aca="true">COUNTIFS('Учёт медосмотров'!$P$6:$P$405,"&lt;&gt;",'Учёт медосмотров'!$P$6:$P$405,"&lt;"&amp;TODAY())</f>
        <v>0</v>
      </c>
      <c r="C23" s="16" t="n">
        <f aca="false">IF($B$7=0,"",B23/$B$7)</f>
        <v>0</v>
      </c>
    </row>
    <row r="25" customFormat="false" ht="21.75" hidden="false" customHeight="true" outlineLevel="0" collapsed="false">
      <c r="A25" s="3" t="s">
        <v>94</v>
      </c>
      <c r="B25" s="3"/>
      <c r="C25" s="3"/>
      <c r="D25" s="3"/>
      <c r="E25" s="3"/>
      <c r="F25" s="3"/>
      <c r="G25" s="3"/>
      <c r="H25" s="3"/>
    </row>
    <row r="26" customFormat="false" ht="30" hidden="false" customHeight="true" outlineLevel="0" collapsed="false">
      <c r="A26" s="13" t="s">
        <v>95</v>
      </c>
      <c r="B26" s="13" t="s">
        <v>96</v>
      </c>
      <c r="C26" s="13" t="s">
        <v>97</v>
      </c>
      <c r="D26" s="13" t="s">
        <v>98</v>
      </c>
      <c r="E26" s="13" t="s">
        <v>99</v>
      </c>
      <c r="F26" s="13" t="s">
        <v>100</v>
      </c>
      <c r="G26" s="13" t="s">
        <v>101</v>
      </c>
      <c r="H26" s="13" t="s">
        <v>102</v>
      </c>
    </row>
    <row r="27" customFormat="false" ht="14.25" hidden="false" customHeight="false" outlineLevel="0" collapsed="false">
      <c r="A27" s="14" t="s">
        <v>103</v>
      </c>
      <c r="B27" s="21" t="n">
        <f aca="false">COUNTIF('Учёт медосмотров'!$B$6:$B$405,$A27)</f>
        <v>10</v>
      </c>
      <c r="C27" s="21" t="n">
        <f aca="false">COUNTIFS('Учёт медосмотров'!$B$6:$B$405,$A27,'Учёт медосмотров'!$R$6:$R$405,"В срок")</f>
        <v>0</v>
      </c>
      <c r="D27" s="21" t="n">
        <f aca="false">COUNTIFS('Учёт медосмотров'!$B$6:$B$405,$A27,'Учёт медосмотров'!$R$6:$R$405,"Истекает")</f>
        <v>0</v>
      </c>
      <c r="E27" s="21" t="n">
        <f aca="false">COUNTIFS('Учёт медосмотров'!$B$6:$B$405,$A27,'Учёт медосмотров'!$R$6:$R$405,"Просрочен")</f>
        <v>1</v>
      </c>
      <c r="F27" s="21" t="n">
        <f aca="false">COUNTIFS('Учёт медосмотров'!$B$6:$B$405,$A27,'Учёт медосмотров'!$R$6:$R$405,"Нет сведений")</f>
        <v>9</v>
      </c>
      <c r="G27" s="21" t="n">
        <f aca="false">COUNTIFS('Учёт медосмотров'!$B$6:$B$405,$A27,'Учёт медосмотров'!$N$6:$N$405,"Да")</f>
        <v>2</v>
      </c>
      <c r="H27" s="21" t="n">
        <f aca="false">COUNTIFS('Учёт медосмотров'!$B$6:$B$405,$A27,'Учёт медосмотров'!$S$6:$S$405,"Не пройдено")</f>
        <v>2</v>
      </c>
    </row>
    <row r="28" customFormat="false" ht="14.25" hidden="false" customHeight="false" outlineLevel="0" collapsed="false">
      <c r="A28" s="14" t="s">
        <v>104</v>
      </c>
      <c r="B28" s="21" t="n">
        <f aca="false">COUNTIF('Учёт медосмотров'!$B$6:$B$405,$A28)</f>
        <v>66</v>
      </c>
      <c r="C28" s="21" t="n">
        <f aca="false">COUNTIFS('Учёт медосмотров'!$B$6:$B$405,$A28,'Учёт медосмотров'!$R$6:$R$405,"В срок")</f>
        <v>5</v>
      </c>
      <c r="D28" s="21" t="n">
        <f aca="false">COUNTIFS('Учёт медосмотров'!$B$6:$B$405,$A28,'Учёт медосмотров'!$R$6:$R$405,"Истекает")</f>
        <v>0</v>
      </c>
      <c r="E28" s="21" t="n">
        <f aca="false">COUNTIFS('Учёт медосмотров'!$B$6:$B$405,$A28,'Учёт медосмотров'!$R$6:$R$405,"Просрочен")</f>
        <v>15</v>
      </c>
      <c r="F28" s="21" t="n">
        <f aca="false">COUNTIFS('Учёт медосмотров'!$B$6:$B$405,$A28,'Учёт медосмотров'!$R$6:$R$405,"Нет сведений")</f>
        <v>46</v>
      </c>
      <c r="G28" s="21" t="n">
        <f aca="false">COUNTIFS('Учёт медосмотров'!$B$6:$B$405,$A28,'Учёт медосмотров'!$N$6:$N$405,"Да")</f>
        <v>17</v>
      </c>
      <c r="H28" s="21" t="n">
        <f aca="false">COUNTIFS('Учёт медосмотров'!$B$6:$B$405,$A28,'Учёт медосмотров'!$S$6:$S$405,"Не пройдено")</f>
        <v>17</v>
      </c>
    </row>
    <row r="29" customFormat="false" ht="14.25" hidden="false" customHeight="false" outlineLevel="0" collapsed="false">
      <c r="A29" s="14" t="s">
        <v>105</v>
      </c>
      <c r="B29" s="21" t="n">
        <f aca="false">COUNTIF('Учёт медосмотров'!$B$6:$B$405,$A29)</f>
        <v>1</v>
      </c>
      <c r="C29" s="21" t="n">
        <f aca="false">COUNTIFS('Учёт медосмотров'!$B$6:$B$405,$A29,'Учёт медосмотров'!$R$6:$R$405,"В срок")</f>
        <v>0</v>
      </c>
      <c r="D29" s="21" t="n">
        <f aca="false">COUNTIFS('Учёт медосмотров'!$B$6:$B$405,$A29,'Учёт медосмотров'!$R$6:$R$405,"Истекает")</f>
        <v>0</v>
      </c>
      <c r="E29" s="21" t="n">
        <f aca="false">COUNTIFS('Учёт медосмотров'!$B$6:$B$405,$A29,'Учёт медосмотров'!$R$6:$R$405,"Просрочен")</f>
        <v>0</v>
      </c>
      <c r="F29" s="21" t="n">
        <f aca="false">COUNTIFS('Учёт медосмотров'!$B$6:$B$405,$A29,'Учёт медосмотров'!$R$6:$R$405,"Нет сведений")</f>
        <v>1</v>
      </c>
      <c r="G29" s="21" t="n">
        <f aca="false">COUNTIFS('Учёт медосмотров'!$B$6:$B$405,$A29,'Учёт медосмотров'!$N$6:$N$405,"Да")</f>
        <v>0</v>
      </c>
      <c r="H29" s="21" t="n">
        <f aca="false">COUNTIFS('Учёт медосмотров'!$B$6:$B$405,$A29,'Учёт медосмотров'!$S$6:$S$405,"Не пройдено")</f>
        <v>0</v>
      </c>
    </row>
    <row r="30" customFormat="false" ht="14.25" hidden="false" customHeight="false" outlineLevel="0" collapsed="false">
      <c r="A30" s="14" t="s">
        <v>106</v>
      </c>
      <c r="B30" s="21" t="n">
        <f aca="false">COUNTIF('Учёт медосмотров'!$B$6:$B$405,$A30)</f>
        <v>16</v>
      </c>
      <c r="C30" s="21" t="n">
        <f aca="false">COUNTIFS('Учёт медосмотров'!$B$6:$B$405,$A30,'Учёт медосмотров'!$R$6:$R$405,"В срок")</f>
        <v>2</v>
      </c>
      <c r="D30" s="21" t="n">
        <f aca="false">COUNTIFS('Учёт медосмотров'!$B$6:$B$405,$A30,'Учёт медосмотров'!$R$6:$R$405,"Истекает")</f>
        <v>2</v>
      </c>
      <c r="E30" s="21" t="n">
        <f aca="false">COUNTIFS('Учёт медосмотров'!$B$6:$B$405,$A30,'Учёт медосмотров'!$R$6:$R$405,"Просрочен")</f>
        <v>4</v>
      </c>
      <c r="F30" s="21" t="n">
        <f aca="false">COUNTIFS('Учёт медосмотров'!$B$6:$B$405,$A30,'Учёт медосмотров'!$R$6:$R$405,"Нет сведений")</f>
        <v>8</v>
      </c>
      <c r="G30" s="21" t="n">
        <f aca="false">COUNTIFS('Учёт медосмотров'!$B$6:$B$405,$A30,'Учёт медосмотров'!$N$6:$N$405,"Да")</f>
        <v>6</v>
      </c>
      <c r="H30" s="21" t="n">
        <f aca="false">COUNTIFS('Учёт медосмотров'!$B$6:$B$405,$A30,'Учёт медосмотров'!$S$6:$S$405,"Не пройдено")</f>
        <v>6</v>
      </c>
    </row>
    <row r="31" customFormat="false" ht="14.25" hidden="false" customHeight="false" outlineLevel="0" collapsed="false">
      <c r="A31" s="14" t="s">
        <v>107</v>
      </c>
      <c r="B31" s="21" t="n">
        <f aca="false">COUNTIF('Учёт медосмотров'!$B$6:$B$405,$A31)</f>
        <v>178</v>
      </c>
      <c r="C31" s="21" t="n">
        <f aca="false">COUNTIFS('Учёт медосмотров'!$B$6:$B$405,$A31,'Учёт медосмотров'!$R$6:$R$405,"В срок")</f>
        <v>13</v>
      </c>
      <c r="D31" s="21" t="n">
        <f aca="false">COUNTIFS('Учёт медосмотров'!$B$6:$B$405,$A31,'Учёт медосмотров'!$R$6:$R$405,"Истекает")</f>
        <v>0</v>
      </c>
      <c r="E31" s="21" t="n">
        <f aca="false">COUNTIFS('Учёт медосмотров'!$B$6:$B$405,$A31,'Учёт медосмотров'!$R$6:$R$405,"Просрочен")</f>
        <v>6</v>
      </c>
      <c r="F31" s="21" t="n">
        <f aca="false">COUNTIFS('Учёт медосмотров'!$B$6:$B$405,$A31,'Учёт медосмотров'!$R$6:$R$405,"Нет сведений")</f>
        <v>159</v>
      </c>
      <c r="G31" s="21" t="n">
        <f aca="false">COUNTIFS('Учёт медосмотров'!$B$6:$B$405,$A31,'Учёт медосмотров'!$N$6:$N$405,"Да")</f>
        <v>24</v>
      </c>
      <c r="H31" s="21" t="n">
        <f aca="false">COUNTIFS('Учёт медосмотров'!$B$6:$B$405,$A31,'Учёт медосмотров'!$S$6:$S$405,"Не пройдено")</f>
        <v>24</v>
      </c>
    </row>
    <row r="32" customFormat="false" ht="14.25" hidden="false" customHeight="false" outlineLevel="0" collapsed="false">
      <c r="A32" s="14" t="s">
        <v>108</v>
      </c>
      <c r="B32" s="21" t="n">
        <f aca="false">COUNTIF('Учёт медосмотров'!$B$6:$B$405,$A32)</f>
        <v>9</v>
      </c>
      <c r="C32" s="21" t="n">
        <f aca="false">COUNTIFS('Учёт медосмотров'!$B$6:$B$405,$A32,'Учёт медосмотров'!$R$6:$R$405,"В срок")</f>
        <v>0</v>
      </c>
      <c r="D32" s="21" t="n">
        <f aca="false">COUNTIFS('Учёт медосмотров'!$B$6:$B$405,$A32,'Учёт медосмотров'!$R$6:$R$405,"Истекает")</f>
        <v>0</v>
      </c>
      <c r="E32" s="21" t="n">
        <f aca="false">COUNTIFS('Учёт медосмотров'!$B$6:$B$405,$A32,'Учёт медосмотров'!$R$6:$R$405,"Просрочен")</f>
        <v>0</v>
      </c>
      <c r="F32" s="21" t="n">
        <f aca="false">COUNTIFS('Учёт медосмотров'!$B$6:$B$405,$A32,'Учёт медосмотров'!$R$6:$R$405,"Нет сведений")</f>
        <v>9</v>
      </c>
      <c r="G32" s="21" t="n">
        <f aca="false">COUNTIFS('Учёт медосмотров'!$B$6:$B$405,$A32,'Учёт медосмотров'!$N$6:$N$405,"Да")</f>
        <v>1</v>
      </c>
      <c r="H32" s="21" t="n">
        <f aca="false">COUNTIFS('Учёт медосмотров'!$B$6:$B$405,$A32,'Учёт медосмотров'!$S$6:$S$405,"Не пройдено")</f>
        <v>1</v>
      </c>
    </row>
    <row r="33" customFormat="false" ht="14.25" hidden="false" customHeight="false" outlineLevel="0" collapsed="false">
      <c r="A33" s="14" t="s">
        <v>109</v>
      </c>
      <c r="B33" s="21" t="n">
        <f aca="false">COUNTIF('Учёт медосмотров'!$B$6:$B$405,$A33)</f>
        <v>70</v>
      </c>
      <c r="C33" s="21" t="n">
        <f aca="false">COUNTIFS('Учёт медосмотров'!$B$6:$B$405,$A33,'Учёт медосмотров'!$R$6:$R$405,"В срок")</f>
        <v>17</v>
      </c>
      <c r="D33" s="21" t="n">
        <f aca="false">COUNTIFS('Учёт медосмотров'!$B$6:$B$405,$A33,'Учёт медосмотров'!$R$6:$R$405,"Истекает")</f>
        <v>1</v>
      </c>
      <c r="E33" s="21" t="n">
        <f aca="false">COUNTIFS('Учёт медосмотров'!$B$6:$B$405,$A33,'Учёт медосмотров'!$R$6:$R$405,"Просрочен")</f>
        <v>5</v>
      </c>
      <c r="F33" s="21" t="n">
        <f aca="false">COUNTIFS('Учёт медосмотров'!$B$6:$B$405,$A33,'Учёт медосмотров'!$R$6:$R$405,"Нет сведений")</f>
        <v>47</v>
      </c>
      <c r="G33" s="21" t="n">
        <f aca="false">COUNTIFS('Учёт медосмотров'!$B$6:$B$405,$A33,'Учёт медосмотров'!$N$6:$N$405,"Да")</f>
        <v>4</v>
      </c>
      <c r="H33" s="21" t="n">
        <f aca="false">COUNTIFS('Учёт медосмотров'!$B$6:$B$405,$A33,'Учёт медосмотров'!$S$6:$S$405,"Не пройдено")</f>
        <v>4</v>
      </c>
    </row>
    <row r="34" customFormat="false" ht="14.25" hidden="false" customHeight="false" outlineLevel="0" collapsed="false">
      <c r="A34" s="14" t="s">
        <v>110</v>
      </c>
      <c r="B34" s="21" t="n">
        <f aca="false">COUNTIF('Учёт медосмотров'!$B$6:$B$405,$A34)</f>
        <v>19</v>
      </c>
      <c r="C34" s="21" t="n">
        <f aca="false">COUNTIFS('Учёт медосмотров'!$B$6:$B$405,$A34,'Учёт медосмотров'!$R$6:$R$405,"В срок")</f>
        <v>6</v>
      </c>
      <c r="D34" s="21" t="n">
        <f aca="false">COUNTIFS('Учёт медосмотров'!$B$6:$B$405,$A34,'Учёт медосмотров'!$R$6:$R$405,"Истекает")</f>
        <v>2</v>
      </c>
      <c r="E34" s="21" t="n">
        <f aca="false">COUNTIFS('Учёт медосмотров'!$B$6:$B$405,$A34,'Учёт медосмотров'!$R$6:$R$405,"Просрочен")</f>
        <v>4</v>
      </c>
      <c r="F34" s="21" t="n">
        <f aca="false">COUNTIFS('Учёт медосмотров'!$B$6:$B$405,$A34,'Учёт медосмотров'!$R$6:$R$405,"Нет сведений")</f>
        <v>7</v>
      </c>
      <c r="G34" s="21" t="n">
        <f aca="false">COUNTIFS('Учёт медосмотров'!$B$6:$B$405,$A34,'Учёт медосмотров'!$N$6:$N$405,"Да")</f>
        <v>5</v>
      </c>
      <c r="H34" s="21" t="n">
        <f aca="false">COUNTIFS('Учёт медосмотров'!$B$6:$B$405,$A34,'Учёт медосмотров'!$S$6:$S$405,"Не пройдено")</f>
        <v>5</v>
      </c>
    </row>
    <row r="35" customFormat="false" ht="14.25" hidden="false" customHeight="false" outlineLevel="0" collapsed="false">
      <c r="A35" s="22" t="s">
        <v>111</v>
      </c>
      <c r="B35" s="23" t="n">
        <f aca="false">SUM(B27:B34)</f>
        <v>369</v>
      </c>
      <c r="C35" s="23" t="n">
        <f aca="false">SUM(C27:C34)</f>
        <v>43</v>
      </c>
      <c r="D35" s="23" t="n">
        <f aca="false">SUM(D27:D34)</f>
        <v>5</v>
      </c>
      <c r="E35" s="23" t="n">
        <f aca="false">SUM(E27:E34)</f>
        <v>35</v>
      </c>
      <c r="F35" s="23" t="n">
        <f aca="false">SUM(F27:F34)</f>
        <v>286</v>
      </c>
      <c r="G35" s="23" t="n">
        <f aca="false">SUM(G27:G34)</f>
        <v>59</v>
      </c>
      <c r="H35" s="23" t="n">
        <f aca="false">SUM(H27:H34)</f>
        <v>59</v>
      </c>
    </row>
    <row r="36" customFormat="false" ht="14.25" hidden="false" customHeight="false" outlineLevel="0" collapsed="false">
      <c r="A36" s="24" t="str">
        <f aca="false">IF(B35=B7,"","Внимание: итог по площадкам не совпадает с общей численностью — проверьте графу «Площадка».")</f>
        <v/>
      </c>
    </row>
  </sheetData>
  <mergeCells count="3">
    <mergeCell ref="A5:C5"/>
    <mergeCell ref="A18:C18"/>
    <mergeCell ref="A25:H25"/>
  </mergeCells>
  <conditionalFormatting sqref="C27:C34">
    <cfRule type="expression" priority="2" aboveAverage="0" equalAverage="0" bottom="0" percent="0" rank="0" text="" dxfId="0">
      <formula>C27&gt;0</formula>
    </cfRule>
  </conditionalFormatting>
  <conditionalFormatting sqref="D27:D34">
    <cfRule type="expression" priority="3" aboveAverage="0" equalAverage="0" bottom="0" percent="0" rank="0" text="" dxfId="1">
      <formula>D27&gt;0</formula>
    </cfRule>
  </conditionalFormatting>
  <conditionalFormatting sqref="E27:F34">
    <cfRule type="expression" priority="4" aboveAverage="0" equalAverage="0" bottom="0" percent="0" rank="0" text="" dxfId="2">
      <formula>E27&gt;0</formula>
    </cfRule>
  </conditionalFormatting>
  <conditionalFormatting sqref="G27:G34">
    <cfRule type="expression" priority="5" aboveAverage="0" equalAverage="0" bottom="0" percent="0" rank="0" text="" dxfId="3">
      <formula>G27&gt;0</formula>
    </cfRule>
  </conditionalFormatting>
  <conditionalFormatting sqref="H27:H34">
    <cfRule type="expression" priority="6" aboveAverage="0" equalAverage="0" bottom="0" percent="0" rank="0" text="" dxfId="2">
      <formula>H27&gt;0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&amp;R&amp;8 Лист &amp;P из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A9CF"/>
    <pageSetUpPr fitToPage="true"/>
  </sheetPr>
  <dimension ref="A1:S40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5" topLeftCell="D309" activePane="bottomRight" state="frozen"/>
      <selection pane="topLeft" activeCell="A1" activeCellId="0" sqref="A1"/>
      <selection pane="topRight" activeCell="D1" activeCellId="0" sqref="D1"/>
      <selection pane="bottomLeft" activeCell="A309" activeCellId="0" sqref="A309"/>
      <selection pane="bottomRight" activeCell="C365" activeCellId="0" sqref="C365"/>
    </sheetView>
  </sheetViews>
  <sheetFormatPr defaultColWidth="8.66796875" defaultRowHeight="14.25" zeroHeight="false" outlineLevelRow="0" outlineLevelCol="1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11.44"/>
    <col collapsed="false" customWidth="true" hidden="true" outlineLevel="0" max="7" min="7" style="0" width="2"/>
    <col collapsed="false" customWidth="true" hidden="false" outlineLevel="1" max="8" min="8" style="0" width="8.44"/>
    <col collapsed="false" customWidth="true" hidden="false" outlineLevel="1" max="9" min="9" style="0" width="26"/>
    <col collapsed="false" customWidth="true" hidden="false" outlineLevel="1" max="10" min="10" style="0" width="8"/>
    <col collapsed="false" customWidth="true" hidden="false" outlineLevel="0" max="13" min="11" style="0" width="13"/>
    <col collapsed="false" customWidth="true" hidden="false" outlineLevel="0" max="14" min="14" style="0" width="10"/>
    <col collapsed="false" customWidth="true" hidden="false" outlineLevel="0" max="16" min="15" style="0" width="13"/>
    <col collapsed="false" customWidth="true" hidden="false" outlineLevel="0" max="17" min="17" style="0" width="11"/>
    <col collapsed="false" customWidth="true" hidden="false" outlineLevel="0" max="18" min="18" style="0" width="15"/>
    <col collapsed="false" customWidth="true" hidden="false" outlineLevel="0" max="19" min="19" style="0" width="13"/>
  </cols>
  <sheetData>
    <row r="1" customFormat="false" ht="17.25" hidden="false" customHeight="true" outlineLevel="0" collapsed="false">
      <c r="A1" s="1" t="s">
        <v>112</v>
      </c>
      <c r="P1" s="25" t="s">
        <v>113</v>
      </c>
      <c r="Q1" s="26" t="n">
        <f aca="true">TODAY()</f>
        <v>46314</v>
      </c>
    </row>
    <row r="2" customFormat="false" ht="14.25" hidden="false" customHeight="false" outlineLevel="0" collapsed="false">
      <c r="A2" s="2" t="s">
        <v>114</v>
      </c>
    </row>
    <row r="3" customFormat="false" ht="14.25" hidden="false" customHeight="false" outlineLevel="0" collapsed="false">
      <c r="A3" s="27"/>
    </row>
    <row r="4" customFormat="false" ht="30" hidden="false" customHeight="true" outlineLevel="0" collapsed="false">
      <c r="A4" s="28" t="s">
        <v>115</v>
      </c>
      <c r="B4" s="28"/>
      <c r="C4" s="28"/>
      <c r="D4" s="28"/>
      <c r="E4" s="28"/>
      <c r="F4" s="28"/>
      <c r="G4" s="28"/>
      <c r="H4" s="29" t="s">
        <v>116</v>
      </c>
      <c r="I4" s="29"/>
      <c r="J4" s="29"/>
      <c r="K4" s="30" t="s">
        <v>117</v>
      </c>
      <c r="L4" s="30"/>
      <c r="M4" s="30"/>
      <c r="N4" s="31" t="s">
        <v>89</v>
      </c>
      <c r="O4" s="31"/>
      <c r="P4" s="31"/>
      <c r="Q4" s="32" t="s">
        <v>118</v>
      </c>
      <c r="R4" s="32"/>
      <c r="S4" s="32"/>
    </row>
    <row r="5" customFormat="false" ht="42" hidden="false" customHeight="true" outlineLevel="0" collapsed="false">
      <c r="A5" s="33" t="s">
        <v>119</v>
      </c>
      <c r="B5" s="33" t="s">
        <v>95</v>
      </c>
      <c r="C5" s="33" t="s">
        <v>120</v>
      </c>
      <c r="D5" s="33" t="s">
        <v>121</v>
      </c>
      <c r="E5" s="33" t="s">
        <v>122</v>
      </c>
      <c r="F5" s="33" t="s">
        <v>123</v>
      </c>
      <c r="G5" s="33" t="s">
        <v>124</v>
      </c>
      <c r="H5" s="33" t="s">
        <v>125</v>
      </c>
      <c r="I5" s="33" t="s">
        <v>126</v>
      </c>
      <c r="J5" s="33" t="s">
        <v>127</v>
      </c>
      <c r="K5" s="34" t="s">
        <v>128</v>
      </c>
      <c r="L5" s="34" t="s">
        <v>129</v>
      </c>
      <c r="M5" s="33" t="s">
        <v>130</v>
      </c>
      <c r="N5" s="33" t="s">
        <v>131</v>
      </c>
      <c r="O5" s="34" t="s">
        <v>132</v>
      </c>
      <c r="P5" s="33" t="s">
        <v>133</v>
      </c>
      <c r="Q5" s="33" t="s">
        <v>134</v>
      </c>
      <c r="R5" s="33" t="s">
        <v>14</v>
      </c>
      <c r="S5" s="33" t="s">
        <v>135</v>
      </c>
    </row>
    <row r="6" customFormat="false" ht="14.25" hidden="false" customHeight="false" outlineLevel="0" collapsed="false">
      <c r="A6" s="35" t="n">
        <f aca="false">IF(C6="","",ROW()-5)</f>
        <v>1</v>
      </c>
      <c r="B6" s="36" t="s">
        <v>110</v>
      </c>
      <c r="C6" s="36" t="s">
        <v>136</v>
      </c>
      <c r="D6" s="36" t="s">
        <v>137</v>
      </c>
      <c r="E6" s="36" t="s">
        <v>138</v>
      </c>
      <c r="F6" s="37" t="n">
        <v>45874</v>
      </c>
      <c r="G6" s="38" t="str">
        <f aca="false">IF(C6="","",IF(TRIM(SUBSTITUTE(SUBSTITUTE(SUBSTITUTE(SUBSTITUTE(SUBSTITUTE(SUBSTITUTE(SUBSTITUTE(SUBSTITUTE(SUBSTITUTE(SUBSTITUTE(SUBSTITUTE(LOWER(TRIM(D6)),"ё","е"),"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категории",""))="инженер",IF(AND(ISNUMBER(SEARCH("техническ",E6)),ISNUMBER(SEARCH("контрол",E6))),"инженер отк",IF(ISNUMBER(SEARCH("диспетч",E6)),"инженер пдо",TRIM(SUBSTITUTE(SUBSTITUTE(SUBSTITUTE(SUBSTITUTE(SUBSTITUTE(SUBSTITUTE(SUBSTITUTE(SUBSTITUTE(SUBSTITUTE(SUBSTITUTE(SUBSTITUTE(LOWER(TRIM(D6)),"ё","е"),"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инженер",IF(ISNUMBER(SEARCH("диспетч",E6)),"ведущий инженер пдо",TRIM(SUBSTITUTE(SUBSTITUTE(SUBSTITUTE(SUBSTITUTE(SUBSTITUTE(SUBSTITUTE(SUBSTITUTE(SUBSTITUTE(SUBSTITUTE(SUBSTITUTE(SUBSTITUTE(LOWER(TRIM(D6)),"ё","е"),"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отк",TRIM(SUBSTITUTE(SUBSTITUTE(SUBSTITUTE(SUBSTITUTE(SUBSTITUTE(SUBSTITUTE(SUBSTITUTE(SUBSTITUTE(SUBSTITUTE(SUBSTITUTE(SUBSTITUTE(LOWER(TRIM(D6)),"ё","е")," -","-"),"- ","-")," 2 разряда","")," 3 разряда","")," 4 разряда","")," 5 разряда","")," 6 разряда","")," 1 категории","")," 2 категории","")," 3 категории",""))))))</f>
        <v>инженер отк</v>
      </c>
      <c r="H6" s="35" t="n">
        <f aca="false">IF(C6="","",IF(AND(G6="мастер участка",ISNUMBER(SEARCH("РЭО",E6))),29,IFERROR(INDEX(Соответствие!$B$2:$B$100,MATCH(G6,Соответствие!$A$2:$A$100,0)),"?")))</f>
        <v>13</v>
      </c>
      <c r="I6" s="39" t="str">
        <f aca="false">IF(C6="","",IFERROR(INDEX(Перечень!$C$6:$C$52,MATCH(H6,Перечень!$A$6:$A$52,0)),""))</f>
        <v>п.4.4, п.5.2</v>
      </c>
      <c r="J6" s="35" t="n">
        <f aca="false">IF(C6="","",IFERROR(INDEX(Перечень!$D$6:$D$52,MATCH(H6,Перечень!$A$6:$A$52,0)),12))</f>
        <v>12</v>
      </c>
      <c r="K6" s="40"/>
      <c r="L6" s="40"/>
      <c r="M6" s="37" t="str">
        <f aca="false">IF(AND(K6="",L6=""),"",EDATE(MAX(K6,L6),J6))</f>
        <v/>
      </c>
      <c r="N6" s="41" t="str">
        <f aca="false">IF(C6="","",IFERROR(INDEX(Перечень!$F$6:$F$52,MATCH(H6,Перечень!$A$6:$A$52,0)),""))</f>
        <v>-</v>
      </c>
      <c r="O6" s="40"/>
      <c r="P6" s="37" t="str">
        <f aca="false">IF(O6="","",EDATE(O6,60))</f>
        <v/>
      </c>
      <c r="Q6" s="41" t="str">
        <f aca="false">IF(AND(K6&lt;&gt;"",F6&lt;&gt;"",K6&gt;F6),"Да","")</f>
        <v/>
      </c>
      <c r="R6" s="41" t="str">
        <f aca="true">IF(C6="","",IF(M6="","Нет сведений",IF(M6&lt;TODAY(),"Просрочен",IF(M6-TODAY()&lt;=30,"Истекает","В срок"))))</f>
        <v>Нет сведений</v>
      </c>
      <c r="S6" s="41" t="str">
        <f aca="false">IF(AND(N6="Да",O6=""),"Не пройдено","")</f>
        <v/>
      </c>
    </row>
    <row r="7" customFormat="false" ht="14.25" hidden="false" customHeight="false" outlineLevel="0" collapsed="false">
      <c r="A7" s="35" t="n">
        <f aca="false">IF(C7="","",ROW()-5)</f>
        <v>2</v>
      </c>
      <c r="B7" s="36" t="s">
        <v>106</v>
      </c>
      <c r="C7" s="36" t="s">
        <v>139</v>
      </c>
      <c r="D7" s="36" t="s">
        <v>140</v>
      </c>
      <c r="E7" s="36" t="s">
        <v>138</v>
      </c>
      <c r="F7" s="37" t="n">
        <v>45870</v>
      </c>
      <c r="G7" s="38" t="str">
        <f aca="false">IF(C7="","",IF(TRIM(SUBSTITUTE(SUBSTITUTE(SUBSTITUTE(SUBSTITUTE(SUBSTITUTE(SUBSTITUTE(SUBSTITUTE(SUBSTITUTE(SUBSTITUTE(SUBSTITUTE(SUBSTITUTE(LOWER(TRIM(D7)),"ё","е"),"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категории",""))="инженер",IF(AND(ISNUMBER(SEARCH("техническ",E7)),ISNUMBER(SEARCH("контрол",E7))),"инженер отк",IF(ISNUMBER(SEARCH("диспетч",E7)),"инженер пдо",TRIM(SUBSTITUTE(SUBSTITUTE(SUBSTITUTE(SUBSTITUTE(SUBSTITUTE(SUBSTITUTE(SUBSTITUTE(SUBSTITUTE(SUBSTITUTE(SUBSTITUTE(SUBSTITUTE(LOWER(TRIM(D7)),"ё","е"),"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инженер",IF(ISNUMBER(SEARCH("диспетч",E7)),"ведущий инженер пдо",TRIM(SUBSTITUTE(SUBSTITUTE(SUBSTITUTE(SUBSTITUTE(SUBSTITUTE(SUBSTITUTE(SUBSTITUTE(SUBSTITUTE(SUBSTITUTE(SUBSTITUTE(SUBSTITUTE(LOWER(TRIM(D7)),"ё","е"),"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отк",TRIM(SUBSTITUTE(SUBSTITUTE(SUBSTITUTE(SUBSTITUTE(SUBSTITUTE(SUBSTITUTE(SUBSTITUTE(SUBSTITUTE(SUBSTITUTE(SUBSTITUTE(SUBSTITUTE(LOWER(TRIM(D7)),"ё","е")," -","-"),"- ","-")," 2 разряда","")," 3 разряда","")," 4 разряда","")," 5 разряда","")," 6 разряда","")," 1 категории","")," 2 категории","")," 3 категории",""))))))</f>
        <v>инженер отк</v>
      </c>
      <c r="H7" s="35" t="n">
        <f aca="false">IF(C7="","",IF(AND(G7="мастер участка",ISNUMBER(SEARCH("РЭО",E7))),29,IFERROR(INDEX(Соответствие!$B$2:$B$100,MATCH(G7,Соответствие!$A$2:$A$100,0)),"?")))</f>
        <v>13</v>
      </c>
      <c r="I7" s="39" t="str">
        <f aca="false">IF(C7="","",IFERROR(INDEX(Перечень!$C$6:$C$52,MATCH(H7,Перечень!$A$6:$A$52,0)),""))</f>
        <v>п.4.4, п.5.2</v>
      </c>
      <c r="J7" s="35" t="n">
        <f aca="false">IF(C7="","",IFERROR(INDEX(Перечень!$D$6:$D$52,MATCH(H7,Перечень!$A$6:$A$52,0)),12))</f>
        <v>12</v>
      </c>
      <c r="K7" s="40"/>
      <c r="L7" s="40"/>
      <c r="M7" s="37" t="str">
        <f aca="false">IF(AND(K7="",L7=""),"",EDATE(MAX(K7,L7),J7))</f>
        <v/>
      </c>
      <c r="N7" s="41" t="str">
        <f aca="false">IF(C7="","",IFERROR(INDEX(Перечень!$F$6:$F$52,MATCH(H7,Перечень!$A$6:$A$52,0)),""))</f>
        <v>-</v>
      </c>
      <c r="O7" s="40"/>
      <c r="P7" s="37" t="str">
        <f aca="false">IF(O7="","",EDATE(O7,60))</f>
        <v/>
      </c>
      <c r="Q7" s="41" t="str">
        <f aca="false">IF(AND(K7&lt;&gt;"",F7&lt;&gt;"",K7&gt;F7),"Да","")</f>
        <v/>
      </c>
      <c r="R7" s="41" t="str">
        <f aca="true">IF(C7="","",IF(M7="","Нет сведений",IF(M7&lt;TODAY(),"Просрочен",IF(M7-TODAY()&lt;=30,"Истекает","В срок"))))</f>
        <v>Нет сведений</v>
      </c>
      <c r="S7" s="41" t="str">
        <f aca="false">IF(AND(N7="Да",O7=""),"Не пройдено","")</f>
        <v/>
      </c>
    </row>
    <row r="8" customFormat="false" ht="14.25" hidden="false" customHeight="false" outlineLevel="0" collapsed="false">
      <c r="A8" s="35" t="n">
        <f aca="false">IF(C8="","",ROW()-5)</f>
        <v>3</v>
      </c>
      <c r="B8" s="36" t="s">
        <v>107</v>
      </c>
      <c r="C8" s="36" t="s">
        <v>141</v>
      </c>
      <c r="D8" s="36" t="s">
        <v>140</v>
      </c>
      <c r="E8" s="36" t="s">
        <v>142</v>
      </c>
      <c r="F8" s="37" t="n">
        <v>38664</v>
      </c>
      <c r="G8" s="38" t="str">
        <f aca="false">IF(C8="","",IF(TRIM(SUBSTITUTE(SUBSTITUTE(SUBSTITUTE(SUBSTITUTE(SUBSTITUTE(SUBSTITUTE(SUBSTITUTE(SUBSTITUTE(SUBSTITUTE(SUBSTITUTE(SUBSTITUTE(LOWER(TRIM(D8)),"ё","е"),"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категории",""))="инженер",IF(AND(ISNUMBER(SEARCH("техническ",E8)),ISNUMBER(SEARCH("контрол",E8))),"инженер отк",IF(ISNUMBER(SEARCH("диспетч",E8)),"инженер пдо",TRIM(SUBSTITUTE(SUBSTITUTE(SUBSTITUTE(SUBSTITUTE(SUBSTITUTE(SUBSTITUTE(SUBSTITUTE(SUBSTITUTE(SUBSTITUTE(SUBSTITUTE(SUBSTITUTE(LOWER(TRIM(D8)),"ё","е"),"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инженер",IF(ISNUMBER(SEARCH("диспетч",E8)),"ведущий инженер пдо",TRIM(SUBSTITUTE(SUBSTITUTE(SUBSTITUTE(SUBSTITUTE(SUBSTITUTE(SUBSTITUTE(SUBSTITUTE(SUBSTITUTE(SUBSTITUTE(SUBSTITUTE(SUBSTITUTE(LOWER(TRIM(D8)),"ё","е"),"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отк",TRIM(SUBSTITUTE(SUBSTITUTE(SUBSTITUTE(SUBSTITUTE(SUBSTITUTE(SUBSTITUTE(SUBSTITUTE(SUBSTITUTE(SUBSTITUTE(SUBSTITUTE(SUBSTITUTE(LOWER(TRIM(D8)),"ё","е")," -","-"),"- ","-")," 2 разряда","")," 3 разряда","")," 4 разряда","")," 5 разряда","")," 6 разряда","")," 1 категории","")," 2 категории","")," 3 категории",""))))))</f>
        <v>инженер отк</v>
      </c>
      <c r="H8" s="35" t="n">
        <f aca="false">IF(C8="","",IF(AND(G8="мастер участка",ISNUMBER(SEARCH("РЭО",E8))),29,IFERROR(INDEX(Соответствие!$B$2:$B$100,MATCH(G8,Соответствие!$A$2:$A$100,0)),"?")))</f>
        <v>13</v>
      </c>
      <c r="I8" s="39" t="str">
        <f aca="false">IF(C8="","",IFERROR(INDEX(Перечень!$C$6:$C$52,MATCH(H8,Перечень!$A$6:$A$52,0)),""))</f>
        <v>п.4.4, п.5.2</v>
      </c>
      <c r="J8" s="35" t="n">
        <f aca="false">IF(C8="","",IFERROR(INDEX(Перечень!$D$6:$D$52,MATCH(H8,Перечень!$A$6:$A$52,0)),12))</f>
        <v>12</v>
      </c>
      <c r="K8" s="40"/>
      <c r="L8" s="40"/>
      <c r="M8" s="37" t="str">
        <f aca="false">IF(AND(K8="",L8=""),"",EDATE(MAX(K8,L8),J8))</f>
        <v/>
      </c>
      <c r="N8" s="41" t="str">
        <f aca="false">IF(C8="","",IFERROR(INDEX(Перечень!$F$6:$F$52,MATCH(H8,Перечень!$A$6:$A$52,0)),""))</f>
        <v>-</v>
      </c>
      <c r="O8" s="40"/>
      <c r="P8" s="37" t="str">
        <f aca="false">IF(O8="","",EDATE(O8,60))</f>
        <v/>
      </c>
      <c r="Q8" s="41" t="str">
        <f aca="false">IF(AND(K8&lt;&gt;"",F8&lt;&gt;"",K8&gt;F8),"Да","")</f>
        <v/>
      </c>
      <c r="R8" s="41" t="str">
        <f aca="true">IF(C8="","",IF(M8="","Нет сведений",IF(M8&lt;TODAY(),"Просрочен",IF(M8-TODAY()&lt;=30,"Истекает","В срок"))))</f>
        <v>Нет сведений</v>
      </c>
      <c r="S8" s="41" t="str">
        <f aca="false">IF(AND(N8="Да",O8=""),"Не пройдено","")</f>
        <v/>
      </c>
    </row>
    <row r="9" customFormat="false" ht="14.25" hidden="false" customHeight="false" outlineLevel="0" collapsed="false">
      <c r="A9" s="35" t="n">
        <f aca="false">IF(C9="","",ROW()-5)</f>
        <v>4</v>
      </c>
      <c r="B9" s="36" t="s">
        <v>108</v>
      </c>
      <c r="C9" s="36" t="s">
        <v>143</v>
      </c>
      <c r="D9" s="36" t="s">
        <v>144</v>
      </c>
      <c r="E9" s="36" t="s">
        <v>138</v>
      </c>
      <c r="F9" s="37" t="n">
        <v>44970</v>
      </c>
      <c r="G9" s="38" t="str">
        <f aca="false">IF(C9="","",IF(TRIM(SUBSTITUTE(SUBSTITUTE(SUBSTITUTE(SUBSTITUTE(SUBSTITUTE(SUBSTITUTE(SUBSTITUTE(SUBSTITUTE(SUBSTITUTE(SUBSTITUTE(SUBSTITUTE(LOWER(TRIM(D9)),"ё","е"),"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категории",""))="инженер",IF(AND(ISNUMBER(SEARCH("техническ",E9)),ISNUMBER(SEARCH("контрол",E9))),"инженер отк",IF(ISNUMBER(SEARCH("диспетч",E9)),"инженер пдо",TRIM(SUBSTITUTE(SUBSTITUTE(SUBSTITUTE(SUBSTITUTE(SUBSTITUTE(SUBSTITUTE(SUBSTITUTE(SUBSTITUTE(SUBSTITUTE(SUBSTITUTE(SUBSTITUTE(LOWER(TRIM(D9)),"ё","е"),"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инженер",IF(ISNUMBER(SEARCH("диспетч",E9)),"ведущий инженер пдо",TRIM(SUBSTITUTE(SUBSTITUTE(SUBSTITUTE(SUBSTITUTE(SUBSTITUTE(SUBSTITUTE(SUBSTITUTE(SUBSTITUTE(SUBSTITUTE(SUBSTITUTE(SUBSTITUTE(LOWER(TRIM(D9)),"ё","е"),"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отк",TRIM(SUBSTITUTE(SUBSTITUTE(SUBSTITUTE(SUBSTITUTE(SUBSTITUTE(SUBSTITUTE(SUBSTITUTE(SUBSTITUTE(SUBSTITUTE(SUBSTITUTE(SUBSTITUTE(LOWER(TRIM(D9)),"ё","е")," -","-"),"- ","-")," 2 разряда","")," 3 разряда","")," 4 разряда","")," 5 разряда","")," 6 разряда","")," 1 категории","")," 2 категории","")," 3 категории",""))))))</f>
        <v>инженер отк</v>
      </c>
      <c r="H9" s="35" t="n">
        <f aca="false">IF(C9="","",IF(AND(G9="мастер участка",ISNUMBER(SEARCH("РЭО",E9))),29,IFERROR(INDEX(Соответствие!$B$2:$B$100,MATCH(G9,Соответствие!$A$2:$A$100,0)),"?")))</f>
        <v>13</v>
      </c>
      <c r="I9" s="39" t="str">
        <f aca="false">IF(C9="","",IFERROR(INDEX(Перечень!$C$6:$C$52,MATCH(H9,Перечень!$A$6:$A$52,0)),""))</f>
        <v>п.4.4, п.5.2</v>
      </c>
      <c r="J9" s="35" t="n">
        <f aca="false">IF(C9="","",IFERROR(INDEX(Перечень!$D$6:$D$52,MATCH(H9,Перечень!$A$6:$A$52,0)),12))</f>
        <v>12</v>
      </c>
      <c r="K9" s="40"/>
      <c r="L9" s="40"/>
      <c r="M9" s="37" t="str">
        <f aca="false">IF(AND(K9="",L9=""),"",EDATE(MAX(K9,L9),J9))</f>
        <v/>
      </c>
      <c r="N9" s="41" t="str">
        <f aca="false">IF(C9="","",IFERROR(INDEX(Перечень!$F$6:$F$52,MATCH(H9,Перечень!$A$6:$A$52,0)),""))</f>
        <v>-</v>
      </c>
      <c r="O9" s="40"/>
      <c r="P9" s="37" t="str">
        <f aca="false">IF(O9="","",EDATE(O9,60))</f>
        <v/>
      </c>
      <c r="Q9" s="41" t="str">
        <f aca="false">IF(AND(K9&lt;&gt;"",F9&lt;&gt;"",K9&gt;F9),"Да","")</f>
        <v/>
      </c>
      <c r="R9" s="41" t="str">
        <f aca="true">IF(C9="","",IF(M9="","Нет сведений",IF(M9&lt;TODAY(),"Просрочен",IF(M9-TODAY()&lt;=30,"Истекает","В срок"))))</f>
        <v>Нет сведений</v>
      </c>
      <c r="S9" s="41" t="str">
        <f aca="false">IF(AND(N9="Да",O9=""),"Не пройдено","")</f>
        <v/>
      </c>
    </row>
    <row r="10" customFormat="false" ht="14.25" hidden="false" customHeight="false" outlineLevel="0" collapsed="false">
      <c r="A10" s="35" t="n">
        <f aca="false">IF(C10="","",ROW()-5)</f>
        <v>5</v>
      </c>
      <c r="B10" s="36" t="s">
        <v>107</v>
      </c>
      <c r="C10" s="36" t="s">
        <v>145</v>
      </c>
      <c r="D10" s="36" t="s">
        <v>146</v>
      </c>
      <c r="E10" s="36" t="s">
        <v>142</v>
      </c>
      <c r="F10" s="37" t="n">
        <v>45720</v>
      </c>
      <c r="G10" s="38" t="str">
        <f aca="false">IF(C10="","",IF(TRIM(SUBSTITUTE(SUBSTITUTE(SUBSTITUTE(SUBSTITUTE(SUBSTITUTE(SUBSTITUTE(SUBSTITUTE(SUBSTITUTE(SUBSTITUTE(SUBSTITUTE(SUBSTITUTE(LOWER(TRIM(D10)),"ё","е"),"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категории",""))="инженер",IF(AND(ISNUMBER(SEARCH("техническ",E10)),ISNUMBER(SEARCH("контрол",E10))),"инженер отк",IF(ISNUMBER(SEARCH("диспетч",E10)),"инженер пдо",TRIM(SUBSTITUTE(SUBSTITUTE(SUBSTITUTE(SUBSTITUTE(SUBSTITUTE(SUBSTITUTE(SUBSTITUTE(SUBSTITUTE(SUBSTITUTE(SUBSTITUTE(SUBSTITUTE(LOWER(TRIM(D10)),"ё","е"),"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инженер",IF(ISNUMBER(SEARCH("диспетч",E10)),"ведущий инженер пдо",TRIM(SUBSTITUTE(SUBSTITUTE(SUBSTITUTE(SUBSTITUTE(SUBSTITUTE(SUBSTITUTE(SUBSTITUTE(SUBSTITUTE(SUBSTITUTE(SUBSTITUTE(SUBSTITUTE(LOWER(TRIM(D10)),"ё","е"),"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отк",TRIM(SUBSTITUTE(SUBSTITUTE(SUBSTITUTE(SUBSTITUTE(SUBSTITUTE(SUBSTITUTE(SUBSTITUTE(SUBSTITUTE(SUBSTITUTE(SUBSTITUTE(SUBSTITUTE(LOWER(TRIM(D10)),"ё","е")," -","-"),"- ","-")," 2 разряда","")," 3 разряда","")," 4 разряда","")," 5 разряда","")," 6 разряда","")," 1 категории","")," 2 категории","")," 3 категории",""))))))</f>
        <v>контролер отк</v>
      </c>
      <c r="H10" s="35" t="n">
        <f aca="false">IF(C10="","",IF(AND(G10="мастер участка",ISNUMBER(SEARCH("РЭО",E10))),29,IFERROR(INDEX(Соответствие!$B$2:$B$100,MATCH(G10,Соответствие!$A$2:$A$100,0)),"?")))</f>
        <v>13</v>
      </c>
      <c r="I10" s="39" t="str">
        <f aca="false">IF(C10="","",IFERROR(INDEX(Перечень!$C$6:$C$52,MATCH(H10,Перечень!$A$6:$A$52,0)),""))</f>
        <v>п.4.4, п.5.2</v>
      </c>
      <c r="J10" s="35" t="n">
        <f aca="false">IF(C10="","",IFERROR(INDEX(Перечень!$D$6:$D$52,MATCH(H10,Перечень!$A$6:$A$52,0)),12))</f>
        <v>12</v>
      </c>
      <c r="K10" s="40"/>
      <c r="L10" s="40"/>
      <c r="M10" s="37" t="str">
        <f aca="false">IF(AND(K10="",L10=""),"",EDATE(MAX(K10,L10),J10))</f>
        <v/>
      </c>
      <c r="N10" s="41" t="str">
        <f aca="false">IF(C10="","",IFERROR(INDEX(Перечень!$F$6:$F$52,MATCH(H10,Перечень!$A$6:$A$52,0)),""))</f>
        <v>-</v>
      </c>
      <c r="O10" s="40"/>
      <c r="P10" s="37" t="str">
        <f aca="false">IF(O10="","",EDATE(O10,60))</f>
        <v/>
      </c>
      <c r="Q10" s="41" t="str">
        <f aca="false">IF(AND(K10&lt;&gt;"",F10&lt;&gt;"",K10&gt;F10),"Да","")</f>
        <v/>
      </c>
      <c r="R10" s="41" t="str">
        <f aca="true">IF(C10="","",IF(M10="","Нет сведений",IF(M10&lt;TODAY(),"Просрочен",IF(M10-TODAY()&lt;=30,"Истекает","В срок"))))</f>
        <v>Нет сведений</v>
      </c>
      <c r="S10" s="41" t="str">
        <f aca="false">IF(AND(N10="Да",O10=""),"Не пройдено","")</f>
        <v/>
      </c>
    </row>
    <row r="11" customFormat="false" ht="14.25" hidden="false" customHeight="false" outlineLevel="0" collapsed="false">
      <c r="A11" s="35" t="n">
        <f aca="false">IF(C11="","",ROW()-5)</f>
        <v>6</v>
      </c>
      <c r="B11" s="36" t="s">
        <v>107</v>
      </c>
      <c r="C11" s="36" t="s">
        <v>147</v>
      </c>
      <c r="D11" s="36" t="s">
        <v>146</v>
      </c>
      <c r="E11" s="36" t="s">
        <v>142</v>
      </c>
      <c r="F11" s="37" t="n">
        <v>45908</v>
      </c>
      <c r="G11" s="38" t="str">
        <f aca="false">IF(C11="","",IF(TRIM(SUBSTITUTE(SUBSTITUTE(SUBSTITUTE(SUBSTITUTE(SUBSTITUTE(SUBSTITUTE(SUBSTITUTE(SUBSTITUTE(SUBSTITUTE(SUBSTITUTE(SUBSTITUTE(LOWER(TRIM(D11)),"ё","е"),"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категории",""))="инженер",IF(AND(ISNUMBER(SEARCH("техническ",E11)),ISNUMBER(SEARCH("контрол",E11))),"инженер отк",IF(ISNUMBER(SEARCH("диспетч",E11)),"инженер пдо",TRIM(SUBSTITUTE(SUBSTITUTE(SUBSTITUTE(SUBSTITUTE(SUBSTITUTE(SUBSTITUTE(SUBSTITUTE(SUBSTITUTE(SUBSTITUTE(SUBSTITUTE(SUBSTITUTE(LOWER(TRIM(D11)),"ё","е"),"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инженер",IF(ISNUMBER(SEARCH("диспетч",E11)),"ведущий инженер пдо",TRIM(SUBSTITUTE(SUBSTITUTE(SUBSTITUTE(SUBSTITUTE(SUBSTITUTE(SUBSTITUTE(SUBSTITUTE(SUBSTITUTE(SUBSTITUTE(SUBSTITUTE(SUBSTITUTE(LOWER(TRIM(D11)),"ё","е"),"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отк",TRIM(SUBSTITUTE(SUBSTITUTE(SUBSTITUTE(SUBSTITUTE(SUBSTITUTE(SUBSTITUTE(SUBSTITUTE(SUBSTITUTE(SUBSTITUTE(SUBSTITUTE(SUBSTITUTE(LOWER(TRIM(D11)),"ё","е")," -","-"),"- ","-")," 2 разряда","")," 3 разряда","")," 4 разряда","")," 5 разряда","")," 6 разряда","")," 1 категории","")," 2 категории","")," 3 категории",""))))))</f>
        <v>контролер отк</v>
      </c>
      <c r="H11" s="35" t="n">
        <f aca="false">IF(C11="","",IF(AND(G11="мастер участка",ISNUMBER(SEARCH("РЭО",E11))),29,IFERROR(INDEX(Соответствие!$B$2:$B$100,MATCH(G11,Соответствие!$A$2:$A$100,0)),"?")))</f>
        <v>13</v>
      </c>
      <c r="I11" s="39" t="str">
        <f aca="false">IF(C11="","",IFERROR(INDEX(Перечень!$C$6:$C$52,MATCH(H11,Перечень!$A$6:$A$52,0)),""))</f>
        <v>п.4.4, п.5.2</v>
      </c>
      <c r="J11" s="35" t="n">
        <f aca="false">IF(C11="","",IFERROR(INDEX(Перечень!$D$6:$D$52,MATCH(H11,Перечень!$A$6:$A$52,0)),12))</f>
        <v>12</v>
      </c>
      <c r="K11" s="40"/>
      <c r="L11" s="40"/>
      <c r="M11" s="37" t="str">
        <f aca="false">IF(AND(K11="",L11=""),"",EDATE(MAX(K11,L11),J11))</f>
        <v/>
      </c>
      <c r="N11" s="41" t="str">
        <f aca="false">IF(C11="","",IFERROR(INDEX(Перечень!$F$6:$F$52,MATCH(H11,Перечень!$A$6:$A$52,0)),""))</f>
        <v>-</v>
      </c>
      <c r="O11" s="40"/>
      <c r="P11" s="37" t="str">
        <f aca="false">IF(O11="","",EDATE(O11,60))</f>
        <v/>
      </c>
      <c r="Q11" s="41" t="str">
        <f aca="false">IF(AND(K11&lt;&gt;"",F11&lt;&gt;"",K11&gt;F11),"Да","")</f>
        <v/>
      </c>
      <c r="R11" s="41" t="str">
        <f aca="true">IF(C11="","",IF(M11="","Нет сведений",IF(M11&lt;TODAY(),"Просрочен",IF(M11-TODAY()&lt;=30,"Истекает","В срок"))))</f>
        <v>Нет сведений</v>
      </c>
      <c r="S11" s="41" t="str">
        <f aca="false">IF(AND(N11="Да",O11=""),"Не пройдено","")</f>
        <v/>
      </c>
    </row>
    <row r="12" customFormat="false" ht="14.25" hidden="false" customHeight="false" outlineLevel="0" collapsed="false">
      <c r="A12" s="35" t="n">
        <f aca="false">IF(C12="","",ROW()-5)</f>
        <v>7</v>
      </c>
      <c r="B12" s="36" t="s">
        <v>108</v>
      </c>
      <c r="C12" s="36" t="s">
        <v>148</v>
      </c>
      <c r="D12" s="36" t="s">
        <v>149</v>
      </c>
      <c r="E12" s="36" t="s">
        <v>150</v>
      </c>
      <c r="F12" s="37" t="n">
        <v>41365</v>
      </c>
      <c r="G12" s="38" t="str">
        <f aca="false">IF(C12="","",IF(TRIM(SUBSTITUTE(SUBSTITUTE(SUBSTITUTE(SUBSTITUTE(SUBSTITUTE(SUBSTITUTE(SUBSTITUTE(SUBSTITUTE(SUBSTITUTE(SUBSTITUTE(SUBSTITUTE(LOWER(TRIM(D12)),"ё","е"),"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категории",""))="инженер",IF(AND(ISNUMBER(SEARCH("техническ",E12)),ISNUMBER(SEARCH("контрол",E12))),"инженер отк",IF(ISNUMBER(SEARCH("диспетч",E12)),"инженер пдо",TRIM(SUBSTITUTE(SUBSTITUTE(SUBSTITUTE(SUBSTITUTE(SUBSTITUTE(SUBSTITUTE(SUBSTITUTE(SUBSTITUTE(SUBSTITUTE(SUBSTITUTE(SUBSTITUTE(LOWER(TRIM(D12)),"ё","е"),"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инженер",IF(ISNUMBER(SEARCH("диспетч",E12)),"ведущий инженер пдо",TRIM(SUBSTITUTE(SUBSTITUTE(SUBSTITUTE(SUBSTITUTE(SUBSTITUTE(SUBSTITUTE(SUBSTITUTE(SUBSTITUTE(SUBSTITUTE(SUBSTITUTE(SUBSTITUTE(LOWER(TRIM(D12)),"ё","е"),"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отк",TRIM(SUBSTITUTE(SUBSTITUTE(SUBSTITUTE(SUBSTITUTE(SUBSTITUTE(SUBSTITUTE(SUBSTITUTE(SUBSTITUTE(SUBSTITUTE(SUBSTITUTE(SUBSTITUTE(LOWER(TRIM(D12)),"ё","е")," -","-"),"- ","-")," 2 разряда","")," 3 разряда","")," 4 разряда","")," 5 разряда","")," 6 разряда","")," 1 категории","")," 2 категории","")," 3 категории",""))))))</f>
        <v>водитель автомобиля (персональный)</v>
      </c>
      <c r="H12" s="35" t="n">
        <f aca="false">IF(C12="","",IF(AND(G12="мастер участка",ISNUMBER(SEARCH("РЭО",E12))),29,IFERROR(INDEX(Соответствие!$B$2:$B$100,MATCH(G12,Соответствие!$A$2:$A$100,0)),"?")))</f>
        <v>39</v>
      </c>
      <c r="I12" s="39" t="str">
        <f aca="false">IF(C12="","",IFERROR(INDEX(Перечень!$C$6:$C$52,MATCH(H12,Перечень!$A$6:$A$52,0)),""))</f>
        <v>п.4.3.1, п.4.3.2, п.4.4, п.5.1, п.5.2, п.18.1</v>
      </c>
      <c r="J12" s="35" t="n">
        <f aca="false">IF(C12="","",IFERROR(INDEX(Перечень!$D$6:$D$52,MATCH(H12,Перечень!$A$6:$A$52,0)),12))</f>
        <v>12</v>
      </c>
      <c r="K12" s="40"/>
      <c r="L12" s="40"/>
      <c r="M12" s="37" t="str">
        <f aca="false">IF(AND(K12="",L12=""),"",EDATE(MAX(K12,L12),J12))</f>
        <v/>
      </c>
      <c r="N12" s="41" t="str">
        <f aca="false">IF(C12="","",IFERROR(INDEX(Перечень!$F$6:$F$52,MATCH(H12,Перечень!$A$6:$A$52,0)),""))</f>
        <v>Да</v>
      </c>
      <c r="O12" s="40"/>
      <c r="P12" s="37" t="str">
        <f aca="false">IF(O12="","",EDATE(O12,60))</f>
        <v/>
      </c>
      <c r="Q12" s="41" t="str">
        <f aca="false">IF(AND(K12&lt;&gt;"",F12&lt;&gt;"",K12&gt;F12),"Да","")</f>
        <v/>
      </c>
      <c r="R12" s="41" t="str">
        <f aca="true">IF(C12="","",IF(M12="","Нет сведений",IF(M12&lt;TODAY(),"Просрочен",IF(M12-TODAY()&lt;=30,"Истекает","В срок"))))</f>
        <v>Нет сведений</v>
      </c>
      <c r="S12" s="41" t="str">
        <f aca="false">IF(AND(N12="Да",O12=""),"Не пройдено","")</f>
        <v>Не пройдено</v>
      </c>
    </row>
    <row r="13" customFormat="false" ht="14.25" hidden="false" customHeight="false" outlineLevel="0" collapsed="false">
      <c r="A13" s="35" t="n">
        <f aca="false">IF(C13="","",ROW()-5)</f>
        <v>8</v>
      </c>
      <c r="B13" s="36" t="s">
        <v>108</v>
      </c>
      <c r="C13" s="36" t="s">
        <v>151</v>
      </c>
      <c r="D13" s="36" t="s">
        <v>152</v>
      </c>
      <c r="E13" s="36" t="s">
        <v>153</v>
      </c>
      <c r="F13" s="37" t="n">
        <v>43283</v>
      </c>
      <c r="G13" s="38" t="str">
        <f aca="false">IF(C13="","",IF(TRIM(SUBSTITUTE(SUBSTITUTE(SUBSTITUTE(SUBSTITUTE(SUBSTITUTE(SUBSTITUTE(SUBSTITUTE(SUBSTITUTE(SUBSTITUTE(SUBSTITUTE(SUBSTITUTE(LOWER(TRIM(D13)),"ё","е"),"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категории",""))="инженер",IF(AND(ISNUMBER(SEARCH("техническ",E13)),ISNUMBER(SEARCH("контрол",E13))),"инженер отк",IF(ISNUMBER(SEARCH("диспетч",E13)),"инженер пдо",TRIM(SUBSTITUTE(SUBSTITUTE(SUBSTITUTE(SUBSTITUTE(SUBSTITUTE(SUBSTITUTE(SUBSTITUTE(SUBSTITUTE(SUBSTITUTE(SUBSTITUTE(SUBSTITUTE(LOWER(TRIM(D13)),"ё","е"),"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инженер",IF(ISNUMBER(SEARCH("диспетч",E13)),"ведущий инженер пдо",TRIM(SUBSTITUTE(SUBSTITUTE(SUBSTITUTE(SUBSTITUTE(SUBSTITUTE(SUBSTITUTE(SUBSTITUTE(SUBSTITUTE(SUBSTITUTE(SUBSTITUTE(SUBSTITUTE(LOWER(TRIM(D13)),"ё","е"),"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отк",TRIM(SUBSTITUTE(SUBSTITUTE(SUBSTITUTE(SUBSTITUTE(SUBSTITUTE(SUBSTITUTE(SUBSTITUTE(SUBSTITUTE(SUBSTITUTE(SUBSTITUTE(SUBSTITUTE(LOWER(TRIM(D13)),"ё","е")," -","-"),"- ","-")," 2 разряда","")," 3 разряда","")," 4 разряда","")," 5 разряда","")," 6 разряда","")," 1 категории","")," 2 категории","")," 3 категории",""))))))</f>
        <v>старший технический работник</v>
      </c>
      <c r="H13" s="35" t="n">
        <f aca="false">IF(C13="","",IF(AND(G13="мастер участка",ISNUMBER(SEARCH("РЭО",E13))),29,IFERROR(INDEX(Соответствие!$B$2:$B$100,MATCH(G13,Соответствие!$A$2:$A$100,0)),"?")))</f>
        <v>10</v>
      </c>
      <c r="I13" s="39" t="str">
        <f aca="false">IF(C13="","",IFERROR(INDEX(Перечень!$C$6:$C$52,MATCH(H13,Перечень!$A$6:$A$52,0)),""))</f>
        <v>п.1.48, п.4.4, п.5.1</v>
      </c>
      <c r="J13" s="35" t="n">
        <f aca="false">IF(C13="","",IFERROR(INDEX(Перечень!$D$6:$D$52,MATCH(H13,Перечень!$A$6:$A$52,0)),12))</f>
        <v>12</v>
      </c>
      <c r="K13" s="40"/>
      <c r="L13" s="40"/>
      <c r="M13" s="37" t="str">
        <f aca="false">IF(AND(K13="",L13=""),"",EDATE(MAX(K13,L13),J13))</f>
        <v/>
      </c>
      <c r="N13" s="41" t="str">
        <f aca="false">IF(C13="","",IFERROR(INDEX(Перечень!$F$6:$F$52,MATCH(H13,Перечень!$A$6:$A$52,0)),""))</f>
        <v>-</v>
      </c>
      <c r="O13" s="40"/>
      <c r="P13" s="37" t="str">
        <f aca="false">IF(O13="","",EDATE(O13,60))</f>
        <v/>
      </c>
      <c r="Q13" s="41" t="str">
        <f aca="false">IF(AND(K13&lt;&gt;"",F13&lt;&gt;"",K13&gt;F13),"Да","")</f>
        <v/>
      </c>
      <c r="R13" s="41" t="str">
        <f aca="true">IF(C13="","",IF(M13="","Нет сведений",IF(M13&lt;TODAY(),"Просрочен",IF(M13-TODAY()&lt;=30,"Истекает","В срок"))))</f>
        <v>Нет сведений</v>
      </c>
      <c r="S13" s="41" t="str">
        <f aca="false">IF(AND(N13="Да",O13=""),"Не пройдено","")</f>
        <v/>
      </c>
    </row>
    <row r="14" customFormat="false" ht="14.25" hidden="false" customHeight="false" outlineLevel="0" collapsed="false">
      <c r="A14" s="35" t="n">
        <f aca="false">IF(C14="","",ROW()-5)</f>
        <v>9</v>
      </c>
      <c r="B14" s="36" t="s">
        <v>108</v>
      </c>
      <c r="C14" s="36" t="s">
        <v>154</v>
      </c>
      <c r="D14" s="36" t="s">
        <v>152</v>
      </c>
      <c r="E14" s="36" t="s">
        <v>153</v>
      </c>
      <c r="F14" s="37" t="n">
        <v>46065</v>
      </c>
      <c r="G14" s="38" t="str">
        <f aca="false">IF(C14="","",IF(TRIM(SUBSTITUTE(SUBSTITUTE(SUBSTITUTE(SUBSTITUTE(SUBSTITUTE(SUBSTITUTE(SUBSTITUTE(SUBSTITUTE(SUBSTITUTE(SUBSTITUTE(SUBSTITUTE(LOWER(TRIM(D14)),"ё","е"),"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категории",""))="инженер",IF(AND(ISNUMBER(SEARCH("техническ",E14)),ISNUMBER(SEARCH("контрол",E14))),"инженер отк",IF(ISNUMBER(SEARCH("диспетч",E14)),"инженер пдо",TRIM(SUBSTITUTE(SUBSTITUTE(SUBSTITUTE(SUBSTITUTE(SUBSTITUTE(SUBSTITUTE(SUBSTITUTE(SUBSTITUTE(SUBSTITUTE(SUBSTITUTE(SUBSTITUTE(LOWER(TRIM(D14)),"ё","е"),"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инженер",IF(ISNUMBER(SEARCH("диспетч",E14)),"ведущий инженер пдо",TRIM(SUBSTITUTE(SUBSTITUTE(SUBSTITUTE(SUBSTITUTE(SUBSTITUTE(SUBSTITUTE(SUBSTITUTE(SUBSTITUTE(SUBSTITUTE(SUBSTITUTE(SUBSTITUTE(LOWER(TRIM(D14)),"ё","е"),"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отк",TRIM(SUBSTITUTE(SUBSTITUTE(SUBSTITUTE(SUBSTITUTE(SUBSTITUTE(SUBSTITUTE(SUBSTITUTE(SUBSTITUTE(SUBSTITUTE(SUBSTITUTE(SUBSTITUTE(LOWER(TRIM(D14)),"ё","е")," -","-"),"- ","-")," 2 разряда","")," 3 разряда","")," 4 разряда","")," 5 разряда","")," 6 разряда","")," 1 категории","")," 2 категории","")," 3 категории",""))))))</f>
        <v>старший технический работник</v>
      </c>
      <c r="H14" s="35" t="n">
        <f aca="false">IF(C14="","",IF(AND(G14="мастер участка",ISNUMBER(SEARCH("РЭО",E14))),29,IFERROR(INDEX(Соответствие!$B$2:$B$100,MATCH(G14,Соответствие!$A$2:$A$100,0)),"?")))</f>
        <v>10</v>
      </c>
      <c r="I14" s="39" t="str">
        <f aca="false">IF(C14="","",IFERROR(INDEX(Перечень!$C$6:$C$52,MATCH(H14,Перечень!$A$6:$A$52,0)),""))</f>
        <v>п.1.48, п.4.4, п.5.1</v>
      </c>
      <c r="J14" s="35" t="n">
        <f aca="false">IF(C14="","",IFERROR(INDEX(Перечень!$D$6:$D$52,MATCH(H14,Перечень!$A$6:$A$52,0)),12))</f>
        <v>12</v>
      </c>
      <c r="K14" s="40"/>
      <c r="L14" s="40"/>
      <c r="M14" s="37" t="str">
        <f aca="false">IF(AND(K14="",L14=""),"",EDATE(MAX(K14,L14),J14))</f>
        <v/>
      </c>
      <c r="N14" s="41" t="str">
        <f aca="false">IF(C14="","",IFERROR(INDEX(Перечень!$F$6:$F$52,MATCH(H14,Перечень!$A$6:$A$52,0)),""))</f>
        <v>-</v>
      </c>
      <c r="O14" s="40"/>
      <c r="P14" s="37" t="str">
        <f aca="false">IF(O14="","",EDATE(O14,60))</f>
        <v/>
      </c>
      <c r="Q14" s="41" t="str">
        <f aca="false">IF(AND(K14&lt;&gt;"",F14&lt;&gt;"",K14&gt;F14),"Да","")</f>
        <v/>
      </c>
      <c r="R14" s="41" t="str">
        <f aca="true">IF(C14="","",IF(M14="","Нет сведений",IF(M14&lt;TODAY(),"Просрочен",IF(M14-TODAY()&lt;=30,"Истекает","В срок"))))</f>
        <v>Нет сведений</v>
      </c>
      <c r="S14" s="41" t="str">
        <f aca="false">IF(AND(N14="Да",O14=""),"Не пройдено","")</f>
        <v/>
      </c>
    </row>
    <row r="15" customFormat="false" ht="14.25" hidden="false" customHeight="false" outlineLevel="0" collapsed="false">
      <c r="A15" s="35" t="n">
        <f aca="false">IF(C15="","",ROW()-5)</f>
        <v>10</v>
      </c>
      <c r="B15" s="36" t="s">
        <v>108</v>
      </c>
      <c r="C15" s="36" t="s">
        <v>155</v>
      </c>
      <c r="D15" s="36" t="s">
        <v>152</v>
      </c>
      <c r="E15" s="36" t="s">
        <v>153</v>
      </c>
      <c r="F15" s="37" t="n">
        <v>43845</v>
      </c>
      <c r="G15" s="38" t="str">
        <f aca="false">IF(C15="","",IF(TRIM(SUBSTITUTE(SUBSTITUTE(SUBSTITUTE(SUBSTITUTE(SUBSTITUTE(SUBSTITUTE(SUBSTITUTE(SUBSTITUTE(SUBSTITUTE(SUBSTITUTE(SUBSTITUTE(LOWER(TRIM(D15)),"ё","е"),"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категории",""))="инженер",IF(AND(ISNUMBER(SEARCH("техническ",E15)),ISNUMBER(SEARCH("контрол",E15))),"инженер отк",IF(ISNUMBER(SEARCH("диспетч",E15)),"инженер пдо",TRIM(SUBSTITUTE(SUBSTITUTE(SUBSTITUTE(SUBSTITUTE(SUBSTITUTE(SUBSTITUTE(SUBSTITUTE(SUBSTITUTE(SUBSTITUTE(SUBSTITUTE(SUBSTITUTE(LOWER(TRIM(D15)),"ё","е"),"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инженер",IF(ISNUMBER(SEARCH("диспетч",E15)),"ведущий инженер пдо",TRIM(SUBSTITUTE(SUBSTITUTE(SUBSTITUTE(SUBSTITUTE(SUBSTITUTE(SUBSTITUTE(SUBSTITUTE(SUBSTITUTE(SUBSTITUTE(SUBSTITUTE(SUBSTITUTE(LOWER(TRIM(D15)),"ё","е"),"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отк",TRIM(SUBSTITUTE(SUBSTITUTE(SUBSTITUTE(SUBSTITUTE(SUBSTITUTE(SUBSTITUTE(SUBSTITUTE(SUBSTITUTE(SUBSTITUTE(SUBSTITUTE(SUBSTITUTE(LOWER(TRIM(D15)),"ё","е")," -","-"),"- ","-")," 2 разряда","")," 3 разряда","")," 4 разряда","")," 5 разряда","")," 6 разряда","")," 1 категории","")," 2 категории","")," 3 категории",""))))))</f>
        <v>старший технический работник</v>
      </c>
      <c r="H15" s="35" t="n">
        <f aca="false">IF(C15="","",IF(AND(G15="мастер участка",ISNUMBER(SEARCH("РЭО",E15))),29,IFERROR(INDEX(Соответствие!$B$2:$B$100,MATCH(G15,Соответствие!$A$2:$A$100,0)),"?")))</f>
        <v>10</v>
      </c>
      <c r="I15" s="39" t="str">
        <f aca="false">IF(C15="","",IFERROR(INDEX(Перечень!$C$6:$C$52,MATCH(H15,Перечень!$A$6:$A$52,0)),""))</f>
        <v>п.1.48, п.4.4, п.5.1</v>
      </c>
      <c r="J15" s="35" t="n">
        <f aca="false">IF(C15="","",IFERROR(INDEX(Перечень!$D$6:$D$52,MATCH(H15,Перечень!$A$6:$A$52,0)),12))</f>
        <v>12</v>
      </c>
      <c r="K15" s="40"/>
      <c r="L15" s="40"/>
      <c r="M15" s="37" t="str">
        <f aca="false">IF(AND(K15="",L15=""),"",EDATE(MAX(K15,L15),J15))</f>
        <v/>
      </c>
      <c r="N15" s="41" t="str">
        <f aca="false">IF(C15="","",IFERROR(INDEX(Перечень!$F$6:$F$52,MATCH(H15,Перечень!$A$6:$A$52,0)),""))</f>
        <v>-</v>
      </c>
      <c r="O15" s="40"/>
      <c r="P15" s="37" t="str">
        <f aca="false">IF(O15="","",EDATE(O15,60))</f>
        <v/>
      </c>
      <c r="Q15" s="41" t="str">
        <f aca="false">IF(AND(K15&lt;&gt;"",F15&lt;&gt;"",K15&gt;F15),"Да","")</f>
        <v/>
      </c>
      <c r="R15" s="41" t="str">
        <f aca="true">IF(C15="","",IF(M15="","Нет сведений",IF(M15&lt;TODAY(),"Просрочен",IF(M15-TODAY()&lt;=30,"Истекает","В срок"))))</f>
        <v>Нет сведений</v>
      </c>
      <c r="S15" s="41" t="str">
        <f aca="false">IF(AND(N15="Да",O15=""),"Не пройдено","")</f>
        <v/>
      </c>
    </row>
    <row r="16" customFormat="false" ht="14.25" hidden="false" customHeight="false" outlineLevel="0" collapsed="false">
      <c r="A16" s="35" t="n">
        <f aca="false">IF(C16="","",ROW()-5)</f>
        <v>11</v>
      </c>
      <c r="B16" s="36" t="s">
        <v>103</v>
      </c>
      <c r="C16" s="36" t="s">
        <v>156</v>
      </c>
      <c r="D16" s="36" t="s">
        <v>157</v>
      </c>
      <c r="E16" s="36" t="s">
        <v>158</v>
      </c>
      <c r="F16" s="37" t="n">
        <v>45789</v>
      </c>
      <c r="G16" s="38" t="str">
        <f aca="false">IF(C16="","",IF(TRIM(SUBSTITUTE(SUBSTITUTE(SUBSTITUTE(SUBSTITUTE(SUBSTITUTE(SUBSTITUTE(SUBSTITUTE(SUBSTITUTE(SUBSTITUTE(SUBSTITUTE(SUBSTITUTE(LOWER(TRIM(D16)),"ё","е"),"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категории",""))="инженер",IF(AND(ISNUMBER(SEARCH("техническ",E16)),ISNUMBER(SEARCH("контрол",E16))),"инженер отк",IF(ISNUMBER(SEARCH("диспетч",E16)),"инженер пдо",TRIM(SUBSTITUTE(SUBSTITUTE(SUBSTITUTE(SUBSTITUTE(SUBSTITUTE(SUBSTITUTE(SUBSTITUTE(SUBSTITUTE(SUBSTITUTE(SUBSTITUTE(SUBSTITUTE(LOWER(TRIM(D16)),"ё","е"),"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инженер",IF(ISNUMBER(SEARCH("диспетч",E16)),"ведущий инженер пдо",TRIM(SUBSTITUTE(SUBSTITUTE(SUBSTITUTE(SUBSTITUTE(SUBSTITUTE(SUBSTITUTE(SUBSTITUTE(SUBSTITUTE(SUBSTITUTE(SUBSTITUTE(SUBSTITUTE(LOWER(TRIM(D16)),"ё","е"),"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отк",TRIM(SUBSTITUTE(SUBSTITUTE(SUBSTITUTE(SUBSTITUTE(SUBSTITUTE(SUBSTITUTE(SUBSTITUTE(SUBSTITUTE(SUBSTITUTE(SUBSTITUTE(SUBSTITUTE(LOWER(TRIM(D16)),"ё","е")," -","-"),"- ","-")," 2 разряда","")," 3 разряда","")," 4 разряда","")," 5 разряда","")," 6 разряда","")," 1 категории","")," 2 категории","")," 3 категории",""))))))</f>
        <v>реставратор</v>
      </c>
      <c r="H16" s="35" t="n">
        <f aca="false">IF(C16="","",IF(AND(G16="мастер участка",ISNUMBER(SEARCH("РЭО",E16))),29,IFERROR(INDEX(Соответствие!$B$2:$B$100,MATCH(G16,Соответствие!$A$2:$A$100,0)),"?")))</f>
        <v>9</v>
      </c>
      <c r="I16" s="39" t="str">
        <f aca="false">IF(C16="","",IFERROR(INDEX(Перечень!$C$6:$C$52,MATCH(H16,Перечень!$A$6:$A$52,0)),""))</f>
        <v>п.4.3.1, п.4.4, п.5.1, п.5.2, п.15</v>
      </c>
      <c r="J16" s="35" t="n">
        <f aca="false">IF(C16="","",IFERROR(INDEX(Перечень!$D$6:$D$52,MATCH(H16,Перечень!$A$6:$A$52,0)),12))</f>
        <v>12</v>
      </c>
      <c r="K16" s="40"/>
      <c r="L16" s="40"/>
      <c r="M16" s="37" t="str">
        <f aca="false">IF(AND(K16="",L16=""),"",EDATE(MAX(K16,L16),J16))</f>
        <v/>
      </c>
      <c r="N16" s="41" t="str">
        <f aca="false">IF(C16="","",IFERROR(INDEX(Перечень!$F$6:$F$52,MATCH(H16,Перечень!$A$6:$A$52,0)),""))</f>
        <v>-</v>
      </c>
      <c r="O16" s="40"/>
      <c r="P16" s="37" t="str">
        <f aca="false">IF(O16="","",EDATE(O16,60))</f>
        <v/>
      </c>
      <c r="Q16" s="41" t="str">
        <f aca="false">IF(AND(K16&lt;&gt;"",F16&lt;&gt;"",K16&gt;F16),"Да","")</f>
        <v/>
      </c>
      <c r="R16" s="41" t="str">
        <f aca="true">IF(C16="","",IF(M16="","Нет сведений",IF(M16&lt;TODAY(),"Просрочен",IF(M16-TODAY()&lt;=30,"Истекает","В срок"))))</f>
        <v>Нет сведений</v>
      </c>
      <c r="S16" s="41" t="str">
        <f aca="false">IF(AND(N16="Да",O16=""),"Не пройдено","")</f>
        <v/>
      </c>
    </row>
    <row r="17" customFormat="false" ht="14.25" hidden="false" customHeight="false" outlineLevel="0" collapsed="false">
      <c r="A17" s="35" t="n">
        <f aca="false">IF(C17="","",ROW()-5)</f>
        <v>12</v>
      </c>
      <c r="B17" s="36" t="s">
        <v>103</v>
      </c>
      <c r="C17" s="36" t="s">
        <v>159</v>
      </c>
      <c r="D17" s="36" t="s">
        <v>160</v>
      </c>
      <c r="E17" s="36" t="s">
        <v>158</v>
      </c>
      <c r="F17" s="37" t="n">
        <v>45429</v>
      </c>
      <c r="G17" s="38" t="str">
        <f aca="false">IF(C17="","",IF(TRIM(SUBSTITUTE(SUBSTITUTE(SUBSTITUTE(SUBSTITUTE(SUBSTITUTE(SUBSTITUTE(SUBSTITUTE(SUBSTITUTE(SUBSTITUTE(SUBSTITUTE(SUBSTITUTE(LOWER(TRIM(D17)),"ё","е"),"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категории",""))="инженер",IF(AND(ISNUMBER(SEARCH("техническ",E17)),ISNUMBER(SEARCH("контрол",E17))),"инженер отк",IF(ISNUMBER(SEARCH("диспетч",E17)),"инженер пдо",TRIM(SUBSTITUTE(SUBSTITUTE(SUBSTITUTE(SUBSTITUTE(SUBSTITUTE(SUBSTITUTE(SUBSTITUTE(SUBSTITUTE(SUBSTITUTE(SUBSTITUTE(SUBSTITUTE(LOWER(TRIM(D17)),"ё","е"),"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инженер",IF(ISNUMBER(SEARCH("диспетч",E17)),"ведущий инженер пдо",TRIM(SUBSTITUTE(SUBSTITUTE(SUBSTITUTE(SUBSTITUTE(SUBSTITUTE(SUBSTITUTE(SUBSTITUTE(SUBSTITUTE(SUBSTITUTE(SUBSTITUTE(SUBSTITUTE(LOWER(TRIM(D17)),"ё","е"),"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17" s="35" t="n">
        <f aca="false">IF(C17="","",IF(AND(G17="мастер участка",ISNUMBER(SEARCH("РЭО",E17))),29,IFERROR(INDEX(Соответствие!$B$2:$B$100,MATCH(G17,Соответствие!$A$2:$A$100,0)),"?")))</f>
        <v>20</v>
      </c>
      <c r="I17" s="39" t="str">
        <f aca="false">IF(C17="","",IFERROR(INDEX(Перечень!$C$6:$C$52,MATCH(H17,Перечень!$A$6:$A$52,0)),""))</f>
        <v>п.4.3.1, п.4.3.2, п.4.4, п.4.9, п.5.1, п.5.2, п.6.2, п.9</v>
      </c>
      <c r="J17" s="35" t="n">
        <f aca="false">IF(C17="","",IFERROR(INDEX(Перечень!$D$6:$D$52,MATCH(H17,Перечень!$A$6:$A$52,0)),12))</f>
        <v>12</v>
      </c>
      <c r="K17" s="40"/>
      <c r="L17" s="40"/>
      <c r="M17" s="37" t="str">
        <f aca="false">IF(AND(K17="",L17=""),"",EDATE(MAX(K17,L17),J17))</f>
        <v/>
      </c>
      <c r="N17" s="41" t="str">
        <f aca="false">IF(C17="","",IFERROR(INDEX(Перечень!$F$6:$F$52,MATCH(H17,Перечень!$A$6:$A$52,0)),""))</f>
        <v>Да</v>
      </c>
      <c r="O17" s="40"/>
      <c r="P17" s="37" t="str">
        <f aca="false">IF(O17="","",EDATE(O17,60))</f>
        <v/>
      </c>
      <c r="Q17" s="41" t="str">
        <f aca="false">IF(AND(K17&lt;&gt;"",F17&lt;&gt;"",K17&gt;F17),"Да","")</f>
        <v/>
      </c>
      <c r="R17" s="41" t="str">
        <f aca="true">IF(C17="","",IF(M17="","Нет сведений",IF(M17&lt;TODAY(),"Просрочен",IF(M17-TODAY()&lt;=30,"Истекает","В срок"))))</f>
        <v>Нет сведений</v>
      </c>
      <c r="S17" s="41" t="str">
        <f aca="false">IF(AND(N17="Да",O17=""),"Не пройдено","")</f>
        <v>Не пройдено</v>
      </c>
    </row>
    <row r="18" customFormat="false" ht="14.25" hidden="false" customHeight="false" outlineLevel="0" collapsed="false">
      <c r="A18" s="35" t="n">
        <f aca="false">IF(C18="","",ROW()-5)</f>
        <v>13</v>
      </c>
      <c r="B18" s="36" t="s">
        <v>103</v>
      </c>
      <c r="C18" s="36" t="s">
        <v>161</v>
      </c>
      <c r="D18" s="36" t="s">
        <v>162</v>
      </c>
      <c r="E18" s="36" t="s">
        <v>158</v>
      </c>
      <c r="F18" s="37" t="n">
        <v>44327</v>
      </c>
      <c r="G18" s="38" t="str">
        <f aca="false">IF(C18="","",IF(TRIM(SUBSTITUTE(SUBSTITUTE(SUBSTITUTE(SUBSTITUTE(SUBSTITUTE(SUBSTITUTE(SUBSTITUTE(SUBSTITUTE(SUBSTITUTE(SUBSTITUTE(SUBSTITUTE(LOWER(TRIM(D18)),"ё","е"),"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категории",""))="инженер",IF(AND(ISNUMBER(SEARCH("техническ",E18)),ISNUMBER(SEARCH("контрол",E18))),"инженер отк",IF(ISNUMBER(SEARCH("диспетч",E18)),"инженер пдо",TRIM(SUBSTITUTE(SUBSTITUTE(SUBSTITUTE(SUBSTITUTE(SUBSTITUTE(SUBSTITUTE(SUBSTITUTE(SUBSTITUTE(SUBSTITUTE(SUBSTITUTE(SUBSTITUTE(LOWER(TRIM(D18)),"ё","е"),"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инженер",IF(ISNUMBER(SEARCH("диспетч",E18)),"ведущий инженер пдо",TRIM(SUBSTITUTE(SUBSTITUTE(SUBSTITUTE(SUBSTITUTE(SUBSTITUTE(SUBSTITUTE(SUBSTITUTE(SUBSTITUTE(SUBSTITUTE(SUBSTITUTE(SUBSTITUTE(LOWER(TRIM(D18)),"ё","е"),"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18" s="35" t="n">
        <f aca="false">IF(C18="","",IF(AND(G18="мастер участка",ISNUMBER(SEARCH("РЭО",E18))),29,IFERROR(INDEX(Соответствие!$B$2:$B$100,MATCH(G18,Соответствие!$A$2:$A$100,0)),"?")))</f>
        <v>20</v>
      </c>
      <c r="I18" s="39" t="str">
        <f aca="false">IF(C18="","",IFERROR(INDEX(Перечень!$C$6:$C$52,MATCH(H18,Перечень!$A$6:$A$52,0)),""))</f>
        <v>п.4.3.1, п.4.3.2, п.4.4, п.4.9, п.5.1, п.5.2, п.6.2, п.9</v>
      </c>
      <c r="J18" s="35" t="n">
        <f aca="false">IF(C18="","",IFERROR(INDEX(Перечень!$D$6:$D$52,MATCH(H18,Перечень!$A$6:$A$52,0)),12))</f>
        <v>12</v>
      </c>
      <c r="K18" s="40"/>
      <c r="L18" s="40"/>
      <c r="M18" s="37" t="str">
        <f aca="false">IF(AND(K18="",L18=""),"",EDATE(MAX(K18,L18),J18))</f>
        <v/>
      </c>
      <c r="N18" s="41" t="str">
        <f aca="false">IF(C18="","",IFERROR(INDEX(Перечень!$F$6:$F$52,MATCH(H18,Перечень!$A$6:$A$52,0)),""))</f>
        <v>Да</v>
      </c>
      <c r="O18" s="40"/>
      <c r="P18" s="37" t="str">
        <f aca="false">IF(O18="","",EDATE(O18,60))</f>
        <v/>
      </c>
      <c r="Q18" s="41" t="str">
        <f aca="false">IF(AND(K18&lt;&gt;"",F18&lt;&gt;"",K18&gt;F18),"Да","")</f>
        <v/>
      </c>
      <c r="R18" s="41" t="str">
        <f aca="true">IF(C18="","",IF(M18="","Нет сведений",IF(M18&lt;TODAY(),"Просрочен",IF(M18-TODAY()&lt;=30,"Истекает","В срок"))))</f>
        <v>Нет сведений</v>
      </c>
      <c r="S18" s="41" t="str">
        <f aca="false">IF(AND(N18="Да",O18=""),"Не пройдено","")</f>
        <v>Не пройдено</v>
      </c>
    </row>
    <row r="19" customFormat="false" ht="14.25" hidden="false" customHeight="false" outlineLevel="0" collapsed="false">
      <c r="A19" s="35" t="n">
        <f aca="false">IF(C19="","",ROW()-5)</f>
        <v>14</v>
      </c>
      <c r="B19" s="36" t="s">
        <v>103</v>
      </c>
      <c r="C19" s="36" t="s">
        <v>163</v>
      </c>
      <c r="D19" s="36" t="s">
        <v>164</v>
      </c>
      <c r="E19" s="36" t="s">
        <v>158</v>
      </c>
      <c r="F19" s="37" t="n">
        <v>40087</v>
      </c>
      <c r="G19" s="38" t="str">
        <f aca="false">IF(C19="","",IF(TRIM(SUBSTITUTE(SUBSTITUTE(SUBSTITUTE(SUBSTITUTE(SUBSTITUTE(SUBSTITUTE(SUBSTITUTE(SUBSTITUTE(SUBSTITUTE(SUBSTITUTE(SUBSTITUTE(LOWER(TRIM(D19)),"ё","е"),"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категории",""))="инженер",IF(AND(ISNUMBER(SEARCH("техническ",E19)),ISNUMBER(SEARCH("контрол",E19))),"инженер отк",IF(ISNUMBER(SEARCH("диспетч",E19)),"инженер пдо",TRIM(SUBSTITUTE(SUBSTITUTE(SUBSTITUTE(SUBSTITUTE(SUBSTITUTE(SUBSTITUTE(SUBSTITUTE(SUBSTITUTE(SUBSTITUTE(SUBSTITUTE(SUBSTITUTE(LOWER(TRIM(D19)),"ё","е"),"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инженер",IF(ISNUMBER(SEARCH("диспетч",E19)),"ведущий инженер пдо",TRIM(SUBSTITUTE(SUBSTITUTE(SUBSTITUTE(SUBSTITUTE(SUBSTITUTE(SUBSTITUTE(SUBSTITUTE(SUBSTITUTE(SUBSTITUTE(SUBSTITUTE(SUBSTITUTE(LOWER(TRIM(D19)),"ё","е"),"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19" s="35" t="n">
        <f aca="false">IF(C19="","",IF(AND(G19="мастер участка",ISNUMBER(SEARCH("РЭО",E19))),29,IFERROR(INDEX(Соответствие!$B$2:$B$100,MATCH(G19,Соответствие!$A$2:$A$100,0)),"?")))</f>
        <v>19</v>
      </c>
      <c r="I19" s="39" t="str">
        <f aca="false">IF(C19="","",IFERROR(INDEX(Перечень!$C$6:$C$52,MATCH(H19,Перечень!$A$6:$A$52,0)),""))</f>
        <v>п.4.3.1, п.4.3.2, п.4.4, п.5.1, п.6.2, п.15</v>
      </c>
      <c r="J19" s="35" t="n">
        <f aca="false">IF(C19="","",IFERROR(INDEX(Перечень!$D$6:$D$52,MATCH(H19,Перечень!$A$6:$A$52,0)),12))</f>
        <v>12</v>
      </c>
      <c r="K19" s="40"/>
      <c r="L19" s="40"/>
      <c r="M19" s="37" t="str">
        <f aca="false">IF(AND(K19="",L19=""),"",EDATE(MAX(K19,L19),J19))</f>
        <v/>
      </c>
      <c r="N19" s="41" t="str">
        <f aca="false">IF(C19="","",IFERROR(INDEX(Перечень!$F$6:$F$52,MATCH(H19,Перечень!$A$6:$A$52,0)),""))</f>
        <v>-</v>
      </c>
      <c r="O19" s="40"/>
      <c r="P19" s="37" t="str">
        <f aca="false">IF(O19="","",EDATE(O19,60))</f>
        <v/>
      </c>
      <c r="Q19" s="41" t="str">
        <f aca="false">IF(AND(K19&lt;&gt;"",F19&lt;&gt;"",K19&gt;F19),"Да","")</f>
        <v/>
      </c>
      <c r="R19" s="41" t="str">
        <f aca="true">IF(C19="","",IF(M19="","Нет сведений",IF(M19&lt;TODAY(),"Просрочен",IF(M19-TODAY()&lt;=30,"Истекает","В срок"))))</f>
        <v>Нет сведений</v>
      </c>
      <c r="S19" s="41" t="str">
        <f aca="false">IF(AND(N19="Да",O19=""),"Не пройдено","")</f>
        <v/>
      </c>
    </row>
    <row r="20" customFormat="false" ht="14.25" hidden="false" customHeight="false" outlineLevel="0" collapsed="false">
      <c r="A20" s="35" t="n">
        <f aca="false">IF(C20="","",ROW()-5)</f>
        <v>15</v>
      </c>
      <c r="B20" s="36" t="s">
        <v>103</v>
      </c>
      <c r="C20" s="36" t="s">
        <v>165</v>
      </c>
      <c r="D20" s="36" t="s">
        <v>166</v>
      </c>
      <c r="E20" s="36" t="s">
        <v>158</v>
      </c>
      <c r="F20" s="37" t="n">
        <v>40210</v>
      </c>
      <c r="G20" s="38" t="str">
        <f aca="false">IF(C20="","",IF(TRIM(SUBSTITUTE(SUBSTITUTE(SUBSTITUTE(SUBSTITUTE(SUBSTITUTE(SUBSTITUTE(SUBSTITUTE(SUBSTITUTE(SUBSTITUTE(SUBSTITUTE(SUBSTITUTE(LOWER(TRIM(D20)),"ё","е"),"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категории",""))="инженер",IF(AND(ISNUMBER(SEARCH("техническ",E20)),ISNUMBER(SEARCH("контрол",E20))),"инженер отк",IF(ISNUMBER(SEARCH("диспетч",E20)),"инженер пдо",TRIM(SUBSTITUTE(SUBSTITUTE(SUBSTITUTE(SUBSTITUTE(SUBSTITUTE(SUBSTITUTE(SUBSTITUTE(SUBSTITUTE(SUBSTITUTE(SUBSTITUTE(SUBSTITUTE(LOWER(TRIM(D20)),"ё","е"),"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инженер",IF(ISNUMBER(SEARCH("диспетч",E20)),"ведущий инженер пдо",TRIM(SUBSTITUTE(SUBSTITUTE(SUBSTITUTE(SUBSTITUTE(SUBSTITUTE(SUBSTITUTE(SUBSTITUTE(SUBSTITUTE(SUBSTITUTE(SUBSTITUTE(SUBSTITUTE(LOWER(TRIM(D20)),"ё","е"),"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отк",TRIM(SUBSTITUTE(SUBSTITUTE(SUBSTITUTE(SUBSTITUTE(SUBSTITUTE(SUBSTITUTE(SUBSTITUTE(SUBSTITUTE(SUBSTITUTE(SUBSTITUTE(SUBSTITUTE(LOWER(TRIM(D20)),"ё","е")," -","-"),"- ","-")," 2 разряда","")," 3 разряда","")," 4 разряда","")," 5 разряда","")," 6 разряда","")," 1 категории","")," 2 категории","")," 3 категории",""))))))</f>
        <v>ведущий специалист по реставрации</v>
      </c>
      <c r="H20" s="35" t="n">
        <f aca="false">IF(C20="","",IF(AND(G20="мастер участка",ISNUMBER(SEARCH("РЭО",E20))),29,IFERROR(INDEX(Соответствие!$B$2:$B$100,MATCH(G20,Соответствие!$A$2:$A$100,0)),"?")))</f>
        <v>9</v>
      </c>
      <c r="I20" s="39" t="str">
        <f aca="false">IF(C20="","",IFERROR(INDEX(Перечень!$C$6:$C$52,MATCH(H20,Перечень!$A$6:$A$52,0)),""))</f>
        <v>п.4.3.1, п.4.4, п.5.1, п.5.2, п.15</v>
      </c>
      <c r="J20" s="35" t="n">
        <f aca="false">IF(C20="","",IFERROR(INDEX(Перечень!$D$6:$D$52,MATCH(H20,Перечень!$A$6:$A$52,0)),12))</f>
        <v>12</v>
      </c>
      <c r="K20" s="40"/>
      <c r="L20" s="40"/>
      <c r="M20" s="37" t="str">
        <f aca="false">IF(AND(K20="",L20=""),"",EDATE(MAX(K20,L20),J20))</f>
        <v/>
      </c>
      <c r="N20" s="41" t="str">
        <f aca="false">IF(C20="","",IFERROR(INDEX(Перечень!$F$6:$F$52,MATCH(H20,Перечень!$A$6:$A$52,0)),""))</f>
        <v>-</v>
      </c>
      <c r="O20" s="40"/>
      <c r="P20" s="37" t="str">
        <f aca="false">IF(O20="","",EDATE(O20,60))</f>
        <v/>
      </c>
      <c r="Q20" s="41" t="str">
        <f aca="false">IF(AND(K20&lt;&gt;"",F20&lt;&gt;"",K20&gt;F20),"Да","")</f>
        <v/>
      </c>
      <c r="R20" s="41" t="str">
        <f aca="true">IF(C20="","",IF(M20="","Нет сведений",IF(M20&lt;TODAY(),"Просрочен",IF(M20-TODAY()&lt;=30,"Истекает","В срок"))))</f>
        <v>Нет сведений</v>
      </c>
      <c r="S20" s="41" t="str">
        <f aca="false">IF(AND(N20="Да",O20=""),"Не пройдено","")</f>
        <v/>
      </c>
    </row>
    <row r="21" customFormat="false" ht="14.25" hidden="false" customHeight="false" outlineLevel="0" collapsed="false">
      <c r="A21" s="35" t="n">
        <f aca="false">IF(C21="","",ROW()-5)</f>
        <v>16</v>
      </c>
      <c r="B21" s="36" t="s">
        <v>103</v>
      </c>
      <c r="C21" s="36" t="s">
        <v>167</v>
      </c>
      <c r="D21" s="36" t="s">
        <v>168</v>
      </c>
      <c r="E21" s="36" t="s">
        <v>158</v>
      </c>
      <c r="F21" s="37" t="n">
        <v>42438</v>
      </c>
      <c r="G21" s="38" t="str">
        <f aca="false">IF(C21="","",IF(TRIM(SUBSTITUTE(SUBSTITUTE(SUBSTITUTE(SUBSTITUTE(SUBSTITUTE(SUBSTITUTE(SUBSTITUTE(SUBSTITUTE(SUBSTITUTE(SUBSTITUTE(SUBSTITUTE(LOWER(TRIM(D21)),"ё","е"),"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категории",""))="инженер",IF(AND(ISNUMBER(SEARCH("техническ",E21)),ISNUMBER(SEARCH("контрол",E21))),"инженер отк",IF(ISNUMBER(SEARCH("диспетч",E21)),"инженер пдо",TRIM(SUBSTITUTE(SUBSTITUTE(SUBSTITUTE(SUBSTITUTE(SUBSTITUTE(SUBSTITUTE(SUBSTITUTE(SUBSTITUTE(SUBSTITUTE(SUBSTITUTE(SUBSTITUTE(LOWER(TRIM(D21)),"ё","е"),"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инженер",IF(ISNUMBER(SEARCH("диспетч",E21)),"ведущий инженер пдо",TRIM(SUBSTITUTE(SUBSTITUTE(SUBSTITUTE(SUBSTITUTE(SUBSTITUTE(SUBSTITUTE(SUBSTITUTE(SUBSTITUTE(SUBSTITUTE(SUBSTITUTE(SUBSTITUTE(LOWER(TRIM(D21)),"ё","е"),"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1" s="35" t="n">
        <f aca="false">IF(C21="","",IF(AND(G21="мастер участка",ISNUMBER(SEARCH("РЭО",E21))),29,IFERROR(INDEX(Соответствие!$B$2:$B$100,MATCH(G21,Соответствие!$A$2:$A$100,0)),"?")))</f>
        <v>19</v>
      </c>
      <c r="I21" s="39" t="str">
        <f aca="false">IF(C21="","",IFERROR(INDEX(Перечень!$C$6:$C$52,MATCH(H21,Перечень!$A$6:$A$52,0)),""))</f>
        <v>п.4.3.1, п.4.3.2, п.4.4, п.5.1, п.6.2, п.15</v>
      </c>
      <c r="J21" s="35" t="n">
        <f aca="false">IF(C21="","",IFERROR(INDEX(Перечень!$D$6:$D$52,MATCH(H21,Перечень!$A$6:$A$52,0)),12))</f>
        <v>12</v>
      </c>
      <c r="K21" s="40"/>
      <c r="L21" s="40"/>
      <c r="M21" s="37" t="str">
        <f aca="false">IF(AND(K21="",L21=""),"",EDATE(MAX(K21,L21),J21))</f>
        <v/>
      </c>
      <c r="N21" s="41" t="str">
        <f aca="false">IF(C21="","",IFERROR(INDEX(Перечень!$F$6:$F$52,MATCH(H21,Перечень!$A$6:$A$52,0)),""))</f>
        <v>-</v>
      </c>
      <c r="O21" s="40"/>
      <c r="P21" s="37" t="str">
        <f aca="false">IF(O21="","",EDATE(O21,60))</f>
        <v/>
      </c>
      <c r="Q21" s="41" t="str">
        <f aca="false">IF(AND(K21&lt;&gt;"",F21&lt;&gt;"",K21&gt;F21),"Да","")</f>
        <v/>
      </c>
      <c r="R21" s="41" t="str">
        <f aca="true">IF(C21="","",IF(M21="","Нет сведений",IF(M21&lt;TODAY(),"Просрочен",IF(M21-TODAY()&lt;=30,"Истекает","В срок"))))</f>
        <v>Нет сведений</v>
      </c>
      <c r="S21" s="41" t="str">
        <f aca="false">IF(AND(N21="Да",O21=""),"Не пройдено","")</f>
        <v/>
      </c>
    </row>
    <row r="22" customFormat="false" ht="14.25" hidden="false" customHeight="false" outlineLevel="0" collapsed="false">
      <c r="A22" s="35" t="n">
        <f aca="false">IF(C22="","",ROW()-5)</f>
        <v>17</v>
      </c>
      <c r="B22" s="36" t="s">
        <v>103</v>
      </c>
      <c r="C22" s="36" t="s">
        <v>169</v>
      </c>
      <c r="D22" s="36" t="s">
        <v>168</v>
      </c>
      <c r="E22" s="36" t="s">
        <v>158</v>
      </c>
      <c r="F22" s="37" t="n">
        <v>45208</v>
      </c>
      <c r="G22" s="38" t="str">
        <f aca="false">IF(C22="","",IF(TRIM(SUBSTITUTE(SUBSTITUTE(SUBSTITUTE(SUBSTITUTE(SUBSTITUTE(SUBSTITUTE(SUBSTITUTE(SUBSTITUTE(SUBSTITUTE(SUBSTITUTE(SUBSTITUTE(LOWER(TRIM(D22)),"ё","е"),"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категории",""))="инженер",IF(AND(ISNUMBER(SEARCH("техническ",E22)),ISNUMBER(SEARCH("контрол",E22))),"инженер отк",IF(ISNUMBER(SEARCH("диспетч",E22)),"инженер пдо",TRIM(SUBSTITUTE(SUBSTITUTE(SUBSTITUTE(SUBSTITUTE(SUBSTITUTE(SUBSTITUTE(SUBSTITUTE(SUBSTITUTE(SUBSTITUTE(SUBSTITUTE(SUBSTITUTE(LOWER(TRIM(D22)),"ё","е"),"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инженер",IF(ISNUMBER(SEARCH("диспетч",E22)),"ведущий инженер пдо",TRIM(SUBSTITUTE(SUBSTITUTE(SUBSTITUTE(SUBSTITUTE(SUBSTITUTE(SUBSTITUTE(SUBSTITUTE(SUBSTITUTE(SUBSTITUTE(SUBSTITUTE(SUBSTITUTE(LOWER(TRIM(D22)),"ё","е"),"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2" s="35" t="n">
        <f aca="false">IF(C22="","",IF(AND(G22="мастер участка",ISNUMBER(SEARCH("РЭО",E22))),29,IFERROR(INDEX(Соответствие!$B$2:$B$100,MATCH(G22,Соответствие!$A$2:$A$100,0)),"?")))</f>
        <v>19</v>
      </c>
      <c r="I22" s="39" t="str">
        <f aca="false">IF(C22="","",IFERROR(INDEX(Перечень!$C$6:$C$52,MATCH(H22,Перечень!$A$6:$A$52,0)),""))</f>
        <v>п.4.3.1, п.4.3.2, п.4.4, п.5.1, п.6.2, п.15</v>
      </c>
      <c r="J22" s="35" t="n">
        <f aca="false">IF(C22="","",IFERROR(INDEX(Перечень!$D$6:$D$52,MATCH(H22,Перечень!$A$6:$A$52,0)),12))</f>
        <v>12</v>
      </c>
      <c r="K22" s="40"/>
      <c r="L22" s="40"/>
      <c r="M22" s="37" t="str">
        <f aca="false">IF(AND(K22="",L22=""),"",EDATE(MAX(K22,L22),J22))</f>
        <v/>
      </c>
      <c r="N22" s="41" t="str">
        <f aca="false">IF(C22="","",IFERROR(INDEX(Перечень!$F$6:$F$52,MATCH(H22,Перечень!$A$6:$A$52,0)),""))</f>
        <v>-</v>
      </c>
      <c r="O22" s="40"/>
      <c r="P22" s="37" t="str">
        <f aca="false">IF(O22="","",EDATE(O22,60))</f>
        <v/>
      </c>
      <c r="Q22" s="41" t="str">
        <f aca="false">IF(AND(K22&lt;&gt;"",F22&lt;&gt;"",K22&gt;F22),"Да","")</f>
        <v/>
      </c>
      <c r="R22" s="41" t="str">
        <f aca="true">IF(C22="","",IF(M22="","Нет сведений",IF(M22&lt;TODAY(),"Просрочен",IF(M22-TODAY()&lt;=30,"Истекает","В срок"))))</f>
        <v>Нет сведений</v>
      </c>
      <c r="S22" s="41" t="str">
        <f aca="false">IF(AND(N22="Да",O22=""),"Не пройдено","")</f>
        <v/>
      </c>
    </row>
    <row r="23" customFormat="false" ht="14.25" hidden="false" customHeight="false" outlineLevel="0" collapsed="false">
      <c r="A23" s="35" t="n">
        <f aca="false">IF(C23="","",ROW()-5)</f>
        <v>18</v>
      </c>
      <c r="B23" s="36" t="s">
        <v>103</v>
      </c>
      <c r="C23" s="36" t="s">
        <v>170</v>
      </c>
      <c r="D23" s="36" t="s">
        <v>171</v>
      </c>
      <c r="E23" s="36" t="s">
        <v>158</v>
      </c>
      <c r="F23" s="37" t="n">
        <v>45950</v>
      </c>
      <c r="G23" s="38" t="str">
        <f aca="false">IF(C23="","",IF(TRIM(SUBSTITUTE(SUBSTITUTE(SUBSTITUTE(SUBSTITUTE(SUBSTITUTE(SUBSTITUTE(SUBSTITUTE(SUBSTITUTE(SUBSTITUTE(SUBSTITUTE(SUBSTITUTE(LOWER(TRIM(D23)),"ё","е"),"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категории",""))="инженер",IF(AND(ISNUMBER(SEARCH("техническ",E23)),ISNUMBER(SEARCH("контрол",E23))),"инженер отк",IF(ISNUMBER(SEARCH("диспетч",E23)),"инженер пдо",TRIM(SUBSTITUTE(SUBSTITUTE(SUBSTITUTE(SUBSTITUTE(SUBSTITUTE(SUBSTITUTE(SUBSTITUTE(SUBSTITUTE(SUBSTITUTE(SUBSTITUTE(SUBSTITUTE(LOWER(TRIM(D23)),"ё","е"),"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инженер",IF(ISNUMBER(SEARCH("диспетч",E23)),"ведущий инженер пдо",TRIM(SUBSTITUTE(SUBSTITUTE(SUBSTITUTE(SUBSTITUTE(SUBSTITUTE(SUBSTITUTE(SUBSTITUTE(SUBSTITUTE(SUBSTITUTE(SUBSTITUTE(SUBSTITUTE(LOWER(TRIM(D23)),"ё","е"),"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3" s="35" t="n">
        <f aca="false">IF(C23="","",IF(AND(G23="мастер участка",ISNUMBER(SEARCH("РЭО",E23))),29,IFERROR(INDEX(Соответствие!$B$2:$B$100,MATCH(G23,Соответствие!$A$2:$A$100,0)),"?")))</f>
        <v>19</v>
      </c>
      <c r="I23" s="39" t="str">
        <f aca="false">IF(C23="","",IFERROR(INDEX(Перечень!$C$6:$C$52,MATCH(H23,Перечень!$A$6:$A$52,0)),""))</f>
        <v>п.4.3.1, п.4.3.2, п.4.4, п.5.1, п.6.2, п.15</v>
      </c>
      <c r="J23" s="35" t="n">
        <f aca="false">IF(C23="","",IFERROR(INDEX(Перечень!$D$6:$D$52,MATCH(H23,Перечень!$A$6:$A$52,0)),12))</f>
        <v>12</v>
      </c>
      <c r="K23" s="40" t="n">
        <v>45940</v>
      </c>
      <c r="L23" s="40"/>
      <c r="M23" s="37" t="n">
        <f aca="false">IF(AND(K23="",L23=""),"",EDATE(MAX(K23,L23),J23))</f>
        <v>46305</v>
      </c>
      <c r="N23" s="41" t="str">
        <f aca="false">IF(C23="","",IFERROR(INDEX(Перечень!$F$6:$F$52,MATCH(H23,Перечень!$A$6:$A$52,0)),""))</f>
        <v>-</v>
      </c>
      <c r="O23" s="40"/>
      <c r="P23" s="37" t="str">
        <f aca="false">IF(O23="","",EDATE(O23,60))</f>
        <v/>
      </c>
      <c r="Q23" s="41" t="str">
        <f aca="false">IF(AND(K23&lt;&gt;"",F23&lt;&gt;"",K23&gt;F23),"Да","")</f>
        <v/>
      </c>
      <c r="R23" s="41" t="str">
        <f aca="true">IF(C23="","",IF(M23="","Нет сведений",IF(M23&lt;TODAY(),"Просрочен",IF(M23-TODAY()&lt;=30,"Истекает","В срок"))))</f>
        <v>Просрочен</v>
      </c>
      <c r="S23" s="41" t="str">
        <f aca="false">IF(AND(N23="Да",O23=""),"Не пройдено","")</f>
        <v/>
      </c>
    </row>
    <row r="24" customFormat="false" ht="14.25" hidden="false" customHeight="false" outlineLevel="0" collapsed="false">
      <c r="A24" s="35" t="n">
        <f aca="false">IF(C24="","",ROW()-5)</f>
        <v>19</v>
      </c>
      <c r="B24" s="36" t="s">
        <v>103</v>
      </c>
      <c r="C24" s="36" t="s">
        <v>172</v>
      </c>
      <c r="D24" s="36" t="s">
        <v>173</v>
      </c>
      <c r="E24" s="36" t="s">
        <v>158</v>
      </c>
      <c r="F24" s="37" t="n">
        <v>44152</v>
      </c>
      <c r="G24" s="38" t="str">
        <f aca="false">IF(C24="","",IF(TRIM(SUBSTITUTE(SUBSTITUTE(SUBSTITUTE(SUBSTITUTE(SUBSTITUTE(SUBSTITUTE(SUBSTITUTE(SUBSTITUTE(SUBSTITUTE(SUBSTITUTE(SUBSTITUTE(LOWER(TRIM(D24)),"ё","е"),"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категории",""))="инженер",IF(AND(ISNUMBER(SEARCH("техническ",E24)),ISNUMBER(SEARCH("контрол",E24))),"инженер отк",IF(ISNUMBER(SEARCH("диспетч",E24)),"инженер пдо",TRIM(SUBSTITUTE(SUBSTITUTE(SUBSTITUTE(SUBSTITUTE(SUBSTITUTE(SUBSTITUTE(SUBSTITUTE(SUBSTITUTE(SUBSTITUTE(SUBSTITUTE(SUBSTITUTE(LOWER(TRIM(D24)),"ё","е"),"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инженер",IF(ISNUMBER(SEARCH("диспетч",E24)),"ведущий инженер пдо",TRIM(SUBSTITUTE(SUBSTITUTE(SUBSTITUTE(SUBSTITUTE(SUBSTITUTE(SUBSTITUTE(SUBSTITUTE(SUBSTITUTE(SUBSTITUTE(SUBSTITUTE(SUBSTITUTE(LOWER(TRIM(D24)),"ё","е"),"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отк",TRIM(SUBSTITUTE(SUBSTITUTE(SUBSTITUTE(SUBSTITUTE(SUBSTITUTE(SUBSTITUTE(SUBSTITUTE(SUBSTITUTE(SUBSTITUTE(SUBSTITUTE(SUBSTITUTE(LOWER(TRIM(D24)),"ё","е")," -","-"),"- ","-")," 2 разряда","")," 3 разряда","")," 4 разряда","")," 5 разряда","")," 6 разряда","")," 1 категории","")," 2 категории","")," 3 категории",""))))))</f>
        <v>менеджер-комплектовщик</v>
      </c>
      <c r="H24" s="35" t="n">
        <f aca="false">IF(C24="","",IF(AND(G24="мастер участка",ISNUMBER(SEARCH("РЭО",E24))),29,IFERROR(INDEX(Соответствие!$B$2:$B$100,MATCH(G24,Соответствие!$A$2:$A$100,0)),"?")))</f>
        <v>22</v>
      </c>
      <c r="I24" s="39" t="str">
        <f aca="false">IF(C24="","",IFERROR(INDEX(Перечень!$C$6:$C$52,MATCH(H24,Перечень!$A$6:$A$52,0)),""))</f>
        <v>п.4.4, п.5.1, п.6.2</v>
      </c>
      <c r="J24" s="35" t="n">
        <f aca="false">IF(C24="","",IFERROR(INDEX(Перечень!$D$6:$D$52,MATCH(H24,Перечень!$A$6:$A$52,0)),12))</f>
        <v>12</v>
      </c>
      <c r="K24" s="40"/>
      <c r="L24" s="40"/>
      <c r="M24" s="37" t="str">
        <f aca="false">IF(AND(K24="",L24=""),"",EDATE(MAX(K24,L24),J24))</f>
        <v/>
      </c>
      <c r="N24" s="41" t="str">
        <f aca="false">IF(C24="","",IFERROR(INDEX(Перечень!$F$6:$F$52,MATCH(H24,Перечень!$A$6:$A$52,0)),""))</f>
        <v>-</v>
      </c>
      <c r="O24" s="40"/>
      <c r="P24" s="37" t="str">
        <f aca="false">IF(O24="","",EDATE(O24,60))</f>
        <v/>
      </c>
      <c r="Q24" s="41" t="str">
        <f aca="false">IF(AND(K24&lt;&gt;"",F24&lt;&gt;"",K24&gt;F24),"Да","")</f>
        <v/>
      </c>
      <c r="R24" s="41" t="str">
        <f aca="true">IF(C24="","",IF(M24="","Нет сведений",IF(M24&lt;TODAY(),"Просрочен",IF(M24-TODAY()&lt;=30,"Истекает","В срок"))))</f>
        <v>Нет сведений</v>
      </c>
      <c r="S24" s="41" t="str">
        <f aca="false">IF(AND(N24="Да",O24=""),"Не пройдено","")</f>
        <v/>
      </c>
    </row>
    <row r="25" customFormat="false" ht="14.25" hidden="false" customHeight="false" outlineLevel="0" collapsed="false">
      <c r="A25" s="35" t="n">
        <f aca="false">IF(C25="","",ROW()-5)</f>
        <v>20</v>
      </c>
      <c r="B25" s="36" t="s">
        <v>103</v>
      </c>
      <c r="C25" s="36" t="s">
        <v>174</v>
      </c>
      <c r="D25" s="36" t="s">
        <v>175</v>
      </c>
      <c r="E25" s="36" t="s">
        <v>158</v>
      </c>
      <c r="F25" s="37" t="n">
        <v>41334</v>
      </c>
      <c r="G25" s="38" t="str">
        <f aca="false">IF(C25="","",IF(TRIM(SUBSTITUTE(SUBSTITUTE(SUBSTITUTE(SUBSTITUTE(SUBSTITUTE(SUBSTITUTE(SUBSTITUTE(SUBSTITUTE(SUBSTITUTE(SUBSTITUTE(SUBSTITUTE(LOWER(TRIM(D25)),"ё","е"),"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категории",""))="инженер",IF(AND(ISNUMBER(SEARCH("техническ",E25)),ISNUMBER(SEARCH("контрол",E25))),"инженер отк",IF(ISNUMBER(SEARCH("диспетч",E25)),"инженер пдо",TRIM(SUBSTITUTE(SUBSTITUTE(SUBSTITUTE(SUBSTITUTE(SUBSTITUTE(SUBSTITUTE(SUBSTITUTE(SUBSTITUTE(SUBSTITUTE(SUBSTITUTE(SUBSTITUTE(LOWER(TRIM(D25)),"ё","е"),"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инженер",IF(ISNUMBER(SEARCH("диспетч",E25)),"ведущий инженер пдо",TRIM(SUBSTITUTE(SUBSTITUTE(SUBSTITUTE(SUBSTITUTE(SUBSTITUTE(SUBSTITUTE(SUBSTITUTE(SUBSTITUTE(SUBSTITUTE(SUBSTITUTE(SUBSTITUTE(LOWER(TRIM(D25)),"ё","е"),"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отк",TRIM(SUBSTITUTE(SUBSTITUTE(SUBSTITUTE(SUBSTITUTE(SUBSTITUTE(SUBSTITUTE(SUBSTITUTE(SUBSTITUTE(SUBSTITUTE(SUBSTITUTE(SUBSTITUTE(LOWER(TRIM(D25)),"ё","е")," -","-"),"- ","-")," 2 разряда","")," 3 разряда","")," 4 разряда","")," 5 разряда","")," 6 разряда","")," 1 категории","")," 2 категории","")," 3 категории",""))))))</f>
        <v>заместитель директора департамента-начальник производственного подразделения</v>
      </c>
      <c r="H25" s="35" t="n">
        <f aca="false">IF(C25="","",IF(AND(G25="мастер участка",ISNUMBER(SEARCH("РЭО",E25))),29,IFERROR(INDEX(Соответствие!$B$2:$B$100,MATCH(G25,Соответствие!$A$2:$A$100,0)),"?")))</f>
        <v>42</v>
      </c>
      <c r="I25" s="39" t="str">
        <f aca="false">IF(C25="","",IFERROR(INDEX(Перечень!$C$6:$C$52,MATCH(H25,Перечень!$A$6:$A$52,0)),""))</f>
        <v>п.4.3.2, п.4.4, п.5.1, п.5.2, п.6.2</v>
      </c>
      <c r="J25" s="35" t="n">
        <f aca="false">IF(C25="","",IFERROR(INDEX(Перечень!$D$6:$D$52,MATCH(H25,Перечень!$A$6:$A$52,0)),12))</f>
        <v>12</v>
      </c>
      <c r="K25" s="40"/>
      <c r="L25" s="40"/>
      <c r="M25" s="37" t="str">
        <f aca="false">IF(AND(K25="",L25=""),"",EDATE(MAX(K25,L25),J25))</f>
        <v/>
      </c>
      <c r="N25" s="41" t="str">
        <f aca="false">IF(C25="","",IFERROR(INDEX(Перечень!$F$6:$F$52,MATCH(H25,Перечень!$A$6:$A$52,0)),""))</f>
        <v>-</v>
      </c>
      <c r="O25" s="40"/>
      <c r="P25" s="37" t="str">
        <f aca="false">IF(O25="","",EDATE(O25,60))</f>
        <v/>
      </c>
      <c r="Q25" s="41" t="str">
        <f aca="false">IF(AND(K25&lt;&gt;"",F25&lt;&gt;"",K25&gt;F25),"Да","")</f>
        <v/>
      </c>
      <c r="R25" s="41" t="str">
        <f aca="true">IF(C25="","",IF(M25="","Нет сведений",IF(M25&lt;TODAY(),"Просрочен",IF(M25-TODAY()&lt;=30,"Истекает","В срок"))))</f>
        <v>Нет сведений</v>
      </c>
      <c r="S25" s="41" t="str">
        <f aca="false">IF(AND(N25="Да",O25=""),"Не пройдено","")</f>
        <v/>
      </c>
    </row>
    <row r="26" customFormat="false" ht="14.25" hidden="false" customHeight="false" outlineLevel="0" collapsed="false">
      <c r="A26" s="35" t="n">
        <f aca="false">IF(C26="","",ROW()-5)</f>
        <v>21</v>
      </c>
      <c r="B26" s="36" t="s">
        <v>108</v>
      </c>
      <c r="C26" s="36" t="s">
        <v>176</v>
      </c>
      <c r="D26" s="36" t="s">
        <v>177</v>
      </c>
      <c r="E26" s="36" t="s">
        <v>178</v>
      </c>
      <c r="F26" s="37" t="n">
        <v>45957</v>
      </c>
      <c r="G26" s="38" t="str">
        <f aca="false">IF(C26="","",IF(TRIM(SUBSTITUTE(SUBSTITUTE(SUBSTITUTE(SUBSTITUTE(SUBSTITUTE(SUBSTITUTE(SUBSTITUTE(SUBSTITUTE(SUBSTITUTE(SUBSTITUTE(SUBSTITUTE(LOWER(TRIM(D26)),"ё","е"),"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категории",""))="инженер",IF(AND(ISNUMBER(SEARCH("техническ",E26)),ISNUMBER(SEARCH("контрол",E26))),"инженер отк",IF(ISNUMBER(SEARCH("диспетч",E26)),"инженер пдо",TRIM(SUBSTITUTE(SUBSTITUTE(SUBSTITUTE(SUBSTITUTE(SUBSTITUTE(SUBSTITUTE(SUBSTITUTE(SUBSTITUTE(SUBSTITUTE(SUBSTITUTE(SUBSTITUTE(LOWER(TRIM(D26)),"ё","е"),"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инженер",IF(ISNUMBER(SEARCH("диспетч",E26)),"ведущий инженер пдо",TRIM(SUBSTITUTE(SUBSTITUTE(SUBSTITUTE(SUBSTITUTE(SUBSTITUTE(SUBSTITUTE(SUBSTITUTE(SUBSTITUTE(SUBSTITUTE(SUBSTITUTE(SUBSTITUTE(LOWER(TRIM(D26)),"ё","е"),"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отк",TRIM(SUBSTITUTE(SUBSTITUTE(SUBSTITUTE(SUBSTITUTE(SUBSTITUTE(SUBSTITUTE(SUBSTITUTE(SUBSTITUTE(SUBSTITUTE(SUBSTITUTE(SUBSTITUTE(LOWER(TRIM(D26)),"ё","е")," -","-"),"- ","-")," 2 разряда","")," 3 разряда","")," 4 разряда","")," 5 разряда","")," 6 разряда","")," 1 категории","")," 2 категории","")," 3 категории",""))))))</f>
        <v>старший оперативный дежурный</v>
      </c>
      <c r="H26" s="35" t="n">
        <f aca="false">IF(C26="","",IF(AND(G26="мастер участка",ISNUMBER(SEARCH("РЭО",E26))),29,IFERROR(INDEX(Соответствие!$B$2:$B$100,MATCH(G26,Соответствие!$A$2:$A$100,0)),"?")))</f>
        <v>45</v>
      </c>
      <c r="I26" s="39" t="str">
        <f aca="false">IF(C26="","",IFERROR(INDEX(Перечень!$C$6:$C$52,MATCH(H26,Перечень!$A$6:$A$52,0)),""))</f>
        <v>п.4.7, п.4.8, п.5.1, п.5.2</v>
      </c>
      <c r="J26" s="35" t="n">
        <f aca="false">IF(C26="","",IFERROR(INDEX(Перечень!$D$6:$D$52,MATCH(H26,Перечень!$A$6:$A$52,0)),12))</f>
        <v>12</v>
      </c>
      <c r="K26" s="40"/>
      <c r="L26" s="40"/>
      <c r="M26" s="37" t="str">
        <f aca="false">IF(AND(K26="",L26=""),"",EDATE(MAX(K26,L26),J26))</f>
        <v/>
      </c>
      <c r="N26" s="41" t="str">
        <f aca="false">IF(C26="","",IFERROR(INDEX(Перечень!$F$6:$F$52,MATCH(H26,Перечень!$A$6:$A$52,0)),""))</f>
        <v>Нет</v>
      </c>
      <c r="O26" s="40"/>
      <c r="P26" s="37" t="str">
        <f aca="false">IF(O26="","",EDATE(O26,60))</f>
        <v/>
      </c>
      <c r="Q26" s="41" t="str">
        <f aca="false">IF(AND(K26&lt;&gt;"",F26&lt;&gt;"",K26&gt;F26),"Да","")</f>
        <v/>
      </c>
      <c r="R26" s="41" t="str">
        <f aca="true">IF(C26="","",IF(M26="","Нет сведений",IF(M26&lt;TODAY(),"Просрочен",IF(M26-TODAY()&lt;=30,"Истекает","В срок"))))</f>
        <v>Нет сведений</v>
      </c>
      <c r="S26" s="41" t="str">
        <f aca="false">IF(AND(N26="Да",O26=""),"Не пройдено","")</f>
        <v/>
      </c>
    </row>
    <row r="27" customFormat="false" ht="14.25" hidden="false" customHeight="false" outlineLevel="0" collapsed="false">
      <c r="A27" s="35" t="n">
        <f aca="false">IF(C27="","",ROW()-5)</f>
        <v>22</v>
      </c>
      <c r="B27" s="36" t="s">
        <v>108</v>
      </c>
      <c r="C27" s="36" t="s">
        <v>179</v>
      </c>
      <c r="D27" s="36" t="s">
        <v>180</v>
      </c>
      <c r="E27" s="36" t="s">
        <v>178</v>
      </c>
      <c r="F27" s="37" t="n">
        <v>45551</v>
      </c>
      <c r="G27" s="38" t="str">
        <f aca="false">IF(C27="","",IF(TRIM(SUBSTITUTE(SUBSTITUTE(SUBSTITUTE(SUBSTITUTE(SUBSTITUTE(SUBSTITUTE(SUBSTITUTE(SUBSTITUTE(SUBSTITUTE(SUBSTITUTE(SUBSTITUTE(LOWER(TRIM(D27)),"ё","е"),"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категории",""))="инженер",IF(AND(ISNUMBER(SEARCH("техническ",E27)),ISNUMBER(SEARCH("контрол",E27))),"инженер отк",IF(ISNUMBER(SEARCH("диспетч",E27)),"инженер пдо",TRIM(SUBSTITUTE(SUBSTITUTE(SUBSTITUTE(SUBSTITUTE(SUBSTITUTE(SUBSTITUTE(SUBSTITUTE(SUBSTITUTE(SUBSTITUTE(SUBSTITUTE(SUBSTITUTE(LOWER(TRIM(D27)),"ё","е"),"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инженер",IF(ISNUMBER(SEARCH("диспетч",E27)),"ведущий инженер пдо",TRIM(SUBSTITUTE(SUBSTITUTE(SUBSTITUTE(SUBSTITUTE(SUBSTITUTE(SUBSTITUTE(SUBSTITUTE(SUBSTITUTE(SUBSTITUTE(SUBSTITUTE(SUBSTITUTE(LOWER(TRIM(D27)),"ё","е"),"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отк",TRIM(SUBSTITUTE(SUBSTITUTE(SUBSTITUTE(SUBSTITUTE(SUBSTITUTE(SUBSTITUTE(SUBSTITUTE(SUBSTITUTE(SUBSTITUTE(SUBSTITUTE(SUBSTITUTE(LOWER(TRIM(D27)),"ё","е")," -","-"),"- ","-")," 2 разряда","")," 3 разряда","")," 4 разряда","")," 5 разряда","")," 6 разряда","")," 1 категории","")," 2 категории","")," 3 категории",""))))))</f>
        <v>оперативный дежурный</v>
      </c>
      <c r="H27" s="35" t="n">
        <f aca="false">IF(C27="","",IF(AND(G27="мастер участка",ISNUMBER(SEARCH("РЭО",E27))),29,IFERROR(INDEX(Соответствие!$B$2:$B$100,MATCH(G27,Соответствие!$A$2:$A$100,0)),"?")))</f>
        <v>45</v>
      </c>
      <c r="I27" s="39" t="str">
        <f aca="false">IF(C27="","",IFERROR(INDEX(Перечень!$C$6:$C$52,MATCH(H27,Перечень!$A$6:$A$52,0)),""))</f>
        <v>п.4.7, п.4.8, п.5.1, п.5.2</v>
      </c>
      <c r="J27" s="35" t="n">
        <f aca="false">IF(C27="","",IFERROR(INDEX(Перечень!$D$6:$D$52,MATCH(H27,Перечень!$A$6:$A$52,0)),12))</f>
        <v>12</v>
      </c>
      <c r="K27" s="40"/>
      <c r="L27" s="40"/>
      <c r="M27" s="37" t="str">
        <f aca="false">IF(AND(K27="",L27=""),"",EDATE(MAX(K27,L27),J27))</f>
        <v/>
      </c>
      <c r="N27" s="41" t="str">
        <f aca="false">IF(C27="","",IFERROR(INDEX(Перечень!$F$6:$F$52,MATCH(H27,Перечень!$A$6:$A$52,0)),""))</f>
        <v>Нет</v>
      </c>
      <c r="O27" s="40"/>
      <c r="P27" s="37" t="str">
        <f aca="false">IF(O27="","",EDATE(O27,60))</f>
        <v/>
      </c>
      <c r="Q27" s="41" t="str">
        <f aca="false">IF(AND(K27&lt;&gt;"",F27&lt;&gt;"",K27&gt;F27),"Да","")</f>
        <v/>
      </c>
      <c r="R27" s="41" t="str">
        <f aca="true">IF(C27="","",IF(M27="","Нет сведений",IF(M27&lt;TODAY(),"Просрочен",IF(M27-TODAY()&lt;=30,"Истекает","В срок"))))</f>
        <v>Нет сведений</v>
      </c>
      <c r="S27" s="41" t="str">
        <f aca="false">IF(AND(N27="Да",O27=""),"Не пройдено","")</f>
        <v/>
      </c>
    </row>
    <row r="28" customFormat="false" ht="14.25" hidden="false" customHeight="false" outlineLevel="0" collapsed="false">
      <c r="A28" s="35" t="n">
        <f aca="false">IF(C28="","",ROW()-5)</f>
        <v>23</v>
      </c>
      <c r="B28" s="36" t="s">
        <v>108</v>
      </c>
      <c r="C28" s="36" t="s">
        <v>181</v>
      </c>
      <c r="D28" s="36" t="s">
        <v>180</v>
      </c>
      <c r="E28" s="36" t="s">
        <v>178</v>
      </c>
      <c r="F28" s="37" t="n">
        <v>44092</v>
      </c>
      <c r="G28" s="38" t="str">
        <f aca="false">IF(C28="","",IF(TRIM(SUBSTITUTE(SUBSTITUTE(SUBSTITUTE(SUBSTITUTE(SUBSTITUTE(SUBSTITUTE(SUBSTITUTE(SUBSTITUTE(SUBSTITUTE(SUBSTITUTE(SUBSTITUTE(LOWER(TRIM(D28)),"ё","е"),"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категории",""))="инженер",IF(AND(ISNUMBER(SEARCH("техническ",E28)),ISNUMBER(SEARCH("контрол",E28))),"инженер отк",IF(ISNUMBER(SEARCH("диспетч",E28)),"инженер пдо",TRIM(SUBSTITUTE(SUBSTITUTE(SUBSTITUTE(SUBSTITUTE(SUBSTITUTE(SUBSTITUTE(SUBSTITUTE(SUBSTITUTE(SUBSTITUTE(SUBSTITUTE(SUBSTITUTE(LOWER(TRIM(D28)),"ё","е"),"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инженер",IF(ISNUMBER(SEARCH("диспетч",E28)),"ведущий инженер пдо",TRIM(SUBSTITUTE(SUBSTITUTE(SUBSTITUTE(SUBSTITUTE(SUBSTITUTE(SUBSTITUTE(SUBSTITUTE(SUBSTITUTE(SUBSTITUTE(SUBSTITUTE(SUBSTITUTE(LOWER(TRIM(D28)),"ё","е"),"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отк",TRIM(SUBSTITUTE(SUBSTITUTE(SUBSTITUTE(SUBSTITUTE(SUBSTITUTE(SUBSTITUTE(SUBSTITUTE(SUBSTITUTE(SUBSTITUTE(SUBSTITUTE(SUBSTITUTE(LOWER(TRIM(D28)),"ё","е")," -","-"),"- ","-")," 2 разряда","")," 3 разряда","")," 4 разряда","")," 5 разряда","")," 6 разряда","")," 1 категории","")," 2 категории","")," 3 категории",""))))))</f>
        <v>оперативный дежурный</v>
      </c>
      <c r="H28" s="35" t="n">
        <f aca="false">IF(C28="","",IF(AND(G28="мастер участка",ISNUMBER(SEARCH("РЭО",E28))),29,IFERROR(INDEX(Соответствие!$B$2:$B$100,MATCH(G28,Соответствие!$A$2:$A$100,0)),"?")))</f>
        <v>45</v>
      </c>
      <c r="I28" s="39" t="str">
        <f aca="false">IF(C28="","",IFERROR(INDEX(Перечень!$C$6:$C$52,MATCH(H28,Перечень!$A$6:$A$52,0)),""))</f>
        <v>п.4.7, п.4.8, п.5.1, п.5.2</v>
      </c>
      <c r="J28" s="35" t="n">
        <f aca="false">IF(C28="","",IFERROR(INDEX(Перечень!$D$6:$D$52,MATCH(H28,Перечень!$A$6:$A$52,0)),12))</f>
        <v>12</v>
      </c>
      <c r="K28" s="40"/>
      <c r="L28" s="40"/>
      <c r="M28" s="37" t="str">
        <f aca="false">IF(AND(K28="",L28=""),"",EDATE(MAX(K28,L28),J28))</f>
        <v/>
      </c>
      <c r="N28" s="41" t="str">
        <f aca="false">IF(C28="","",IFERROR(INDEX(Перечень!$F$6:$F$52,MATCH(H28,Перечень!$A$6:$A$52,0)),""))</f>
        <v>Нет</v>
      </c>
      <c r="O28" s="40"/>
      <c r="P28" s="37" t="str">
        <f aca="false">IF(O28="","",EDATE(O28,60))</f>
        <v/>
      </c>
      <c r="Q28" s="41" t="str">
        <f aca="false">IF(AND(K28&lt;&gt;"",F28&lt;&gt;"",K28&gt;F28),"Да","")</f>
        <v/>
      </c>
      <c r="R28" s="41" t="str">
        <f aca="true">IF(C28="","",IF(M28="","Нет сведений",IF(M28&lt;TODAY(),"Просрочен",IF(M28-TODAY()&lt;=30,"Истекает","В срок"))))</f>
        <v>Нет сведений</v>
      </c>
      <c r="S28" s="41" t="str">
        <f aca="false">IF(AND(N28="Да",O28=""),"Не пройдено","")</f>
        <v/>
      </c>
    </row>
    <row r="29" customFormat="false" ht="14.25" hidden="false" customHeight="false" outlineLevel="0" collapsed="false">
      <c r="A29" s="35" t="n">
        <f aca="false">IF(C29="","",ROW()-5)</f>
        <v>24</v>
      </c>
      <c r="B29" s="36" t="s">
        <v>108</v>
      </c>
      <c r="C29" s="36" t="s">
        <v>182</v>
      </c>
      <c r="D29" s="36" t="s">
        <v>180</v>
      </c>
      <c r="E29" s="36" t="s">
        <v>178</v>
      </c>
      <c r="F29" s="37" t="n">
        <v>46052</v>
      </c>
      <c r="G29" s="38" t="str">
        <f aca="false">IF(C29="","",IF(TRIM(SUBSTITUTE(SUBSTITUTE(SUBSTITUTE(SUBSTITUTE(SUBSTITUTE(SUBSTITUTE(SUBSTITUTE(SUBSTITUTE(SUBSTITUTE(SUBSTITUTE(SUBSTITUTE(LOWER(TRIM(D29)),"ё","е"),"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категории",""))="инженер",IF(AND(ISNUMBER(SEARCH("техническ",E29)),ISNUMBER(SEARCH("контрол",E29))),"инженер отк",IF(ISNUMBER(SEARCH("диспетч",E29)),"инженер пдо",TRIM(SUBSTITUTE(SUBSTITUTE(SUBSTITUTE(SUBSTITUTE(SUBSTITUTE(SUBSTITUTE(SUBSTITUTE(SUBSTITUTE(SUBSTITUTE(SUBSTITUTE(SUBSTITUTE(LOWER(TRIM(D29)),"ё","е"),"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инженер",IF(ISNUMBER(SEARCH("диспетч",E29)),"ведущий инженер пдо",TRIM(SUBSTITUTE(SUBSTITUTE(SUBSTITUTE(SUBSTITUTE(SUBSTITUTE(SUBSTITUTE(SUBSTITUTE(SUBSTITUTE(SUBSTITUTE(SUBSTITUTE(SUBSTITUTE(LOWER(TRIM(D29)),"ё","е"),"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отк",TRIM(SUBSTITUTE(SUBSTITUTE(SUBSTITUTE(SUBSTITUTE(SUBSTITUTE(SUBSTITUTE(SUBSTITUTE(SUBSTITUTE(SUBSTITUTE(SUBSTITUTE(SUBSTITUTE(LOWER(TRIM(D29)),"ё","е")," -","-"),"- ","-")," 2 разряда","")," 3 разряда","")," 4 разряда","")," 5 разряда","")," 6 разряда","")," 1 категории","")," 2 категории","")," 3 категории",""))))))</f>
        <v>оперативный дежурный</v>
      </c>
      <c r="H29" s="35" t="n">
        <f aca="false">IF(C29="","",IF(AND(G29="мастер участка",ISNUMBER(SEARCH("РЭО",E29))),29,IFERROR(INDEX(Соответствие!$B$2:$B$100,MATCH(G29,Соответствие!$A$2:$A$100,0)),"?")))</f>
        <v>45</v>
      </c>
      <c r="I29" s="39" t="str">
        <f aca="false">IF(C29="","",IFERROR(INDEX(Перечень!$C$6:$C$52,MATCH(H29,Перечень!$A$6:$A$52,0)),""))</f>
        <v>п.4.7, п.4.8, п.5.1, п.5.2</v>
      </c>
      <c r="J29" s="35" t="n">
        <f aca="false">IF(C29="","",IFERROR(INDEX(Перечень!$D$6:$D$52,MATCH(H29,Перечень!$A$6:$A$52,0)),12))</f>
        <v>12</v>
      </c>
      <c r="K29" s="40"/>
      <c r="L29" s="40"/>
      <c r="M29" s="37" t="str">
        <f aca="false">IF(AND(K29="",L29=""),"",EDATE(MAX(K29,L29),J29))</f>
        <v/>
      </c>
      <c r="N29" s="41" t="str">
        <f aca="false">IF(C29="","",IFERROR(INDEX(Перечень!$F$6:$F$52,MATCH(H29,Перечень!$A$6:$A$52,0)),""))</f>
        <v>Нет</v>
      </c>
      <c r="O29" s="40"/>
      <c r="P29" s="37" t="str">
        <f aca="false">IF(O29="","",EDATE(O29,60))</f>
        <v/>
      </c>
      <c r="Q29" s="41" t="str">
        <f aca="false">IF(AND(K29&lt;&gt;"",F29&lt;&gt;"",K29&gt;F29),"Да","")</f>
        <v/>
      </c>
      <c r="R29" s="41" t="str">
        <f aca="true">IF(C29="","",IF(M29="","Нет сведений",IF(M29&lt;TODAY(),"Просрочен",IF(M29-TODAY()&lt;=30,"Истекает","В срок"))))</f>
        <v>Нет сведений</v>
      </c>
      <c r="S29" s="41" t="str">
        <f aca="false">IF(AND(N29="Да",O29=""),"Не пройдено","")</f>
        <v/>
      </c>
    </row>
    <row r="30" customFormat="false" ht="14.25" hidden="false" customHeight="false" outlineLevel="0" collapsed="false">
      <c r="A30" s="35" t="n">
        <f aca="false">IF(C30="","",ROW()-5)</f>
        <v>25</v>
      </c>
      <c r="B30" s="36" t="s">
        <v>104</v>
      </c>
      <c r="C30" s="36" t="s">
        <v>183</v>
      </c>
      <c r="D30" s="36" t="s">
        <v>171</v>
      </c>
      <c r="E30" s="36" t="s">
        <v>184</v>
      </c>
      <c r="F30" s="37" t="n">
        <v>45693</v>
      </c>
      <c r="G30" s="38" t="str">
        <f aca="false">IF(C30="","",IF(TRIM(SUBSTITUTE(SUBSTITUTE(SUBSTITUTE(SUBSTITUTE(SUBSTITUTE(SUBSTITUTE(SUBSTITUTE(SUBSTITUTE(SUBSTITUTE(SUBSTITUTE(SUBSTITUTE(LOWER(TRIM(D30)),"ё","е"),"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категории",""))="инженер",IF(AND(ISNUMBER(SEARCH("техническ",E30)),ISNUMBER(SEARCH("контрол",E30))),"инженер отк",IF(ISNUMBER(SEARCH("диспетч",E30)),"инженер пдо",TRIM(SUBSTITUTE(SUBSTITUTE(SUBSTITUTE(SUBSTITUTE(SUBSTITUTE(SUBSTITUTE(SUBSTITUTE(SUBSTITUTE(SUBSTITUTE(SUBSTITUTE(SUBSTITUTE(LOWER(TRIM(D30)),"ё","е"),"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инженер",IF(ISNUMBER(SEARCH("диспетч",E30)),"ведущий инженер пдо",TRIM(SUBSTITUTE(SUBSTITUTE(SUBSTITUTE(SUBSTITUTE(SUBSTITUTE(SUBSTITUTE(SUBSTITUTE(SUBSTITUTE(SUBSTITUTE(SUBSTITUTE(SUBSTITUTE(LOWER(TRIM(D30)),"ё","е"),"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0" s="35" t="n">
        <f aca="false">IF(C30="","",IF(AND(G30="мастер участка",ISNUMBER(SEARCH("РЭО",E30))),29,IFERROR(INDEX(Соответствие!$B$2:$B$100,MATCH(G30,Соответствие!$A$2:$A$100,0)),"?")))</f>
        <v>19</v>
      </c>
      <c r="I30" s="39" t="str">
        <f aca="false">IF(C30="","",IFERROR(INDEX(Перечень!$C$6:$C$52,MATCH(H30,Перечень!$A$6:$A$52,0)),""))</f>
        <v>п.4.3.1, п.4.3.2, п.4.4, п.5.1, п.6.2, п.15</v>
      </c>
      <c r="J30" s="35" t="n">
        <f aca="false">IF(C30="","",IFERROR(INDEX(Перечень!$D$6:$D$52,MATCH(H30,Перечень!$A$6:$A$52,0)),12))</f>
        <v>12</v>
      </c>
      <c r="K30" s="40"/>
      <c r="L30" s="40"/>
      <c r="M30" s="37" t="str">
        <f aca="false">IF(AND(K30="",L30=""),"",EDATE(MAX(K30,L30),J30))</f>
        <v/>
      </c>
      <c r="N30" s="41" t="str">
        <f aca="false">IF(C30="","",IFERROR(INDEX(Перечень!$F$6:$F$52,MATCH(H30,Перечень!$A$6:$A$52,0)),""))</f>
        <v>-</v>
      </c>
      <c r="O30" s="40"/>
      <c r="P30" s="37" t="str">
        <f aca="false">IF(O30="","",EDATE(O30,60))</f>
        <v/>
      </c>
      <c r="Q30" s="41" t="str">
        <f aca="false">IF(AND(K30&lt;&gt;"",F30&lt;&gt;"",K30&gt;F30),"Да","")</f>
        <v/>
      </c>
      <c r="R30" s="41" t="str">
        <f aca="true">IF(C30="","",IF(M30="","Нет сведений",IF(M30&lt;TODAY(),"Просрочен",IF(M30-TODAY()&lt;=30,"Истекает","В срок"))))</f>
        <v>Нет сведений</v>
      </c>
      <c r="S30" s="41" t="str">
        <f aca="false">IF(AND(N30="Да",O30=""),"Не пройдено","")</f>
        <v/>
      </c>
    </row>
    <row r="31" customFormat="false" ht="14.25" hidden="false" customHeight="false" outlineLevel="0" collapsed="false">
      <c r="A31" s="35" t="n">
        <f aca="false">IF(C31="","",ROW()-5)</f>
        <v>26</v>
      </c>
      <c r="B31" s="36" t="s">
        <v>104</v>
      </c>
      <c r="C31" s="36" t="s">
        <v>185</v>
      </c>
      <c r="D31" s="36" t="s">
        <v>171</v>
      </c>
      <c r="E31" s="36" t="s">
        <v>184</v>
      </c>
      <c r="F31" s="37" t="n">
        <v>45901</v>
      </c>
      <c r="G31" s="38" t="str">
        <f aca="false">IF(C31="","",IF(TRIM(SUBSTITUTE(SUBSTITUTE(SUBSTITUTE(SUBSTITUTE(SUBSTITUTE(SUBSTITUTE(SUBSTITUTE(SUBSTITUTE(SUBSTITUTE(SUBSTITUTE(SUBSTITUTE(LOWER(TRIM(D31)),"ё","е"),"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категории",""))="инженер",IF(AND(ISNUMBER(SEARCH("техническ",E31)),ISNUMBER(SEARCH("контрол",E31))),"инженер отк",IF(ISNUMBER(SEARCH("диспетч",E31)),"инженер пдо",TRIM(SUBSTITUTE(SUBSTITUTE(SUBSTITUTE(SUBSTITUTE(SUBSTITUTE(SUBSTITUTE(SUBSTITUTE(SUBSTITUTE(SUBSTITUTE(SUBSTITUTE(SUBSTITUTE(LOWER(TRIM(D31)),"ё","е"),"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инженер",IF(ISNUMBER(SEARCH("диспетч",E31)),"ведущий инженер пдо",TRIM(SUBSTITUTE(SUBSTITUTE(SUBSTITUTE(SUBSTITUTE(SUBSTITUTE(SUBSTITUTE(SUBSTITUTE(SUBSTITUTE(SUBSTITUTE(SUBSTITUTE(SUBSTITUTE(LOWER(TRIM(D31)),"ё","е"),"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1" s="35" t="n">
        <f aca="false">IF(C31="","",IF(AND(G31="мастер участка",ISNUMBER(SEARCH("РЭО",E31))),29,IFERROR(INDEX(Соответствие!$B$2:$B$100,MATCH(G31,Соответствие!$A$2:$A$100,0)),"?")))</f>
        <v>19</v>
      </c>
      <c r="I31" s="39" t="str">
        <f aca="false">IF(C31="","",IFERROR(INDEX(Перечень!$C$6:$C$52,MATCH(H31,Перечень!$A$6:$A$52,0)),""))</f>
        <v>п.4.3.1, п.4.3.2, п.4.4, п.5.1, п.6.2, п.15</v>
      </c>
      <c r="J31" s="35" t="n">
        <f aca="false">IF(C31="","",IFERROR(INDEX(Перечень!$D$6:$D$52,MATCH(H31,Перечень!$A$6:$A$52,0)),12))</f>
        <v>12</v>
      </c>
      <c r="K31" s="40"/>
      <c r="L31" s="40"/>
      <c r="M31" s="37" t="str">
        <f aca="false">IF(AND(K31="",L31=""),"",EDATE(MAX(K31,L31),J31))</f>
        <v/>
      </c>
      <c r="N31" s="41" t="str">
        <f aca="false">IF(C31="","",IFERROR(INDEX(Перечень!$F$6:$F$52,MATCH(H31,Перечень!$A$6:$A$52,0)),""))</f>
        <v>-</v>
      </c>
      <c r="O31" s="40"/>
      <c r="P31" s="37" t="str">
        <f aca="false">IF(O31="","",EDATE(O31,60))</f>
        <v/>
      </c>
      <c r="Q31" s="41" t="str">
        <f aca="false">IF(AND(K31&lt;&gt;"",F31&lt;&gt;"",K31&gt;F31),"Да","")</f>
        <v/>
      </c>
      <c r="R31" s="41" t="str">
        <f aca="true">IF(C31="","",IF(M31="","Нет сведений",IF(M31&lt;TODAY(),"Просрочен",IF(M31-TODAY()&lt;=30,"Истекает","В срок"))))</f>
        <v>Нет сведений</v>
      </c>
      <c r="S31" s="41" t="str">
        <f aca="false">IF(AND(N31="Да",O31=""),"Не пройдено","")</f>
        <v/>
      </c>
    </row>
    <row r="32" customFormat="false" ht="14.25" hidden="false" customHeight="false" outlineLevel="0" collapsed="false">
      <c r="A32" s="35" t="n">
        <f aca="false">IF(C32="","",ROW()-5)</f>
        <v>27</v>
      </c>
      <c r="B32" s="36" t="s">
        <v>104</v>
      </c>
      <c r="C32" s="36" t="s">
        <v>186</v>
      </c>
      <c r="D32" s="36" t="s">
        <v>171</v>
      </c>
      <c r="E32" s="36" t="s">
        <v>184</v>
      </c>
      <c r="F32" s="37" t="n">
        <v>46141</v>
      </c>
      <c r="G32" s="38" t="str">
        <f aca="false">IF(C32="","",IF(TRIM(SUBSTITUTE(SUBSTITUTE(SUBSTITUTE(SUBSTITUTE(SUBSTITUTE(SUBSTITUTE(SUBSTITUTE(SUBSTITUTE(SUBSTITUTE(SUBSTITUTE(SUBSTITUTE(LOWER(TRIM(D32)),"ё","е"),"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категории",""))="инженер",IF(AND(ISNUMBER(SEARCH("техническ",E32)),ISNUMBER(SEARCH("контрол",E32))),"инженер отк",IF(ISNUMBER(SEARCH("диспетч",E32)),"инженер пдо",TRIM(SUBSTITUTE(SUBSTITUTE(SUBSTITUTE(SUBSTITUTE(SUBSTITUTE(SUBSTITUTE(SUBSTITUTE(SUBSTITUTE(SUBSTITUTE(SUBSTITUTE(SUBSTITUTE(LOWER(TRIM(D32)),"ё","е"),"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инженер",IF(ISNUMBER(SEARCH("диспетч",E32)),"ведущий инженер пдо",TRIM(SUBSTITUTE(SUBSTITUTE(SUBSTITUTE(SUBSTITUTE(SUBSTITUTE(SUBSTITUTE(SUBSTITUTE(SUBSTITUTE(SUBSTITUTE(SUBSTITUTE(SUBSTITUTE(LOWER(TRIM(D32)),"ё","е"),"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2" s="35" t="n">
        <f aca="false">IF(C32="","",IF(AND(G32="мастер участка",ISNUMBER(SEARCH("РЭО",E32))),29,IFERROR(INDEX(Соответствие!$B$2:$B$100,MATCH(G32,Соответствие!$A$2:$A$100,0)),"?")))</f>
        <v>19</v>
      </c>
      <c r="I32" s="39" t="str">
        <f aca="false">IF(C32="","",IFERROR(INDEX(Перечень!$C$6:$C$52,MATCH(H32,Перечень!$A$6:$A$52,0)),""))</f>
        <v>п.4.3.1, п.4.3.2, п.4.4, п.5.1, п.6.2, п.15</v>
      </c>
      <c r="J32" s="35" t="n">
        <f aca="false">IF(C32="","",IFERROR(INDEX(Перечень!$D$6:$D$52,MATCH(H32,Перечень!$A$6:$A$52,0)),12))</f>
        <v>12</v>
      </c>
      <c r="K32" s="40"/>
      <c r="L32" s="40"/>
      <c r="M32" s="37" t="str">
        <f aca="false">IF(AND(K32="",L32=""),"",EDATE(MAX(K32,L32),J32))</f>
        <v/>
      </c>
      <c r="N32" s="41" t="str">
        <f aca="false">IF(C32="","",IFERROR(INDEX(Перечень!$F$6:$F$52,MATCH(H32,Перечень!$A$6:$A$52,0)),""))</f>
        <v>-</v>
      </c>
      <c r="O32" s="40"/>
      <c r="P32" s="37" t="str">
        <f aca="false">IF(O32="","",EDATE(O32,60))</f>
        <v/>
      </c>
      <c r="Q32" s="41" t="str">
        <f aca="false">IF(AND(K32&lt;&gt;"",F32&lt;&gt;"",K32&gt;F32),"Да","")</f>
        <v/>
      </c>
      <c r="R32" s="41" t="str">
        <f aca="true">IF(C32="","",IF(M32="","Нет сведений",IF(M32&lt;TODAY(),"Просрочен",IF(M32-TODAY()&lt;=30,"Истекает","В срок"))))</f>
        <v>Нет сведений</v>
      </c>
      <c r="S32" s="41" t="str">
        <f aca="false">IF(AND(N32="Да",O32=""),"Не пройдено","")</f>
        <v/>
      </c>
    </row>
    <row r="33" customFormat="false" ht="14.25" hidden="false" customHeight="false" outlineLevel="0" collapsed="false">
      <c r="A33" s="35" t="n">
        <f aca="false">IF(C33="","",ROW()-5)</f>
        <v>28</v>
      </c>
      <c r="B33" s="36" t="s">
        <v>104</v>
      </c>
      <c r="C33" s="36" t="s">
        <v>187</v>
      </c>
      <c r="D33" s="36" t="s">
        <v>171</v>
      </c>
      <c r="E33" s="36" t="s">
        <v>184</v>
      </c>
      <c r="F33" s="37" t="n">
        <v>45551</v>
      </c>
      <c r="G33" s="38" t="str">
        <f aca="false">IF(C33="","",IF(TRIM(SUBSTITUTE(SUBSTITUTE(SUBSTITUTE(SUBSTITUTE(SUBSTITUTE(SUBSTITUTE(SUBSTITUTE(SUBSTITUTE(SUBSTITUTE(SUBSTITUTE(SUBSTITUTE(LOWER(TRIM(D33)),"ё","е"),"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категории",""))="инженер",IF(AND(ISNUMBER(SEARCH("техническ",E33)),ISNUMBER(SEARCH("контрол",E33))),"инженер отк",IF(ISNUMBER(SEARCH("диспетч",E33)),"инженер пдо",TRIM(SUBSTITUTE(SUBSTITUTE(SUBSTITUTE(SUBSTITUTE(SUBSTITUTE(SUBSTITUTE(SUBSTITUTE(SUBSTITUTE(SUBSTITUTE(SUBSTITUTE(SUBSTITUTE(LOWER(TRIM(D33)),"ё","е"),"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инженер",IF(ISNUMBER(SEARCH("диспетч",E33)),"ведущий инженер пдо",TRIM(SUBSTITUTE(SUBSTITUTE(SUBSTITUTE(SUBSTITUTE(SUBSTITUTE(SUBSTITUTE(SUBSTITUTE(SUBSTITUTE(SUBSTITUTE(SUBSTITUTE(SUBSTITUTE(LOWER(TRIM(D33)),"ё","е"),"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3" s="35" t="n">
        <f aca="false">IF(C33="","",IF(AND(G33="мастер участка",ISNUMBER(SEARCH("РЭО",E33))),29,IFERROR(INDEX(Соответствие!$B$2:$B$100,MATCH(G33,Соответствие!$A$2:$A$100,0)),"?")))</f>
        <v>19</v>
      </c>
      <c r="I33" s="39" t="str">
        <f aca="false">IF(C33="","",IFERROR(INDEX(Перечень!$C$6:$C$52,MATCH(H33,Перечень!$A$6:$A$52,0)),""))</f>
        <v>п.4.3.1, п.4.3.2, п.4.4, п.5.1, п.6.2, п.15</v>
      </c>
      <c r="J33" s="35" t="n">
        <f aca="false">IF(C33="","",IFERROR(INDEX(Перечень!$D$6:$D$52,MATCH(H33,Перечень!$A$6:$A$52,0)),12))</f>
        <v>12</v>
      </c>
      <c r="K33" s="40"/>
      <c r="L33" s="40"/>
      <c r="M33" s="37" t="str">
        <f aca="false">IF(AND(K33="",L33=""),"",EDATE(MAX(K33,L33),J33))</f>
        <v/>
      </c>
      <c r="N33" s="41" t="str">
        <f aca="false">IF(C33="","",IFERROR(INDEX(Перечень!$F$6:$F$52,MATCH(H33,Перечень!$A$6:$A$52,0)),""))</f>
        <v>-</v>
      </c>
      <c r="O33" s="40"/>
      <c r="P33" s="37" t="str">
        <f aca="false">IF(O33="","",EDATE(O33,60))</f>
        <v/>
      </c>
      <c r="Q33" s="41" t="str">
        <f aca="false">IF(AND(K33&lt;&gt;"",F33&lt;&gt;"",K33&gt;F33),"Да","")</f>
        <v/>
      </c>
      <c r="R33" s="41" t="str">
        <f aca="true">IF(C33="","",IF(M33="","Нет сведений",IF(M33&lt;TODAY(),"Просрочен",IF(M33-TODAY()&lt;=30,"Истекает","В срок"))))</f>
        <v>Нет сведений</v>
      </c>
      <c r="S33" s="41" t="str">
        <f aca="false">IF(AND(N33="Да",O33=""),"Не пройдено","")</f>
        <v/>
      </c>
    </row>
    <row r="34" customFormat="false" ht="14.25" hidden="false" customHeight="false" outlineLevel="0" collapsed="false">
      <c r="A34" s="35" t="n">
        <f aca="false">IF(C34="","",ROW()-5)</f>
        <v>29</v>
      </c>
      <c r="B34" s="36" t="s">
        <v>104</v>
      </c>
      <c r="C34" s="36" t="s">
        <v>188</v>
      </c>
      <c r="D34" s="36" t="s">
        <v>171</v>
      </c>
      <c r="E34" s="36" t="s">
        <v>184</v>
      </c>
      <c r="F34" s="37" t="n">
        <v>46043</v>
      </c>
      <c r="G34" s="38" t="str">
        <f aca="false">IF(C34="","",IF(TRIM(SUBSTITUTE(SUBSTITUTE(SUBSTITUTE(SUBSTITUTE(SUBSTITUTE(SUBSTITUTE(SUBSTITUTE(SUBSTITUTE(SUBSTITUTE(SUBSTITUTE(SUBSTITUTE(LOWER(TRIM(D34)),"ё","е"),"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категории",""))="инженер",IF(AND(ISNUMBER(SEARCH("техническ",E34)),ISNUMBER(SEARCH("контрол",E34))),"инженер отк",IF(ISNUMBER(SEARCH("диспетч",E34)),"инженер пдо",TRIM(SUBSTITUTE(SUBSTITUTE(SUBSTITUTE(SUBSTITUTE(SUBSTITUTE(SUBSTITUTE(SUBSTITUTE(SUBSTITUTE(SUBSTITUTE(SUBSTITUTE(SUBSTITUTE(LOWER(TRIM(D34)),"ё","е"),"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инженер",IF(ISNUMBER(SEARCH("диспетч",E34)),"ведущий инженер пдо",TRIM(SUBSTITUTE(SUBSTITUTE(SUBSTITUTE(SUBSTITUTE(SUBSTITUTE(SUBSTITUTE(SUBSTITUTE(SUBSTITUTE(SUBSTITUTE(SUBSTITUTE(SUBSTITUTE(LOWER(TRIM(D34)),"ё","е"),"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4" s="35" t="n">
        <f aca="false">IF(C34="","",IF(AND(G34="мастер участка",ISNUMBER(SEARCH("РЭО",E34))),29,IFERROR(INDEX(Соответствие!$B$2:$B$100,MATCH(G34,Соответствие!$A$2:$A$100,0)),"?")))</f>
        <v>19</v>
      </c>
      <c r="I34" s="39" t="str">
        <f aca="false">IF(C34="","",IFERROR(INDEX(Перечень!$C$6:$C$52,MATCH(H34,Перечень!$A$6:$A$52,0)),""))</f>
        <v>п.4.3.1, п.4.3.2, п.4.4, п.5.1, п.6.2, п.15</v>
      </c>
      <c r="J34" s="35" t="n">
        <f aca="false">IF(C34="","",IFERROR(INDEX(Перечень!$D$6:$D$52,MATCH(H34,Перечень!$A$6:$A$52,0)),12))</f>
        <v>12</v>
      </c>
      <c r="K34" s="40"/>
      <c r="L34" s="40"/>
      <c r="M34" s="37" t="str">
        <f aca="false">IF(AND(K34="",L34=""),"",EDATE(MAX(K34,L34),J34))</f>
        <v/>
      </c>
      <c r="N34" s="41" t="str">
        <f aca="false">IF(C34="","",IFERROR(INDEX(Перечень!$F$6:$F$52,MATCH(H34,Перечень!$A$6:$A$52,0)),""))</f>
        <v>-</v>
      </c>
      <c r="O34" s="40"/>
      <c r="P34" s="37" t="str">
        <f aca="false">IF(O34="","",EDATE(O34,60))</f>
        <v/>
      </c>
      <c r="Q34" s="41" t="str">
        <f aca="false">IF(AND(K34&lt;&gt;"",F34&lt;&gt;"",K34&gt;F34),"Да","")</f>
        <v/>
      </c>
      <c r="R34" s="41" t="str">
        <f aca="true">IF(C34="","",IF(M34="","Нет сведений",IF(M34&lt;TODAY(),"Просрочен",IF(M34-TODAY()&lt;=30,"Истекает","В срок"))))</f>
        <v>Нет сведений</v>
      </c>
      <c r="S34" s="41" t="str">
        <f aca="false">IF(AND(N34="Да",O34=""),"Не пройдено","")</f>
        <v/>
      </c>
    </row>
    <row r="35" customFormat="false" ht="14.25" hidden="false" customHeight="false" outlineLevel="0" collapsed="false">
      <c r="A35" s="35" t="n">
        <f aca="false">IF(C35="","",ROW()-5)</f>
        <v>30</v>
      </c>
      <c r="B35" s="36" t="s">
        <v>104</v>
      </c>
      <c r="C35" s="36" t="s">
        <v>189</v>
      </c>
      <c r="D35" s="36" t="s">
        <v>171</v>
      </c>
      <c r="E35" s="36" t="s">
        <v>184</v>
      </c>
      <c r="F35" s="37" t="n">
        <v>45614</v>
      </c>
      <c r="G35" s="38" t="str">
        <f aca="false">IF(C35="","",IF(TRIM(SUBSTITUTE(SUBSTITUTE(SUBSTITUTE(SUBSTITUTE(SUBSTITUTE(SUBSTITUTE(SUBSTITUTE(SUBSTITUTE(SUBSTITUTE(SUBSTITUTE(SUBSTITUTE(LOWER(TRIM(D35)),"ё","е"),"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категории",""))="инженер",IF(AND(ISNUMBER(SEARCH("техническ",E35)),ISNUMBER(SEARCH("контрол",E35))),"инженер отк",IF(ISNUMBER(SEARCH("диспетч",E35)),"инженер пдо",TRIM(SUBSTITUTE(SUBSTITUTE(SUBSTITUTE(SUBSTITUTE(SUBSTITUTE(SUBSTITUTE(SUBSTITUTE(SUBSTITUTE(SUBSTITUTE(SUBSTITUTE(SUBSTITUTE(LOWER(TRIM(D35)),"ё","е"),"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инженер",IF(ISNUMBER(SEARCH("диспетч",E35)),"ведущий инженер пдо",TRIM(SUBSTITUTE(SUBSTITUTE(SUBSTITUTE(SUBSTITUTE(SUBSTITUTE(SUBSTITUTE(SUBSTITUTE(SUBSTITUTE(SUBSTITUTE(SUBSTITUTE(SUBSTITUTE(LOWER(TRIM(D35)),"ё","е"),"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5" s="35" t="n">
        <f aca="false">IF(C35="","",IF(AND(G35="мастер участка",ISNUMBER(SEARCH("РЭО",E35))),29,IFERROR(INDEX(Соответствие!$B$2:$B$100,MATCH(G35,Соответствие!$A$2:$A$100,0)),"?")))</f>
        <v>19</v>
      </c>
      <c r="I35" s="39" t="str">
        <f aca="false">IF(C35="","",IFERROR(INDEX(Перечень!$C$6:$C$52,MATCH(H35,Перечень!$A$6:$A$52,0)),""))</f>
        <v>п.4.3.1, п.4.3.2, п.4.4, п.5.1, п.6.2, п.15</v>
      </c>
      <c r="J35" s="35" t="n">
        <f aca="false">IF(C35="","",IFERROR(INDEX(Перечень!$D$6:$D$52,MATCH(H35,Перечень!$A$6:$A$52,0)),12))</f>
        <v>12</v>
      </c>
      <c r="K35" s="40"/>
      <c r="L35" s="40"/>
      <c r="M35" s="37" t="str">
        <f aca="false">IF(AND(K35="",L35=""),"",EDATE(MAX(K35,L35),J35))</f>
        <v/>
      </c>
      <c r="N35" s="41" t="str">
        <f aca="false">IF(C35="","",IFERROR(INDEX(Перечень!$F$6:$F$52,MATCH(H35,Перечень!$A$6:$A$52,0)),""))</f>
        <v>-</v>
      </c>
      <c r="O35" s="40"/>
      <c r="P35" s="37" t="str">
        <f aca="false">IF(O35="","",EDATE(O35,60))</f>
        <v/>
      </c>
      <c r="Q35" s="41" t="str">
        <f aca="false">IF(AND(K35&lt;&gt;"",F35&lt;&gt;"",K35&gt;F35),"Да","")</f>
        <v/>
      </c>
      <c r="R35" s="41" t="str">
        <f aca="true">IF(C35="","",IF(M35="","Нет сведений",IF(M35&lt;TODAY(),"Просрочен",IF(M35-TODAY()&lt;=30,"Истекает","В срок"))))</f>
        <v>Нет сведений</v>
      </c>
      <c r="S35" s="41" t="str">
        <f aca="false">IF(AND(N35="Да",O35=""),"Не пройдено","")</f>
        <v/>
      </c>
    </row>
    <row r="36" customFormat="false" ht="14.25" hidden="false" customHeight="false" outlineLevel="0" collapsed="false">
      <c r="A36" s="35" t="n">
        <f aca="false">IF(C36="","",ROW()-5)</f>
        <v>31</v>
      </c>
      <c r="B36" s="36" t="s">
        <v>104</v>
      </c>
      <c r="C36" s="36" t="s">
        <v>190</v>
      </c>
      <c r="D36" s="36" t="s">
        <v>171</v>
      </c>
      <c r="E36" s="36" t="s">
        <v>184</v>
      </c>
      <c r="F36" s="37" t="n">
        <v>45911</v>
      </c>
      <c r="G36" s="38" t="str">
        <f aca="false">IF(C36="","",IF(TRIM(SUBSTITUTE(SUBSTITUTE(SUBSTITUTE(SUBSTITUTE(SUBSTITUTE(SUBSTITUTE(SUBSTITUTE(SUBSTITUTE(SUBSTITUTE(SUBSTITUTE(SUBSTITUTE(LOWER(TRIM(D36)),"ё","е"),"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категории",""))="инженер",IF(AND(ISNUMBER(SEARCH("техническ",E36)),ISNUMBER(SEARCH("контрол",E36))),"инженер отк",IF(ISNUMBER(SEARCH("диспетч",E36)),"инженер пдо",TRIM(SUBSTITUTE(SUBSTITUTE(SUBSTITUTE(SUBSTITUTE(SUBSTITUTE(SUBSTITUTE(SUBSTITUTE(SUBSTITUTE(SUBSTITUTE(SUBSTITUTE(SUBSTITUTE(LOWER(TRIM(D36)),"ё","е"),"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инженер",IF(ISNUMBER(SEARCH("диспетч",E36)),"ведущий инженер пдо",TRIM(SUBSTITUTE(SUBSTITUTE(SUBSTITUTE(SUBSTITUTE(SUBSTITUTE(SUBSTITUTE(SUBSTITUTE(SUBSTITUTE(SUBSTITUTE(SUBSTITUTE(SUBSTITUTE(LOWER(TRIM(D36)),"ё","е"),"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6" s="35" t="n">
        <f aca="false">IF(C36="","",IF(AND(G36="мастер участка",ISNUMBER(SEARCH("РЭО",E36))),29,IFERROR(INDEX(Соответствие!$B$2:$B$100,MATCH(G36,Соответствие!$A$2:$A$100,0)),"?")))</f>
        <v>19</v>
      </c>
      <c r="I36" s="39" t="str">
        <f aca="false">IF(C36="","",IFERROR(INDEX(Перечень!$C$6:$C$52,MATCH(H36,Перечень!$A$6:$A$52,0)),""))</f>
        <v>п.4.3.1, п.4.3.2, п.4.4, п.5.1, п.6.2, п.15</v>
      </c>
      <c r="J36" s="35" t="n">
        <f aca="false">IF(C36="","",IFERROR(INDEX(Перечень!$D$6:$D$52,MATCH(H36,Перечень!$A$6:$A$52,0)),12))</f>
        <v>12</v>
      </c>
      <c r="K36" s="40"/>
      <c r="L36" s="40"/>
      <c r="M36" s="37" t="str">
        <f aca="false">IF(AND(K36="",L36=""),"",EDATE(MAX(K36,L36),J36))</f>
        <v/>
      </c>
      <c r="N36" s="41" t="str">
        <f aca="false">IF(C36="","",IFERROR(INDEX(Перечень!$F$6:$F$52,MATCH(H36,Перечень!$A$6:$A$52,0)),""))</f>
        <v>-</v>
      </c>
      <c r="O36" s="40"/>
      <c r="P36" s="37" t="str">
        <f aca="false">IF(O36="","",EDATE(O36,60))</f>
        <v/>
      </c>
      <c r="Q36" s="41" t="str">
        <f aca="false">IF(AND(K36&lt;&gt;"",F36&lt;&gt;"",K36&gt;F36),"Да","")</f>
        <v/>
      </c>
      <c r="R36" s="41" t="str">
        <f aca="true">IF(C36="","",IF(M36="","Нет сведений",IF(M36&lt;TODAY(),"Просрочен",IF(M36-TODAY()&lt;=30,"Истекает","В срок"))))</f>
        <v>Нет сведений</v>
      </c>
      <c r="S36" s="41" t="str">
        <f aca="false">IF(AND(N36="Да",O36=""),"Не пройдено","")</f>
        <v/>
      </c>
    </row>
    <row r="37" customFormat="false" ht="14.25" hidden="false" customHeight="false" outlineLevel="0" collapsed="false">
      <c r="A37" s="35" t="n">
        <f aca="false">IF(C37="","",ROW()-5)</f>
        <v>32</v>
      </c>
      <c r="B37" s="36" t="s">
        <v>104</v>
      </c>
      <c r="C37" s="36" t="s">
        <v>191</v>
      </c>
      <c r="D37" s="36" t="s">
        <v>171</v>
      </c>
      <c r="E37" s="36" t="s">
        <v>184</v>
      </c>
      <c r="F37" s="37" t="n">
        <v>45817</v>
      </c>
      <c r="G37" s="38" t="str">
        <f aca="false">IF(C37="","",IF(TRIM(SUBSTITUTE(SUBSTITUTE(SUBSTITUTE(SUBSTITUTE(SUBSTITUTE(SUBSTITUTE(SUBSTITUTE(SUBSTITUTE(SUBSTITUTE(SUBSTITUTE(SUBSTITUTE(LOWER(TRIM(D37)),"ё","е"),"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категории",""))="инженер",IF(AND(ISNUMBER(SEARCH("техническ",E37)),ISNUMBER(SEARCH("контрол",E37))),"инженер отк",IF(ISNUMBER(SEARCH("диспетч",E37)),"инженер пдо",TRIM(SUBSTITUTE(SUBSTITUTE(SUBSTITUTE(SUBSTITUTE(SUBSTITUTE(SUBSTITUTE(SUBSTITUTE(SUBSTITUTE(SUBSTITUTE(SUBSTITUTE(SUBSTITUTE(LOWER(TRIM(D37)),"ё","е"),"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инженер",IF(ISNUMBER(SEARCH("диспетч",E37)),"ведущий инженер пдо",TRIM(SUBSTITUTE(SUBSTITUTE(SUBSTITUTE(SUBSTITUTE(SUBSTITUTE(SUBSTITUTE(SUBSTITUTE(SUBSTITUTE(SUBSTITUTE(SUBSTITUTE(SUBSTITUTE(LOWER(TRIM(D37)),"ё","е"),"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отк",TRIM(SUBSTITUTE(SUBSTITUTE(SUBSTITUTE(SUBSTITUTE(SUBSTITUTE(SUBSTITUTE(SUBSTITUTE(SUBSTITUTE(SUBSTITUTE(SUBSTITUTE(SUBSTITUTE(LOWER(TRIM(D37)),"ё","е"),"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7" s="35" t="n">
        <f aca="false">IF(C37="","",IF(AND(G37="мастер участка",ISNUMBER(SEARCH("РЭО",E37))),29,IFERROR(INDEX(Соответствие!$B$2:$B$100,MATCH(G37,Соответствие!$A$2:$A$100,0)),"?")))</f>
        <v>19</v>
      </c>
      <c r="I37" s="39" t="str">
        <f aca="false">IF(C37="","",IFERROR(INDEX(Перечень!$C$6:$C$52,MATCH(H37,Перечень!$A$6:$A$52,0)),""))</f>
        <v>п.4.3.1, п.4.3.2, п.4.4, п.5.1, п.6.2, п.15</v>
      </c>
      <c r="J37" s="35" t="n">
        <f aca="false">IF(C37="","",IFERROR(INDEX(Перечень!$D$6:$D$52,MATCH(H37,Перечень!$A$6:$A$52,0)),12))</f>
        <v>12</v>
      </c>
      <c r="K37" s="40" t="n">
        <v>45813</v>
      </c>
      <c r="L37" s="40"/>
      <c r="M37" s="37" t="n">
        <f aca="false">IF(AND(K37="",L37=""),"",EDATE(MAX(K37,L37),J37))</f>
        <v>46178</v>
      </c>
      <c r="N37" s="41" t="str">
        <f aca="false">IF(C37="","",IFERROR(INDEX(Перечень!$F$6:$F$52,MATCH(H37,Перечень!$A$6:$A$52,0)),""))</f>
        <v>-</v>
      </c>
      <c r="O37" s="40"/>
      <c r="P37" s="37" t="str">
        <f aca="false">IF(O37="","",EDATE(O37,60))</f>
        <v/>
      </c>
      <c r="Q37" s="41" t="str">
        <f aca="false">IF(AND(K37&lt;&gt;"",F37&lt;&gt;"",K37&gt;F37),"Да","")</f>
        <v/>
      </c>
      <c r="R37" s="41" t="str">
        <f aca="true">IF(C37="","",IF(M37="","Нет сведений",IF(M37&lt;TODAY(),"Просрочен",IF(M37-TODAY()&lt;=30,"Истекает","В срок"))))</f>
        <v>Просрочен</v>
      </c>
      <c r="S37" s="41" t="str">
        <f aca="false">IF(AND(N37="Да",O37=""),"Не пройдено","")</f>
        <v/>
      </c>
    </row>
    <row r="38" customFormat="false" ht="14.25" hidden="false" customHeight="false" outlineLevel="0" collapsed="false">
      <c r="A38" s="35" t="n">
        <f aca="false">IF(C38="","",ROW()-5)</f>
        <v>33</v>
      </c>
      <c r="B38" s="36" t="s">
        <v>104</v>
      </c>
      <c r="C38" s="36" t="s">
        <v>192</v>
      </c>
      <c r="D38" s="36" t="s">
        <v>171</v>
      </c>
      <c r="E38" s="36" t="s">
        <v>184</v>
      </c>
      <c r="F38" s="37" t="n">
        <v>45782</v>
      </c>
      <c r="G38" s="38" t="str">
        <f aca="false">IF(C38="","",IF(TRIM(SUBSTITUTE(SUBSTITUTE(SUBSTITUTE(SUBSTITUTE(SUBSTITUTE(SUBSTITUTE(SUBSTITUTE(SUBSTITUTE(SUBSTITUTE(SUBSTITUTE(SUBSTITUTE(LOWER(TRIM(D38)),"ё","е"),"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категории",""))="инженер",IF(AND(ISNUMBER(SEARCH("техническ",E38)),ISNUMBER(SEARCH("контрол",E38))),"инженер отк",IF(ISNUMBER(SEARCH("диспетч",E38)),"инженер пдо",TRIM(SUBSTITUTE(SUBSTITUTE(SUBSTITUTE(SUBSTITUTE(SUBSTITUTE(SUBSTITUTE(SUBSTITUTE(SUBSTITUTE(SUBSTITUTE(SUBSTITUTE(SUBSTITUTE(LOWER(TRIM(D38)),"ё","е"),"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инженер",IF(ISNUMBER(SEARCH("диспетч",E38)),"ведущий инженер пдо",TRIM(SUBSTITUTE(SUBSTITUTE(SUBSTITUTE(SUBSTITUTE(SUBSTITUTE(SUBSTITUTE(SUBSTITUTE(SUBSTITUTE(SUBSTITUTE(SUBSTITUTE(SUBSTITUTE(LOWER(TRIM(D38)),"ё","е"),"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отк",TRIM(SUBSTITUTE(SUBSTITUTE(SUBSTITUTE(SUBSTITUTE(SUBSTITUTE(SUBSTITUTE(SUBSTITUTE(SUBSTITUTE(SUBSTITUTE(SUBSTITUTE(SUBSTITUTE(LOWER(TRIM(D38)),"ё","е"),"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8" s="35" t="n">
        <f aca="false">IF(C38="","",IF(AND(G38="мастер участка",ISNUMBER(SEARCH("РЭО",E38))),29,IFERROR(INDEX(Соответствие!$B$2:$B$100,MATCH(G38,Соответствие!$A$2:$A$100,0)),"?")))</f>
        <v>19</v>
      </c>
      <c r="I38" s="39" t="str">
        <f aca="false">IF(C38="","",IFERROR(INDEX(Перечень!$C$6:$C$52,MATCH(H38,Перечень!$A$6:$A$52,0)),""))</f>
        <v>п.4.3.1, п.4.3.2, п.4.4, п.5.1, п.6.2, п.15</v>
      </c>
      <c r="J38" s="35" t="n">
        <f aca="false">IF(C38="","",IFERROR(INDEX(Перечень!$D$6:$D$52,MATCH(H38,Перечень!$A$6:$A$52,0)),12))</f>
        <v>12</v>
      </c>
      <c r="K38" s="40"/>
      <c r="L38" s="40"/>
      <c r="M38" s="37" t="str">
        <f aca="false">IF(AND(K38="",L38=""),"",EDATE(MAX(K38,L38),J38))</f>
        <v/>
      </c>
      <c r="N38" s="41" t="str">
        <f aca="false">IF(C38="","",IFERROR(INDEX(Перечень!$F$6:$F$52,MATCH(H38,Перечень!$A$6:$A$52,0)),""))</f>
        <v>-</v>
      </c>
      <c r="O38" s="40"/>
      <c r="P38" s="37" t="str">
        <f aca="false">IF(O38="","",EDATE(O38,60))</f>
        <v/>
      </c>
      <c r="Q38" s="41" t="str">
        <f aca="false">IF(AND(K38&lt;&gt;"",F38&lt;&gt;"",K38&gt;F38),"Да","")</f>
        <v/>
      </c>
      <c r="R38" s="41" t="str">
        <f aca="true">IF(C38="","",IF(M38="","Нет сведений",IF(M38&lt;TODAY(),"Просрочен",IF(M38-TODAY()&lt;=30,"Истекает","В срок"))))</f>
        <v>Нет сведений</v>
      </c>
      <c r="S38" s="41" t="str">
        <f aca="false">IF(AND(N38="Да",O38=""),"Не пройдено","")</f>
        <v/>
      </c>
    </row>
    <row r="39" customFormat="false" ht="14.25" hidden="false" customHeight="false" outlineLevel="0" collapsed="false">
      <c r="A39" s="35" t="n">
        <f aca="false">IF(C39="","",ROW()-5)</f>
        <v>34</v>
      </c>
      <c r="B39" s="36" t="s">
        <v>104</v>
      </c>
      <c r="C39" s="36" t="s">
        <v>193</v>
      </c>
      <c r="D39" s="36" t="s">
        <v>171</v>
      </c>
      <c r="E39" s="36" t="s">
        <v>184</v>
      </c>
      <c r="F39" s="37" t="n">
        <v>46073</v>
      </c>
      <c r="G39" s="38" t="str">
        <f aca="false">IF(C39="","",IF(TRIM(SUBSTITUTE(SUBSTITUTE(SUBSTITUTE(SUBSTITUTE(SUBSTITUTE(SUBSTITUTE(SUBSTITUTE(SUBSTITUTE(SUBSTITUTE(SUBSTITUTE(SUBSTITUTE(LOWER(TRIM(D39)),"ё","е"),"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категории",""))="инженер",IF(AND(ISNUMBER(SEARCH("техническ",E39)),ISNUMBER(SEARCH("контрол",E39))),"инженер отк",IF(ISNUMBER(SEARCH("диспетч",E39)),"инженер пдо",TRIM(SUBSTITUTE(SUBSTITUTE(SUBSTITUTE(SUBSTITUTE(SUBSTITUTE(SUBSTITUTE(SUBSTITUTE(SUBSTITUTE(SUBSTITUTE(SUBSTITUTE(SUBSTITUTE(LOWER(TRIM(D39)),"ё","е"),"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инженер",IF(ISNUMBER(SEARCH("диспетч",E39)),"ведущий инженер пдо",TRIM(SUBSTITUTE(SUBSTITUTE(SUBSTITUTE(SUBSTITUTE(SUBSTITUTE(SUBSTITUTE(SUBSTITUTE(SUBSTITUTE(SUBSTITUTE(SUBSTITUTE(SUBSTITUTE(LOWER(TRIM(D39)),"ё","е"),"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отк",TRIM(SUBSTITUTE(SUBSTITUTE(SUBSTITUTE(SUBSTITUTE(SUBSTITUTE(SUBSTITUTE(SUBSTITUTE(SUBSTITUTE(SUBSTITUTE(SUBSTITUTE(SUBSTITUTE(LOWER(TRIM(D39)),"ё","е"),"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9" s="35" t="n">
        <f aca="false">IF(C39="","",IF(AND(G39="мастер участка",ISNUMBER(SEARCH("РЭО",E39))),29,IFERROR(INDEX(Соответствие!$B$2:$B$100,MATCH(G39,Соответствие!$A$2:$A$100,0)),"?")))</f>
        <v>19</v>
      </c>
      <c r="I39" s="39" t="str">
        <f aca="false">IF(C39="","",IFERROR(INDEX(Перечень!$C$6:$C$52,MATCH(H39,Перечень!$A$6:$A$52,0)),""))</f>
        <v>п.4.3.1, п.4.3.2, п.4.4, п.5.1, п.6.2, п.15</v>
      </c>
      <c r="J39" s="35" t="n">
        <f aca="false">IF(C39="","",IFERROR(INDEX(Перечень!$D$6:$D$52,MATCH(H39,Перечень!$A$6:$A$52,0)),12))</f>
        <v>12</v>
      </c>
      <c r="K39" s="40" t="n">
        <v>46059</v>
      </c>
      <c r="L39" s="40"/>
      <c r="M39" s="37" t="n">
        <f aca="false">IF(AND(K39="",L39=""),"",EDATE(MAX(K39,L39),J39))</f>
        <v>46424</v>
      </c>
      <c r="N39" s="41" t="str">
        <f aca="false">IF(C39="","",IFERROR(INDEX(Перечень!$F$6:$F$52,MATCH(H39,Перечень!$A$6:$A$52,0)),""))</f>
        <v>-</v>
      </c>
      <c r="O39" s="40"/>
      <c r="P39" s="37" t="str">
        <f aca="false">IF(O39="","",EDATE(O39,60))</f>
        <v/>
      </c>
      <c r="Q39" s="41" t="str">
        <f aca="false">IF(AND(K39&lt;&gt;"",F39&lt;&gt;"",K39&gt;F39),"Да","")</f>
        <v/>
      </c>
      <c r="R39" s="41" t="str">
        <f aca="true">IF(C39="","",IF(M39="","Нет сведений",IF(M39&lt;TODAY(),"Просрочен",IF(M39-TODAY()&lt;=30,"Истекает","В срок"))))</f>
        <v>В срок</v>
      </c>
      <c r="S39" s="41" t="str">
        <f aca="false">IF(AND(N39="Да",O39=""),"Не пройдено","")</f>
        <v/>
      </c>
    </row>
    <row r="40" customFormat="false" ht="14.25" hidden="false" customHeight="false" outlineLevel="0" collapsed="false">
      <c r="A40" s="35" t="n">
        <f aca="false">IF(C40="","",ROW()-5)</f>
        <v>35</v>
      </c>
      <c r="B40" s="36" t="s">
        <v>104</v>
      </c>
      <c r="C40" s="36" t="s">
        <v>194</v>
      </c>
      <c r="D40" s="36" t="s">
        <v>171</v>
      </c>
      <c r="E40" s="36" t="s">
        <v>184</v>
      </c>
      <c r="F40" s="37" t="n">
        <v>45847</v>
      </c>
      <c r="G40" s="38" t="str">
        <f aca="false">IF(C40="","",IF(TRIM(SUBSTITUTE(SUBSTITUTE(SUBSTITUTE(SUBSTITUTE(SUBSTITUTE(SUBSTITUTE(SUBSTITUTE(SUBSTITUTE(SUBSTITUTE(SUBSTITUTE(SUBSTITUTE(LOWER(TRIM(D40)),"ё","е"),"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категории",""))="инженер",IF(AND(ISNUMBER(SEARCH("техническ",E40)),ISNUMBER(SEARCH("контрол",E40))),"инженер отк",IF(ISNUMBER(SEARCH("диспетч",E40)),"инженер пдо",TRIM(SUBSTITUTE(SUBSTITUTE(SUBSTITUTE(SUBSTITUTE(SUBSTITUTE(SUBSTITUTE(SUBSTITUTE(SUBSTITUTE(SUBSTITUTE(SUBSTITUTE(SUBSTITUTE(LOWER(TRIM(D40)),"ё","е"),"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инженер",IF(ISNUMBER(SEARCH("диспетч",E40)),"ведущий инженер пдо",TRIM(SUBSTITUTE(SUBSTITUTE(SUBSTITUTE(SUBSTITUTE(SUBSTITUTE(SUBSTITUTE(SUBSTITUTE(SUBSTITUTE(SUBSTITUTE(SUBSTITUTE(SUBSTITUTE(LOWER(TRIM(D40)),"ё","е"),"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отк",TRIM(SUBSTITUTE(SUBSTITUTE(SUBSTITUTE(SUBSTITUTE(SUBSTITUTE(SUBSTITUTE(SUBSTITUTE(SUBSTITUTE(SUBSTITUTE(SUBSTITUTE(SUBSTITUTE(LOWER(TRIM(D40)),"ё","е"),"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40" s="35" t="n">
        <f aca="false">IF(C40="","",IF(AND(G40="мастер участка",ISNUMBER(SEARCH("РЭО",E40))),29,IFERROR(INDEX(Соответствие!$B$2:$B$100,MATCH(G40,Соответствие!$A$2:$A$100,0)),"?")))</f>
        <v>19</v>
      </c>
      <c r="I40" s="39" t="str">
        <f aca="false">IF(C40="","",IFERROR(INDEX(Перечень!$C$6:$C$52,MATCH(H40,Перечень!$A$6:$A$52,0)),""))</f>
        <v>п.4.3.1, п.4.3.2, п.4.4, п.5.1, п.6.2, п.15</v>
      </c>
      <c r="J40" s="35" t="n">
        <f aca="false">IF(C40="","",IFERROR(INDEX(Перечень!$D$6:$D$52,MATCH(H40,Перечень!$A$6:$A$52,0)),12))</f>
        <v>12</v>
      </c>
      <c r="K40" s="40"/>
      <c r="L40" s="40"/>
      <c r="M40" s="37" t="str">
        <f aca="false">IF(AND(K40="",L40=""),"",EDATE(MAX(K40,L40),J40))</f>
        <v/>
      </c>
      <c r="N40" s="41" t="str">
        <f aca="false">IF(C40="","",IFERROR(INDEX(Перечень!$F$6:$F$52,MATCH(H40,Перечень!$A$6:$A$52,0)),""))</f>
        <v>-</v>
      </c>
      <c r="O40" s="40"/>
      <c r="P40" s="37" t="str">
        <f aca="false">IF(O40="","",EDATE(O40,60))</f>
        <v/>
      </c>
      <c r="Q40" s="41" t="str">
        <f aca="false">IF(AND(K40&lt;&gt;"",F40&lt;&gt;"",K40&gt;F40),"Да","")</f>
        <v/>
      </c>
      <c r="R40" s="41" t="str">
        <f aca="true">IF(C40="","",IF(M40="","Нет сведений",IF(M40&lt;TODAY(),"Просрочен",IF(M40-TODAY()&lt;=30,"Истекает","В срок"))))</f>
        <v>Нет сведений</v>
      </c>
      <c r="S40" s="41" t="str">
        <f aca="false">IF(AND(N40="Да",O40=""),"Не пройдено","")</f>
        <v/>
      </c>
    </row>
    <row r="41" customFormat="false" ht="14.25" hidden="false" customHeight="false" outlineLevel="0" collapsed="false">
      <c r="A41" s="35" t="n">
        <f aca="false">IF(C41="","",ROW()-5)</f>
        <v>36</v>
      </c>
      <c r="B41" s="36" t="s">
        <v>104</v>
      </c>
      <c r="C41" s="36" t="s">
        <v>195</v>
      </c>
      <c r="D41" s="36" t="s">
        <v>171</v>
      </c>
      <c r="E41" s="36" t="s">
        <v>184</v>
      </c>
      <c r="F41" s="37" t="n">
        <v>45969</v>
      </c>
      <c r="G41" s="38" t="str">
        <f aca="false">IF(C41="","",IF(TRIM(SUBSTITUTE(SUBSTITUTE(SUBSTITUTE(SUBSTITUTE(SUBSTITUTE(SUBSTITUTE(SUBSTITUTE(SUBSTITUTE(SUBSTITUTE(SUBSTITUTE(SUBSTITUTE(LOWER(TRIM(D41)),"ё","е"),"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категории",""))="инженер",IF(AND(ISNUMBER(SEARCH("техническ",E41)),ISNUMBER(SEARCH("контрол",E41))),"инженер отк",IF(ISNUMBER(SEARCH("диспетч",E41)),"инженер пдо",TRIM(SUBSTITUTE(SUBSTITUTE(SUBSTITUTE(SUBSTITUTE(SUBSTITUTE(SUBSTITUTE(SUBSTITUTE(SUBSTITUTE(SUBSTITUTE(SUBSTITUTE(SUBSTITUTE(LOWER(TRIM(D41)),"ё","е"),"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инженер",IF(ISNUMBER(SEARCH("диспетч",E41)),"ведущий инженер пдо",TRIM(SUBSTITUTE(SUBSTITUTE(SUBSTITUTE(SUBSTITUTE(SUBSTITUTE(SUBSTITUTE(SUBSTITUTE(SUBSTITUTE(SUBSTITUTE(SUBSTITUTE(SUBSTITUTE(LOWER(TRIM(D41)),"ё","е"),"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отк",TRIM(SUBSTITUTE(SUBSTITUTE(SUBSTITUTE(SUBSTITUTE(SUBSTITUTE(SUBSTITUTE(SUBSTITUTE(SUBSTITUTE(SUBSTITUTE(SUBSTITUTE(SUBSTITUTE(LOWER(TRIM(D41)),"ё","е"),"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41" s="35" t="n">
        <f aca="false">IF(C41="","",IF(AND(G41="мастер участка",ISNUMBER(SEARCH("РЭО",E41))),29,IFERROR(INDEX(Соответствие!$B$2:$B$100,MATCH(G41,Соответствие!$A$2:$A$100,0)),"?")))</f>
        <v>19</v>
      </c>
      <c r="I41" s="39" t="str">
        <f aca="false">IF(C41="","",IFERROR(INDEX(Перечень!$C$6:$C$52,MATCH(H41,Перечень!$A$6:$A$52,0)),""))</f>
        <v>п.4.3.1, п.4.3.2, п.4.4, п.5.1, п.6.2, п.15</v>
      </c>
      <c r="J41" s="35" t="n">
        <f aca="false">IF(C41="","",IFERROR(INDEX(Перечень!$D$6:$D$52,MATCH(H41,Перечень!$A$6:$A$52,0)),12))</f>
        <v>12</v>
      </c>
      <c r="K41" s="40" t="n">
        <v>45948</v>
      </c>
      <c r="L41" s="40"/>
      <c r="M41" s="37" t="n">
        <f aca="false">IF(AND(K41="",L41=""),"",EDATE(MAX(K41,L41),J41))</f>
        <v>46313</v>
      </c>
      <c r="N41" s="41" t="str">
        <f aca="false">IF(C41="","",IFERROR(INDEX(Перечень!$F$6:$F$52,MATCH(H41,Перечень!$A$6:$A$52,0)),""))</f>
        <v>-</v>
      </c>
      <c r="O41" s="40"/>
      <c r="P41" s="37" t="str">
        <f aca="false">IF(O41="","",EDATE(O41,60))</f>
        <v/>
      </c>
      <c r="Q41" s="41" t="str">
        <f aca="false">IF(AND(K41&lt;&gt;"",F41&lt;&gt;"",K41&gt;F41),"Да","")</f>
        <v/>
      </c>
      <c r="R41" s="41" t="str">
        <f aca="true">IF(C41="","",IF(M41="","Нет сведений",IF(M41&lt;TODAY(),"Просрочен",IF(M41-TODAY()&lt;=30,"Истекает","В срок"))))</f>
        <v>Просрочен</v>
      </c>
      <c r="S41" s="41" t="str">
        <f aca="false">IF(AND(N41="Да",O41=""),"Не пройдено","")</f>
        <v/>
      </c>
    </row>
    <row r="42" customFormat="false" ht="14.25" hidden="false" customHeight="false" outlineLevel="0" collapsed="false">
      <c r="A42" s="35" t="n">
        <f aca="false">IF(C42="","",ROW()-5)</f>
        <v>37</v>
      </c>
      <c r="B42" s="36" t="s">
        <v>104</v>
      </c>
      <c r="C42" s="36" t="s">
        <v>196</v>
      </c>
      <c r="D42" s="36" t="s">
        <v>171</v>
      </c>
      <c r="E42" s="36" t="s">
        <v>184</v>
      </c>
      <c r="F42" s="37" t="n">
        <v>45775</v>
      </c>
      <c r="G42" s="38" t="str">
        <f aca="false">IF(C42="","",IF(TRIM(SUBSTITUTE(SUBSTITUTE(SUBSTITUTE(SUBSTITUTE(SUBSTITUTE(SUBSTITUTE(SUBSTITUTE(SUBSTITUTE(SUBSTITUTE(SUBSTITUTE(SUBSTITUTE(LOWER(TRIM(D42)),"ё","е"),"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категории",""))="инженер",IF(AND(ISNUMBER(SEARCH("техническ",E42)),ISNUMBER(SEARCH("контрол",E42))),"инженер отк",IF(ISNUMBER(SEARCH("диспетч",E42)),"инженер пдо",TRIM(SUBSTITUTE(SUBSTITUTE(SUBSTITUTE(SUBSTITUTE(SUBSTITUTE(SUBSTITUTE(SUBSTITUTE(SUBSTITUTE(SUBSTITUTE(SUBSTITUTE(SUBSTITUTE(LOWER(TRIM(D42)),"ё","е"),"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инженер",IF(ISNUMBER(SEARCH("диспетч",E42)),"ведущий инженер пдо",TRIM(SUBSTITUTE(SUBSTITUTE(SUBSTITUTE(SUBSTITUTE(SUBSTITUTE(SUBSTITUTE(SUBSTITUTE(SUBSTITUTE(SUBSTITUTE(SUBSTITUTE(SUBSTITUTE(LOWER(TRIM(D42)),"ё","е"),"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отк",TRIM(SUBSTITUTE(SUBSTITUTE(SUBSTITUTE(SUBSTITUTE(SUBSTITUTE(SUBSTITUTE(SUBSTITUTE(SUBSTITUTE(SUBSTITUTE(SUBSTITUTE(SUBSTITUTE(LOWER(TRIM(D42)),"ё","е"),"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42" s="35" t="n">
        <f aca="false">IF(C42="","",IF(AND(G42="мастер участка",ISNUMBER(SEARCH("РЭО",E42))),29,IFERROR(INDEX(Соответствие!$B$2:$B$100,MATCH(G42,Соответствие!$A$2:$A$100,0)),"?")))</f>
        <v>19</v>
      </c>
      <c r="I42" s="39" t="str">
        <f aca="false">IF(C42="","",IFERROR(INDEX(Перечень!$C$6:$C$52,MATCH(H42,Перечень!$A$6:$A$52,0)),""))</f>
        <v>п.4.3.1, п.4.3.2, п.4.4, п.5.1, п.6.2, п.15</v>
      </c>
      <c r="J42" s="35" t="n">
        <f aca="false">IF(C42="","",IFERROR(INDEX(Перечень!$D$6:$D$52,MATCH(H42,Перечень!$A$6:$A$52,0)),12))</f>
        <v>12</v>
      </c>
      <c r="K42" s="40"/>
      <c r="L42" s="40"/>
      <c r="M42" s="37" t="str">
        <f aca="false">IF(AND(K42="",L42=""),"",EDATE(MAX(K42,L42),J42))</f>
        <v/>
      </c>
      <c r="N42" s="41" t="str">
        <f aca="false">IF(C42="","",IFERROR(INDEX(Перечень!$F$6:$F$52,MATCH(H42,Перечень!$A$6:$A$52,0)),""))</f>
        <v>-</v>
      </c>
      <c r="O42" s="40"/>
      <c r="P42" s="37" t="str">
        <f aca="false">IF(O42="","",EDATE(O42,60))</f>
        <v/>
      </c>
      <c r="Q42" s="41" t="str">
        <f aca="false">IF(AND(K42&lt;&gt;"",F42&lt;&gt;"",K42&gt;F42),"Да","")</f>
        <v/>
      </c>
      <c r="R42" s="41" t="str">
        <f aca="true">IF(C42="","",IF(M42="","Нет сведений",IF(M42&lt;TODAY(),"Просрочен",IF(M42-TODAY()&lt;=30,"Истекает","В срок"))))</f>
        <v>Нет сведений</v>
      </c>
      <c r="S42" s="41" t="str">
        <f aca="false">IF(AND(N42="Да",O42=""),"Не пройдено","")</f>
        <v/>
      </c>
    </row>
    <row r="43" customFormat="false" ht="14.25" hidden="false" customHeight="false" outlineLevel="0" collapsed="false">
      <c r="A43" s="35" t="n">
        <f aca="false">IF(C43="","",ROW()-5)</f>
        <v>38</v>
      </c>
      <c r="B43" s="36" t="s">
        <v>104</v>
      </c>
      <c r="C43" s="36" t="s">
        <v>197</v>
      </c>
      <c r="D43" s="36" t="s">
        <v>171</v>
      </c>
      <c r="E43" s="36" t="s">
        <v>184</v>
      </c>
      <c r="F43" s="37" t="n">
        <v>45775</v>
      </c>
      <c r="G43" s="38" t="str">
        <f aca="false">IF(C43="","",IF(TRIM(SUBSTITUTE(SUBSTITUTE(SUBSTITUTE(SUBSTITUTE(SUBSTITUTE(SUBSTITUTE(SUBSTITUTE(SUBSTITUTE(SUBSTITUTE(SUBSTITUTE(SUBSTITUTE(LOWER(TRIM(D43)),"ё","е"),"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категории",""))="инженер",IF(AND(ISNUMBER(SEARCH("техническ",E43)),ISNUMBER(SEARCH("контрол",E43))),"инженер отк",IF(ISNUMBER(SEARCH("диспетч",E43)),"инженер пдо",TRIM(SUBSTITUTE(SUBSTITUTE(SUBSTITUTE(SUBSTITUTE(SUBSTITUTE(SUBSTITUTE(SUBSTITUTE(SUBSTITUTE(SUBSTITUTE(SUBSTITUTE(SUBSTITUTE(LOWER(TRIM(D43)),"ё","е"),"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инженер",IF(ISNUMBER(SEARCH("диспетч",E43)),"ведущий инженер пдо",TRIM(SUBSTITUTE(SUBSTITUTE(SUBSTITUTE(SUBSTITUTE(SUBSTITUTE(SUBSTITUTE(SUBSTITUTE(SUBSTITUTE(SUBSTITUTE(SUBSTITUTE(SUBSTITUTE(LOWER(TRIM(D43)),"ё","е"),"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отк",TRIM(SUBSTITUTE(SUBSTITUTE(SUBSTITUTE(SUBSTITUTE(SUBSTITUTE(SUBSTITUTE(SUBSTITUTE(SUBSTITUTE(SUBSTITUTE(SUBSTITUTE(SUBSTITUTE(LOWER(TRIM(D43)),"ё","е"),"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43" s="35" t="n">
        <f aca="false">IF(C43="","",IF(AND(G43="мастер участка",ISNUMBER(SEARCH("РЭО",E43))),29,IFERROR(INDEX(Соответствие!$B$2:$B$100,MATCH(G43,Соответствие!$A$2:$A$100,0)),"?")))</f>
        <v>19</v>
      </c>
      <c r="I43" s="39" t="str">
        <f aca="false">IF(C43="","",IFERROR(INDEX(Перечень!$C$6:$C$52,MATCH(H43,Перечень!$A$6:$A$52,0)),""))</f>
        <v>п.4.3.1, п.4.3.2, п.4.4, п.5.1, п.6.2, п.15</v>
      </c>
      <c r="J43" s="35" t="n">
        <f aca="false">IF(C43="","",IFERROR(INDEX(Перечень!$D$6:$D$52,MATCH(H43,Перечень!$A$6:$A$52,0)),12))</f>
        <v>12</v>
      </c>
      <c r="K43" s="40"/>
      <c r="L43" s="40"/>
      <c r="M43" s="37" t="str">
        <f aca="false">IF(AND(K43="",L43=""),"",EDATE(MAX(K43,L43),J43))</f>
        <v/>
      </c>
      <c r="N43" s="41" t="str">
        <f aca="false">IF(C43="","",IFERROR(INDEX(Перечень!$F$6:$F$52,MATCH(H43,Перечень!$A$6:$A$52,0)),""))</f>
        <v>-</v>
      </c>
      <c r="O43" s="40"/>
      <c r="P43" s="37" t="str">
        <f aca="false">IF(O43="","",EDATE(O43,60))</f>
        <v/>
      </c>
      <c r="Q43" s="41" t="str">
        <f aca="false">IF(AND(K43&lt;&gt;"",F43&lt;&gt;"",K43&gt;F43),"Да","")</f>
        <v/>
      </c>
      <c r="R43" s="41" t="str">
        <f aca="true">IF(C43="","",IF(M43="","Нет сведений",IF(M43&lt;TODAY(),"Просрочен",IF(M43-TODAY()&lt;=30,"Истекает","В срок"))))</f>
        <v>Нет сведений</v>
      </c>
      <c r="S43" s="41" t="str">
        <f aca="false">IF(AND(N43="Да",O43=""),"Не пройдено","")</f>
        <v/>
      </c>
    </row>
    <row r="44" customFormat="false" ht="14.25" hidden="false" customHeight="false" outlineLevel="0" collapsed="false">
      <c r="A44" s="35" t="n">
        <f aca="false">IF(C44="","",ROW()-5)</f>
        <v>39</v>
      </c>
      <c r="B44" s="36" t="s">
        <v>104</v>
      </c>
      <c r="C44" s="36" t="s">
        <v>198</v>
      </c>
      <c r="D44" s="36" t="s">
        <v>171</v>
      </c>
      <c r="E44" s="36" t="s">
        <v>184</v>
      </c>
      <c r="F44" s="37" t="n">
        <v>45995</v>
      </c>
      <c r="G44" s="38" t="str">
        <f aca="false">IF(C44="","",IF(TRIM(SUBSTITUTE(SUBSTITUTE(SUBSTITUTE(SUBSTITUTE(SUBSTITUTE(SUBSTITUTE(SUBSTITUTE(SUBSTITUTE(SUBSTITUTE(SUBSTITUTE(SUBSTITUTE(LOWER(TRIM(D44)),"ё","е"),"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категории",""))="инженер",IF(AND(ISNUMBER(SEARCH("техническ",E44)),ISNUMBER(SEARCH("контрол",E44))),"инженер отк",IF(ISNUMBER(SEARCH("диспетч",E44)),"инженер пдо",TRIM(SUBSTITUTE(SUBSTITUTE(SUBSTITUTE(SUBSTITUTE(SUBSTITUTE(SUBSTITUTE(SUBSTITUTE(SUBSTITUTE(SUBSTITUTE(SUBSTITUTE(SUBSTITUTE(LOWER(TRIM(D44)),"ё","е"),"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инженер",IF(ISNUMBER(SEARCH("диспетч",E44)),"ведущий инженер пдо",TRIM(SUBSTITUTE(SUBSTITUTE(SUBSTITUTE(SUBSTITUTE(SUBSTITUTE(SUBSTITUTE(SUBSTITUTE(SUBSTITUTE(SUBSTITUTE(SUBSTITUTE(SUBSTITUTE(LOWER(TRIM(D44)),"ё","е"),"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отк",TRIM(SUBSTITUTE(SUBSTITUTE(SUBSTITUTE(SUBSTITUTE(SUBSTITUTE(SUBSTITUTE(SUBSTITUTE(SUBSTITUTE(SUBSTITUTE(SUBSTITUTE(SUBSTITUTE(LOWER(TRIM(D44)),"ё","е"),"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44" s="35" t="n">
        <f aca="false">IF(C44="","",IF(AND(G44="мастер участка",ISNUMBER(SEARCH("РЭО",E44))),29,IFERROR(INDEX(Соответствие!$B$2:$B$100,MATCH(G44,Соответствие!$A$2:$A$100,0)),"?")))</f>
        <v>19</v>
      </c>
      <c r="I44" s="39" t="str">
        <f aca="false">IF(C44="","",IFERROR(INDEX(Перечень!$C$6:$C$52,MATCH(H44,Перечень!$A$6:$A$52,0)),""))</f>
        <v>п.4.3.1, п.4.3.2, п.4.4, п.5.1, п.6.2, п.15</v>
      </c>
      <c r="J44" s="35" t="n">
        <f aca="false">IF(C44="","",IFERROR(INDEX(Перечень!$D$6:$D$52,MATCH(H44,Перечень!$A$6:$A$52,0)),12))</f>
        <v>12</v>
      </c>
      <c r="K44" s="40"/>
      <c r="L44" s="40"/>
      <c r="M44" s="37" t="str">
        <f aca="false">IF(AND(K44="",L44=""),"",EDATE(MAX(K44,L44),J44))</f>
        <v/>
      </c>
      <c r="N44" s="41" t="str">
        <f aca="false">IF(C44="","",IFERROR(INDEX(Перечень!$F$6:$F$52,MATCH(H44,Перечень!$A$6:$A$52,0)),""))</f>
        <v>-</v>
      </c>
      <c r="O44" s="40"/>
      <c r="P44" s="37" t="str">
        <f aca="false">IF(O44="","",EDATE(O44,60))</f>
        <v/>
      </c>
      <c r="Q44" s="41" t="str">
        <f aca="false">IF(AND(K44&lt;&gt;"",F44&lt;&gt;"",K44&gt;F44),"Да","")</f>
        <v/>
      </c>
      <c r="R44" s="41" t="str">
        <f aca="true">IF(C44="","",IF(M44="","Нет сведений",IF(M44&lt;TODAY(),"Просрочен",IF(M44-TODAY()&lt;=30,"Истекает","В срок"))))</f>
        <v>Нет сведений</v>
      </c>
      <c r="S44" s="41" t="str">
        <f aca="false">IF(AND(N44="Да",O44=""),"Не пройдено","")</f>
        <v/>
      </c>
    </row>
    <row r="45" customFormat="false" ht="14.25" hidden="false" customHeight="false" outlineLevel="0" collapsed="false">
      <c r="A45" s="35" t="n">
        <f aca="false">IF(C45="","",ROW()-5)</f>
        <v>40</v>
      </c>
      <c r="B45" s="36" t="s">
        <v>104</v>
      </c>
      <c r="C45" s="36" t="s">
        <v>199</v>
      </c>
      <c r="D45" s="36" t="s">
        <v>171</v>
      </c>
      <c r="E45" s="36" t="s">
        <v>184</v>
      </c>
      <c r="F45" s="37" t="n">
        <v>44977</v>
      </c>
      <c r="G45" s="38" t="str">
        <f aca="false">IF(C45="","",IF(TRIM(SUBSTITUTE(SUBSTITUTE(SUBSTITUTE(SUBSTITUTE(SUBSTITUTE(SUBSTITUTE(SUBSTITUTE(SUBSTITUTE(SUBSTITUTE(SUBSTITUTE(SUBSTITUTE(LOWER(TRIM(D45)),"ё","е"),"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категории",""))="инженер",IF(AND(ISNUMBER(SEARCH("техническ",E45)),ISNUMBER(SEARCH("контрол",E45))),"инженер отк",IF(ISNUMBER(SEARCH("диспетч",E45)),"инженер пдо",TRIM(SUBSTITUTE(SUBSTITUTE(SUBSTITUTE(SUBSTITUTE(SUBSTITUTE(SUBSTITUTE(SUBSTITUTE(SUBSTITUTE(SUBSTITUTE(SUBSTITUTE(SUBSTITUTE(LOWER(TRIM(D45)),"ё","е"),"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инженер",IF(ISNUMBER(SEARCH("диспетч",E45)),"ведущий инженер пдо",TRIM(SUBSTITUTE(SUBSTITUTE(SUBSTITUTE(SUBSTITUTE(SUBSTITUTE(SUBSTITUTE(SUBSTITUTE(SUBSTITUTE(SUBSTITUTE(SUBSTITUTE(SUBSTITUTE(LOWER(TRIM(D45)),"ё","е"),"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отк",TRIM(SUBSTITUTE(SUBSTITUTE(SUBSTITUTE(SUBSTITUTE(SUBSTITUTE(SUBSTITUTE(SUBSTITUTE(SUBSTITUTE(SUBSTITUTE(SUBSTITUTE(SUBSTITUTE(LOWER(TRIM(D45)),"ё","е"),"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45" s="35" t="n">
        <f aca="false">IF(C45="","",IF(AND(G45="мастер участка",ISNUMBER(SEARCH("РЭО",E45))),29,IFERROR(INDEX(Соответствие!$B$2:$B$100,MATCH(G45,Соответствие!$A$2:$A$100,0)),"?")))</f>
        <v>19</v>
      </c>
      <c r="I45" s="39" t="str">
        <f aca="false">IF(C45="","",IFERROR(INDEX(Перечень!$C$6:$C$52,MATCH(H45,Перечень!$A$6:$A$52,0)),""))</f>
        <v>п.4.3.1, п.4.3.2, п.4.4, п.5.1, п.6.2, п.15</v>
      </c>
      <c r="J45" s="35" t="n">
        <f aca="false">IF(C45="","",IFERROR(INDEX(Перечень!$D$6:$D$52,MATCH(H45,Перечень!$A$6:$A$52,0)),12))</f>
        <v>12</v>
      </c>
      <c r="K45" s="40"/>
      <c r="L45" s="40"/>
      <c r="M45" s="37" t="str">
        <f aca="false">IF(AND(K45="",L45=""),"",EDATE(MAX(K45,L45),J45))</f>
        <v/>
      </c>
      <c r="N45" s="41" t="str">
        <f aca="false">IF(C45="","",IFERROR(INDEX(Перечень!$F$6:$F$52,MATCH(H45,Перечень!$A$6:$A$52,0)),""))</f>
        <v>-</v>
      </c>
      <c r="O45" s="40"/>
      <c r="P45" s="37" t="str">
        <f aca="false">IF(O45="","",EDATE(O45,60))</f>
        <v/>
      </c>
      <c r="Q45" s="41" t="str">
        <f aca="false">IF(AND(K45&lt;&gt;"",F45&lt;&gt;"",K45&gt;F45),"Да","")</f>
        <v/>
      </c>
      <c r="R45" s="41" t="str">
        <f aca="true">IF(C45="","",IF(M45="","Нет сведений",IF(M45&lt;TODAY(),"Просрочен",IF(M45-TODAY()&lt;=30,"Истекает","В срок"))))</f>
        <v>Нет сведений</v>
      </c>
      <c r="S45" s="41" t="str">
        <f aca="false">IF(AND(N45="Да",O45=""),"Не пройдено","")</f>
        <v/>
      </c>
    </row>
    <row r="46" customFormat="false" ht="14.25" hidden="false" customHeight="false" outlineLevel="0" collapsed="false">
      <c r="A46" s="35" t="n">
        <f aca="false">IF(C46="","",ROW()-5)</f>
        <v>41</v>
      </c>
      <c r="B46" s="36" t="s">
        <v>104</v>
      </c>
      <c r="C46" s="36" t="s">
        <v>200</v>
      </c>
      <c r="D46" s="36" t="s">
        <v>171</v>
      </c>
      <c r="E46" s="36" t="s">
        <v>184</v>
      </c>
      <c r="F46" s="37" t="n">
        <v>45567</v>
      </c>
      <c r="G46" s="38" t="str">
        <f aca="false">IF(C46="","",IF(TRIM(SUBSTITUTE(SUBSTITUTE(SUBSTITUTE(SUBSTITUTE(SUBSTITUTE(SUBSTITUTE(SUBSTITUTE(SUBSTITUTE(SUBSTITUTE(SUBSTITUTE(SUBSTITUTE(LOWER(TRIM(D46)),"ё","е"),"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категории",""))="инженер",IF(AND(ISNUMBER(SEARCH("техническ",E46)),ISNUMBER(SEARCH("контрол",E46))),"инженер отк",IF(ISNUMBER(SEARCH("диспетч",E46)),"инженер пдо",TRIM(SUBSTITUTE(SUBSTITUTE(SUBSTITUTE(SUBSTITUTE(SUBSTITUTE(SUBSTITUTE(SUBSTITUTE(SUBSTITUTE(SUBSTITUTE(SUBSTITUTE(SUBSTITUTE(LOWER(TRIM(D46)),"ё","е"),"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инженер",IF(ISNUMBER(SEARCH("диспетч",E46)),"ведущий инженер пдо",TRIM(SUBSTITUTE(SUBSTITUTE(SUBSTITUTE(SUBSTITUTE(SUBSTITUTE(SUBSTITUTE(SUBSTITUTE(SUBSTITUTE(SUBSTITUTE(SUBSTITUTE(SUBSTITUTE(LOWER(TRIM(D46)),"ё","е"),"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отк",TRIM(SUBSTITUTE(SUBSTITUTE(SUBSTITUTE(SUBSTITUTE(SUBSTITUTE(SUBSTITUTE(SUBSTITUTE(SUBSTITUTE(SUBSTITUTE(SUBSTITUTE(SUBSTITUTE(LOWER(TRIM(D46)),"ё","е"),"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46" s="35" t="n">
        <f aca="false">IF(C46="","",IF(AND(G46="мастер участка",ISNUMBER(SEARCH("РЭО",E46))),29,IFERROR(INDEX(Соответствие!$B$2:$B$100,MATCH(G46,Соответствие!$A$2:$A$100,0)),"?")))</f>
        <v>19</v>
      </c>
      <c r="I46" s="39" t="str">
        <f aca="false">IF(C46="","",IFERROR(INDEX(Перечень!$C$6:$C$52,MATCH(H46,Перечень!$A$6:$A$52,0)),""))</f>
        <v>п.4.3.1, п.4.3.2, п.4.4, п.5.1, п.6.2, п.15</v>
      </c>
      <c r="J46" s="35" t="n">
        <f aca="false">IF(C46="","",IFERROR(INDEX(Перечень!$D$6:$D$52,MATCH(H46,Перечень!$A$6:$A$52,0)),12))</f>
        <v>12</v>
      </c>
      <c r="K46" s="40"/>
      <c r="L46" s="40"/>
      <c r="M46" s="37" t="str">
        <f aca="false">IF(AND(K46="",L46=""),"",EDATE(MAX(K46,L46),J46))</f>
        <v/>
      </c>
      <c r="N46" s="41" t="str">
        <f aca="false">IF(C46="","",IFERROR(INDEX(Перечень!$F$6:$F$52,MATCH(H46,Перечень!$A$6:$A$52,0)),""))</f>
        <v>-</v>
      </c>
      <c r="O46" s="40"/>
      <c r="P46" s="37" t="str">
        <f aca="false">IF(O46="","",EDATE(O46,60))</f>
        <v/>
      </c>
      <c r="Q46" s="41" t="str">
        <f aca="false">IF(AND(K46&lt;&gt;"",F46&lt;&gt;"",K46&gt;F46),"Да","")</f>
        <v/>
      </c>
      <c r="R46" s="41" t="str">
        <f aca="true">IF(C46="","",IF(M46="","Нет сведений",IF(M46&lt;TODAY(),"Просрочен",IF(M46-TODAY()&lt;=30,"Истекает","В срок"))))</f>
        <v>Нет сведений</v>
      </c>
      <c r="S46" s="41" t="str">
        <f aca="false">IF(AND(N46="Да",O46=""),"Не пройдено","")</f>
        <v/>
      </c>
    </row>
    <row r="47" customFormat="false" ht="14.25" hidden="false" customHeight="false" outlineLevel="0" collapsed="false">
      <c r="A47" s="35" t="n">
        <f aca="false">IF(C47="","",ROW()-5)</f>
        <v>42</v>
      </c>
      <c r="B47" s="36" t="s">
        <v>104</v>
      </c>
      <c r="C47" s="36" t="s">
        <v>201</v>
      </c>
      <c r="D47" s="36" t="s">
        <v>171</v>
      </c>
      <c r="E47" s="36" t="s">
        <v>184</v>
      </c>
      <c r="F47" s="37" t="n">
        <v>45896</v>
      </c>
      <c r="G47" s="38" t="str">
        <f aca="false">IF(C47="","",IF(TRIM(SUBSTITUTE(SUBSTITUTE(SUBSTITUTE(SUBSTITUTE(SUBSTITUTE(SUBSTITUTE(SUBSTITUTE(SUBSTITUTE(SUBSTITUTE(SUBSTITUTE(SUBSTITUTE(LOWER(TRIM(D47)),"ё","е"),"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категории",""))="инженер",IF(AND(ISNUMBER(SEARCH("техническ",E47)),ISNUMBER(SEARCH("контрол",E47))),"инженер отк",IF(ISNUMBER(SEARCH("диспетч",E47)),"инженер пдо",TRIM(SUBSTITUTE(SUBSTITUTE(SUBSTITUTE(SUBSTITUTE(SUBSTITUTE(SUBSTITUTE(SUBSTITUTE(SUBSTITUTE(SUBSTITUTE(SUBSTITUTE(SUBSTITUTE(LOWER(TRIM(D47)),"ё","е"),"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инженер",IF(ISNUMBER(SEARCH("диспетч",E47)),"ведущий инженер пдо",TRIM(SUBSTITUTE(SUBSTITUTE(SUBSTITUTE(SUBSTITUTE(SUBSTITUTE(SUBSTITUTE(SUBSTITUTE(SUBSTITUTE(SUBSTITUTE(SUBSTITUTE(SUBSTITUTE(LOWER(TRIM(D47)),"ё","е"),"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отк",TRIM(SUBSTITUTE(SUBSTITUTE(SUBSTITUTE(SUBSTITUTE(SUBSTITUTE(SUBSTITUTE(SUBSTITUTE(SUBSTITUTE(SUBSTITUTE(SUBSTITUTE(SUBSTITUTE(LOWER(TRIM(D47)),"ё","е"),"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47" s="35" t="n">
        <f aca="false">IF(C47="","",IF(AND(G47="мастер участка",ISNUMBER(SEARCH("РЭО",E47))),29,IFERROR(INDEX(Соответствие!$B$2:$B$100,MATCH(G47,Соответствие!$A$2:$A$100,0)),"?")))</f>
        <v>19</v>
      </c>
      <c r="I47" s="39" t="str">
        <f aca="false">IF(C47="","",IFERROR(INDEX(Перечень!$C$6:$C$52,MATCH(H47,Перечень!$A$6:$A$52,0)),""))</f>
        <v>п.4.3.1, п.4.3.2, п.4.4, п.5.1, п.6.2, п.15</v>
      </c>
      <c r="J47" s="35" t="n">
        <f aca="false">IF(C47="","",IFERROR(INDEX(Перечень!$D$6:$D$52,MATCH(H47,Перечень!$A$6:$A$52,0)),12))</f>
        <v>12</v>
      </c>
      <c r="K47" s="40"/>
      <c r="L47" s="40"/>
      <c r="M47" s="37" t="str">
        <f aca="false">IF(AND(K47="",L47=""),"",EDATE(MAX(K47,L47),J47))</f>
        <v/>
      </c>
      <c r="N47" s="41" t="str">
        <f aca="false">IF(C47="","",IFERROR(INDEX(Перечень!$F$6:$F$52,MATCH(H47,Перечень!$A$6:$A$52,0)),""))</f>
        <v>-</v>
      </c>
      <c r="O47" s="40"/>
      <c r="P47" s="37" t="str">
        <f aca="false">IF(O47="","",EDATE(O47,60))</f>
        <v/>
      </c>
      <c r="Q47" s="41" t="str">
        <f aca="false">IF(AND(K47&lt;&gt;"",F47&lt;&gt;"",K47&gt;F47),"Да","")</f>
        <v/>
      </c>
      <c r="R47" s="41" t="str">
        <f aca="true">IF(C47="","",IF(M47="","Нет сведений",IF(M47&lt;TODAY(),"Просрочен",IF(M47-TODAY()&lt;=30,"Истекает","В срок"))))</f>
        <v>Нет сведений</v>
      </c>
      <c r="S47" s="41" t="str">
        <f aca="false">IF(AND(N47="Да",O47=""),"Не пройдено","")</f>
        <v/>
      </c>
    </row>
    <row r="48" customFormat="false" ht="14.25" hidden="false" customHeight="false" outlineLevel="0" collapsed="false">
      <c r="A48" s="35" t="n">
        <f aca="false">IF(C48="","",ROW()-5)</f>
        <v>43</v>
      </c>
      <c r="B48" s="36" t="s">
        <v>104</v>
      </c>
      <c r="C48" s="36" t="s">
        <v>202</v>
      </c>
      <c r="D48" s="36" t="s">
        <v>171</v>
      </c>
      <c r="E48" s="36" t="s">
        <v>184</v>
      </c>
      <c r="F48" s="37" t="n">
        <v>45765</v>
      </c>
      <c r="G48" s="38" t="str">
        <f aca="false">IF(C48="","",IF(TRIM(SUBSTITUTE(SUBSTITUTE(SUBSTITUTE(SUBSTITUTE(SUBSTITUTE(SUBSTITUTE(SUBSTITUTE(SUBSTITUTE(SUBSTITUTE(SUBSTITUTE(SUBSTITUTE(LOWER(TRIM(D48)),"ё","е"),"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категории",""))="инженер",IF(AND(ISNUMBER(SEARCH("техническ",E48)),ISNUMBER(SEARCH("контрол",E48))),"инженер отк",IF(ISNUMBER(SEARCH("диспетч",E48)),"инженер пдо",TRIM(SUBSTITUTE(SUBSTITUTE(SUBSTITUTE(SUBSTITUTE(SUBSTITUTE(SUBSTITUTE(SUBSTITUTE(SUBSTITUTE(SUBSTITUTE(SUBSTITUTE(SUBSTITUTE(LOWER(TRIM(D48)),"ё","е"),"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инженер",IF(ISNUMBER(SEARCH("диспетч",E48)),"ведущий инженер пдо",TRIM(SUBSTITUTE(SUBSTITUTE(SUBSTITUTE(SUBSTITUTE(SUBSTITUTE(SUBSTITUTE(SUBSTITUTE(SUBSTITUTE(SUBSTITUTE(SUBSTITUTE(SUBSTITUTE(LOWER(TRIM(D48)),"ё","е"),"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отк",TRIM(SUBSTITUTE(SUBSTITUTE(SUBSTITUTE(SUBSTITUTE(SUBSTITUTE(SUBSTITUTE(SUBSTITUTE(SUBSTITUTE(SUBSTITUTE(SUBSTITUTE(SUBSTITUTE(LOWER(TRIM(D48)),"ё","е"),"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48" s="35" t="n">
        <f aca="false">IF(C48="","",IF(AND(G48="мастер участка",ISNUMBER(SEARCH("РЭО",E48))),29,IFERROR(INDEX(Соответствие!$B$2:$B$100,MATCH(G48,Соответствие!$A$2:$A$100,0)),"?")))</f>
        <v>19</v>
      </c>
      <c r="I48" s="39" t="str">
        <f aca="false">IF(C48="","",IFERROR(INDEX(Перечень!$C$6:$C$52,MATCH(H48,Перечень!$A$6:$A$52,0)),""))</f>
        <v>п.4.3.1, п.4.3.2, п.4.4, п.5.1, п.6.2, п.15</v>
      </c>
      <c r="J48" s="35" t="n">
        <f aca="false">IF(C48="","",IFERROR(INDEX(Перечень!$D$6:$D$52,MATCH(H48,Перечень!$A$6:$A$52,0)),12))</f>
        <v>12</v>
      </c>
      <c r="K48" s="40"/>
      <c r="L48" s="40"/>
      <c r="M48" s="37" t="str">
        <f aca="false">IF(AND(K48="",L48=""),"",EDATE(MAX(K48,L48),J48))</f>
        <v/>
      </c>
      <c r="N48" s="41" t="str">
        <f aca="false">IF(C48="","",IFERROR(INDEX(Перечень!$F$6:$F$52,MATCH(H48,Перечень!$A$6:$A$52,0)),""))</f>
        <v>-</v>
      </c>
      <c r="O48" s="40"/>
      <c r="P48" s="37" t="str">
        <f aca="false">IF(O48="","",EDATE(O48,60))</f>
        <v/>
      </c>
      <c r="Q48" s="41" t="str">
        <f aca="false">IF(AND(K48&lt;&gt;"",F48&lt;&gt;"",K48&gt;F48),"Да","")</f>
        <v/>
      </c>
      <c r="R48" s="41" t="str">
        <f aca="true">IF(C48="","",IF(M48="","Нет сведений",IF(M48&lt;TODAY(),"Просрочен",IF(M48-TODAY()&lt;=30,"Истекает","В срок"))))</f>
        <v>Нет сведений</v>
      </c>
      <c r="S48" s="41" t="str">
        <f aca="false">IF(AND(N48="Да",O48=""),"Не пройдено","")</f>
        <v/>
      </c>
    </row>
    <row r="49" customFormat="false" ht="14.25" hidden="false" customHeight="false" outlineLevel="0" collapsed="false">
      <c r="A49" s="35" t="n">
        <f aca="false">IF(C49="","",ROW()-5)</f>
        <v>44</v>
      </c>
      <c r="B49" s="36" t="s">
        <v>104</v>
      </c>
      <c r="C49" s="36" t="s">
        <v>203</v>
      </c>
      <c r="D49" s="36" t="s">
        <v>171</v>
      </c>
      <c r="E49" s="36" t="s">
        <v>184</v>
      </c>
      <c r="F49" s="37" t="n">
        <v>45666</v>
      </c>
      <c r="G49" s="38" t="str">
        <f aca="false">IF(C49="","",IF(TRIM(SUBSTITUTE(SUBSTITUTE(SUBSTITUTE(SUBSTITUTE(SUBSTITUTE(SUBSTITUTE(SUBSTITUTE(SUBSTITUTE(SUBSTITUTE(SUBSTITUTE(SUBSTITUTE(LOWER(TRIM(D49)),"ё","е"),"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категории",""))="инженер",IF(AND(ISNUMBER(SEARCH("техническ",E49)),ISNUMBER(SEARCH("контрол",E49))),"инженер отк",IF(ISNUMBER(SEARCH("диспетч",E49)),"инженер пдо",TRIM(SUBSTITUTE(SUBSTITUTE(SUBSTITUTE(SUBSTITUTE(SUBSTITUTE(SUBSTITUTE(SUBSTITUTE(SUBSTITUTE(SUBSTITUTE(SUBSTITUTE(SUBSTITUTE(LOWER(TRIM(D49)),"ё","е"),"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инженер",IF(ISNUMBER(SEARCH("диспетч",E49)),"ведущий инженер пдо",TRIM(SUBSTITUTE(SUBSTITUTE(SUBSTITUTE(SUBSTITUTE(SUBSTITUTE(SUBSTITUTE(SUBSTITUTE(SUBSTITUTE(SUBSTITUTE(SUBSTITUTE(SUBSTITUTE(LOWER(TRIM(D49)),"ё","е"),"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отк",TRIM(SUBSTITUTE(SUBSTITUTE(SUBSTITUTE(SUBSTITUTE(SUBSTITUTE(SUBSTITUTE(SUBSTITUTE(SUBSTITUTE(SUBSTITUTE(SUBSTITUTE(SUBSTITUTE(LOWER(TRIM(D49)),"ё","е"),"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49" s="35" t="n">
        <f aca="false">IF(C49="","",IF(AND(G49="мастер участка",ISNUMBER(SEARCH("РЭО",E49))),29,IFERROR(INDEX(Соответствие!$B$2:$B$100,MATCH(G49,Соответствие!$A$2:$A$100,0)),"?")))</f>
        <v>19</v>
      </c>
      <c r="I49" s="39" t="str">
        <f aca="false">IF(C49="","",IFERROR(INDEX(Перечень!$C$6:$C$52,MATCH(H49,Перечень!$A$6:$A$52,0)),""))</f>
        <v>п.4.3.1, п.4.3.2, п.4.4, п.5.1, п.6.2, п.15</v>
      </c>
      <c r="J49" s="35" t="n">
        <f aca="false">IF(C49="","",IFERROR(INDEX(Перечень!$D$6:$D$52,MATCH(H49,Перечень!$A$6:$A$52,0)),12))</f>
        <v>12</v>
      </c>
      <c r="K49" s="40"/>
      <c r="L49" s="40"/>
      <c r="M49" s="37" t="str">
        <f aca="false">IF(AND(K49="",L49=""),"",EDATE(MAX(K49,L49),J49))</f>
        <v/>
      </c>
      <c r="N49" s="41" t="str">
        <f aca="false">IF(C49="","",IFERROR(INDEX(Перечень!$F$6:$F$52,MATCH(H49,Перечень!$A$6:$A$52,0)),""))</f>
        <v>-</v>
      </c>
      <c r="O49" s="40"/>
      <c r="P49" s="37" t="str">
        <f aca="false">IF(O49="","",EDATE(O49,60))</f>
        <v/>
      </c>
      <c r="Q49" s="41" t="str">
        <f aca="false">IF(AND(K49&lt;&gt;"",F49&lt;&gt;"",K49&gt;F49),"Да","")</f>
        <v/>
      </c>
      <c r="R49" s="41" t="str">
        <f aca="true">IF(C49="","",IF(M49="","Нет сведений",IF(M49&lt;TODAY(),"Просрочен",IF(M49-TODAY()&lt;=30,"Истекает","В срок"))))</f>
        <v>Нет сведений</v>
      </c>
      <c r="S49" s="41" t="str">
        <f aca="false">IF(AND(N49="Да",O49=""),"Не пройдено","")</f>
        <v/>
      </c>
    </row>
    <row r="50" customFormat="false" ht="14.25" hidden="false" customHeight="false" outlineLevel="0" collapsed="false">
      <c r="A50" s="35" t="n">
        <f aca="false">IF(C50="","",ROW()-5)</f>
        <v>45</v>
      </c>
      <c r="B50" s="36" t="s">
        <v>104</v>
      </c>
      <c r="C50" s="36" t="s">
        <v>204</v>
      </c>
      <c r="D50" s="36" t="s">
        <v>171</v>
      </c>
      <c r="E50" s="36" t="s">
        <v>184</v>
      </c>
      <c r="F50" s="37" t="n">
        <v>46062</v>
      </c>
      <c r="G50" s="38" t="str">
        <f aca="false">IF(C50="","",IF(TRIM(SUBSTITUTE(SUBSTITUTE(SUBSTITUTE(SUBSTITUTE(SUBSTITUTE(SUBSTITUTE(SUBSTITUTE(SUBSTITUTE(SUBSTITUTE(SUBSTITUTE(SUBSTITUTE(LOWER(TRIM(D50)),"ё","е"),"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категории",""))="инженер",IF(AND(ISNUMBER(SEARCH("техническ",E50)),ISNUMBER(SEARCH("контрол",E50))),"инженер отк",IF(ISNUMBER(SEARCH("диспетч",E50)),"инженер пдо",TRIM(SUBSTITUTE(SUBSTITUTE(SUBSTITUTE(SUBSTITUTE(SUBSTITUTE(SUBSTITUTE(SUBSTITUTE(SUBSTITUTE(SUBSTITUTE(SUBSTITUTE(SUBSTITUTE(LOWER(TRIM(D50)),"ё","е"),"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инженер",IF(ISNUMBER(SEARCH("диспетч",E50)),"ведущий инженер пдо",TRIM(SUBSTITUTE(SUBSTITUTE(SUBSTITUTE(SUBSTITUTE(SUBSTITUTE(SUBSTITUTE(SUBSTITUTE(SUBSTITUTE(SUBSTITUTE(SUBSTITUTE(SUBSTITUTE(LOWER(TRIM(D50)),"ё","е"),"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отк",TRIM(SUBSTITUTE(SUBSTITUTE(SUBSTITUTE(SUBSTITUTE(SUBSTITUTE(SUBSTITUTE(SUBSTITUTE(SUBSTITUTE(SUBSTITUTE(SUBSTITUTE(SUBSTITUTE(LOWER(TRIM(D50)),"ё","е"),"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50" s="35" t="n">
        <f aca="false">IF(C50="","",IF(AND(G50="мастер участка",ISNUMBER(SEARCH("РЭО",E50))),29,IFERROR(INDEX(Соответствие!$B$2:$B$100,MATCH(G50,Соответствие!$A$2:$A$100,0)),"?")))</f>
        <v>19</v>
      </c>
      <c r="I50" s="39" t="str">
        <f aca="false">IF(C50="","",IFERROR(INDEX(Перечень!$C$6:$C$52,MATCH(H50,Перечень!$A$6:$A$52,0)),""))</f>
        <v>п.4.3.1, п.4.3.2, п.4.4, п.5.1, п.6.2, п.15</v>
      </c>
      <c r="J50" s="35" t="n">
        <f aca="false">IF(C50="","",IFERROR(INDEX(Перечень!$D$6:$D$52,MATCH(H50,Перечень!$A$6:$A$52,0)),12))</f>
        <v>12</v>
      </c>
      <c r="K50" s="40"/>
      <c r="L50" s="40"/>
      <c r="M50" s="37" t="str">
        <f aca="false">IF(AND(K50="",L50=""),"",EDATE(MAX(K50,L50),J50))</f>
        <v/>
      </c>
      <c r="N50" s="41" t="str">
        <f aca="false">IF(C50="","",IFERROR(INDEX(Перечень!$F$6:$F$52,MATCH(H50,Перечень!$A$6:$A$52,0)),""))</f>
        <v>-</v>
      </c>
      <c r="O50" s="40"/>
      <c r="P50" s="37" t="str">
        <f aca="false">IF(O50="","",EDATE(O50,60))</f>
        <v/>
      </c>
      <c r="Q50" s="41" t="str">
        <f aca="false">IF(AND(K50&lt;&gt;"",F50&lt;&gt;"",K50&gt;F50),"Да","")</f>
        <v/>
      </c>
      <c r="R50" s="41" t="str">
        <f aca="true">IF(C50="","",IF(M50="","Нет сведений",IF(M50&lt;TODAY(),"Просрочен",IF(M50-TODAY()&lt;=30,"Истекает","В срок"))))</f>
        <v>Нет сведений</v>
      </c>
      <c r="S50" s="41" t="str">
        <f aca="false">IF(AND(N50="Да",O50=""),"Не пройдено","")</f>
        <v/>
      </c>
    </row>
    <row r="51" customFormat="false" ht="14.25" hidden="false" customHeight="false" outlineLevel="0" collapsed="false">
      <c r="A51" s="35" t="n">
        <f aca="false">IF(C51="","",ROW()-5)</f>
        <v>46</v>
      </c>
      <c r="B51" s="36" t="s">
        <v>104</v>
      </c>
      <c r="C51" s="36" t="s">
        <v>205</v>
      </c>
      <c r="D51" s="36" t="s">
        <v>206</v>
      </c>
      <c r="E51" s="36" t="s">
        <v>207</v>
      </c>
      <c r="F51" s="37" t="n">
        <v>46127</v>
      </c>
      <c r="G51" s="38" t="str">
        <f aca="false">IF(C51="","",IF(TRIM(SUBSTITUTE(SUBSTITUTE(SUBSTITUTE(SUBSTITUTE(SUBSTITUTE(SUBSTITUTE(SUBSTITUTE(SUBSTITUTE(SUBSTITUTE(SUBSTITUTE(SUBSTITUTE(LOWER(TRIM(D51)),"ё","е"),"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категории",""))="инженер",IF(AND(ISNUMBER(SEARCH("техническ",E51)),ISNUMBER(SEARCH("контрол",E51))),"инженер отк",IF(ISNUMBER(SEARCH("диспетч",E51)),"инженер пдо",TRIM(SUBSTITUTE(SUBSTITUTE(SUBSTITUTE(SUBSTITUTE(SUBSTITUTE(SUBSTITUTE(SUBSTITUTE(SUBSTITUTE(SUBSTITUTE(SUBSTITUTE(SUBSTITUTE(LOWER(TRIM(D51)),"ё","е"),"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инженер",IF(ISNUMBER(SEARCH("диспетч",E51)),"ведущий инженер пдо",TRIM(SUBSTITUTE(SUBSTITUTE(SUBSTITUTE(SUBSTITUTE(SUBSTITUTE(SUBSTITUTE(SUBSTITUTE(SUBSTITUTE(SUBSTITUTE(SUBSTITUTE(SUBSTITUTE(LOWER(TRIM(D51)),"ё","е"),"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отк",TRIM(SUBSTITUTE(SUBSTITUTE(SUBSTITUTE(SUBSTITUTE(SUBSTITUTE(SUBSTITUTE(SUBSTITUTE(SUBSTITUTE(SUBSTITUTE(SUBSTITUTE(SUBSTITUTE(LOWER(TRIM(D51)),"ё","е")," -","-"),"- ","-")," 2 разряда","")," 3 разряда","")," 4 разряда","")," 5 разряда","")," 6 разряда","")," 1 категории","")," 2 категории","")," 3 категории",""))))))</f>
        <v>кладовщик</v>
      </c>
      <c r="H51" s="35" t="n">
        <f aca="false">IF(C51="","",IF(AND(G51="мастер участка",ISNUMBER(SEARCH("РЭО",E51))),29,IFERROR(INDEX(Соответствие!$B$2:$B$100,MATCH(G51,Соответствие!$A$2:$A$100,0)),"?")))</f>
        <v>14</v>
      </c>
      <c r="I51" s="39" t="str">
        <f aca="false">IF(C51="","",IFERROR(INDEX(Перечень!$C$6:$C$52,MATCH(H51,Перечень!$A$6:$A$52,0)),""))</f>
        <v>п.4.4, п.5.1, п.6.2</v>
      </c>
      <c r="J51" s="35" t="n">
        <f aca="false">IF(C51="","",IFERROR(INDEX(Перечень!$D$6:$D$52,MATCH(H51,Перечень!$A$6:$A$52,0)),12))</f>
        <v>12</v>
      </c>
      <c r="K51" s="40"/>
      <c r="L51" s="40"/>
      <c r="M51" s="37" t="str">
        <f aca="false">IF(AND(K51="",L51=""),"",EDATE(MAX(K51,L51),J51))</f>
        <v/>
      </c>
      <c r="N51" s="41" t="str">
        <f aca="false">IF(C51="","",IFERROR(INDEX(Перечень!$F$6:$F$52,MATCH(H51,Перечень!$A$6:$A$52,0)),""))</f>
        <v>-</v>
      </c>
      <c r="O51" s="40"/>
      <c r="P51" s="37" t="str">
        <f aca="false">IF(O51="","",EDATE(O51,60))</f>
        <v/>
      </c>
      <c r="Q51" s="41" t="str">
        <f aca="false">IF(AND(K51&lt;&gt;"",F51&lt;&gt;"",K51&gt;F51),"Да","")</f>
        <v/>
      </c>
      <c r="R51" s="41" t="str">
        <f aca="true">IF(C51="","",IF(M51="","Нет сведений",IF(M51&lt;TODAY(),"Просрочен",IF(M51-TODAY()&lt;=30,"Истекает","В срок"))))</f>
        <v>Нет сведений</v>
      </c>
      <c r="S51" s="41" t="str">
        <f aca="false">IF(AND(N51="Да",O51=""),"Не пройдено","")</f>
        <v/>
      </c>
    </row>
    <row r="52" customFormat="false" ht="14.25" hidden="false" customHeight="false" outlineLevel="0" collapsed="false">
      <c r="A52" s="35" t="n">
        <f aca="false">IF(C52="","",ROW()-5)</f>
        <v>47</v>
      </c>
      <c r="B52" s="36" t="s">
        <v>104</v>
      </c>
      <c r="C52" s="36" t="s">
        <v>208</v>
      </c>
      <c r="D52" s="36" t="s">
        <v>162</v>
      </c>
      <c r="E52" s="36" t="s">
        <v>209</v>
      </c>
      <c r="F52" s="37" t="n">
        <v>45852</v>
      </c>
      <c r="G52" s="38" t="str">
        <f aca="false">IF(C52="","",IF(TRIM(SUBSTITUTE(SUBSTITUTE(SUBSTITUTE(SUBSTITUTE(SUBSTITUTE(SUBSTITUTE(SUBSTITUTE(SUBSTITUTE(SUBSTITUTE(SUBSTITUTE(SUBSTITUTE(LOWER(TRIM(D52)),"ё","е"),"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категории",""))="инженер",IF(AND(ISNUMBER(SEARCH("техническ",E52)),ISNUMBER(SEARCH("контрол",E52))),"инженер отк",IF(ISNUMBER(SEARCH("диспетч",E52)),"инженер пдо",TRIM(SUBSTITUTE(SUBSTITUTE(SUBSTITUTE(SUBSTITUTE(SUBSTITUTE(SUBSTITUTE(SUBSTITUTE(SUBSTITUTE(SUBSTITUTE(SUBSTITUTE(SUBSTITUTE(LOWER(TRIM(D52)),"ё","е"),"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инженер",IF(ISNUMBER(SEARCH("диспетч",E52)),"ведущий инженер пдо",TRIM(SUBSTITUTE(SUBSTITUTE(SUBSTITUTE(SUBSTITUTE(SUBSTITUTE(SUBSTITUTE(SUBSTITUTE(SUBSTITUTE(SUBSTITUTE(SUBSTITUTE(SUBSTITUTE(LOWER(TRIM(D52)),"ё","е"),"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отк",TRIM(SUBSTITUTE(SUBSTITUTE(SUBSTITUTE(SUBSTITUTE(SUBSTITUTE(SUBSTITUTE(SUBSTITUTE(SUBSTITUTE(SUBSTITUTE(SUBSTITUTE(SUBSTITUTE(LOWER(TRIM(D52)),"ё","е"),"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52" s="35" t="n">
        <f aca="false">IF(C52="","",IF(AND(G52="мастер участка",ISNUMBER(SEARCH("РЭО",E52))),29,IFERROR(INDEX(Соответствие!$B$2:$B$100,MATCH(G52,Соответствие!$A$2:$A$100,0)),"?")))</f>
        <v>20</v>
      </c>
      <c r="I52" s="39" t="str">
        <f aca="false">IF(C52="","",IFERROR(INDEX(Перечень!$C$6:$C$52,MATCH(H52,Перечень!$A$6:$A$52,0)),""))</f>
        <v>п.4.3.1, п.4.3.2, п.4.4, п.4.9, п.5.1, п.5.2, п.6.2, п.9</v>
      </c>
      <c r="J52" s="35" t="n">
        <f aca="false">IF(C52="","",IFERROR(INDEX(Перечень!$D$6:$D$52,MATCH(H52,Перечень!$A$6:$A$52,0)),12))</f>
        <v>12</v>
      </c>
      <c r="K52" s="40"/>
      <c r="L52" s="40"/>
      <c r="M52" s="37" t="str">
        <f aca="false">IF(AND(K52="",L52=""),"",EDATE(MAX(K52,L52),J52))</f>
        <v/>
      </c>
      <c r="N52" s="41" t="str">
        <f aca="false">IF(C52="","",IFERROR(INDEX(Перечень!$F$6:$F$52,MATCH(H52,Перечень!$A$6:$A$52,0)),""))</f>
        <v>Да</v>
      </c>
      <c r="O52" s="40"/>
      <c r="P52" s="37" t="str">
        <f aca="false">IF(O52="","",EDATE(O52,60))</f>
        <v/>
      </c>
      <c r="Q52" s="41" t="str">
        <f aca="false">IF(AND(K52&lt;&gt;"",F52&lt;&gt;"",K52&gt;F52),"Да","")</f>
        <v/>
      </c>
      <c r="R52" s="41" t="str">
        <f aca="true">IF(C52="","",IF(M52="","Нет сведений",IF(M52&lt;TODAY(),"Просрочен",IF(M52-TODAY()&lt;=30,"Истекает","В срок"))))</f>
        <v>Нет сведений</v>
      </c>
      <c r="S52" s="41" t="str">
        <f aca="false">IF(AND(N52="Да",O52=""),"Не пройдено","")</f>
        <v>Не пройдено</v>
      </c>
    </row>
    <row r="53" customFormat="false" ht="14.25" hidden="false" customHeight="false" outlineLevel="0" collapsed="false">
      <c r="A53" s="35" t="n">
        <f aca="false">IF(C53="","",ROW()-5)</f>
        <v>48</v>
      </c>
      <c r="B53" s="36" t="s">
        <v>104</v>
      </c>
      <c r="C53" s="36" t="s">
        <v>210</v>
      </c>
      <c r="D53" s="36" t="s">
        <v>160</v>
      </c>
      <c r="E53" s="36" t="s">
        <v>209</v>
      </c>
      <c r="F53" s="37" t="n">
        <v>46140</v>
      </c>
      <c r="G53" s="38" t="str">
        <f aca="false">IF(C53="","",IF(TRIM(SUBSTITUTE(SUBSTITUTE(SUBSTITUTE(SUBSTITUTE(SUBSTITUTE(SUBSTITUTE(SUBSTITUTE(SUBSTITUTE(SUBSTITUTE(SUBSTITUTE(SUBSTITUTE(LOWER(TRIM(D53)),"ё","е"),"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категории",""))="инженер",IF(AND(ISNUMBER(SEARCH("техническ",E53)),ISNUMBER(SEARCH("контрол",E53))),"инженер отк",IF(ISNUMBER(SEARCH("диспетч",E53)),"инженер пдо",TRIM(SUBSTITUTE(SUBSTITUTE(SUBSTITUTE(SUBSTITUTE(SUBSTITUTE(SUBSTITUTE(SUBSTITUTE(SUBSTITUTE(SUBSTITUTE(SUBSTITUTE(SUBSTITUTE(LOWER(TRIM(D53)),"ё","е"),"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инженер",IF(ISNUMBER(SEARCH("диспетч",E53)),"ведущий инженер пдо",TRIM(SUBSTITUTE(SUBSTITUTE(SUBSTITUTE(SUBSTITUTE(SUBSTITUTE(SUBSTITUTE(SUBSTITUTE(SUBSTITUTE(SUBSTITUTE(SUBSTITUTE(SUBSTITUTE(LOWER(TRIM(D53)),"ё","е"),"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отк",TRIM(SUBSTITUTE(SUBSTITUTE(SUBSTITUTE(SUBSTITUTE(SUBSTITUTE(SUBSTITUTE(SUBSTITUTE(SUBSTITUTE(SUBSTITUTE(SUBSTITUTE(SUBSTITUTE(LOWER(TRIM(D53)),"ё","е"),"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53" s="35" t="n">
        <f aca="false">IF(C53="","",IF(AND(G53="мастер участка",ISNUMBER(SEARCH("РЭО",E53))),29,IFERROR(INDEX(Соответствие!$B$2:$B$100,MATCH(G53,Соответствие!$A$2:$A$100,0)),"?")))</f>
        <v>20</v>
      </c>
      <c r="I53" s="39" t="str">
        <f aca="false">IF(C53="","",IFERROR(INDEX(Перечень!$C$6:$C$52,MATCH(H53,Перечень!$A$6:$A$52,0)),""))</f>
        <v>п.4.3.1, п.4.3.2, п.4.4, п.4.9, п.5.1, п.5.2, п.6.2, п.9</v>
      </c>
      <c r="J53" s="35" t="n">
        <f aca="false">IF(C53="","",IFERROR(INDEX(Перечень!$D$6:$D$52,MATCH(H53,Перечень!$A$6:$A$52,0)),12))</f>
        <v>12</v>
      </c>
      <c r="K53" s="40"/>
      <c r="L53" s="40"/>
      <c r="M53" s="37" t="str">
        <f aca="false">IF(AND(K53="",L53=""),"",EDATE(MAX(K53,L53),J53))</f>
        <v/>
      </c>
      <c r="N53" s="41" t="str">
        <f aca="false">IF(C53="","",IFERROR(INDEX(Перечень!$F$6:$F$52,MATCH(H53,Перечень!$A$6:$A$52,0)),""))</f>
        <v>Да</v>
      </c>
      <c r="O53" s="40"/>
      <c r="P53" s="37" t="str">
        <f aca="false">IF(O53="","",EDATE(O53,60))</f>
        <v/>
      </c>
      <c r="Q53" s="41" t="str">
        <f aca="false">IF(AND(K53&lt;&gt;"",F53&lt;&gt;"",K53&gt;F53),"Да","")</f>
        <v/>
      </c>
      <c r="R53" s="41" t="str">
        <f aca="true">IF(C53="","",IF(M53="","Нет сведений",IF(M53&lt;TODAY(),"Просрочен",IF(M53-TODAY()&lt;=30,"Истекает","В срок"))))</f>
        <v>Нет сведений</v>
      </c>
      <c r="S53" s="41" t="str">
        <f aca="false">IF(AND(N53="Да",O53=""),"Не пройдено","")</f>
        <v>Не пройдено</v>
      </c>
    </row>
    <row r="54" customFormat="false" ht="14.25" hidden="false" customHeight="false" outlineLevel="0" collapsed="false">
      <c r="A54" s="35" t="n">
        <f aca="false">IF(C54="","",ROW()-5)</f>
        <v>49</v>
      </c>
      <c r="B54" s="36" t="s">
        <v>104</v>
      </c>
      <c r="C54" s="36" t="s">
        <v>211</v>
      </c>
      <c r="D54" s="36" t="s">
        <v>160</v>
      </c>
      <c r="E54" s="36" t="s">
        <v>209</v>
      </c>
      <c r="F54" s="37" t="n">
        <v>45796</v>
      </c>
      <c r="G54" s="38" t="str">
        <f aca="false">IF(C54="","",IF(TRIM(SUBSTITUTE(SUBSTITUTE(SUBSTITUTE(SUBSTITUTE(SUBSTITUTE(SUBSTITUTE(SUBSTITUTE(SUBSTITUTE(SUBSTITUTE(SUBSTITUTE(SUBSTITUTE(LOWER(TRIM(D54)),"ё","е"),"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категории",""))="инженер",IF(AND(ISNUMBER(SEARCH("техническ",E54)),ISNUMBER(SEARCH("контрол",E54))),"инженер отк",IF(ISNUMBER(SEARCH("диспетч",E54)),"инженер пдо",TRIM(SUBSTITUTE(SUBSTITUTE(SUBSTITUTE(SUBSTITUTE(SUBSTITUTE(SUBSTITUTE(SUBSTITUTE(SUBSTITUTE(SUBSTITUTE(SUBSTITUTE(SUBSTITUTE(LOWER(TRIM(D54)),"ё","е"),"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инженер",IF(ISNUMBER(SEARCH("диспетч",E54)),"ведущий инженер пдо",TRIM(SUBSTITUTE(SUBSTITUTE(SUBSTITUTE(SUBSTITUTE(SUBSTITUTE(SUBSTITUTE(SUBSTITUTE(SUBSTITUTE(SUBSTITUTE(SUBSTITUTE(SUBSTITUTE(LOWER(TRIM(D54)),"ё","е"),"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отк",TRIM(SUBSTITUTE(SUBSTITUTE(SUBSTITUTE(SUBSTITUTE(SUBSTITUTE(SUBSTITUTE(SUBSTITUTE(SUBSTITUTE(SUBSTITUTE(SUBSTITUTE(SUBSTITUTE(LOWER(TRIM(D54)),"ё","е"),"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54" s="35" t="n">
        <f aca="false">IF(C54="","",IF(AND(G54="мастер участка",ISNUMBER(SEARCH("РЭО",E54))),29,IFERROR(INDEX(Соответствие!$B$2:$B$100,MATCH(G54,Соответствие!$A$2:$A$100,0)),"?")))</f>
        <v>20</v>
      </c>
      <c r="I54" s="39" t="str">
        <f aca="false">IF(C54="","",IFERROR(INDEX(Перечень!$C$6:$C$52,MATCH(H54,Перечень!$A$6:$A$52,0)),""))</f>
        <v>п.4.3.1, п.4.3.2, п.4.4, п.4.9, п.5.1, п.5.2, п.6.2, п.9</v>
      </c>
      <c r="J54" s="35" t="n">
        <f aca="false">IF(C54="","",IFERROR(INDEX(Перечень!$D$6:$D$52,MATCH(H54,Перечень!$A$6:$A$52,0)),12))</f>
        <v>12</v>
      </c>
      <c r="K54" s="40" t="n">
        <v>45784</v>
      </c>
      <c r="L54" s="40"/>
      <c r="M54" s="37" t="n">
        <f aca="false">IF(AND(K54="",L54=""),"",EDATE(MAX(K54,L54),J54))</f>
        <v>46149</v>
      </c>
      <c r="N54" s="41" t="str">
        <f aca="false">IF(C54="","",IFERROR(INDEX(Перечень!$F$6:$F$52,MATCH(H54,Перечень!$A$6:$A$52,0)),""))</f>
        <v>Да</v>
      </c>
      <c r="O54" s="40"/>
      <c r="P54" s="37" t="str">
        <f aca="false">IF(O54="","",EDATE(O54,60))</f>
        <v/>
      </c>
      <c r="Q54" s="41" t="str">
        <f aca="false">IF(AND(K54&lt;&gt;"",F54&lt;&gt;"",K54&gt;F54),"Да","")</f>
        <v/>
      </c>
      <c r="R54" s="41" t="str">
        <f aca="true">IF(C54="","",IF(M54="","Нет сведений",IF(M54&lt;TODAY(),"Просрочен",IF(M54-TODAY()&lt;=30,"Истекает","В срок"))))</f>
        <v>Просрочен</v>
      </c>
      <c r="S54" s="41" t="str">
        <f aca="false">IF(AND(N54="Да",O54=""),"Не пройдено","")</f>
        <v>Не пройдено</v>
      </c>
    </row>
    <row r="55" customFormat="false" ht="14.25" hidden="false" customHeight="false" outlineLevel="0" collapsed="false">
      <c r="A55" s="35" t="n">
        <f aca="false">IF(C55="","",ROW()-5)</f>
        <v>50</v>
      </c>
      <c r="B55" s="36" t="s">
        <v>104</v>
      </c>
      <c r="C55" s="36" t="s">
        <v>212</v>
      </c>
      <c r="D55" s="36" t="s">
        <v>160</v>
      </c>
      <c r="E55" s="36" t="s">
        <v>209</v>
      </c>
      <c r="F55" s="37" t="n">
        <v>45873</v>
      </c>
      <c r="G55" s="38" t="str">
        <f aca="false">IF(C55="","",IF(TRIM(SUBSTITUTE(SUBSTITUTE(SUBSTITUTE(SUBSTITUTE(SUBSTITUTE(SUBSTITUTE(SUBSTITUTE(SUBSTITUTE(SUBSTITUTE(SUBSTITUTE(SUBSTITUTE(LOWER(TRIM(D55)),"ё","е"),"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категории",""))="инженер",IF(AND(ISNUMBER(SEARCH("техническ",E55)),ISNUMBER(SEARCH("контрол",E55))),"инженер отк",IF(ISNUMBER(SEARCH("диспетч",E55)),"инженер пдо",TRIM(SUBSTITUTE(SUBSTITUTE(SUBSTITUTE(SUBSTITUTE(SUBSTITUTE(SUBSTITUTE(SUBSTITUTE(SUBSTITUTE(SUBSTITUTE(SUBSTITUTE(SUBSTITUTE(LOWER(TRIM(D55)),"ё","е"),"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инженер",IF(ISNUMBER(SEARCH("диспетч",E55)),"ведущий инженер пдо",TRIM(SUBSTITUTE(SUBSTITUTE(SUBSTITUTE(SUBSTITUTE(SUBSTITUTE(SUBSTITUTE(SUBSTITUTE(SUBSTITUTE(SUBSTITUTE(SUBSTITUTE(SUBSTITUTE(LOWER(TRIM(D55)),"ё","е"),"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отк",TRIM(SUBSTITUTE(SUBSTITUTE(SUBSTITUTE(SUBSTITUTE(SUBSTITUTE(SUBSTITUTE(SUBSTITUTE(SUBSTITUTE(SUBSTITUTE(SUBSTITUTE(SUBSTITUTE(LOWER(TRIM(D55)),"ё","е"),"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55" s="35" t="n">
        <f aca="false">IF(C55="","",IF(AND(G55="мастер участка",ISNUMBER(SEARCH("РЭО",E55))),29,IFERROR(INDEX(Соответствие!$B$2:$B$100,MATCH(G55,Соответствие!$A$2:$A$100,0)),"?")))</f>
        <v>20</v>
      </c>
      <c r="I55" s="39" t="str">
        <f aca="false">IF(C55="","",IFERROR(INDEX(Перечень!$C$6:$C$52,MATCH(H55,Перечень!$A$6:$A$52,0)),""))</f>
        <v>п.4.3.1, п.4.3.2, п.4.4, п.4.9, п.5.1, п.5.2, п.6.2, п.9</v>
      </c>
      <c r="J55" s="35" t="n">
        <f aca="false">IF(C55="","",IFERROR(INDEX(Перечень!$D$6:$D$52,MATCH(H55,Перечень!$A$6:$A$52,0)),12))</f>
        <v>12</v>
      </c>
      <c r="K55" s="40"/>
      <c r="L55" s="40"/>
      <c r="M55" s="37" t="str">
        <f aca="false">IF(AND(K55="",L55=""),"",EDATE(MAX(K55,L55),J55))</f>
        <v/>
      </c>
      <c r="N55" s="41" t="str">
        <f aca="false">IF(C55="","",IFERROR(INDEX(Перечень!$F$6:$F$52,MATCH(H55,Перечень!$A$6:$A$52,0)),""))</f>
        <v>Да</v>
      </c>
      <c r="O55" s="40"/>
      <c r="P55" s="37" t="str">
        <f aca="false">IF(O55="","",EDATE(O55,60))</f>
        <v/>
      </c>
      <c r="Q55" s="41" t="str">
        <f aca="false">IF(AND(K55&lt;&gt;"",F55&lt;&gt;"",K55&gt;F55),"Да","")</f>
        <v/>
      </c>
      <c r="R55" s="41" t="str">
        <f aca="true">IF(C55="","",IF(M55="","Нет сведений",IF(M55&lt;TODAY(),"Просрочен",IF(M55-TODAY()&lt;=30,"Истекает","В срок"))))</f>
        <v>Нет сведений</v>
      </c>
      <c r="S55" s="41" t="str">
        <f aca="false">IF(AND(N55="Да",O55=""),"Не пройдено","")</f>
        <v>Не пройдено</v>
      </c>
    </row>
    <row r="56" customFormat="false" ht="14.25" hidden="false" customHeight="false" outlineLevel="0" collapsed="false">
      <c r="A56" s="35" t="n">
        <f aca="false">IF(C56="","",ROW()-5)</f>
        <v>51</v>
      </c>
      <c r="B56" s="36" t="s">
        <v>104</v>
      </c>
      <c r="C56" s="36" t="s">
        <v>213</v>
      </c>
      <c r="D56" s="36" t="s">
        <v>160</v>
      </c>
      <c r="E56" s="36" t="s">
        <v>209</v>
      </c>
      <c r="F56" s="37" t="n">
        <v>45813</v>
      </c>
      <c r="G56" s="38" t="str">
        <f aca="false">IF(C56="","",IF(TRIM(SUBSTITUTE(SUBSTITUTE(SUBSTITUTE(SUBSTITUTE(SUBSTITUTE(SUBSTITUTE(SUBSTITUTE(SUBSTITUTE(SUBSTITUTE(SUBSTITUTE(SUBSTITUTE(LOWER(TRIM(D56)),"ё","е"),"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категории",""))="инженер",IF(AND(ISNUMBER(SEARCH("техническ",E56)),ISNUMBER(SEARCH("контрол",E56))),"инженер отк",IF(ISNUMBER(SEARCH("диспетч",E56)),"инженер пдо",TRIM(SUBSTITUTE(SUBSTITUTE(SUBSTITUTE(SUBSTITUTE(SUBSTITUTE(SUBSTITUTE(SUBSTITUTE(SUBSTITUTE(SUBSTITUTE(SUBSTITUTE(SUBSTITUTE(LOWER(TRIM(D56)),"ё","е"),"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инженер",IF(ISNUMBER(SEARCH("диспетч",E56)),"ведущий инженер пдо",TRIM(SUBSTITUTE(SUBSTITUTE(SUBSTITUTE(SUBSTITUTE(SUBSTITUTE(SUBSTITUTE(SUBSTITUTE(SUBSTITUTE(SUBSTITUTE(SUBSTITUTE(SUBSTITUTE(LOWER(TRIM(D56)),"ё","е"),"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отк",TRIM(SUBSTITUTE(SUBSTITUTE(SUBSTITUTE(SUBSTITUTE(SUBSTITUTE(SUBSTITUTE(SUBSTITUTE(SUBSTITUTE(SUBSTITUTE(SUBSTITUTE(SUBSTITUTE(LOWER(TRIM(D56)),"ё","е"),"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56" s="35" t="n">
        <f aca="false">IF(C56="","",IF(AND(G56="мастер участка",ISNUMBER(SEARCH("РЭО",E56))),29,IFERROR(INDEX(Соответствие!$B$2:$B$100,MATCH(G56,Соответствие!$A$2:$A$100,0)),"?")))</f>
        <v>20</v>
      </c>
      <c r="I56" s="39" t="str">
        <f aca="false">IF(C56="","",IFERROR(INDEX(Перечень!$C$6:$C$52,MATCH(H56,Перечень!$A$6:$A$52,0)),""))</f>
        <v>п.4.3.1, п.4.3.2, п.4.4, п.4.9, п.5.1, п.5.2, п.6.2, п.9</v>
      </c>
      <c r="J56" s="35" t="n">
        <f aca="false">IF(C56="","",IFERROR(INDEX(Перечень!$D$6:$D$52,MATCH(H56,Перечень!$A$6:$A$52,0)),12))</f>
        <v>12</v>
      </c>
      <c r="K56" s="40" t="n">
        <v>45810</v>
      </c>
      <c r="L56" s="40"/>
      <c r="M56" s="37" t="n">
        <f aca="false">IF(AND(K56="",L56=""),"",EDATE(MAX(K56,L56),J56))</f>
        <v>46175</v>
      </c>
      <c r="N56" s="41" t="str">
        <f aca="false">IF(C56="","",IFERROR(INDEX(Перечень!$F$6:$F$52,MATCH(H56,Перечень!$A$6:$A$52,0)),""))</f>
        <v>Да</v>
      </c>
      <c r="O56" s="40"/>
      <c r="P56" s="37" t="str">
        <f aca="false">IF(O56="","",EDATE(O56,60))</f>
        <v/>
      </c>
      <c r="Q56" s="41" t="str">
        <f aca="false">IF(AND(K56&lt;&gt;"",F56&lt;&gt;"",K56&gt;F56),"Да","")</f>
        <v/>
      </c>
      <c r="R56" s="41" t="str">
        <f aca="true">IF(C56="","",IF(M56="","Нет сведений",IF(M56&lt;TODAY(),"Просрочен",IF(M56-TODAY()&lt;=30,"Истекает","В срок"))))</f>
        <v>Просрочен</v>
      </c>
      <c r="S56" s="41" t="str">
        <f aca="false">IF(AND(N56="Да",O56=""),"Не пройдено","")</f>
        <v>Не пройдено</v>
      </c>
    </row>
    <row r="57" customFormat="false" ht="14.25" hidden="false" customHeight="false" outlineLevel="0" collapsed="false">
      <c r="A57" s="35" t="n">
        <f aca="false">IF(C57="","",ROW()-5)</f>
        <v>52</v>
      </c>
      <c r="B57" s="36" t="s">
        <v>104</v>
      </c>
      <c r="C57" s="36" t="s">
        <v>214</v>
      </c>
      <c r="D57" s="36" t="s">
        <v>160</v>
      </c>
      <c r="E57" s="36" t="s">
        <v>209</v>
      </c>
      <c r="F57" s="37" t="n">
        <v>45789</v>
      </c>
      <c r="G57" s="38" t="str">
        <f aca="false">IF(C57="","",IF(TRIM(SUBSTITUTE(SUBSTITUTE(SUBSTITUTE(SUBSTITUTE(SUBSTITUTE(SUBSTITUTE(SUBSTITUTE(SUBSTITUTE(SUBSTITUTE(SUBSTITUTE(SUBSTITUTE(LOWER(TRIM(D57)),"ё","е"),"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категории",""))="инженер",IF(AND(ISNUMBER(SEARCH("техническ",E57)),ISNUMBER(SEARCH("контрол",E57))),"инженер отк",IF(ISNUMBER(SEARCH("диспетч",E57)),"инженер пдо",TRIM(SUBSTITUTE(SUBSTITUTE(SUBSTITUTE(SUBSTITUTE(SUBSTITUTE(SUBSTITUTE(SUBSTITUTE(SUBSTITUTE(SUBSTITUTE(SUBSTITUTE(SUBSTITUTE(LOWER(TRIM(D57)),"ё","е"),"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инженер",IF(ISNUMBER(SEARCH("диспетч",E57)),"ведущий инженер пдо",TRIM(SUBSTITUTE(SUBSTITUTE(SUBSTITUTE(SUBSTITUTE(SUBSTITUTE(SUBSTITUTE(SUBSTITUTE(SUBSTITUTE(SUBSTITUTE(SUBSTITUTE(SUBSTITUTE(LOWER(TRIM(D57)),"ё","е"),"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отк",TRIM(SUBSTITUTE(SUBSTITUTE(SUBSTITUTE(SUBSTITUTE(SUBSTITUTE(SUBSTITUTE(SUBSTITUTE(SUBSTITUTE(SUBSTITUTE(SUBSTITUTE(SUBSTITUTE(LOWER(TRIM(D57)),"ё","е"),"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57" s="35" t="n">
        <f aca="false">IF(C57="","",IF(AND(G57="мастер участка",ISNUMBER(SEARCH("РЭО",E57))),29,IFERROR(INDEX(Соответствие!$B$2:$B$100,MATCH(G57,Соответствие!$A$2:$A$100,0)),"?")))</f>
        <v>20</v>
      </c>
      <c r="I57" s="39" t="str">
        <f aca="false">IF(C57="","",IFERROR(INDEX(Перечень!$C$6:$C$52,MATCH(H57,Перечень!$A$6:$A$52,0)),""))</f>
        <v>п.4.3.1, п.4.3.2, п.4.4, п.4.9, п.5.1, п.5.2, п.6.2, п.9</v>
      </c>
      <c r="J57" s="35" t="n">
        <f aca="false">IF(C57="","",IFERROR(INDEX(Перечень!$D$6:$D$52,MATCH(H57,Перечень!$A$6:$A$52,0)),12))</f>
        <v>12</v>
      </c>
      <c r="K57" s="40"/>
      <c r="L57" s="40"/>
      <c r="M57" s="37" t="str">
        <f aca="false">IF(AND(K57="",L57=""),"",EDATE(MAX(K57,L57),J57))</f>
        <v/>
      </c>
      <c r="N57" s="41" t="str">
        <f aca="false">IF(C57="","",IFERROR(INDEX(Перечень!$F$6:$F$52,MATCH(H57,Перечень!$A$6:$A$52,0)),""))</f>
        <v>Да</v>
      </c>
      <c r="O57" s="40"/>
      <c r="P57" s="37" t="str">
        <f aca="false">IF(O57="","",EDATE(O57,60))</f>
        <v/>
      </c>
      <c r="Q57" s="41" t="str">
        <f aca="false">IF(AND(K57&lt;&gt;"",F57&lt;&gt;"",K57&gt;F57),"Да","")</f>
        <v/>
      </c>
      <c r="R57" s="41" t="str">
        <f aca="true">IF(C57="","",IF(M57="","Нет сведений",IF(M57&lt;TODAY(),"Просрочен",IF(M57-TODAY()&lt;=30,"Истекает","В срок"))))</f>
        <v>Нет сведений</v>
      </c>
      <c r="S57" s="41" t="str">
        <f aca="false">IF(AND(N57="Да",O57=""),"Не пройдено","")</f>
        <v>Не пройдено</v>
      </c>
    </row>
    <row r="58" customFormat="false" ht="14.25" hidden="false" customHeight="false" outlineLevel="0" collapsed="false">
      <c r="A58" s="35" t="n">
        <f aca="false">IF(C58="","",ROW()-5)</f>
        <v>53</v>
      </c>
      <c r="B58" s="36" t="s">
        <v>104</v>
      </c>
      <c r="C58" s="36" t="s">
        <v>215</v>
      </c>
      <c r="D58" s="36" t="s">
        <v>160</v>
      </c>
      <c r="E58" s="36" t="s">
        <v>209</v>
      </c>
      <c r="F58" s="37" t="n">
        <v>45769</v>
      </c>
      <c r="G58" s="38" t="str">
        <f aca="false">IF(C58="","",IF(TRIM(SUBSTITUTE(SUBSTITUTE(SUBSTITUTE(SUBSTITUTE(SUBSTITUTE(SUBSTITUTE(SUBSTITUTE(SUBSTITUTE(SUBSTITUTE(SUBSTITUTE(SUBSTITUTE(LOWER(TRIM(D58)),"ё","е"),"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категории",""))="инженер",IF(AND(ISNUMBER(SEARCH("техническ",E58)),ISNUMBER(SEARCH("контрол",E58))),"инженер отк",IF(ISNUMBER(SEARCH("диспетч",E58)),"инженер пдо",TRIM(SUBSTITUTE(SUBSTITUTE(SUBSTITUTE(SUBSTITUTE(SUBSTITUTE(SUBSTITUTE(SUBSTITUTE(SUBSTITUTE(SUBSTITUTE(SUBSTITUTE(SUBSTITUTE(LOWER(TRIM(D58)),"ё","е"),"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инженер",IF(ISNUMBER(SEARCH("диспетч",E58)),"ведущий инженер пдо",TRIM(SUBSTITUTE(SUBSTITUTE(SUBSTITUTE(SUBSTITUTE(SUBSTITUTE(SUBSTITUTE(SUBSTITUTE(SUBSTITUTE(SUBSTITUTE(SUBSTITUTE(SUBSTITUTE(LOWER(TRIM(D58)),"ё","е"),"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отк",TRIM(SUBSTITUTE(SUBSTITUTE(SUBSTITUTE(SUBSTITUTE(SUBSTITUTE(SUBSTITUTE(SUBSTITUTE(SUBSTITUTE(SUBSTITUTE(SUBSTITUTE(SUBSTITUTE(LOWER(TRIM(D58)),"ё","е"),"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58" s="35" t="n">
        <f aca="false">IF(C58="","",IF(AND(G58="мастер участка",ISNUMBER(SEARCH("РЭО",E58))),29,IFERROR(INDEX(Соответствие!$B$2:$B$100,MATCH(G58,Соответствие!$A$2:$A$100,0)),"?")))</f>
        <v>20</v>
      </c>
      <c r="I58" s="39" t="str">
        <f aca="false">IF(C58="","",IFERROR(INDEX(Перечень!$C$6:$C$52,MATCH(H58,Перечень!$A$6:$A$52,0)),""))</f>
        <v>п.4.3.1, п.4.3.2, п.4.4, п.4.9, п.5.1, п.5.2, п.6.2, п.9</v>
      </c>
      <c r="J58" s="35" t="n">
        <f aca="false">IF(C58="","",IFERROR(INDEX(Перечень!$D$6:$D$52,MATCH(H58,Перечень!$A$6:$A$52,0)),12))</f>
        <v>12</v>
      </c>
      <c r="K58" s="40"/>
      <c r="L58" s="40"/>
      <c r="M58" s="37" t="str">
        <f aca="false">IF(AND(K58="",L58=""),"",EDATE(MAX(K58,L58),J58))</f>
        <v/>
      </c>
      <c r="N58" s="41" t="str">
        <f aca="false">IF(C58="","",IFERROR(INDEX(Перечень!$F$6:$F$52,MATCH(H58,Перечень!$A$6:$A$52,0)),""))</f>
        <v>Да</v>
      </c>
      <c r="O58" s="40"/>
      <c r="P58" s="37" t="str">
        <f aca="false">IF(O58="","",EDATE(O58,60))</f>
        <v/>
      </c>
      <c r="Q58" s="41" t="str">
        <f aca="false">IF(AND(K58&lt;&gt;"",F58&lt;&gt;"",K58&gt;F58),"Да","")</f>
        <v/>
      </c>
      <c r="R58" s="41" t="str">
        <f aca="true">IF(C58="","",IF(M58="","Нет сведений",IF(M58&lt;TODAY(),"Просрочен",IF(M58-TODAY()&lt;=30,"Истекает","В срок"))))</f>
        <v>Нет сведений</v>
      </c>
      <c r="S58" s="41" t="str">
        <f aca="false">IF(AND(N58="Да",O58=""),"Не пройдено","")</f>
        <v>Не пройдено</v>
      </c>
    </row>
    <row r="59" customFormat="false" ht="14.25" hidden="false" customHeight="false" outlineLevel="0" collapsed="false">
      <c r="A59" s="35" t="n">
        <f aca="false">IF(C59="","",ROW()-5)</f>
        <v>54</v>
      </c>
      <c r="B59" s="36" t="s">
        <v>104</v>
      </c>
      <c r="C59" s="36" t="s">
        <v>216</v>
      </c>
      <c r="D59" s="36" t="s">
        <v>162</v>
      </c>
      <c r="E59" s="36" t="s">
        <v>209</v>
      </c>
      <c r="F59" s="37" t="n">
        <v>45797</v>
      </c>
      <c r="G59" s="38" t="str">
        <f aca="false">IF(C59="","",IF(TRIM(SUBSTITUTE(SUBSTITUTE(SUBSTITUTE(SUBSTITUTE(SUBSTITUTE(SUBSTITUTE(SUBSTITUTE(SUBSTITUTE(SUBSTITUTE(SUBSTITUTE(SUBSTITUTE(LOWER(TRIM(D59)),"ё","е"),"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категории",""))="инженер",IF(AND(ISNUMBER(SEARCH("техническ",E59)),ISNUMBER(SEARCH("контрол",E59))),"инженер отк",IF(ISNUMBER(SEARCH("диспетч",E59)),"инженер пдо",TRIM(SUBSTITUTE(SUBSTITUTE(SUBSTITUTE(SUBSTITUTE(SUBSTITUTE(SUBSTITUTE(SUBSTITUTE(SUBSTITUTE(SUBSTITUTE(SUBSTITUTE(SUBSTITUTE(LOWER(TRIM(D59)),"ё","е"),"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категории","")))),IF(TRIM(SUBSTITUTE(SUBSTITUTE(SUBSTITUTE(SUBSTITUTE(SUBSTITUTE(SUBSTITUTE(SUBSTITUTE(SUBSTITUTE(SUBSTITUTE(SUBSTITUTE(SUBSTITUTE(LOWER(TRIM(D59)),"ё","е"),"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инженер",IF(ISNUMBER(SEARCH("диспетч",E59)),"ведущий инженер пдо",TRIM(SUBSTITUTE(SUBSTITUTE(SUBSTITUTE(SUBSTITUTE(SUBSTITUTE(SUBSTITUTE(SUBSTITUTE(SUBSTITUTE(SUBSTITUTE(SUBSTITUTE(SUBSTITUTE(LOWER(TRIM(D59)),"ё","е"),"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категории",""))),IF(TRIM(SUBSTITUTE(SUBSTITUTE(SUBSTITUTE(SUBSTITUTE(SUBSTITUTE(SUBSTITUTE(SUBSTITUTE(SUBSTITUTE(SUBSTITUTE(SUBSTITUTE(SUBSTITUTE(LOWER(TRIM(D59)),"ё","е"),"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отк",TRIM(SUBSTITUTE(SUBSTITUTE(SUBSTITUTE(SUBSTITUTE(SUBSTITUTE(SUBSTITUTE(SUBSTITUTE(SUBSTITUTE(SUBSTITUTE(SUBSTITUTE(SUBSTITUTE(LOWER(TRIM(D59)),"ё","е"),"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59" s="35" t="n">
        <f aca="false">IF(C59="","",IF(AND(G59="мастер участка",ISNUMBER(SEARCH("РЭО",E59))),29,IFERROR(INDEX(Соответствие!$B$2:$B$100,MATCH(G59,Соответствие!$A$2:$A$100,0)),"?")))</f>
        <v>20</v>
      </c>
      <c r="I59" s="39" t="str">
        <f aca="false">IF(C59="","",IFERROR(INDEX(Перечень!$C$6:$C$52,MATCH(H59,Перечень!$A$6:$A$52,0)),""))</f>
        <v>п.4.3.1, п.4.3.2, п.4.4, п.4.9, п.5.1, п.5.2, п.6.2, п.9</v>
      </c>
      <c r="J59" s="35" t="n">
        <f aca="false">IF(C59="","",IFERROR(INDEX(Перечень!$D$6:$D$52,MATCH(H59,Перечень!$A$6:$A$52,0)),12))</f>
        <v>12</v>
      </c>
      <c r="K59" s="40" t="n">
        <v>45768</v>
      </c>
      <c r="L59" s="40"/>
      <c r="M59" s="37" t="n">
        <f aca="false">IF(AND(K59="",L59=""),"",EDATE(MAX(K59,L59),J59))</f>
        <v>46133</v>
      </c>
      <c r="N59" s="41" t="str">
        <f aca="false">IF(C59="","",IFERROR(INDEX(Перечень!$F$6:$F$52,MATCH(H59,Перечень!$A$6:$A$52,0)),""))</f>
        <v>Да</v>
      </c>
      <c r="O59" s="40"/>
      <c r="P59" s="37" t="str">
        <f aca="false">IF(O59="","",EDATE(O59,60))</f>
        <v/>
      </c>
      <c r="Q59" s="41" t="str">
        <f aca="false">IF(AND(K59&lt;&gt;"",F59&lt;&gt;"",K59&gt;F59),"Да","")</f>
        <v/>
      </c>
      <c r="R59" s="41" t="str">
        <f aca="true">IF(C59="","",IF(M59="","Нет сведений",IF(M59&lt;TODAY(),"Просрочен",IF(M59-TODAY()&lt;=30,"Истекает","В срок"))))</f>
        <v>Просрочен</v>
      </c>
      <c r="S59" s="41" t="str">
        <f aca="false">IF(AND(N59="Да",O59=""),"Не пройдено","")</f>
        <v>Не пройдено</v>
      </c>
    </row>
    <row r="60" customFormat="false" ht="14.25" hidden="false" customHeight="false" outlineLevel="0" collapsed="false">
      <c r="A60" s="35" t="n">
        <f aca="false">IF(C60="","",ROW()-5)</f>
        <v>55</v>
      </c>
      <c r="B60" s="36" t="s">
        <v>104</v>
      </c>
      <c r="C60" s="36" t="s">
        <v>217</v>
      </c>
      <c r="D60" s="36" t="s">
        <v>162</v>
      </c>
      <c r="E60" s="36" t="s">
        <v>209</v>
      </c>
      <c r="F60" s="37" t="n">
        <v>44124</v>
      </c>
      <c r="G60" s="38" t="str">
        <f aca="false">IF(C60="","",IF(TRIM(SUBSTITUTE(SUBSTITUTE(SUBSTITUTE(SUBSTITUTE(SUBSTITUTE(SUBSTITUTE(SUBSTITUTE(SUBSTITUTE(SUBSTITUTE(SUBSTITUTE(SUBSTITUTE(LOWER(TRIM(D60)),"ё","е"),"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категории",""))="инженер",IF(AND(ISNUMBER(SEARCH("техническ",E60)),ISNUMBER(SEARCH("контрол",E60))),"инженер отк",IF(ISNUMBER(SEARCH("диспетч",E60)),"инженер пдо",TRIM(SUBSTITUTE(SUBSTITUTE(SUBSTITUTE(SUBSTITUTE(SUBSTITUTE(SUBSTITUTE(SUBSTITUTE(SUBSTITUTE(SUBSTITUTE(SUBSTITUTE(SUBSTITUTE(LOWER(TRIM(D60)),"ё","е"),"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инженер",IF(ISNUMBER(SEARCH("диспетч",E60)),"ведущий инженер пдо",TRIM(SUBSTITUTE(SUBSTITUTE(SUBSTITUTE(SUBSTITUTE(SUBSTITUTE(SUBSTITUTE(SUBSTITUTE(SUBSTITUTE(SUBSTITUTE(SUBSTITUTE(SUBSTITUTE(LOWER(TRIM(D60)),"ё","е"),"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отк",TRIM(SUBSTITUTE(SUBSTITUTE(SUBSTITUTE(SUBSTITUTE(SUBSTITUTE(SUBSTITUTE(SUBSTITUTE(SUBSTITUTE(SUBSTITUTE(SUBSTITUTE(SUBSTITUTE(LOWER(TRIM(D60)),"ё","е"),"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60" s="35" t="n">
        <f aca="false">IF(C60="","",IF(AND(G60="мастер участка",ISNUMBER(SEARCH("РЭО",E60))),29,IFERROR(INDEX(Соответствие!$B$2:$B$100,MATCH(G60,Соответствие!$A$2:$A$100,0)),"?")))</f>
        <v>20</v>
      </c>
      <c r="I60" s="39" t="str">
        <f aca="false">IF(C60="","",IFERROR(INDEX(Перечень!$C$6:$C$52,MATCH(H60,Перечень!$A$6:$A$52,0)),""))</f>
        <v>п.4.3.1, п.4.3.2, п.4.4, п.4.9, п.5.1, п.5.2, п.6.2, п.9</v>
      </c>
      <c r="J60" s="35" t="n">
        <f aca="false">IF(C60="","",IFERROR(INDEX(Перечень!$D$6:$D$52,MATCH(H60,Перечень!$A$6:$A$52,0)),12))</f>
        <v>12</v>
      </c>
      <c r="K60" s="40" t="n">
        <v>44662</v>
      </c>
      <c r="L60" s="40"/>
      <c r="M60" s="37" t="n">
        <f aca="false">IF(AND(K60="",L60=""),"",EDATE(MAX(K60,L60),J60))</f>
        <v>45027</v>
      </c>
      <c r="N60" s="41" t="str">
        <f aca="false">IF(C60="","",IFERROR(INDEX(Перечень!$F$6:$F$52,MATCH(H60,Перечень!$A$6:$A$52,0)),""))</f>
        <v>Да</v>
      </c>
      <c r="O60" s="40"/>
      <c r="P60" s="37" t="str">
        <f aca="false">IF(O60="","",EDATE(O60,60))</f>
        <v/>
      </c>
      <c r="Q60" s="41" t="str">
        <f aca="false">IF(AND(K60&lt;&gt;"",F60&lt;&gt;"",K60&gt;F60),"Да","")</f>
        <v>Да</v>
      </c>
      <c r="R60" s="41" t="str">
        <f aca="true">IF(C60="","",IF(M60="","Нет сведений",IF(M60&lt;TODAY(),"Просрочен",IF(M60-TODAY()&lt;=30,"Истекает","В срок"))))</f>
        <v>Просрочен</v>
      </c>
      <c r="S60" s="41" t="str">
        <f aca="false">IF(AND(N60="Да",O60=""),"Не пройдено","")</f>
        <v>Не пройдено</v>
      </c>
    </row>
    <row r="61" customFormat="false" ht="14.25" hidden="false" customHeight="false" outlineLevel="0" collapsed="false">
      <c r="A61" s="35" t="n">
        <f aca="false">IF(C61="","",ROW()-5)</f>
        <v>56</v>
      </c>
      <c r="B61" s="36" t="s">
        <v>104</v>
      </c>
      <c r="C61" s="36" t="s">
        <v>218</v>
      </c>
      <c r="D61" s="36" t="s">
        <v>162</v>
      </c>
      <c r="E61" s="36" t="s">
        <v>209</v>
      </c>
      <c r="F61" s="37" t="n">
        <v>45793</v>
      </c>
      <c r="G61" s="38" t="str">
        <f aca="false">IF(C61="","",IF(TRIM(SUBSTITUTE(SUBSTITUTE(SUBSTITUTE(SUBSTITUTE(SUBSTITUTE(SUBSTITUTE(SUBSTITUTE(SUBSTITUTE(SUBSTITUTE(SUBSTITUTE(SUBSTITUTE(LOWER(TRIM(D61)),"ё","е"),"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категории",""))="инженер",IF(AND(ISNUMBER(SEARCH("техническ",E61)),ISNUMBER(SEARCH("контрол",E61))),"инженер отк",IF(ISNUMBER(SEARCH("диспетч",E61)),"инженер пдо",TRIM(SUBSTITUTE(SUBSTITUTE(SUBSTITUTE(SUBSTITUTE(SUBSTITUTE(SUBSTITUTE(SUBSTITUTE(SUBSTITUTE(SUBSTITUTE(SUBSTITUTE(SUBSTITUTE(LOWER(TRIM(D61)),"ё","е"),"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инженер",IF(ISNUMBER(SEARCH("диспетч",E61)),"ведущий инженер пдо",TRIM(SUBSTITUTE(SUBSTITUTE(SUBSTITUTE(SUBSTITUTE(SUBSTITUTE(SUBSTITUTE(SUBSTITUTE(SUBSTITUTE(SUBSTITUTE(SUBSTITUTE(SUBSTITUTE(LOWER(TRIM(D61)),"ё","е"),"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отк",TRIM(SUBSTITUTE(SUBSTITUTE(SUBSTITUTE(SUBSTITUTE(SUBSTITUTE(SUBSTITUTE(SUBSTITUTE(SUBSTITUTE(SUBSTITUTE(SUBSTITUTE(SUBSTITUTE(LOWER(TRIM(D61)),"ё","е"),"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61" s="35" t="n">
        <f aca="false">IF(C61="","",IF(AND(G61="мастер участка",ISNUMBER(SEARCH("РЭО",E61))),29,IFERROR(INDEX(Соответствие!$B$2:$B$100,MATCH(G61,Соответствие!$A$2:$A$100,0)),"?")))</f>
        <v>20</v>
      </c>
      <c r="I61" s="39" t="str">
        <f aca="false">IF(C61="","",IFERROR(INDEX(Перечень!$C$6:$C$52,MATCH(H61,Перечень!$A$6:$A$52,0)),""))</f>
        <v>п.4.3.1, п.4.3.2, п.4.4, п.4.9, п.5.1, п.5.2, п.6.2, п.9</v>
      </c>
      <c r="J61" s="35" t="n">
        <f aca="false">IF(C61="","",IFERROR(INDEX(Перечень!$D$6:$D$52,MATCH(H61,Перечень!$A$6:$A$52,0)),12))</f>
        <v>12</v>
      </c>
      <c r="K61" s="40" t="n">
        <v>45791</v>
      </c>
      <c r="L61" s="40"/>
      <c r="M61" s="37" t="n">
        <f aca="false">IF(AND(K61="",L61=""),"",EDATE(MAX(K61,L61),J61))</f>
        <v>46156</v>
      </c>
      <c r="N61" s="41" t="str">
        <f aca="false">IF(C61="","",IFERROR(INDEX(Перечень!$F$6:$F$52,MATCH(H61,Перечень!$A$6:$A$52,0)),""))</f>
        <v>Да</v>
      </c>
      <c r="O61" s="40"/>
      <c r="P61" s="37" t="str">
        <f aca="false">IF(O61="","",EDATE(O61,60))</f>
        <v/>
      </c>
      <c r="Q61" s="41" t="str">
        <f aca="false">IF(AND(K61&lt;&gt;"",F61&lt;&gt;"",K61&gt;F61),"Да","")</f>
        <v/>
      </c>
      <c r="R61" s="41" t="str">
        <f aca="true">IF(C61="","",IF(M61="","Нет сведений",IF(M61&lt;TODAY(),"Просрочен",IF(M61-TODAY()&lt;=30,"Истекает","В срок"))))</f>
        <v>Просрочен</v>
      </c>
      <c r="S61" s="41" t="str">
        <f aca="false">IF(AND(N61="Да",O61=""),"Не пройдено","")</f>
        <v>Не пройдено</v>
      </c>
    </row>
    <row r="62" customFormat="false" ht="14.25" hidden="false" customHeight="false" outlineLevel="0" collapsed="false">
      <c r="A62" s="35" t="n">
        <f aca="false">IF(C62="","",ROW()-5)</f>
        <v>57</v>
      </c>
      <c r="B62" s="36" t="s">
        <v>104</v>
      </c>
      <c r="C62" s="36" t="s">
        <v>219</v>
      </c>
      <c r="D62" s="36" t="s">
        <v>162</v>
      </c>
      <c r="E62" s="36" t="s">
        <v>209</v>
      </c>
      <c r="F62" s="37" t="n">
        <v>44322</v>
      </c>
      <c r="G62" s="38" t="str">
        <f aca="false">IF(C62="","",IF(TRIM(SUBSTITUTE(SUBSTITUTE(SUBSTITUTE(SUBSTITUTE(SUBSTITUTE(SUBSTITUTE(SUBSTITUTE(SUBSTITUTE(SUBSTITUTE(SUBSTITUTE(SUBSTITUTE(LOWER(TRIM(D62)),"ё","е"),"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категории",""))="инженер",IF(AND(ISNUMBER(SEARCH("техническ",E62)),ISNUMBER(SEARCH("контрол",E62))),"инженер отк",IF(ISNUMBER(SEARCH("диспетч",E62)),"инженер пдо",TRIM(SUBSTITUTE(SUBSTITUTE(SUBSTITUTE(SUBSTITUTE(SUBSTITUTE(SUBSTITUTE(SUBSTITUTE(SUBSTITUTE(SUBSTITUTE(SUBSTITUTE(SUBSTITUTE(LOWER(TRIM(D62)),"ё","е"),"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инженер",IF(ISNUMBER(SEARCH("диспетч",E62)),"ведущий инженер пдо",TRIM(SUBSTITUTE(SUBSTITUTE(SUBSTITUTE(SUBSTITUTE(SUBSTITUTE(SUBSTITUTE(SUBSTITUTE(SUBSTITUTE(SUBSTITUTE(SUBSTITUTE(SUBSTITUTE(LOWER(TRIM(D62)),"ё","е"),"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отк",TRIM(SUBSTITUTE(SUBSTITUTE(SUBSTITUTE(SUBSTITUTE(SUBSTITUTE(SUBSTITUTE(SUBSTITUTE(SUBSTITUTE(SUBSTITUTE(SUBSTITUTE(SUBSTITUTE(LOWER(TRIM(D62)),"ё","е"),"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62" s="35" t="n">
        <f aca="false">IF(C62="","",IF(AND(G62="мастер участка",ISNUMBER(SEARCH("РЭО",E62))),29,IFERROR(INDEX(Соответствие!$B$2:$B$100,MATCH(G62,Соответствие!$A$2:$A$100,0)),"?")))</f>
        <v>20</v>
      </c>
      <c r="I62" s="39" t="str">
        <f aca="false">IF(C62="","",IFERROR(INDEX(Перечень!$C$6:$C$52,MATCH(H62,Перечень!$A$6:$A$52,0)),""))</f>
        <v>п.4.3.1, п.4.3.2, п.4.4, п.4.9, п.5.1, п.5.2, п.6.2, п.9</v>
      </c>
      <c r="J62" s="35" t="n">
        <f aca="false">IF(C62="","",IFERROR(INDEX(Перечень!$D$6:$D$52,MATCH(H62,Перечень!$A$6:$A$52,0)),12))</f>
        <v>12</v>
      </c>
      <c r="K62" s="40" t="n">
        <v>44662</v>
      </c>
      <c r="L62" s="40"/>
      <c r="M62" s="37" t="n">
        <f aca="false">IF(AND(K62="",L62=""),"",EDATE(MAX(K62,L62),J62))</f>
        <v>45027</v>
      </c>
      <c r="N62" s="41" t="str">
        <f aca="false">IF(C62="","",IFERROR(INDEX(Перечень!$F$6:$F$52,MATCH(H62,Перечень!$A$6:$A$52,0)),""))</f>
        <v>Да</v>
      </c>
      <c r="O62" s="40"/>
      <c r="P62" s="37" t="str">
        <f aca="false">IF(O62="","",EDATE(O62,60))</f>
        <v/>
      </c>
      <c r="Q62" s="41" t="str">
        <f aca="false">IF(AND(K62&lt;&gt;"",F62&lt;&gt;"",K62&gt;F62),"Да","")</f>
        <v>Да</v>
      </c>
      <c r="R62" s="41" t="str">
        <f aca="true">IF(C62="","",IF(M62="","Нет сведений",IF(M62&lt;TODAY(),"Просрочен",IF(M62-TODAY()&lt;=30,"Истекает","В срок"))))</f>
        <v>Просрочен</v>
      </c>
      <c r="S62" s="41" t="str">
        <f aca="false">IF(AND(N62="Да",O62=""),"Не пройдено","")</f>
        <v>Не пройдено</v>
      </c>
    </row>
    <row r="63" customFormat="false" ht="14.25" hidden="false" customHeight="false" outlineLevel="0" collapsed="false">
      <c r="A63" s="35" t="n">
        <f aca="false">IF(C63="","",ROW()-5)</f>
        <v>58</v>
      </c>
      <c r="B63" s="36" t="s">
        <v>104</v>
      </c>
      <c r="C63" s="36" t="s">
        <v>220</v>
      </c>
      <c r="D63" s="36" t="s">
        <v>162</v>
      </c>
      <c r="E63" s="36" t="s">
        <v>209</v>
      </c>
      <c r="F63" s="37" t="n">
        <v>45810</v>
      </c>
      <c r="G63" s="38" t="str">
        <f aca="false">IF(C63="","",IF(TRIM(SUBSTITUTE(SUBSTITUTE(SUBSTITUTE(SUBSTITUTE(SUBSTITUTE(SUBSTITUTE(SUBSTITUTE(SUBSTITUTE(SUBSTITUTE(SUBSTITUTE(SUBSTITUTE(LOWER(TRIM(D63)),"ё","е"),"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категории",""))="инженер",IF(AND(ISNUMBER(SEARCH("техническ",E63)),ISNUMBER(SEARCH("контрол",E63))),"инженер отк",IF(ISNUMBER(SEARCH("диспетч",E63)),"инженер пдо",TRIM(SUBSTITUTE(SUBSTITUTE(SUBSTITUTE(SUBSTITUTE(SUBSTITUTE(SUBSTITUTE(SUBSTITUTE(SUBSTITUTE(SUBSTITUTE(SUBSTITUTE(SUBSTITUTE(LOWER(TRIM(D63)),"ё","е"),"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инженер",IF(ISNUMBER(SEARCH("диспетч",E63)),"ведущий инженер пдо",TRIM(SUBSTITUTE(SUBSTITUTE(SUBSTITUTE(SUBSTITUTE(SUBSTITUTE(SUBSTITUTE(SUBSTITUTE(SUBSTITUTE(SUBSTITUTE(SUBSTITUTE(SUBSTITUTE(LOWER(TRIM(D63)),"ё","е"),"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отк",TRIM(SUBSTITUTE(SUBSTITUTE(SUBSTITUTE(SUBSTITUTE(SUBSTITUTE(SUBSTITUTE(SUBSTITUTE(SUBSTITUTE(SUBSTITUTE(SUBSTITUTE(SUBSTITUTE(LOWER(TRIM(D63)),"ё","е"),"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63" s="35" t="n">
        <f aca="false">IF(C63="","",IF(AND(G63="мастер участка",ISNUMBER(SEARCH("РЭО",E63))),29,IFERROR(INDEX(Соответствие!$B$2:$B$100,MATCH(G63,Соответствие!$A$2:$A$100,0)),"?")))</f>
        <v>20</v>
      </c>
      <c r="I63" s="39" t="str">
        <f aca="false">IF(C63="","",IFERROR(INDEX(Перечень!$C$6:$C$52,MATCH(H63,Перечень!$A$6:$A$52,0)),""))</f>
        <v>п.4.3.1, п.4.3.2, п.4.4, п.4.9, п.5.1, п.5.2, п.6.2, п.9</v>
      </c>
      <c r="J63" s="35" t="n">
        <f aca="false">IF(C63="","",IFERROR(INDEX(Перечень!$D$6:$D$52,MATCH(H63,Перечень!$A$6:$A$52,0)),12))</f>
        <v>12</v>
      </c>
      <c r="K63" s="40" t="n">
        <v>45805</v>
      </c>
      <c r="L63" s="40"/>
      <c r="M63" s="37" t="n">
        <f aca="false">IF(AND(K63="",L63=""),"",EDATE(MAX(K63,L63),J63))</f>
        <v>46170</v>
      </c>
      <c r="N63" s="41" t="str">
        <f aca="false">IF(C63="","",IFERROR(INDEX(Перечень!$F$6:$F$52,MATCH(H63,Перечень!$A$6:$A$52,0)),""))</f>
        <v>Да</v>
      </c>
      <c r="O63" s="40"/>
      <c r="P63" s="37" t="str">
        <f aca="false">IF(O63="","",EDATE(O63,60))</f>
        <v/>
      </c>
      <c r="Q63" s="41" t="str">
        <f aca="false">IF(AND(K63&lt;&gt;"",F63&lt;&gt;"",K63&gt;F63),"Да","")</f>
        <v/>
      </c>
      <c r="R63" s="41" t="str">
        <f aca="true">IF(C63="","",IF(M63="","Нет сведений",IF(M63&lt;TODAY(),"Просрочен",IF(M63-TODAY()&lt;=30,"Истекает","В срок"))))</f>
        <v>Просрочен</v>
      </c>
      <c r="S63" s="41" t="str">
        <f aca="false">IF(AND(N63="Да",O63=""),"Не пройдено","")</f>
        <v>Не пройдено</v>
      </c>
    </row>
    <row r="64" customFormat="false" ht="14.25" hidden="false" customHeight="false" outlineLevel="0" collapsed="false">
      <c r="A64" s="35" t="n">
        <f aca="false">IF(C64="","",ROW()-5)</f>
        <v>59</v>
      </c>
      <c r="B64" s="36" t="s">
        <v>104</v>
      </c>
      <c r="C64" s="36" t="s">
        <v>221</v>
      </c>
      <c r="D64" s="36" t="s">
        <v>162</v>
      </c>
      <c r="E64" s="36" t="s">
        <v>209</v>
      </c>
      <c r="F64" s="37" t="n">
        <v>45846</v>
      </c>
      <c r="G64" s="38" t="str">
        <f aca="false">IF(C64="","",IF(TRIM(SUBSTITUTE(SUBSTITUTE(SUBSTITUTE(SUBSTITUTE(SUBSTITUTE(SUBSTITUTE(SUBSTITUTE(SUBSTITUTE(SUBSTITUTE(SUBSTITUTE(SUBSTITUTE(LOWER(TRIM(D64)),"ё","е"),"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категории",""))="инженер",IF(AND(ISNUMBER(SEARCH("техническ",E64)),ISNUMBER(SEARCH("контрол",E64))),"инженер отк",IF(ISNUMBER(SEARCH("диспетч",E64)),"инженер пдо",TRIM(SUBSTITUTE(SUBSTITUTE(SUBSTITUTE(SUBSTITUTE(SUBSTITUTE(SUBSTITUTE(SUBSTITUTE(SUBSTITUTE(SUBSTITUTE(SUBSTITUTE(SUBSTITUTE(LOWER(TRIM(D64)),"ё","е"),"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инженер",IF(ISNUMBER(SEARCH("диспетч",E64)),"ведущий инженер пдо",TRIM(SUBSTITUTE(SUBSTITUTE(SUBSTITUTE(SUBSTITUTE(SUBSTITUTE(SUBSTITUTE(SUBSTITUTE(SUBSTITUTE(SUBSTITUTE(SUBSTITUTE(SUBSTITUTE(LOWER(TRIM(D64)),"ё","е"),"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отк",TRIM(SUBSTITUTE(SUBSTITUTE(SUBSTITUTE(SUBSTITUTE(SUBSTITUTE(SUBSTITUTE(SUBSTITUTE(SUBSTITUTE(SUBSTITUTE(SUBSTITUTE(SUBSTITUTE(LOWER(TRIM(D64)),"ё","е"),"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64" s="35" t="n">
        <f aca="false">IF(C64="","",IF(AND(G64="мастер участка",ISNUMBER(SEARCH("РЭО",E64))),29,IFERROR(INDEX(Соответствие!$B$2:$B$100,MATCH(G64,Соответствие!$A$2:$A$100,0)),"?")))</f>
        <v>20</v>
      </c>
      <c r="I64" s="39" t="str">
        <f aca="false">IF(C64="","",IFERROR(INDEX(Перечень!$C$6:$C$52,MATCH(H64,Перечень!$A$6:$A$52,0)),""))</f>
        <v>п.4.3.1, п.4.3.2, п.4.4, п.4.9, п.5.1, п.5.2, п.6.2, п.9</v>
      </c>
      <c r="J64" s="35" t="n">
        <f aca="false">IF(C64="","",IFERROR(INDEX(Перечень!$D$6:$D$52,MATCH(H64,Перечень!$A$6:$A$52,0)),12))</f>
        <v>12</v>
      </c>
      <c r="K64" s="40"/>
      <c r="L64" s="40"/>
      <c r="M64" s="37" t="str">
        <f aca="false">IF(AND(K64="",L64=""),"",EDATE(MAX(K64,L64),J64))</f>
        <v/>
      </c>
      <c r="N64" s="41" t="str">
        <f aca="false">IF(C64="","",IFERROR(INDEX(Перечень!$F$6:$F$52,MATCH(H64,Перечень!$A$6:$A$52,0)),""))</f>
        <v>Да</v>
      </c>
      <c r="O64" s="40"/>
      <c r="P64" s="37" t="str">
        <f aca="false">IF(O64="","",EDATE(O64,60))</f>
        <v/>
      </c>
      <c r="Q64" s="41" t="str">
        <f aca="false">IF(AND(K64&lt;&gt;"",F64&lt;&gt;"",K64&gt;F64),"Да","")</f>
        <v/>
      </c>
      <c r="R64" s="41" t="str">
        <f aca="true">IF(C64="","",IF(M64="","Нет сведений",IF(M64&lt;TODAY(),"Просрочен",IF(M64-TODAY()&lt;=30,"Истекает","В срок"))))</f>
        <v>Нет сведений</v>
      </c>
      <c r="S64" s="41" t="str">
        <f aca="false">IF(AND(N64="Да",O64=""),"Не пройдено","")</f>
        <v>Не пройдено</v>
      </c>
    </row>
    <row r="65" customFormat="false" ht="14.25" hidden="false" customHeight="false" outlineLevel="0" collapsed="false">
      <c r="A65" s="35" t="n">
        <f aca="false">IF(C65="","",ROW()-5)</f>
        <v>60</v>
      </c>
      <c r="B65" s="36" t="s">
        <v>104</v>
      </c>
      <c r="C65" s="36" t="s">
        <v>222</v>
      </c>
      <c r="D65" s="36" t="s">
        <v>162</v>
      </c>
      <c r="E65" s="36" t="s">
        <v>209</v>
      </c>
      <c r="F65" s="37" t="n">
        <v>44153</v>
      </c>
      <c r="G65" s="38" t="str">
        <f aca="false">IF(C65="","",IF(TRIM(SUBSTITUTE(SUBSTITUTE(SUBSTITUTE(SUBSTITUTE(SUBSTITUTE(SUBSTITUTE(SUBSTITUTE(SUBSTITUTE(SUBSTITUTE(SUBSTITUTE(SUBSTITUTE(LOWER(TRIM(D65)),"ё","е"),"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категории",""))="инженер",IF(AND(ISNUMBER(SEARCH("техническ",E65)),ISNUMBER(SEARCH("контрол",E65))),"инженер отк",IF(ISNUMBER(SEARCH("диспетч",E65)),"инженер пдо",TRIM(SUBSTITUTE(SUBSTITUTE(SUBSTITUTE(SUBSTITUTE(SUBSTITUTE(SUBSTITUTE(SUBSTITUTE(SUBSTITUTE(SUBSTITUTE(SUBSTITUTE(SUBSTITUTE(LOWER(TRIM(D65)),"ё","е"),"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инженер",IF(ISNUMBER(SEARCH("диспетч",E65)),"ведущий инженер пдо",TRIM(SUBSTITUTE(SUBSTITUTE(SUBSTITUTE(SUBSTITUTE(SUBSTITUTE(SUBSTITUTE(SUBSTITUTE(SUBSTITUTE(SUBSTITUTE(SUBSTITUTE(SUBSTITUTE(LOWER(TRIM(D65)),"ё","е"),"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отк",TRIM(SUBSTITUTE(SUBSTITUTE(SUBSTITUTE(SUBSTITUTE(SUBSTITUTE(SUBSTITUTE(SUBSTITUTE(SUBSTITUTE(SUBSTITUTE(SUBSTITUTE(SUBSTITUTE(LOWER(TRIM(D65)),"ё","е"),"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65" s="35" t="n">
        <f aca="false">IF(C65="","",IF(AND(G65="мастер участка",ISNUMBER(SEARCH("РЭО",E65))),29,IFERROR(INDEX(Соответствие!$B$2:$B$100,MATCH(G65,Соответствие!$A$2:$A$100,0)),"?")))</f>
        <v>20</v>
      </c>
      <c r="I65" s="39" t="str">
        <f aca="false">IF(C65="","",IFERROR(INDEX(Перечень!$C$6:$C$52,MATCH(H65,Перечень!$A$6:$A$52,0)),""))</f>
        <v>п.4.3.1, п.4.3.2, п.4.4, п.4.9, п.5.1, п.5.2, п.6.2, п.9</v>
      </c>
      <c r="J65" s="35" t="n">
        <f aca="false">IF(C65="","",IFERROR(INDEX(Перечень!$D$6:$D$52,MATCH(H65,Перечень!$A$6:$A$52,0)),12))</f>
        <v>12</v>
      </c>
      <c r="K65" s="40" t="n">
        <v>44662</v>
      </c>
      <c r="L65" s="40"/>
      <c r="M65" s="37" t="n">
        <f aca="false">IF(AND(K65="",L65=""),"",EDATE(MAX(K65,L65),J65))</f>
        <v>45027</v>
      </c>
      <c r="N65" s="41" t="str">
        <f aca="false">IF(C65="","",IFERROR(INDEX(Перечень!$F$6:$F$52,MATCH(H65,Перечень!$A$6:$A$52,0)),""))</f>
        <v>Да</v>
      </c>
      <c r="O65" s="40"/>
      <c r="P65" s="37" t="str">
        <f aca="false">IF(O65="","",EDATE(O65,60))</f>
        <v/>
      </c>
      <c r="Q65" s="41" t="str">
        <f aca="false">IF(AND(K65&lt;&gt;"",F65&lt;&gt;"",K65&gt;F65),"Да","")</f>
        <v>Да</v>
      </c>
      <c r="R65" s="41" t="str">
        <f aca="true">IF(C65="","",IF(M65="","Нет сведений",IF(M65&lt;TODAY(),"Просрочен",IF(M65-TODAY()&lt;=30,"Истекает","В срок"))))</f>
        <v>Просрочен</v>
      </c>
      <c r="S65" s="41" t="str">
        <f aca="false">IF(AND(N65="Да",O65=""),"Не пройдено","")</f>
        <v>Не пройдено</v>
      </c>
    </row>
    <row r="66" customFormat="false" ht="14.25" hidden="false" customHeight="false" outlineLevel="0" collapsed="false">
      <c r="A66" s="35" t="n">
        <f aca="false">IF(C66="","",ROW()-5)</f>
        <v>61</v>
      </c>
      <c r="B66" s="36" t="s">
        <v>104</v>
      </c>
      <c r="C66" s="36" t="s">
        <v>223</v>
      </c>
      <c r="D66" s="36" t="s">
        <v>162</v>
      </c>
      <c r="E66" s="36" t="s">
        <v>209</v>
      </c>
      <c r="F66" s="37" t="n">
        <v>45806</v>
      </c>
      <c r="G66" s="38" t="str">
        <f aca="false">IF(C66="","",IF(TRIM(SUBSTITUTE(SUBSTITUTE(SUBSTITUTE(SUBSTITUTE(SUBSTITUTE(SUBSTITUTE(SUBSTITUTE(SUBSTITUTE(SUBSTITUTE(SUBSTITUTE(SUBSTITUTE(LOWER(TRIM(D66)),"ё","е"),"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категории",""))="инженер",IF(AND(ISNUMBER(SEARCH("техническ",E66)),ISNUMBER(SEARCH("контрол",E66))),"инженер отк",IF(ISNUMBER(SEARCH("диспетч",E66)),"инженер пдо",TRIM(SUBSTITUTE(SUBSTITUTE(SUBSTITUTE(SUBSTITUTE(SUBSTITUTE(SUBSTITUTE(SUBSTITUTE(SUBSTITUTE(SUBSTITUTE(SUBSTITUTE(SUBSTITUTE(LOWER(TRIM(D66)),"ё","е"),"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инженер",IF(ISNUMBER(SEARCH("диспетч",E66)),"ведущий инженер пдо",TRIM(SUBSTITUTE(SUBSTITUTE(SUBSTITUTE(SUBSTITUTE(SUBSTITUTE(SUBSTITUTE(SUBSTITUTE(SUBSTITUTE(SUBSTITUTE(SUBSTITUTE(SUBSTITUTE(LOWER(TRIM(D66)),"ё","е"),"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отк",TRIM(SUBSTITUTE(SUBSTITUTE(SUBSTITUTE(SUBSTITUTE(SUBSTITUTE(SUBSTITUTE(SUBSTITUTE(SUBSTITUTE(SUBSTITUTE(SUBSTITUTE(SUBSTITUTE(LOWER(TRIM(D66)),"ё","е"),"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66" s="35" t="n">
        <f aca="false">IF(C66="","",IF(AND(G66="мастер участка",ISNUMBER(SEARCH("РЭО",E66))),29,IFERROR(INDEX(Соответствие!$B$2:$B$100,MATCH(G66,Соответствие!$A$2:$A$100,0)),"?")))</f>
        <v>20</v>
      </c>
      <c r="I66" s="39" t="str">
        <f aca="false">IF(C66="","",IFERROR(INDEX(Перечень!$C$6:$C$52,MATCH(H66,Перечень!$A$6:$A$52,0)),""))</f>
        <v>п.4.3.1, п.4.3.2, п.4.4, п.4.9, п.5.1, п.5.2, п.6.2, п.9</v>
      </c>
      <c r="J66" s="35" t="n">
        <f aca="false">IF(C66="","",IFERROR(INDEX(Перечень!$D$6:$D$52,MATCH(H66,Перечень!$A$6:$A$52,0)),12))</f>
        <v>12</v>
      </c>
      <c r="K66" s="40" t="n">
        <v>45784</v>
      </c>
      <c r="L66" s="40"/>
      <c r="M66" s="37" t="n">
        <f aca="false">IF(AND(K66="",L66=""),"",EDATE(MAX(K66,L66),J66))</f>
        <v>46149</v>
      </c>
      <c r="N66" s="41" t="str">
        <f aca="false">IF(C66="","",IFERROR(INDEX(Перечень!$F$6:$F$52,MATCH(H66,Перечень!$A$6:$A$52,0)),""))</f>
        <v>Да</v>
      </c>
      <c r="O66" s="40"/>
      <c r="P66" s="37" t="str">
        <f aca="false">IF(O66="","",EDATE(O66,60))</f>
        <v/>
      </c>
      <c r="Q66" s="41" t="str">
        <f aca="false">IF(AND(K66&lt;&gt;"",F66&lt;&gt;"",K66&gt;F66),"Да","")</f>
        <v/>
      </c>
      <c r="R66" s="41" t="str">
        <f aca="true">IF(C66="","",IF(M66="","Нет сведений",IF(M66&lt;TODAY(),"Просрочен",IF(M66-TODAY()&lt;=30,"Истекает","В срок"))))</f>
        <v>Просрочен</v>
      </c>
      <c r="S66" s="41" t="str">
        <f aca="false">IF(AND(N66="Да",O66=""),"Не пройдено","")</f>
        <v>Не пройдено</v>
      </c>
    </row>
    <row r="67" customFormat="false" ht="14.25" hidden="false" customHeight="false" outlineLevel="0" collapsed="false">
      <c r="A67" s="35" t="n">
        <f aca="false">IF(C67="","",ROW()-5)</f>
        <v>62</v>
      </c>
      <c r="B67" s="36" t="s">
        <v>104</v>
      </c>
      <c r="C67" s="36" t="s">
        <v>224</v>
      </c>
      <c r="D67" s="36" t="s">
        <v>225</v>
      </c>
      <c r="E67" s="36" t="s">
        <v>226</v>
      </c>
      <c r="F67" s="37" t="n">
        <v>45782</v>
      </c>
      <c r="G67" s="38" t="str">
        <f aca="false">IF(C67="","",IF(TRIM(SUBSTITUTE(SUBSTITUTE(SUBSTITUTE(SUBSTITUTE(SUBSTITUTE(SUBSTITUTE(SUBSTITUTE(SUBSTITUTE(SUBSTITUTE(SUBSTITUTE(SUBSTITUTE(LOWER(TRIM(D67)),"ё","е"),"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категории",""))="инженер",IF(AND(ISNUMBER(SEARCH("техническ",E67)),ISNUMBER(SEARCH("контрол",E67))),"инженер отк",IF(ISNUMBER(SEARCH("диспетч",E67)),"инженер пдо",TRIM(SUBSTITUTE(SUBSTITUTE(SUBSTITUTE(SUBSTITUTE(SUBSTITUTE(SUBSTITUTE(SUBSTITUTE(SUBSTITUTE(SUBSTITUTE(SUBSTITUTE(SUBSTITUTE(LOWER(TRIM(D67)),"ё","е"),"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инженер",IF(ISNUMBER(SEARCH("диспетч",E67)),"ведущий инженер пдо",TRIM(SUBSTITUTE(SUBSTITUTE(SUBSTITUTE(SUBSTITUTE(SUBSTITUTE(SUBSTITUTE(SUBSTITUTE(SUBSTITUTE(SUBSTITUTE(SUBSTITUTE(SUBSTITUTE(LOWER(TRIM(D67)),"ё","е"),"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отк",TRIM(SUBSTITUTE(SUBSTITUTE(SUBSTITUTE(SUBSTITUTE(SUBSTITUTE(SUBSTITUTE(SUBSTITUTE(SUBSTITUTE(SUBSTITUTE(SUBSTITUTE(SUBSTITUTE(LOWER(TRIM(D67)),"ё","е"),"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67" s="35" t="n">
        <f aca="false">IF(C67="","",IF(AND(G67="мастер участка",ISNUMBER(SEARCH("РЭО",E67))),29,IFERROR(INDEX(Соответствие!$B$2:$B$100,MATCH(G67,Соответствие!$A$2:$A$100,0)),"?")))</f>
        <v>19</v>
      </c>
      <c r="I67" s="39" t="str">
        <f aca="false">IF(C67="","",IFERROR(INDEX(Перечень!$C$6:$C$52,MATCH(H67,Перечень!$A$6:$A$52,0)),""))</f>
        <v>п.4.3.1, п.4.3.2, п.4.4, п.5.1, п.6.2, п.15</v>
      </c>
      <c r="J67" s="35" t="n">
        <f aca="false">IF(C67="","",IFERROR(INDEX(Перечень!$D$6:$D$52,MATCH(H67,Перечень!$A$6:$A$52,0)),12))</f>
        <v>12</v>
      </c>
      <c r="K67" s="40"/>
      <c r="L67" s="40"/>
      <c r="M67" s="37" t="str">
        <f aca="false">IF(AND(K67="",L67=""),"",EDATE(MAX(K67,L67),J67))</f>
        <v/>
      </c>
      <c r="N67" s="41" t="str">
        <f aca="false">IF(C67="","",IFERROR(INDEX(Перечень!$F$6:$F$52,MATCH(H67,Перечень!$A$6:$A$52,0)),""))</f>
        <v>-</v>
      </c>
      <c r="O67" s="40"/>
      <c r="P67" s="37" t="str">
        <f aca="false">IF(O67="","",EDATE(O67,60))</f>
        <v/>
      </c>
      <c r="Q67" s="41" t="str">
        <f aca="false">IF(AND(K67&lt;&gt;"",F67&lt;&gt;"",K67&gt;F67),"Да","")</f>
        <v/>
      </c>
      <c r="R67" s="41" t="str">
        <f aca="true">IF(C67="","",IF(M67="","Нет сведений",IF(M67&lt;TODAY(),"Просрочен",IF(M67-TODAY()&lt;=30,"Истекает","В срок"))))</f>
        <v>Нет сведений</v>
      </c>
      <c r="S67" s="41" t="str">
        <f aca="false">IF(AND(N67="Да",O67=""),"Не пройдено","")</f>
        <v/>
      </c>
    </row>
    <row r="68" customFormat="false" ht="14.25" hidden="false" customHeight="false" outlineLevel="0" collapsed="false">
      <c r="A68" s="35" t="n">
        <f aca="false">IF(C68="","",ROW()-5)</f>
        <v>63</v>
      </c>
      <c r="B68" s="36" t="s">
        <v>104</v>
      </c>
      <c r="C68" s="36" t="s">
        <v>227</v>
      </c>
      <c r="D68" s="36" t="s">
        <v>168</v>
      </c>
      <c r="E68" s="36" t="s">
        <v>184</v>
      </c>
      <c r="F68" s="37" t="n">
        <v>45852</v>
      </c>
      <c r="G68" s="38" t="str">
        <f aca="false">IF(C68="","",IF(TRIM(SUBSTITUTE(SUBSTITUTE(SUBSTITUTE(SUBSTITUTE(SUBSTITUTE(SUBSTITUTE(SUBSTITUTE(SUBSTITUTE(SUBSTITUTE(SUBSTITUTE(SUBSTITUTE(LOWER(TRIM(D68)),"ё","е"),"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категории",""))="инженер",IF(AND(ISNUMBER(SEARCH("техническ",E68)),ISNUMBER(SEARCH("контрол",E68))),"инженер отк",IF(ISNUMBER(SEARCH("диспетч",E68)),"инженер пдо",TRIM(SUBSTITUTE(SUBSTITUTE(SUBSTITUTE(SUBSTITUTE(SUBSTITUTE(SUBSTITUTE(SUBSTITUTE(SUBSTITUTE(SUBSTITUTE(SUBSTITUTE(SUBSTITUTE(LOWER(TRIM(D68)),"ё","е"),"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инженер",IF(ISNUMBER(SEARCH("диспетч",E68)),"ведущий инженер пдо",TRIM(SUBSTITUTE(SUBSTITUTE(SUBSTITUTE(SUBSTITUTE(SUBSTITUTE(SUBSTITUTE(SUBSTITUTE(SUBSTITUTE(SUBSTITUTE(SUBSTITUTE(SUBSTITUTE(LOWER(TRIM(D68)),"ё","е"),"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отк",TRIM(SUBSTITUTE(SUBSTITUTE(SUBSTITUTE(SUBSTITUTE(SUBSTITUTE(SUBSTITUTE(SUBSTITUTE(SUBSTITUTE(SUBSTITUTE(SUBSTITUTE(SUBSTITUTE(LOWER(TRIM(D68)),"ё","е"),"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68" s="35" t="n">
        <f aca="false">IF(C68="","",IF(AND(G68="мастер участка",ISNUMBER(SEARCH("РЭО",E68))),29,IFERROR(INDEX(Соответствие!$B$2:$B$100,MATCH(G68,Соответствие!$A$2:$A$100,0)),"?")))</f>
        <v>19</v>
      </c>
      <c r="I68" s="39" t="str">
        <f aca="false">IF(C68="","",IFERROR(INDEX(Перечень!$C$6:$C$52,MATCH(H68,Перечень!$A$6:$A$52,0)),""))</f>
        <v>п.4.3.1, п.4.3.2, п.4.4, п.5.1, п.6.2, п.15</v>
      </c>
      <c r="J68" s="35" t="n">
        <f aca="false">IF(C68="","",IFERROR(INDEX(Перечень!$D$6:$D$52,MATCH(H68,Перечень!$A$6:$A$52,0)),12))</f>
        <v>12</v>
      </c>
      <c r="K68" s="40"/>
      <c r="L68" s="40"/>
      <c r="M68" s="37" t="str">
        <f aca="false">IF(AND(K68="",L68=""),"",EDATE(MAX(K68,L68),J68))</f>
        <v/>
      </c>
      <c r="N68" s="41" t="str">
        <f aca="false">IF(C68="","",IFERROR(INDEX(Перечень!$F$6:$F$52,MATCH(H68,Перечень!$A$6:$A$52,0)),""))</f>
        <v>-</v>
      </c>
      <c r="O68" s="40"/>
      <c r="P68" s="37" t="str">
        <f aca="false">IF(O68="","",EDATE(O68,60))</f>
        <v/>
      </c>
      <c r="Q68" s="41" t="str">
        <f aca="false">IF(AND(K68&lt;&gt;"",F68&lt;&gt;"",K68&gt;F68),"Да","")</f>
        <v/>
      </c>
      <c r="R68" s="41" t="str">
        <f aca="true">IF(C68="","",IF(M68="","Нет сведений",IF(M68&lt;TODAY(),"Просрочен",IF(M68-TODAY()&lt;=30,"Истекает","В срок"))))</f>
        <v>Нет сведений</v>
      </c>
      <c r="S68" s="41" t="str">
        <f aca="false">IF(AND(N68="Да",O68=""),"Не пройдено","")</f>
        <v/>
      </c>
    </row>
    <row r="69" customFormat="false" ht="14.25" hidden="false" customHeight="false" outlineLevel="0" collapsed="false">
      <c r="A69" s="35" t="n">
        <f aca="false">IF(C69="","",ROW()-5)</f>
        <v>64</v>
      </c>
      <c r="B69" s="36" t="s">
        <v>104</v>
      </c>
      <c r="C69" s="36" t="s">
        <v>228</v>
      </c>
      <c r="D69" s="36" t="s">
        <v>168</v>
      </c>
      <c r="E69" s="36" t="s">
        <v>184</v>
      </c>
      <c r="F69" s="37" t="n">
        <v>45915</v>
      </c>
      <c r="G69" s="38" t="str">
        <f aca="false">IF(C69="","",IF(TRIM(SUBSTITUTE(SUBSTITUTE(SUBSTITUTE(SUBSTITUTE(SUBSTITUTE(SUBSTITUTE(SUBSTITUTE(SUBSTITUTE(SUBSTITUTE(SUBSTITUTE(SUBSTITUTE(LOWER(TRIM(D69)),"ё","е"),"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категории",""))="инженер",IF(AND(ISNUMBER(SEARCH("техническ",E69)),ISNUMBER(SEARCH("контрол",E69))),"инженер отк",IF(ISNUMBER(SEARCH("диспетч",E69)),"инженер пдо",TRIM(SUBSTITUTE(SUBSTITUTE(SUBSTITUTE(SUBSTITUTE(SUBSTITUTE(SUBSTITUTE(SUBSTITUTE(SUBSTITUTE(SUBSTITUTE(SUBSTITUTE(SUBSTITUTE(LOWER(TRIM(D69)),"ё","е"),"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категории","")))),IF(TRIM(SUBSTITUTE(SUBSTITUTE(SUBSTITUTE(SUBSTITUTE(SUBSTITUTE(SUBSTITUTE(SUBSTITUTE(SUBSTITUTE(SUBSTITUTE(SUBSTITUTE(SUBSTITUTE(LOWER(TRIM(D69)),"ё","е"),"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инженер",IF(ISNUMBER(SEARCH("диспетч",E69)),"ведущий инженер пдо",TRIM(SUBSTITUTE(SUBSTITUTE(SUBSTITUTE(SUBSTITUTE(SUBSTITUTE(SUBSTITUTE(SUBSTITUTE(SUBSTITUTE(SUBSTITUTE(SUBSTITUTE(SUBSTITUTE(LOWER(TRIM(D69)),"ё","е"),"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категории",""))),IF(TRIM(SUBSTITUTE(SUBSTITUTE(SUBSTITUTE(SUBSTITUTE(SUBSTITUTE(SUBSTITUTE(SUBSTITUTE(SUBSTITUTE(SUBSTITUTE(SUBSTITUTE(SUBSTITUTE(LOWER(TRIM(D69)),"ё","е"),"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отк",TRIM(SUBSTITUTE(SUBSTITUTE(SUBSTITUTE(SUBSTITUTE(SUBSTITUTE(SUBSTITUTE(SUBSTITUTE(SUBSTITUTE(SUBSTITUTE(SUBSTITUTE(SUBSTITUTE(LOWER(TRIM(D69)),"ё","е"),"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69" s="35" t="n">
        <f aca="false">IF(C69="","",IF(AND(G69="мастер участка",ISNUMBER(SEARCH("РЭО",E69))),29,IFERROR(INDEX(Соответствие!$B$2:$B$100,MATCH(G69,Соответствие!$A$2:$A$100,0)),"?")))</f>
        <v>19</v>
      </c>
      <c r="I69" s="39" t="str">
        <f aca="false">IF(C69="","",IFERROR(INDEX(Перечень!$C$6:$C$52,MATCH(H69,Перечень!$A$6:$A$52,0)),""))</f>
        <v>п.4.3.1, п.4.3.2, п.4.4, п.5.1, п.6.2, п.15</v>
      </c>
      <c r="J69" s="35" t="n">
        <f aca="false">IF(C69="","",IFERROR(INDEX(Перечень!$D$6:$D$52,MATCH(H69,Перечень!$A$6:$A$52,0)),12))</f>
        <v>12</v>
      </c>
      <c r="K69" s="40"/>
      <c r="L69" s="40"/>
      <c r="M69" s="37" t="str">
        <f aca="false">IF(AND(K69="",L69=""),"",EDATE(MAX(K69,L69),J69))</f>
        <v/>
      </c>
      <c r="N69" s="41" t="str">
        <f aca="false">IF(C69="","",IFERROR(INDEX(Перечень!$F$6:$F$52,MATCH(H69,Перечень!$A$6:$A$52,0)),""))</f>
        <v>-</v>
      </c>
      <c r="O69" s="40"/>
      <c r="P69" s="37" t="str">
        <f aca="false">IF(O69="","",EDATE(O69,60))</f>
        <v/>
      </c>
      <c r="Q69" s="41" t="str">
        <f aca="false">IF(AND(K69&lt;&gt;"",F69&lt;&gt;"",K69&gt;F69),"Да","")</f>
        <v/>
      </c>
      <c r="R69" s="41" t="str">
        <f aca="true">IF(C69="","",IF(M69="","Нет сведений",IF(M69&lt;TODAY(),"Просрочен",IF(M69-TODAY()&lt;=30,"Истекает","В срок"))))</f>
        <v>Нет сведений</v>
      </c>
      <c r="S69" s="41" t="str">
        <f aca="false">IF(AND(N69="Да",O69=""),"Не пройдено","")</f>
        <v/>
      </c>
    </row>
    <row r="70" customFormat="false" ht="14.25" hidden="false" customHeight="false" outlineLevel="0" collapsed="false">
      <c r="A70" s="35" t="n">
        <f aca="false">IF(C70="","",ROW()-5)</f>
        <v>65</v>
      </c>
      <c r="B70" s="36" t="s">
        <v>104</v>
      </c>
      <c r="C70" s="36" t="s">
        <v>229</v>
      </c>
      <c r="D70" s="36" t="s">
        <v>168</v>
      </c>
      <c r="E70" s="36" t="s">
        <v>184</v>
      </c>
      <c r="F70" s="37" t="n">
        <v>45425</v>
      </c>
      <c r="G70" s="38" t="str">
        <f aca="false">IF(C70="","",IF(TRIM(SUBSTITUTE(SUBSTITUTE(SUBSTITUTE(SUBSTITUTE(SUBSTITUTE(SUBSTITUTE(SUBSTITUTE(SUBSTITUTE(SUBSTITUTE(SUBSTITUTE(SUBSTITUTE(LOWER(TRIM(D70)),"ё","е"),"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категории",""))="инженер",IF(AND(ISNUMBER(SEARCH("техническ",E70)),ISNUMBER(SEARCH("контрол",E70))),"инженер отк",IF(ISNUMBER(SEARCH("диспетч",E70)),"инженер пдо",TRIM(SUBSTITUTE(SUBSTITUTE(SUBSTITUTE(SUBSTITUTE(SUBSTITUTE(SUBSTITUTE(SUBSTITUTE(SUBSTITUTE(SUBSTITUTE(SUBSTITUTE(SUBSTITUTE(LOWER(TRIM(D70)),"ё","е"),"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инженер",IF(ISNUMBER(SEARCH("диспетч",E70)),"ведущий инженер пдо",TRIM(SUBSTITUTE(SUBSTITUTE(SUBSTITUTE(SUBSTITUTE(SUBSTITUTE(SUBSTITUTE(SUBSTITUTE(SUBSTITUTE(SUBSTITUTE(SUBSTITUTE(SUBSTITUTE(LOWER(TRIM(D70)),"ё","е"),"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отк",TRIM(SUBSTITUTE(SUBSTITUTE(SUBSTITUTE(SUBSTITUTE(SUBSTITUTE(SUBSTITUTE(SUBSTITUTE(SUBSTITUTE(SUBSTITUTE(SUBSTITUTE(SUBSTITUTE(LOWER(TRIM(D70)),"ё","е"),"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70" s="35" t="n">
        <f aca="false">IF(C70="","",IF(AND(G70="мастер участка",ISNUMBER(SEARCH("РЭО",E70))),29,IFERROR(INDEX(Соответствие!$B$2:$B$100,MATCH(G70,Соответствие!$A$2:$A$100,0)),"?")))</f>
        <v>19</v>
      </c>
      <c r="I70" s="39" t="str">
        <f aca="false">IF(C70="","",IFERROR(INDEX(Перечень!$C$6:$C$52,MATCH(H70,Перечень!$A$6:$A$52,0)),""))</f>
        <v>п.4.3.1, п.4.3.2, п.4.4, п.5.1, п.6.2, п.15</v>
      </c>
      <c r="J70" s="35" t="n">
        <f aca="false">IF(C70="","",IFERROR(INDEX(Перечень!$D$6:$D$52,MATCH(H70,Перечень!$A$6:$A$52,0)),12))</f>
        <v>12</v>
      </c>
      <c r="K70" s="40" t="n">
        <v>45461</v>
      </c>
      <c r="L70" s="40"/>
      <c r="M70" s="37" t="n">
        <f aca="false">IF(AND(K70="",L70=""),"",EDATE(MAX(K70,L70),J70))</f>
        <v>45826</v>
      </c>
      <c r="N70" s="41" t="str">
        <f aca="false">IF(C70="","",IFERROR(INDEX(Перечень!$F$6:$F$52,MATCH(H70,Перечень!$A$6:$A$52,0)),""))</f>
        <v>-</v>
      </c>
      <c r="O70" s="40"/>
      <c r="P70" s="37" t="str">
        <f aca="false">IF(O70="","",EDATE(O70,60))</f>
        <v/>
      </c>
      <c r="Q70" s="41" t="str">
        <f aca="false">IF(AND(K70&lt;&gt;"",F70&lt;&gt;"",K70&gt;F70),"Да","")</f>
        <v>Да</v>
      </c>
      <c r="R70" s="41" t="str">
        <f aca="true">IF(C70="","",IF(M70="","Нет сведений",IF(M70&lt;TODAY(),"Просрочен",IF(M70-TODAY()&lt;=30,"Истекает","В срок"))))</f>
        <v>Просрочен</v>
      </c>
      <c r="S70" s="41" t="str">
        <f aca="false">IF(AND(N70="Да",O70=""),"Не пройдено","")</f>
        <v/>
      </c>
    </row>
    <row r="71" customFormat="false" ht="14.25" hidden="false" customHeight="false" outlineLevel="0" collapsed="false">
      <c r="A71" s="35" t="n">
        <f aca="false">IF(C71="","",ROW()-5)</f>
        <v>66</v>
      </c>
      <c r="B71" s="36" t="s">
        <v>104</v>
      </c>
      <c r="C71" s="36" t="s">
        <v>230</v>
      </c>
      <c r="D71" s="36" t="s">
        <v>168</v>
      </c>
      <c r="E71" s="36" t="s">
        <v>184</v>
      </c>
      <c r="F71" s="37" t="n">
        <v>44368</v>
      </c>
      <c r="G71" s="38" t="str">
        <f aca="false">IF(C71="","",IF(TRIM(SUBSTITUTE(SUBSTITUTE(SUBSTITUTE(SUBSTITUTE(SUBSTITUTE(SUBSTITUTE(SUBSTITUTE(SUBSTITUTE(SUBSTITUTE(SUBSTITUTE(SUBSTITUTE(LOWER(TRIM(D71)),"ё","е"),"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категории",""))="инженер",IF(AND(ISNUMBER(SEARCH("техническ",E71)),ISNUMBER(SEARCH("контрол",E71))),"инженер отк",IF(ISNUMBER(SEARCH("диспетч",E71)),"инженер пдо",TRIM(SUBSTITUTE(SUBSTITUTE(SUBSTITUTE(SUBSTITUTE(SUBSTITUTE(SUBSTITUTE(SUBSTITUTE(SUBSTITUTE(SUBSTITUTE(SUBSTITUTE(SUBSTITUTE(LOWER(TRIM(D71)),"ё","е"),"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инженер",IF(ISNUMBER(SEARCH("диспетч",E71)),"ведущий инженер пдо",TRIM(SUBSTITUTE(SUBSTITUTE(SUBSTITUTE(SUBSTITUTE(SUBSTITUTE(SUBSTITUTE(SUBSTITUTE(SUBSTITUTE(SUBSTITUTE(SUBSTITUTE(SUBSTITUTE(LOWER(TRIM(D71)),"ё","е"),"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отк",TRIM(SUBSTITUTE(SUBSTITUTE(SUBSTITUTE(SUBSTITUTE(SUBSTITUTE(SUBSTITUTE(SUBSTITUTE(SUBSTITUTE(SUBSTITUTE(SUBSTITUTE(SUBSTITUTE(LOWER(TRIM(D71)),"ё","е"),"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71" s="35" t="n">
        <f aca="false">IF(C71="","",IF(AND(G71="мастер участка",ISNUMBER(SEARCH("РЭО",E71))),29,IFERROR(INDEX(Соответствие!$B$2:$B$100,MATCH(G71,Соответствие!$A$2:$A$100,0)),"?")))</f>
        <v>19</v>
      </c>
      <c r="I71" s="39" t="str">
        <f aca="false">IF(C71="","",IFERROR(INDEX(Перечень!$C$6:$C$52,MATCH(H71,Перечень!$A$6:$A$52,0)),""))</f>
        <v>п.4.3.1, п.4.3.2, п.4.4, п.5.1, п.6.2, п.15</v>
      </c>
      <c r="J71" s="35" t="n">
        <f aca="false">IF(C71="","",IFERROR(INDEX(Перечень!$D$6:$D$52,MATCH(H71,Перечень!$A$6:$A$52,0)),12))</f>
        <v>12</v>
      </c>
      <c r="K71" s="40"/>
      <c r="L71" s="40"/>
      <c r="M71" s="37" t="str">
        <f aca="false">IF(AND(K71="",L71=""),"",EDATE(MAX(K71,L71),J71))</f>
        <v/>
      </c>
      <c r="N71" s="41" t="str">
        <f aca="false">IF(C71="","",IFERROR(INDEX(Перечень!$F$6:$F$52,MATCH(H71,Перечень!$A$6:$A$52,0)),""))</f>
        <v>-</v>
      </c>
      <c r="O71" s="40"/>
      <c r="P71" s="37" t="str">
        <f aca="false">IF(O71="","",EDATE(O71,60))</f>
        <v/>
      </c>
      <c r="Q71" s="41" t="str">
        <f aca="false">IF(AND(K71&lt;&gt;"",F71&lt;&gt;"",K71&gt;F71),"Да","")</f>
        <v/>
      </c>
      <c r="R71" s="41" t="str">
        <f aca="true">IF(C71="","",IF(M71="","Нет сведений",IF(M71&lt;TODAY(),"Просрочен",IF(M71-TODAY()&lt;=30,"Истекает","В срок"))))</f>
        <v>Нет сведений</v>
      </c>
      <c r="S71" s="41" t="str">
        <f aca="false">IF(AND(N71="Да",O71=""),"Не пройдено","")</f>
        <v/>
      </c>
    </row>
    <row r="72" customFormat="false" ht="14.25" hidden="false" customHeight="false" outlineLevel="0" collapsed="false">
      <c r="A72" s="35" t="n">
        <f aca="false">IF(C72="","",ROW()-5)</f>
        <v>67</v>
      </c>
      <c r="B72" s="36" t="s">
        <v>104</v>
      </c>
      <c r="C72" s="36" t="s">
        <v>231</v>
      </c>
      <c r="D72" s="36" t="s">
        <v>168</v>
      </c>
      <c r="E72" s="36" t="s">
        <v>184</v>
      </c>
      <c r="F72" s="37" t="n">
        <v>44600</v>
      </c>
      <c r="G72" s="38" t="str">
        <f aca="false">IF(C72="","",IF(TRIM(SUBSTITUTE(SUBSTITUTE(SUBSTITUTE(SUBSTITUTE(SUBSTITUTE(SUBSTITUTE(SUBSTITUTE(SUBSTITUTE(SUBSTITUTE(SUBSTITUTE(SUBSTITUTE(LOWER(TRIM(D72)),"ё","е"),"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категории",""))="инженер",IF(AND(ISNUMBER(SEARCH("техническ",E72)),ISNUMBER(SEARCH("контрол",E72))),"инженер отк",IF(ISNUMBER(SEARCH("диспетч",E72)),"инженер пдо",TRIM(SUBSTITUTE(SUBSTITUTE(SUBSTITUTE(SUBSTITUTE(SUBSTITUTE(SUBSTITUTE(SUBSTITUTE(SUBSTITUTE(SUBSTITUTE(SUBSTITUTE(SUBSTITUTE(LOWER(TRIM(D72)),"ё","е"),"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инженер",IF(ISNUMBER(SEARCH("диспетч",E72)),"ведущий инженер пдо",TRIM(SUBSTITUTE(SUBSTITUTE(SUBSTITUTE(SUBSTITUTE(SUBSTITUTE(SUBSTITUTE(SUBSTITUTE(SUBSTITUTE(SUBSTITUTE(SUBSTITUTE(SUBSTITUTE(LOWER(TRIM(D72)),"ё","е"),"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отк",TRIM(SUBSTITUTE(SUBSTITUTE(SUBSTITUTE(SUBSTITUTE(SUBSTITUTE(SUBSTITUTE(SUBSTITUTE(SUBSTITUTE(SUBSTITUTE(SUBSTITUTE(SUBSTITUTE(LOWER(TRIM(D72)),"ё","е"),"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72" s="35" t="n">
        <f aca="false">IF(C72="","",IF(AND(G72="мастер участка",ISNUMBER(SEARCH("РЭО",E72))),29,IFERROR(INDEX(Соответствие!$B$2:$B$100,MATCH(G72,Соответствие!$A$2:$A$100,0)),"?")))</f>
        <v>19</v>
      </c>
      <c r="I72" s="39" t="str">
        <f aca="false">IF(C72="","",IFERROR(INDEX(Перечень!$C$6:$C$52,MATCH(H72,Перечень!$A$6:$A$52,0)),""))</f>
        <v>п.4.3.1, п.4.3.2, п.4.4, п.5.1, п.6.2, п.15</v>
      </c>
      <c r="J72" s="35" t="n">
        <f aca="false">IF(C72="","",IFERROR(INDEX(Перечень!$D$6:$D$52,MATCH(H72,Перечень!$A$6:$A$52,0)),12))</f>
        <v>12</v>
      </c>
      <c r="K72" s="40"/>
      <c r="L72" s="40"/>
      <c r="M72" s="37" t="str">
        <f aca="false">IF(AND(K72="",L72=""),"",EDATE(MAX(K72,L72),J72))</f>
        <v/>
      </c>
      <c r="N72" s="41" t="str">
        <f aca="false">IF(C72="","",IFERROR(INDEX(Перечень!$F$6:$F$52,MATCH(H72,Перечень!$A$6:$A$52,0)),""))</f>
        <v>-</v>
      </c>
      <c r="O72" s="40"/>
      <c r="P72" s="37" t="str">
        <f aca="false">IF(O72="","",EDATE(O72,60))</f>
        <v/>
      </c>
      <c r="Q72" s="41" t="str">
        <f aca="false">IF(AND(K72&lt;&gt;"",F72&lt;&gt;"",K72&gt;F72),"Да","")</f>
        <v/>
      </c>
      <c r="R72" s="41" t="str">
        <f aca="true">IF(C72="","",IF(M72="","Нет сведений",IF(M72&lt;TODAY(),"Просрочен",IF(M72-TODAY()&lt;=30,"Истекает","В срок"))))</f>
        <v>Нет сведений</v>
      </c>
      <c r="S72" s="41" t="str">
        <f aca="false">IF(AND(N72="Да",O72=""),"Не пройдено","")</f>
        <v/>
      </c>
    </row>
    <row r="73" customFormat="false" ht="14.25" hidden="false" customHeight="false" outlineLevel="0" collapsed="false">
      <c r="A73" s="35" t="n">
        <f aca="false">IF(C73="","",ROW()-5)</f>
        <v>68</v>
      </c>
      <c r="B73" s="36" t="s">
        <v>104</v>
      </c>
      <c r="C73" s="36" t="s">
        <v>232</v>
      </c>
      <c r="D73" s="36" t="s">
        <v>168</v>
      </c>
      <c r="E73" s="36" t="s">
        <v>184</v>
      </c>
      <c r="F73" s="37" t="n">
        <v>45873</v>
      </c>
      <c r="G73" s="38" t="str">
        <f aca="false">IF(C73="","",IF(TRIM(SUBSTITUTE(SUBSTITUTE(SUBSTITUTE(SUBSTITUTE(SUBSTITUTE(SUBSTITUTE(SUBSTITUTE(SUBSTITUTE(SUBSTITUTE(SUBSTITUTE(SUBSTITUTE(LOWER(TRIM(D73)),"ё","е"),"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категории",""))="инженер",IF(AND(ISNUMBER(SEARCH("техническ",E73)),ISNUMBER(SEARCH("контрол",E73))),"инженер отк",IF(ISNUMBER(SEARCH("диспетч",E73)),"инженер пдо",TRIM(SUBSTITUTE(SUBSTITUTE(SUBSTITUTE(SUBSTITUTE(SUBSTITUTE(SUBSTITUTE(SUBSTITUTE(SUBSTITUTE(SUBSTITUTE(SUBSTITUTE(SUBSTITUTE(LOWER(TRIM(D73)),"ё","е"),"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инженер",IF(ISNUMBER(SEARCH("диспетч",E73)),"ведущий инженер пдо",TRIM(SUBSTITUTE(SUBSTITUTE(SUBSTITUTE(SUBSTITUTE(SUBSTITUTE(SUBSTITUTE(SUBSTITUTE(SUBSTITUTE(SUBSTITUTE(SUBSTITUTE(SUBSTITUTE(LOWER(TRIM(D73)),"ё","е"),"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отк",TRIM(SUBSTITUTE(SUBSTITUTE(SUBSTITUTE(SUBSTITUTE(SUBSTITUTE(SUBSTITUTE(SUBSTITUTE(SUBSTITUTE(SUBSTITUTE(SUBSTITUTE(SUBSTITUTE(LOWER(TRIM(D73)),"ё","е"),"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73" s="35" t="n">
        <f aca="false">IF(C73="","",IF(AND(G73="мастер участка",ISNUMBER(SEARCH("РЭО",E73))),29,IFERROR(INDEX(Соответствие!$B$2:$B$100,MATCH(G73,Соответствие!$A$2:$A$100,0)),"?")))</f>
        <v>19</v>
      </c>
      <c r="I73" s="39" t="str">
        <f aca="false">IF(C73="","",IFERROR(INDEX(Перечень!$C$6:$C$52,MATCH(H73,Перечень!$A$6:$A$52,0)),""))</f>
        <v>п.4.3.1, п.4.3.2, п.4.4, п.5.1, п.6.2, п.15</v>
      </c>
      <c r="J73" s="35" t="n">
        <f aca="false">IF(C73="","",IFERROR(INDEX(Перечень!$D$6:$D$52,MATCH(H73,Перечень!$A$6:$A$52,0)),12))</f>
        <v>12</v>
      </c>
      <c r="K73" s="40"/>
      <c r="L73" s="40"/>
      <c r="M73" s="37" t="str">
        <f aca="false">IF(AND(K73="",L73=""),"",EDATE(MAX(K73,L73),J73))</f>
        <v/>
      </c>
      <c r="N73" s="41" t="str">
        <f aca="false">IF(C73="","",IFERROR(INDEX(Перечень!$F$6:$F$52,MATCH(H73,Перечень!$A$6:$A$52,0)),""))</f>
        <v>-</v>
      </c>
      <c r="O73" s="40"/>
      <c r="P73" s="37" t="str">
        <f aca="false">IF(O73="","",EDATE(O73,60))</f>
        <v/>
      </c>
      <c r="Q73" s="41" t="str">
        <f aca="false">IF(AND(K73&lt;&gt;"",F73&lt;&gt;"",K73&gt;F73),"Да","")</f>
        <v/>
      </c>
      <c r="R73" s="41" t="str">
        <f aca="true">IF(C73="","",IF(M73="","Нет сведений",IF(M73&lt;TODAY(),"Просрочен",IF(M73-TODAY()&lt;=30,"Истекает","В срок"))))</f>
        <v>Нет сведений</v>
      </c>
      <c r="S73" s="41" t="str">
        <f aca="false">IF(AND(N73="Да",O73=""),"Не пройдено","")</f>
        <v/>
      </c>
    </row>
    <row r="74" customFormat="false" ht="14.25" hidden="false" customHeight="false" outlineLevel="0" collapsed="false">
      <c r="A74" s="35" t="n">
        <f aca="false">IF(C74="","",ROW()-5)</f>
        <v>69</v>
      </c>
      <c r="B74" s="36" t="s">
        <v>104</v>
      </c>
      <c r="C74" s="36" t="s">
        <v>233</v>
      </c>
      <c r="D74" s="36" t="s">
        <v>168</v>
      </c>
      <c r="E74" s="36" t="s">
        <v>184</v>
      </c>
      <c r="F74" s="37" t="n">
        <v>45425</v>
      </c>
      <c r="G74" s="38" t="str">
        <f aca="false">IF(C74="","",IF(TRIM(SUBSTITUTE(SUBSTITUTE(SUBSTITUTE(SUBSTITUTE(SUBSTITUTE(SUBSTITUTE(SUBSTITUTE(SUBSTITUTE(SUBSTITUTE(SUBSTITUTE(SUBSTITUTE(LOWER(TRIM(D74)),"ё","е"),"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категории",""))="инженер",IF(AND(ISNUMBER(SEARCH("техническ",E74)),ISNUMBER(SEARCH("контрол",E74))),"инженер отк",IF(ISNUMBER(SEARCH("диспетч",E74)),"инженер пдо",TRIM(SUBSTITUTE(SUBSTITUTE(SUBSTITUTE(SUBSTITUTE(SUBSTITUTE(SUBSTITUTE(SUBSTITUTE(SUBSTITUTE(SUBSTITUTE(SUBSTITUTE(SUBSTITUTE(LOWER(TRIM(D74)),"ё","е"),"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инженер",IF(ISNUMBER(SEARCH("диспетч",E74)),"ведущий инженер пдо",TRIM(SUBSTITUTE(SUBSTITUTE(SUBSTITUTE(SUBSTITUTE(SUBSTITUTE(SUBSTITUTE(SUBSTITUTE(SUBSTITUTE(SUBSTITUTE(SUBSTITUTE(SUBSTITUTE(LOWER(TRIM(D74)),"ё","е"),"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отк",TRIM(SUBSTITUTE(SUBSTITUTE(SUBSTITUTE(SUBSTITUTE(SUBSTITUTE(SUBSTITUTE(SUBSTITUTE(SUBSTITUTE(SUBSTITUTE(SUBSTITUTE(SUBSTITUTE(LOWER(TRIM(D74)),"ё","е"),"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74" s="35" t="n">
        <f aca="false">IF(C74="","",IF(AND(G74="мастер участка",ISNUMBER(SEARCH("РЭО",E74))),29,IFERROR(INDEX(Соответствие!$B$2:$B$100,MATCH(G74,Соответствие!$A$2:$A$100,0)),"?")))</f>
        <v>19</v>
      </c>
      <c r="I74" s="39" t="str">
        <f aca="false">IF(C74="","",IFERROR(INDEX(Перечень!$C$6:$C$52,MATCH(H74,Перечень!$A$6:$A$52,0)),""))</f>
        <v>п.4.3.1, п.4.3.2, п.4.4, п.5.1, п.6.2, п.15</v>
      </c>
      <c r="J74" s="35" t="n">
        <f aca="false">IF(C74="","",IFERROR(INDEX(Перечень!$D$6:$D$52,MATCH(H74,Перечень!$A$6:$A$52,0)),12))</f>
        <v>12</v>
      </c>
      <c r="K74" s="40"/>
      <c r="L74" s="40"/>
      <c r="M74" s="37" t="str">
        <f aca="false">IF(AND(K74="",L74=""),"",EDATE(MAX(K74,L74),J74))</f>
        <v/>
      </c>
      <c r="N74" s="41" t="str">
        <f aca="false">IF(C74="","",IFERROR(INDEX(Перечень!$F$6:$F$52,MATCH(H74,Перечень!$A$6:$A$52,0)),""))</f>
        <v>-</v>
      </c>
      <c r="O74" s="40"/>
      <c r="P74" s="37" t="str">
        <f aca="false">IF(O74="","",EDATE(O74,60))</f>
        <v/>
      </c>
      <c r="Q74" s="41" t="str">
        <f aca="false">IF(AND(K74&lt;&gt;"",F74&lt;&gt;"",K74&gt;F74),"Да","")</f>
        <v/>
      </c>
      <c r="R74" s="41" t="str">
        <f aca="true">IF(C74="","",IF(M74="","Нет сведений",IF(M74&lt;TODAY(),"Просрочен",IF(M74-TODAY()&lt;=30,"Истекает","В срок"))))</f>
        <v>Нет сведений</v>
      </c>
      <c r="S74" s="41" t="str">
        <f aca="false">IF(AND(N74="Да",O74=""),"Не пройдено","")</f>
        <v/>
      </c>
    </row>
    <row r="75" customFormat="false" ht="14.25" hidden="false" customHeight="false" outlineLevel="0" collapsed="false">
      <c r="A75" s="35" t="n">
        <f aca="false">IF(C75="","",ROW()-5)</f>
        <v>70</v>
      </c>
      <c r="B75" s="36" t="s">
        <v>104</v>
      </c>
      <c r="C75" s="36" t="s">
        <v>234</v>
      </c>
      <c r="D75" s="36" t="s">
        <v>168</v>
      </c>
      <c r="E75" s="36" t="s">
        <v>184</v>
      </c>
      <c r="F75" s="37" t="n">
        <v>45917</v>
      </c>
      <c r="G75" s="38" t="str">
        <f aca="false">IF(C75="","",IF(TRIM(SUBSTITUTE(SUBSTITUTE(SUBSTITUTE(SUBSTITUTE(SUBSTITUTE(SUBSTITUTE(SUBSTITUTE(SUBSTITUTE(SUBSTITUTE(SUBSTITUTE(SUBSTITUTE(LOWER(TRIM(D75)),"ё","е"),"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категории",""))="инженер",IF(AND(ISNUMBER(SEARCH("техническ",E75)),ISNUMBER(SEARCH("контрол",E75))),"инженер отк",IF(ISNUMBER(SEARCH("диспетч",E75)),"инженер пдо",TRIM(SUBSTITUTE(SUBSTITUTE(SUBSTITUTE(SUBSTITUTE(SUBSTITUTE(SUBSTITUTE(SUBSTITUTE(SUBSTITUTE(SUBSTITUTE(SUBSTITUTE(SUBSTITUTE(LOWER(TRIM(D75)),"ё","е"),"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инженер",IF(ISNUMBER(SEARCH("диспетч",E75)),"ведущий инженер пдо",TRIM(SUBSTITUTE(SUBSTITUTE(SUBSTITUTE(SUBSTITUTE(SUBSTITUTE(SUBSTITUTE(SUBSTITUTE(SUBSTITUTE(SUBSTITUTE(SUBSTITUTE(SUBSTITUTE(LOWER(TRIM(D75)),"ё","е"),"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отк",TRIM(SUBSTITUTE(SUBSTITUTE(SUBSTITUTE(SUBSTITUTE(SUBSTITUTE(SUBSTITUTE(SUBSTITUTE(SUBSTITUTE(SUBSTITUTE(SUBSTITUTE(SUBSTITUTE(LOWER(TRIM(D75)),"ё","е"),"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75" s="35" t="n">
        <f aca="false">IF(C75="","",IF(AND(G75="мастер участка",ISNUMBER(SEARCH("РЭО",E75))),29,IFERROR(INDEX(Соответствие!$B$2:$B$100,MATCH(G75,Соответствие!$A$2:$A$100,0)),"?")))</f>
        <v>19</v>
      </c>
      <c r="I75" s="39" t="str">
        <f aca="false">IF(C75="","",IFERROR(INDEX(Перечень!$C$6:$C$52,MATCH(H75,Перечень!$A$6:$A$52,0)),""))</f>
        <v>п.4.3.1, п.4.3.2, п.4.4, п.5.1, п.6.2, п.15</v>
      </c>
      <c r="J75" s="35" t="n">
        <f aca="false">IF(C75="","",IFERROR(INDEX(Перечень!$D$6:$D$52,MATCH(H75,Перечень!$A$6:$A$52,0)),12))</f>
        <v>12</v>
      </c>
      <c r="K75" s="40" t="n">
        <v>45909</v>
      </c>
      <c r="L75" s="40"/>
      <c r="M75" s="37" t="n">
        <f aca="false">IF(AND(K75="",L75=""),"",EDATE(MAX(K75,L75),J75))</f>
        <v>46274</v>
      </c>
      <c r="N75" s="41" t="str">
        <f aca="false">IF(C75="","",IFERROR(INDEX(Перечень!$F$6:$F$52,MATCH(H75,Перечень!$A$6:$A$52,0)),""))</f>
        <v>-</v>
      </c>
      <c r="O75" s="40"/>
      <c r="P75" s="37" t="str">
        <f aca="false">IF(O75="","",EDATE(O75,60))</f>
        <v/>
      </c>
      <c r="Q75" s="41" t="str">
        <f aca="false">IF(AND(K75&lt;&gt;"",F75&lt;&gt;"",K75&gt;F75),"Да","")</f>
        <v/>
      </c>
      <c r="R75" s="41" t="str">
        <f aca="true">IF(C75="","",IF(M75="","Нет сведений",IF(M75&lt;TODAY(),"Просрочен",IF(M75-TODAY()&lt;=30,"Истекает","В срок"))))</f>
        <v>Просрочен</v>
      </c>
      <c r="S75" s="41" t="str">
        <f aca="false">IF(AND(N75="Да",O75=""),"Не пройдено","")</f>
        <v/>
      </c>
    </row>
    <row r="76" customFormat="false" ht="14.25" hidden="false" customHeight="false" outlineLevel="0" collapsed="false">
      <c r="A76" s="35" t="n">
        <f aca="false">IF(C76="","",ROW()-5)</f>
        <v>71</v>
      </c>
      <c r="B76" s="36" t="s">
        <v>104</v>
      </c>
      <c r="C76" s="36" t="s">
        <v>235</v>
      </c>
      <c r="D76" s="36" t="s">
        <v>168</v>
      </c>
      <c r="E76" s="36" t="s">
        <v>184</v>
      </c>
      <c r="F76" s="37" t="n">
        <v>44378</v>
      </c>
      <c r="G76" s="38" t="str">
        <f aca="false">IF(C76="","",IF(TRIM(SUBSTITUTE(SUBSTITUTE(SUBSTITUTE(SUBSTITUTE(SUBSTITUTE(SUBSTITUTE(SUBSTITUTE(SUBSTITUTE(SUBSTITUTE(SUBSTITUTE(SUBSTITUTE(LOWER(TRIM(D76)),"ё","е"),"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категории",""))="инженер",IF(AND(ISNUMBER(SEARCH("техническ",E76)),ISNUMBER(SEARCH("контрол",E76))),"инженер отк",IF(ISNUMBER(SEARCH("диспетч",E76)),"инженер пдо",TRIM(SUBSTITUTE(SUBSTITUTE(SUBSTITUTE(SUBSTITUTE(SUBSTITUTE(SUBSTITUTE(SUBSTITUTE(SUBSTITUTE(SUBSTITUTE(SUBSTITUTE(SUBSTITUTE(LOWER(TRIM(D76)),"ё","е"),"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инженер",IF(ISNUMBER(SEARCH("диспетч",E76)),"ведущий инженер пдо",TRIM(SUBSTITUTE(SUBSTITUTE(SUBSTITUTE(SUBSTITUTE(SUBSTITUTE(SUBSTITUTE(SUBSTITUTE(SUBSTITUTE(SUBSTITUTE(SUBSTITUTE(SUBSTITUTE(LOWER(TRIM(D76)),"ё","е"),"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отк",TRIM(SUBSTITUTE(SUBSTITUTE(SUBSTITUTE(SUBSTITUTE(SUBSTITUTE(SUBSTITUTE(SUBSTITUTE(SUBSTITUTE(SUBSTITUTE(SUBSTITUTE(SUBSTITUTE(LOWER(TRIM(D76)),"ё","е"),"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76" s="35" t="n">
        <f aca="false">IF(C76="","",IF(AND(G76="мастер участка",ISNUMBER(SEARCH("РЭО",E76))),29,IFERROR(INDEX(Соответствие!$B$2:$B$100,MATCH(G76,Соответствие!$A$2:$A$100,0)),"?")))</f>
        <v>19</v>
      </c>
      <c r="I76" s="39" t="str">
        <f aca="false">IF(C76="","",IFERROR(INDEX(Перечень!$C$6:$C$52,MATCH(H76,Перечень!$A$6:$A$52,0)),""))</f>
        <v>п.4.3.1, п.4.3.2, п.4.4, п.5.1, п.6.2, п.15</v>
      </c>
      <c r="J76" s="35" t="n">
        <f aca="false">IF(C76="","",IFERROR(INDEX(Перечень!$D$6:$D$52,MATCH(H76,Перечень!$A$6:$A$52,0)),12))</f>
        <v>12</v>
      </c>
      <c r="K76" s="40"/>
      <c r="L76" s="40"/>
      <c r="M76" s="37" t="str">
        <f aca="false">IF(AND(K76="",L76=""),"",EDATE(MAX(K76,L76),J76))</f>
        <v/>
      </c>
      <c r="N76" s="41" t="str">
        <f aca="false">IF(C76="","",IFERROR(INDEX(Перечень!$F$6:$F$52,MATCH(H76,Перечень!$A$6:$A$52,0)),""))</f>
        <v>-</v>
      </c>
      <c r="O76" s="40"/>
      <c r="P76" s="37" t="str">
        <f aca="false">IF(O76="","",EDATE(O76,60))</f>
        <v/>
      </c>
      <c r="Q76" s="41" t="str">
        <f aca="false">IF(AND(K76&lt;&gt;"",F76&lt;&gt;"",K76&gt;F76),"Да","")</f>
        <v/>
      </c>
      <c r="R76" s="41" t="str">
        <f aca="true">IF(C76="","",IF(M76="","Нет сведений",IF(M76&lt;TODAY(),"Просрочен",IF(M76-TODAY()&lt;=30,"Истекает","В срок"))))</f>
        <v>Нет сведений</v>
      </c>
      <c r="S76" s="41" t="str">
        <f aca="false">IF(AND(N76="Да",O76=""),"Не пройдено","")</f>
        <v/>
      </c>
    </row>
    <row r="77" customFormat="false" ht="14.25" hidden="false" customHeight="false" outlineLevel="0" collapsed="false">
      <c r="A77" s="35" t="n">
        <f aca="false">IF(C77="","",ROW()-5)</f>
        <v>72</v>
      </c>
      <c r="B77" s="36" t="s">
        <v>104</v>
      </c>
      <c r="C77" s="36" t="s">
        <v>236</v>
      </c>
      <c r="D77" s="36" t="s">
        <v>168</v>
      </c>
      <c r="E77" s="36" t="s">
        <v>184</v>
      </c>
      <c r="F77" s="37" t="n">
        <v>44789</v>
      </c>
      <c r="G77" s="38" t="str">
        <f aca="false">IF(C77="","",IF(TRIM(SUBSTITUTE(SUBSTITUTE(SUBSTITUTE(SUBSTITUTE(SUBSTITUTE(SUBSTITUTE(SUBSTITUTE(SUBSTITUTE(SUBSTITUTE(SUBSTITUTE(SUBSTITUTE(LOWER(TRIM(D77)),"ё","е"),"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категории",""))="инженер",IF(AND(ISNUMBER(SEARCH("техническ",E77)),ISNUMBER(SEARCH("контрол",E77))),"инженер отк",IF(ISNUMBER(SEARCH("диспетч",E77)),"инженер пдо",TRIM(SUBSTITUTE(SUBSTITUTE(SUBSTITUTE(SUBSTITUTE(SUBSTITUTE(SUBSTITUTE(SUBSTITUTE(SUBSTITUTE(SUBSTITUTE(SUBSTITUTE(SUBSTITUTE(LOWER(TRIM(D77)),"ё","е"),"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инженер",IF(ISNUMBER(SEARCH("диспетч",E77)),"ведущий инженер пдо",TRIM(SUBSTITUTE(SUBSTITUTE(SUBSTITUTE(SUBSTITUTE(SUBSTITUTE(SUBSTITUTE(SUBSTITUTE(SUBSTITUTE(SUBSTITUTE(SUBSTITUTE(SUBSTITUTE(LOWER(TRIM(D77)),"ё","е"),"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отк",TRIM(SUBSTITUTE(SUBSTITUTE(SUBSTITUTE(SUBSTITUTE(SUBSTITUTE(SUBSTITUTE(SUBSTITUTE(SUBSTITUTE(SUBSTITUTE(SUBSTITUTE(SUBSTITUTE(LOWER(TRIM(D77)),"ё","е"),"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77" s="35" t="n">
        <f aca="false">IF(C77="","",IF(AND(G77="мастер участка",ISNUMBER(SEARCH("РЭО",E77))),29,IFERROR(INDEX(Соответствие!$B$2:$B$100,MATCH(G77,Соответствие!$A$2:$A$100,0)),"?")))</f>
        <v>19</v>
      </c>
      <c r="I77" s="39" t="str">
        <f aca="false">IF(C77="","",IFERROR(INDEX(Перечень!$C$6:$C$52,MATCH(H77,Перечень!$A$6:$A$52,0)),""))</f>
        <v>п.4.3.1, п.4.3.2, п.4.4, п.5.1, п.6.2, п.15</v>
      </c>
      <c r="J77" s="35" t="n">
        <f aca="false">IF(C77="","",IFERROR(INDEX(Перечень!$D$6:$D$52,MATCH(H77,Перечень!$A$6:$A$52,0)),12))</f>
        <v>12</v>
      </c>
      <c r="K77" s="40"/>
      <c r="L77" s="40"/>
      <c r="M77" s="37" t="str">
        <f aca="false">IF(AND(K77="",L77=""),"",EDATE(MAX(K77,L77),J77))</f>
        <v/>
      </c>
      <c r="N77" s="41" t="str">
        <f aca="false">IF(C77="","",IFERROR(INDEX(Перечень!$F$6:$F$52,MATCH(H77,Перечень!$A$6:$A$52,0)),""))</f>
        <v>-</v>
      </c>
      <c r="O77" s="40"/>
      <c r="P77" s="37" t="str">
        <f aca="false">IF(O77="","",EDATE(O77,60))</f>
        <v/>
      </c>
      <c r="Q77" s="41" t="str">
        <f aca="false">IF(AND(K77&lt;&gt;"",F77&lt;&gt;"",K77&gt;F77),"Да","")</f>
        <v/>
      </c>
      <c r="R77" s="41" t="str">
        <f aca="true">IF(C77="","",IF(M77="","Нет сведений",IF(M77&lt;TODAY(),"Просрочен",IF(M77-TODAY()&lt;=30,"Истекает","В срок"))))</f>
        <v>Нет сведений</v>
      </c>
      <c r="S77" s="41" t="str">
        <f aca="false">IF(AND(N77="Да",O77=""),"Не пройдено","")</f>
        <v/>
      </c>
    </row>
    <row r="78" customFormat="false" ht="14.25" hidden="false" customHeight="false" outlineLevel="0" collapsed="false">
      <c r="A78" s="35" t="n">
        <f aca="false">IF(C78="","",ROW()-5)</f>
        <v>73</v>
      </c>
      <c r="B78" s="36" t="s">
        <v>104</v>
      </c>
      <c r="C78" s="36" t="s">
        <v>237</v>
      </c>
      <c r="D78" s="36" t="s">
        <v>168</v>
      </c>
      <c r="E78" s="36" t="s">
        <v>184</v>
      </c>
      <c r="F78" s="37" t="n">
        <v>44153</v>
      </c>
      <c r="G78" s="38" t="str">
        <f aca="false">IF(C78="","",IF(TRIM(SUBSTITUTE(SUBSTITUTE(SUBSTITUTE(SUBSTITUTE(SUBSTITUTE(SUBSTITUTE(SUBSTITUTE(SUBSTITUTE(SUBSTITUTE(SUBSTITUTE(SUBSTITUTE(LOWER(TRIM(D78)),"ё","е"),"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категории",""))="инженер",IF(AND(ISNUMBER(SEARCH("техническ",E78)),ISNUMBER(SEARCH("контрол",E78))),"инженер отк",IF(ISNUMBER(SEARCH("диспетч",E78)),"инженер пдо",TRIM(SUBSTITUTE(SUBSTITUTE(SUBSTITUTE(SUBSTITUTE(SUBSTITUTE(SUBSTITUTE(SUBSTITUTE(SUBSTITUTE(SUBSTITUTE(SUBSTITUTE(SUBSTITUTE(LOWER(TRIM(D78)),"ё","е"),"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инженер",IF(ISNUMBER(SEARCH("диспетч",E78)),"ведущий инженер пдо",TRIM(SUBSTITUTE(SUBSTITUTE(SUBSTITUTE(SUBSTITUTE(SUBSTITUTE(SUBSTITUTE(SUBSTITUTE(SUBSTITUTE(SUBSTITUTE(SUBSTITUTE(SUBSTITUTE(LOWER(TRIM(D78)),"ё","е"),"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отк",TRIM(SUBSTITUTE(SUBSTITUTE(SUBSTITUTE(SUBSTITUTE(SUBSTITUTE(SUBSTITUTE(SUBSTITUTE(SUBSTITUTE(SUBSTITUTE(SUBSTITUTE(SUBSTITUTE(LOWER(TRIM(D78)),"ё","е"),"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78" s="35" t="n">
        <f aca="false">IF(C78="","",IF(AND(G78="мастер участка",ISNUMBER(SEARCH("РЭО",E78))),29,IFERROR(INDEX(Соответствие!$B$2:$B$100,MATCH(G78,Соответствие!$A$2:$A$100,0)),"?")))</f>
        <v>19</v>
      </c>
      <c r="I78" s="39" t="str">
        <f aca="false">IF(C78="","",IFERROR(INDEX(Перечень!$C$6:$C$52,MATCH(H78,Перечень!$A$6:$A$52,0)),""))</f>
        <v>п.4.3.1, п.4.3.2, п.4.4, п.5.1, п.6.2, п.15</v>
      </c>
      <c r="J78" s="35" t="n">
        <f aca="false">IF(C78="","",IFERROR(INDEX(Перечень!$D$6:$D$52,MATCH(H78,Перечень!$A$6:$A$52,0)),12))</f>
        <v>12</v>
      </c>
      <c r="K78" s="40"/>
      <c r="L78" s="40"/>
      <c r="M78" s="37" t="str">
        <f aca="false">IF(AND(K78="",L78=""),"",EDATE(MAX(K78,L78),J78))</f>
        <v/>
      </c>
      <c r="N78" s="41" t="str">
        <f aca="false">IF(C78="","",IFERROR(INDEX(Перечень!$F$6:$F$52,MATCH(H78,Перечень!$A$6:$A$52,0)),""))</f>
        <v>-</v>
      </c>
      <c r="O78" s="40"/>
      <c r="P78" s="37" t="str">
        <f aca="false">IF(O78="","",EDATE(O78,60))</f>
        <v/>
      </c>
      <c r="Q78" s="41" t="str">
        <f aca="false">IF(AND(K78&lt;&gt;"",F78&lt;&gt;"",K78&gt;F78),"Да","")</f>
        <v/>
      </c>
      <c r="R78" s="41" t="str">
        <f aca="true">IF(C78="","",IF(M78="","Нет сведений",IF(M78&lt;TODAY(),"Просрочен",IF(M78-TODAY()&lt;=30,"Истекает","В срок"))))</f>
        <v>Нет сведений</v>
      </c>
      <c r="S78" s="41" t="str">
        <f aca="false">IF(AND(N78="Да",O78=""),"Не пройдено","")</f>
        <v/>
      </c>
    </row>
    <row r="79" customFormat="false" ht="14.25" hidden="false" customHeight="false" outlineLevel="0" collapsed="false">
      <c r="A79" s="35" t="n">
        <f aca="false">IF(C79="","",ROW()-5)</f>
        <v>74</v>
      </c>
      <c r="B79" s="36" t="s">
        <v>104</v>
      </c>
      <c r="C79" s="36" t="s">
        <v>238</v>
      </c>
      <c r="D79" s="36" t="s">
        <v>168</v>
      </c>
      <c r="E79" s="36" t="s">
        <v>184</v>
      </c>
      <c r="F79" s="37" t="n">
        <v>45873</v>
      </c>
      <c r="G79" s="38" t="str">
        <f aca="false">IF(C79="","",IF(TRIM(SUBSTITUTE(SUBSTITUTE(SUBSTITUTE(SUBSTITUTE(SUBSTITUTE(SUBSTITUTE(SUBSTITUTE(SUBSTITUTE(SUBSTITUTE(SUBSTITUTE(SUBSTITUTE(LOWER(TRIM(D79)),"ё","е"),"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категории",""))="инженер",IF(AND(ISNUMBER(SEARCH("техническ",E79)),ISNUMBER(SEARCH("контрол",E79))),"инженер отк",IF(ISNUMBER(SEARCH("диспетч",E79)),"инженер пдо",TRIM(SUBSTITUTE(SUBSTITUTE(SUBSTITUTE(SUBSTITUTE(SUBSTITUTE(SUBSTITUTE(SUBSTITUTE(SUBSTITUTE(SUBSTITUTE(SUBSTITUTE(SUBSTITUTE(LOWER(TRIM(D79)),"ё","е"),"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категории","")))),IF(TRIM(SUBSTITUTE(SUBSTITUTE(SUBSTITUTE(SUBSTITUTE(SUBSTITUTE(SUBSTITUTE(SUBSTITUTE(SUBSTITUTE(SUBSTITUTE(SUBSTITUTE(SUBSTITUTE(LOWER(TRIM(D79)),"ё","е"),"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инженер",IF(ISNUMBER(SEARCH("диспетч",E79)),"ведущий инженер пдо",TRIM(SUBSTITUTE(SUBSTITUTE(SUBSTITUTE(SUBSTITUTE(SUBSTITUTE(SUBSTITUTE(SUBSTITUTE(SUBSTITUTE(SUBSTITUTE(SUBSTITUTE(SUBSTITUTE(LOWER(TRIM(D79)),"ё","е"),"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категории",""))),IF(TRIM(SUBSTITUTE(SUBSTITUTE(SUBSTITUTE(SUBSTITUTE(SUBSTITUTE(SUBSTITUTE(SUBSTITUTE(SUBSTITUTE(SUBSTITUTE(SUBSTITUTE(SUBSTITUTE(LOWER(TRIM(D79)),"ё","е"),"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отк",TRIM(SUBSTITUTE(SUBSTITUTE(SUBSTITUTE(SUBSTITUTE(SUBSTITUTE(SUBSTITUTE(SUBSTITUTE(SUBSTITUTE(SUBSTITUTE(SUBSTITUTE(SUBSTITUTE(LOWER(TRIM(D79)),"ё","е"),"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79" s="35" t="n">
        <f aca="false">IF(C79="","",IF(AND(G79="мастер участка",ISNUMBER(SEARCH("РЭО",E79))),29,IFERROR(INDEX(Соответствие!$B$2:$B$100,MATCH(G79,Соответствие!$A$2:$A$100,0)),"?")))</f>
        <v>19</v>
      </c>
      <c r="I79" s="39" t="str">
        <f aca="false">IF(C79="","",IFERROR(INDEX(Перечень!$C$6:$C$52,MATCH(H79,Перечень!$A$6:$A$52,0)),""))</f>
        <v>п.4.3.1, п.4.3.2, п.4.4, п.5.1, п.6.2, п.15</v>
      </c>
      <c r="J79" s="35" t="n">
        <f aca="false">IF(C79="","",IFERROR(INDEX(Перечень!$D$6:$D$52,MATCH(H79,Перечень!$A$6:$A$52,0)),12))</f>
        <v>12</v>
      </c>
      <c r="K79" s="40"/>
      <c r="L79" s="40"/>
      <c r="M79" s="37" t="str">
        <f aca="false">IF(AND(K79="",L79=""),"",EDATE(MAX(K79,L79),J79))</f>
        <v/>
      </c>
      <c r="N79" s="41" t="str">
        <f aca="false">IF(C79="","",IFERROR(INDEX(Перечень!$F$6:$F$52,MATCH(H79,Перечень!$A$6:$A$52,0)),""))</f>
        <v>-</v>
      </c>
      <c r="O79" s="40"/>
      <c r="P79" s="37" t="str">
        <f aca="false">IF(O79="","",EDATE(O79,60))</f>
        <v/>
      </c>
      <c r="Q79" s="41" t="str">
        <f aca="false">IF(AND(K79&lt;&gt;"",F79&lt;&gt;"",K79&gt;F79),"Да","")</f>
        <v/>
      </c>
      <c r="R79" s="41" t="str">
        <f aca="true">IF(C79="","",IF(M79="","Нет сведений",IF(M79&lt;TODAY(),"Просрочен",IF(M79-TODAY()&lt;=30,"Истекает","В срок"))))</f>
        <v>Нет сведений</v>
      </c>
      <c r="S79" s="41" t="str">
        <f aca="false">IF(AND(N79="Да",O79=""),"Не пройдено","")</f>
        <v/>
      </c>
    </row>
    <row r="80" customFormat="false" ht="14.25" hidden="false" customHeight="false" outlineLevel="0" collapsed="false">
      <c r="A80" s="35" t="n">
        <f aca="false">IF(C80="","",ROW()-5)</f>
        <v>75</v>
      </c>
      <c r="B80" s="36" t="s">
        <v>104</v>
      </c>
      <c r="C80" s="36" t="s">
        <v>239</v>
      </c>
      <c r="D80" s="36" t="s">
        <v>168</v>
      </c>
      <c r="E80" s="36" t="s">
        <v>184</v>
      </c>
      <c r="F80" s="37" t="n">
        <v>45425</v>
      </c>
      <c r="G80" s="38" t="str">
        <f aca="false">IF(C80="","",IF(TRIM(SUBSTITUTE(SUBSTITUTE(SUBSTITUTE(SUBSTITUTE(SUBSTITUTE(SUBSTITUTE(SUBSTITUTE(SUBSTITUTE(SUBSTITUTE(SUBSTITUTE(SUBSTITUTE(LOWER(TRIM(D80)),"ё","е"),"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категории",""))="инженер",IF(AND(ISNUMBER(SEARCH("техническ",E80)),ISNUMBER(SEARCH("контрол",E80))),"инженер отк",IF(ISNUMBER(SEARCH("диспетч",E80)),"инженер пдо",TRIM(SUBSTITUTE(SUBSTITUTE(SUBSTITUTE(SUBSTITUTE(SUBSTITUTE(SUBSTITUTE(SUBSTITUTE(SUBSTITUTE(SUBSTITUTE(SUBSTITUTE(SUBSTITUTE(LOWER(TRIM(D80)),"ё","е"),"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инженер",IF(ISNUMBER(SEARCH("диспетч",E80)),"ведущий инженер пдо",TRIM(SUBSTITUTE(SUBSTITUTE(SUBSTITUTE(SUBSTITUTE(SUBSTITUTE(SUBSTITUTE(SUBSTITUTE(SUBSTITUTE(SUBSTITUTE(SUBSTITUTE(SUBSTITUTE(LOWER(TRIM(D80)),"ё","е"),"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отк",TRIM(SUBSTITUTE(SUBSTITUTE(SUBSTITUTE(SUBSTITUTE(SUBSTITUTE(SUBSTITUTE(SUBSTITUTE(SUBSTITUTE(SUBSTITUTE(SUBSTITUTE(SUBSTITUTE(LOWER(TRIM(D80)),"ё","е"),"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80" s="35" t="n">
        <f aca="false">IF(C80="","",IF(AND(G80="мастер участка",ISNUMBER(SEARCH("РЭО",E80))),29,IFERROR(INDEX(Соответствие!$B$2:$B$100,MATCH(G80,Соответствие!$A$2:$A$100,0)),"?")))</f>
        <v>19</v>
      </c>
      <c r="I80" s="39" t="str">
        <f aca="false">IF(C80="","",IFERROR(INDEX(Перечень!$C$6:$C$52,MATCH(H80,Перечень!$A$6:$A$52,0)),""))</f>
        <v>п.4.3.1, п.4.3.2, п.4.4, п.5.1, п.6.2, п.15</v>
      </c>
      <c r="J80" s="35" t="n">
        <f aca="false">IF(C80="","",IFERROR(INDEX(Перечень!$D$6:$D$52,MATCH(H80,Перечень!$A$6:$A$52,0)),12))</f>
        <v>12</v>
      </c>
      <c r="K80" s="40"/>
      <c r="L80" s="40"/>
      <c r="M80" s="37" t="str">
        <f aca="false">IF(AND(K80="",L80=""),"",EDATE(MAX(K80,L80),J80))</f>
        <v/>
      </c>
      <c r="N80" s="41" t="str">
        <f aca="false">IF(C80="","",IFERROR(INDEX(Перечень!$F$6:$F$52,MATCH(H80,Перечень!$A$6:$A$52,0)),""))</f>
        <v>-</v>
      </c>
      <c r="O80" s="40"/>
      <c r="P80" s="37" t="str">
        <f aca="false">IF(O80="","",EDATE(O80,60))</f>
        <v/>
      </c>
      <c r="Q80" s="41" t="str">
        <f aca="false">IF(AND(K80&lt;&gt;"",F80&lt;&gt;"",K80&gt;F80),"Да","")</f>
        <v/>
      </c>
      <c r="R80" s="41" t="str">
        <f aca="true">IF(C80="","",IF(M80="","Нет сведений",IF(M80&lt;TODAY(),"Просрочен",IF(M80-TODAY()&lt;=30,"Истекает","В срок"))))</f>
        <v>Нет сведений</v>
      </c>
      <c r="S80" s="41" t="str">
        <f aca="false">IF(AND(N80="Да",O80=""),"Не пройдено","")</f>
        <v/>
      </c>
    </row>
    <row r="81" customFormat="false" ht="14.25" hidden="false" customHeight="false" outlineLevel="0" collapsed="false">
      <c r="A81" s="35" t="n">
        <f aca="false">IF(C81="","",ROW()-5)</f>
        <v>76</v>
      </c>
      <c r="B81" s="36" t="s">
        <v>104</v>
      </c>
      <c r="C81" s="36" t="s">
        <v>240</v>
      </c>
      <c r="D81" s="36" t="s">
        <v>241</v>
      </c>
      <c r="E81" s="36" t="s">
        <v>184</v>
      </c>
      <c r="F81" s="37" t="n">
        <v>42121</v>
      </c>
      <c r="G81" s="38" t="str">
        <f aca="false">IF(C81="","",IF(TRIM(SUBSTITUTE(SUBSTITUTE(SUBSTITUTE(SUBSTITUTE(SUBSTITUTE(SUBSTITUTE(SUBSTITUTE(SUBSTITUTE(SUBSTITUTE(SUBSTITUTE(SUBSTITUTE(LOWER(TRIM(D81)),"ё","е"),"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категории",""))="инженер",IF(AND(ISNUMBER(SEARCH("техническ",E81)),ISNUMBER(SEARCH("контрол",E81))),"инженер отк",IF(ISNUMBER(SEARCH("диспетч",E81)),"инженер пдо",TRIM(SUBSTITUTE(SUBSTITUTE(SUBSTITUTE(SUBSTITUTE(SUBSTITUTE(SUBSTITUTE(SUBSTITUTE(SUBSTITUTE(SUBSTITUTE(SUBSTITUTE(SUBSTITUTE(LOWER(TRIM(D81)),"ё","е"),"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инженер",IF(ISNUMBER(SEARCH("диспетч",E81)),"ведущий инженер пдо",TRIM(SUBSTITUTE(SUBSTITUTE(SUBSTITUTE(SUBSTITUTE(SUBSTITUTE(SUBSTITUTE(SUBSTITUTE(SUBSTITUTE(SUBSTITUTE(SUBSTITUTE(SUBSTITUTE(LOWER(TRIM(D81)),"ё","е"),"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отк",TRIM(SUBSTITUTE(SUBSTITUTE(SUBSTITUTE(SUBSTITUTE(SUBSTITUTE(SUBSTITUTE(SUBSTITUTE(SUBSTITUTE(SUBSTITUTE(SUBSTITUTE(SUBSTITUTE(LOWER(TRIM(D81)),"ё","е")," -","-"),"- ","-")," 2 разряда","")," 3 разряда","")," 4 разряда","")," 5 разряда","")," 6 разряда","")," 1 категории","")," 2 категории","")," 3 категории",""))))))</f>
        <v>мастер участка</v>
      </c>
      <c r="H81" s="35" t="n">
        <f aca="false">IF(C81="","",IF(AND(G81="мастер участка",ISNUMBER(SEARCH("РЭО",E81))),29,IFERROR(INDEX(Соответствие!$B$2:$B$100,MATCH(G81,Соответствие!$A$2:$A$100,0)),"?")))</f>
        <v>18</v>
      </c>
      <c r="I81" s="39" t="str">
        <f aca="false">IF(C81="","",IFERROR(INDEX(Перечень!$C$6:$C$52,MATCH(H81,Перечень!$A$6:$A$52,0)),""))</f>
        <v>п.4.4, п.5.2</v>
      </c>
      <c r="J81" s="35" t="n">
        <f aca="false">IF(C81="","",IFERROR(INDEX(Перечень!$D$6:$D$52,MATCH(H81,Перечень!$A$6:$A$52,0)),12))</f>
        <v>12</v>
      </c>
      <c r="K81" s="40"/>
      <c r="L81" s="40"/>
      <c r="M81" s="37" t="str">
        <f aca="false">IF(AND(K81="",L81=""),"",EDATE(MAX(K81,L81),J81))</f>
        <v/>
      </c>
      <c r="N81" s="41" t="str">
        <f aca="false">IF(C81="","",IFERROR(INDEX(Перечень!$F$6:$F$52,MATCH(H81,Перечень!$A$6:$A$52,0)),""))</f>
        <v>-</v>
      </c>
      <c r="O81" s="40"/>
      <c r="P81" s="37" t="str">
        <f aca="false">IF(O81="","",EDATE(O81,60))</f>
        <v/>
      </c>
      <c r="Q81" s="41" t="str">
        <f aca="false">IF(AND(K81&lt;&gt;"",F81&lt;&gt;"",K81&gt;F81),"Да","")</f>
        <v/>
      </c>
      <c r="R81" s="41" t="str">
        <f aca="true">IF(C81="","",IF(M81="","Нет сведений",IF(M81&lt;TODAY(),"Просрочен",IF(M81-TODAY()&lt;=30,"Истекает","В срок"))))</f>
        <v>Нет сведений</v>
      </c>
      <c r="S81" s="41" t="str">
        <f aca="false">IF(AND(N81="Да",O81=""),"Не пройдено","")</f>
        <v/>
      </c>
    </row>
    <row r="82" customFormat="false" ht="14.25" hidden="false" customHeight="false" outlineLevel="0" collapsed="false">
      <c r="A82" s="35" t="n">
        <f aca="false">IF(C82="","",ROW()-5)</f>
        <v>77</v>
      </c>
      <c r="B82" s="36" t="s">
        <v>104</v>
      </c>
      <c r="C82" s="36" t="s">
        <v>242</v>
      </c>
      <c r="D82" s="36" t="s">
        <v>241</v>
      </c>
      <c r="E82" s="36" t="s">
        <v>184</v>
      </c>
      <c r="F82" s="37" t="n">
        <v>45700</v>
      </c>
      <c r="G82" s="38" t="str">
        <f aca="false">IF(C82="","",IF(TRIM(SUBSTITUTE(SUBSTITUTE(SUBSTITUTE(SUBSTITUTE(SUBSTITUTE(SUBSTITUTE(SUBSTITUTE(SUBSTITUTE(SUBSTITUTE(SUBSTITUTE(SUBSTITUTE(LOWER(TRIM(D82)),"ё","е"),"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категории",""))="инженер",IF(AND(ISNUMBER(SEARCH("техническ",E82)),ISNUMBER(SEARCH("контрол",E82))),"инженер отк",IF(ISNUMBER(SEARCH("диспетч",E82)),"инженер пдо",TRIM(SUBSTITUTE(SUBSTITUTE(SUBSTITUTE(SUBSTITUTE(SUBSTITUTE(SUBSTITUTE(SUBSTITUTE(SUBSTITUTE(SUBSTITUTE(SUBSTITUTE(SUBSTITUTE(LOWER(TRIM(D82)),"ё","е"),"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инженер",IF(ISNUMBER(SEARCH("диспетч",E82)),"ведущий инженер пдо",TRIM(SUBSTITUTE(SUBSTITUTE(SUBSTITUTE(SUBSTITUTE(SUBSTITUTE(SUBSTITUTE(SUBSTITUTE(SUBSTITUTE(SUBSTITUTE(SUBSTITUTE(SUBSTITUTE(LOWER(TRIM(D82)),"ё","е"),"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отк",TRIM(SUBSTITUTE(SUBSTITUTE(SUBSTITUTE(SUBSTITUTE(SUBSTITUTE(SUBSTITUTE(SUBSTITUTE(SUBSTITUTE(SUBSTITUTE(SUBSTITUTE(SUBSTITUTE(LOWER(TRIM(D82)),"ё","е")," -","-"),"- ","-")," 2 разряда","")," 3 разряда","")," 4 разряда","")," 5 разряда","")," 6 разряда","")," 1 категории","")," 2 категории","")," 3 категории",""))))))</f>
        <v>мастер участка</v>
      </c>
      <c r="H82" s="35" t="n">
        <f aca="false">IF(C82="","",IF(AND(G82="мастер участка",ISNUMBER(SEARCH("РЭО",E82))),29,IFERROR(INDEX(Соответствие!$B$2:$B$100,MATCH(G82,Соответствие!$A$2:$A$100,0)),"?")))</f>
        <v>18</v>
      </c>
      <c r="I82" s="39" t="str">
        <f aca="false">IF(C82="","",IFERROR(INDEX(Перечень!$C$6:$C$52,MATCH(H82,Перечень!$A$6:$A$52,0)),""))</f>
        <v>п.4.4, п.5.2</v>
      </c>
      <c r="J82" s="35" t="n">
        <f aca="false">IF(C82="","",IFERROR(INDEX(Перечень!$D$6:$D$52,MATCH(H82,Перечень!$A$6:$A$52,0)),12))</f>
        <v>12</v>
      </c>
      <c r="K82" s="40"/>
      <c r="L82" s="40"/>
      <c r="M82" s="37" t="str">
        <f aca="false">IF(AND(K82="",L82=""),"",EDATE(MAX(K82,L82),J82))</f>
        <v/>
      </c>
      <c r="N82" s="41" t="str">
        <f aca="false">IF(C82="","",IFERROR(INDEX(Перечень!$F$6:$F$52,MATCH(H82,Перечень!$A$6:$A$52,0)),""))</f>
        <v>-</v>
      </c>
      <c r="O82" s="40"/>
      <c r="P82" s="37" t="str">
        <f aca="false">IF(O82="","",EDATE(O82,60))</f>
        <v/>
      </c>
      <c r="Q82" s="41" t="str">
        <f aca="false">IF(AND(K82&lt;&gt;"",F82&lt;&gt;"",K82&gt;F82),"Да","")</f>
        <v/>
      </c>
      <c r="R82" s="41" t="str">
        <f aca="true">IF(C82="","",IF(M82="","Нет сведений",IF(M82&lt;TODAY(),"Просрочен",IF(M82-TODAY()&lt;=30,"Истекает","В срок"))))</f>
        <v>Нет сведений</v>
      </c>
      <c r="S82" s="41" t="str">
        <f aca="false">IF(AND(N82="Да",O82=""),"Не пройдено","")</f>
        <v/>
      </c>
    </row>
    <row r="83" customFormat="false" ht="14.25" hidden="false" customHeight="false" outlineLevel="0" collapsed="false">
      <c r="A83" s="35" t="n">
        <f aca="false">IF(C83="","",ROW()-5)</f>
        <v>78</v>
      </c>
      <c r="B83" s="36" t="s">
        <v>104</v>
      </c>
      <c r="C83" s="36" t="s">
        <v>243</v>
      </c>
      <c r="D83" s="36" t="s">
        <v>241</v>
      </c>
      <c r="E83" s="36" t="s">
        <v>184</v>
      </c>
      <c r="F83" s="37" t="n">
        <v>45838</v>
      </c>
      <c r="G83" s="38" t="str">
        <f aca="false">IF(C83="","",IF(TRIM(SUBSTITUTE(SUBSTITUTE(SUBSTITUTE(SUBSTITUTE(SUBSTITUTE(SUBSTITUTE(SUBSTITUTE(SUBSTITUTE(SUBSTITUTE(SUBSTITUTE(SUBSTITUTE(LOWER(TRIM(D83)),"ё","е"),"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категории",""))="инженер",IF(AND(ISNUMBER(SEARCH("техническ",E83)),ISNUMBER(SEARCH("контрол",E83))),"инженер отк",IF(ISNUMBER(SEARCH("диспетч",E83)),"инженер пдо",TRIM(SUBSTITUTE(SUBSTITUTE(SUBSTITUTE(SUBSTITUTE(SUBSTITUTE(SUBSTITUTE(SUBSTITUTE(SUBSTITUTE(SUBSTITUTE(SUBSTITUTE(SUBSTITUTE(LOWER(TRIM(D83)),"ё","е"),"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инженер",IF(ISNUMBER(SEARCH("диспетч",E83)),"ведущий инженер пдо",TRIM(SUBSTITUTE(SUBSTITUTE(SUBSTITUTE(SUBSTITUTE(SUBSTITUTE(SUBSTITUTE(SUBSTITUTE(SUBSTITUTE(SUBSTITUTE(SUBSTITUTE(SUBSTITUTE(LOWER(TRIM(D83)),"ё","е"),"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отк",TRIM(SUBSTITUTE(SUBSTITUTE(SUBSTITUTE(SUBSTITUTE(SUBSTITUTE(SUBSTITUTE(SUBSTITUTE(SUBSTITUTE(SUBSTITUTE(SUBSTITUTE(SUBSTITUTE(LOWER(TRIM(D83)),"ё","е")," -","-"),"- ","-")," 2 разряда","")," 3 разряда","")," 4 разряда","")," 5 разряда","")," 6 разряда","")," 1 категории","")," 2 категории","")," 3 категории",""))))))</f>
        <v>мастер участка</v>
      </c>
      <c r="H83" s="35" t="n">
        <f aca="false">IF(C83="","",IF(AND(G83="мастер участка",ISNUMBER(SEARCH("РЭО",E83))),29,IFERROR(INDEX(Соответствие!$B$2:$B$100,MATCH(G83,Соответствие!$A$2:$A$100,0)),"?")))</f>
        <v>18</v>
      </c>
      <c r="I83" s="39" t="str">
        <f aca="false">IF(C83="","",IFERROR(INDEX(Перечень!$C$6:$C$52,MATCH(H83,Перечень!$A$6:$A$52,0)),""))</f>
        <v>п.4.4, п.5.2</v>
      </c>
      <c r="J83" s="35" t="n">
        <f aca="false">IF(C83="","",IFERROR(INDEX(Перечень!$D$6:$D$52,MATCH(H83,Перечень!$A$6:$A$52,0)),12))</f>
        <v>12</v>
      </c>
      <c r="K83" s="40" t="n">
        <v>45825</v>
      </c>
      <c r="L83" s="40"/>
      <c r="M83" s="37" t="n">
        <f aca="false">IF(AND(K83="",L83=""),"",EDATE(MAX(K83,L83),J83))</f>
        <v>46190</v>
      </c>
      <c r="N83" s="41" t="str">
        <f aca="false">IF(C83="","",IFERROR(INDEX(Перечень!$F$6:$F$52,MATCH(H83,Перечень!$A$6:$A$52,0)),""))</f>
        <v>-</v>
      </c>
      <c r="O83" s="40"/>
      <c r="P83" s="37" t="str">
        <f aca="false">IF(O83="","",EDATE(O83,60))</f>
        <v/>
      </c>
      <c r="Q83" s="41" t="str">
        <f aca="false">IF(AND(K83&lt;&gt;"",F83&lt;&gt;"",K83&gt;F83),"Да","")</f>
        <v/>
      </c>
      <c r="R83" s="41" t="str">
        <f aca="true">IF(C83="","",IF(M83="","Нет сведений",IF(M83&lt;TODAY(),"Просрочен",IF(M83-TODAY()&lt;=30,"Истекает","В срок"))))</f>
        <v>Просрочен</v>
      </c>
      <c r="S83" s="41" t="str">
        <f aca="false">IF(AND(N83="Да",O83=""),"Не пройдено","")</f>
        <v/>
      </c>
    </row>
    <row r="84" customFormat="false" ht="14.25" hidden="false" customHeight="false" outlineLevel="0" collapsed="false">
      <c r="A84" s="35" t="n">
        <f aca="false">IF(C84="","",ROW()-5)</f>
        <v>79</v>
      </c>
      <c r="B84" s="36" t="s">
        <v>104</v>
      </c>
      <c r="C84" s="36" t="s">
        <v>244</v>
      </c>
      <c r="D84" s="36" t="s">
        <v>241</v>
      </c>
      <c r="E84" s="36" t="s">
        <v>184</v>
      </c>
      <c r="F84" s="37" t="n">
        <v>46041</v>
      </c>
      <c r="G84" s="38" t="str">
        <f aca="false">IF(C84="","",IF(TRIM(SUBSTITUTE(SUBSTITUTE(SUBSTITUTE(SUBSTITUTE(SUBSTITUTE(SUBSTITUTE(SUBSTITUTE(SUBSTITUTE(SUBSTITUTE(SUBSTITUTE(SUBSTITUTE(LOWER(TRIM(D84)),"ё","е"),"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категории",""))="инженер",IF(AND(ISNUMBER(SEARCH("техническ",E84)),ISNUMBER(SEARCH("контрол",E84))),"инженер отк",IF(ISNUMBER(SEARCH("диспетч",E84)),"инженер пдо",TRIM(SUBSTITUTE(SUBSTITUTE(SUBSTITUTE(SUBSTITUTE(SUBSTITUTE(SUBSTITUTE(SUBSTITUTE(SUBSTITUTE(SUBSTITUTE(SUBSTITUTE(SUBSTITUTE(LOWER(TRIM(D84)),"ё","е"),"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инженер",IF(ISNUMBER(SEARCH("диспетч",E84)),"ведущий инженер пдо",TRIM(SUBSTITUTE(SUBSTITUTE(SUBSTITUTE(SUBSTITUTE(SUBSTITUTE(SUBSTITUTE(SUBSTITUTE(SUBSTITUTE(SUBSTITUTE(SUBSTITUTE(SUBSTITUTE(LOWER(TRIM(D84)),"ё","е"),"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отк",TRIM(SUBSTITUTE(SUBSTITUTE(SUBSTITUTE(SUBSTITUTE(SUBSTITUTE(SUBSTITUTE(SUBSTITUTE(SUBSTITUTE(SUBSTITUTE(SUBSTITUTE(SUBSTITUTE(LOWER(TRIM(D84)),"ё","е")," -","-"),"- ","-")," 2 разряда","")," 3 разряда","")," 4 разряда","")," 5 разряда","")," 6 разряда","")," 1 категории","")," 2 категории","")," 3 категории",""))))))</f>
        <v>мастер участка</v>
      </c>
      <c r="H84" s="35" t="n">
        <f aca="false">IF(C84="","",IF(AND(G84="мастер участка",ISNUMBER(SEARCH("РЭО",E84))),29,IFERROR(INDEX(Соответствие!$B$2:$B$100,MATCH(G84,Соответствие!$A$2:$A$100,0)),"?")))</f>
        <v>18</v>
      </c>
      <c r="I84" s="39" t="str">
        <f aca="false">IF(C84="","",IFERROR(INDEX(Перечень!$C$6:$C$52,MATCH(H84,Перечень!$A$6:$A$52,0)),""))</f>
        <v>п.4.4, п.5.2</v>
      </c>
      <c r="J84" s="35" t="n">
        <f aca="false">IF(C84="","",IFERROR(INDEX(Перечень!$D$6:$D$52,MATCH(H84,Перечень!$A$6:$A$52,0)),12))</f>
        <v>12</v>
      </c>
      <c r="K84" s="40"/>
      <c r="L84" s="40"/>
      <c r="M84" s="37" t="str">
        <f aca="false">IF(AND(K84="",L84=""),"",EDATE(MAX(K84,L84),J84))</f>
        <v/>
      </c>
      <c r="N84" s="41" t="str">
        <f aca="false">IF(C84="","",IFERROR(INDEX(Перечень!$F$6:$F$52,MATCH(H84,Перечень!$A$6:$A$52,0)),""))</f>
        <v>-</v>
      </c>
      <c r="O84" s="40"/>
      <c r="P84" s="37" t="str">
        <f aca="false">IF(O84="","",EDATE(O84,60))</f>
        <v/>
      </c>
      <c r="Q84" s="41" t="str">
        <f aca="false">IF(AND(K84&lt;&gt;"",F84&lt;&gt;"",K84&gt;F84),"Да","")</f>
        <v/>
      </c>
      <c r="R84" s="41" t="str">
        <f aca="true">IF(C84="","",IF(M84="","Нет сведений",IF(M84&lt;TODAY(),"Просрочен",IF(M84-TODAY()&lt;=30,"Истекает","В срок"))))</f>
        <v>Нет сведений</v>
      </c>
      <c r="S84" s="41" t="str">
        <f aca="false">IF(AND(N84="Да",O84=""),"Не пройдено","")</f>
        <v/>
      </c>
    </row>
    <row r="85" customFormat="false" ht="14.25" hidden="false" customHeight="false" outlineLevel="0" collapsed="false">
      <c r="A85" s="35" t="n">
        <f aca="false">IF(C85="","",ROW()-5)</f>
        <v>80</v>
      </c>
      <c r="B85" s="36" t="s">
        <v>104</v>
      </c>
      <c r="C85" s="36" t="s">
        <v>245</v>
      </c>
      <c r="D85" s="36" t="s">
        <v>241</v>
      </c>
      <c r="E85" s="36" t="s">
        <v>209</v>
      </c>
      <c r="F85" s="37" t="n">
        <v>42983</v>
      </c>
      <c r="G85" s="38" t="str">
        <f aca="false">IF(C85="","",IF(TRIM(SUBSTITUTE(SUBSTITUTE(SUBSTITUTE(SUBSTITUTE(SUBSTITUTE(SUBSTITUTE(SUBSTITUTE(SUBSTITUTE(SUBSTITUTE(SUBSTITUTE(SUBSTITUTE(LOWER(TRIM(D85)),"ё","е"),"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категории",""))="инженер",IF(AND(ISNUMBER(SEARCH("техническ",E85)),ISNUMBER(SEARCH("контрол",E85))),"инженер отк",IF(ISNUMBER(SEARCH("диспетч",E85)),"инженер пдо",TRIM(SUBSTITUTE(SUBSTITUTE(SUBSTITUTE(SUBSTITUTE(SUBSTITUTE(SUBSTITUTE(SUBSTITUTE(SUBSTITUTE(SUBSTITUTE(SUBSTITUTE(SUBSTITUTE(LOWER(TRIM(D85)),"ё","е"),"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инженер",IF(ISNUMBER(SEARCH("диспетч",E85)),"ведущий инженер пдо",TRIM(SUBSTITUTE(SUBSTITUTE(SUBSTITUTE(SUBSTITUTE(SUBSTITUTE(SUBSTITUTE(SUBSTITUTE(SUBSTITUTE(SUBSTITUTE(SUBSTITUTE(SUBSTITUTE(LOWER(TRIM(D85)),"ё","е"),"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отк",TRIM(SUBSTITUTE(SUBSTITUTE(SUBSTITUTE(SUBSTITUTE(SUBSTITUTE(SUBSTITUTE(SUBSTITUTE(SUBSTITUTE(SUBSTITUTE(SUBSTITUTE(SUBSTITUTE(LOWER(TRIM(D85)),"ё","е")," -","-"),"- ","-")," 2 разряда","")," 3 разряда","")," 4 разряда","")," 5 разряда","")," 6 разряда","")," 1 категории","")," 2 категории","")," 3 категории",""))))))</f>
        <v>мастер участка</v>
      </c>
      <c r="H85" s="35" t="n">
        <f aca="false">IF(C85="","",IF(AND(G85="мастер участка",ISNUMBER(SEARCH("РЭО",E85))),29,IFERROR(INDEX(Соответствие!$B$2:$B$100,MATCH(G85,Соответствие!$A$2:$A$100,0)),"?")))</f>
        <v>29</v>
      </c>
      <c r="I85" s="39" t="str">
        <f aca="false">IF(C85="","",IFERROR(INDEX(Перечень!$C$6:$C$52,MATCH(H85,Перечень!$A$6:$A$52,0)),""))</f>
        <v>п.4.3.1, п.4.3.2, п.4.4, п.4.9, п.5.1, п.5.2, п.6.2, п.9</v>
      </c>
      <c r="J85" s="35" t="n">
        <f aca="false">IF(C85="","",IFERROR(INDEX(Перечень!$D$6:$D$52,MATCH(H85,Перечень!$A$6:$A$52,0)),12))</f>
        <v>12</v>
      </c>
      <c r="K85" s="40" t="n">
        <v>44662</v>
      </c>
      <c r="L85" s="40"/>
      <c r="M85" s="37" t="n">
        <f aca="false">IF(AND(K85="",L85=""),"",EDATE(MAX(K85,L85),J85))</f>
        <v>45027</v>
      </c>
      <c r="N85" s="41" t="str">
        <f aca="false">IF(C85="","",IFERROR(INDEX(Перечень!$F$6:$F$52,MATCH(H85,Перечень!$A$6:$A$52,0)),""))</f>
        <v>Да</v>
      </c>
      <c r="O85" s="40"/>
      <c r="P85" s="37" t="str">
        <f aca="false">IF(O85="","",EDATE(O85,60))</f>
        <v/>
      </c>
      <c r="Q85" s="41" t="str">
        <f aca="false">IF(AND(K85&lt;&gt;"",F85&lt;&gt;"",K85&gt;F85),"Да","")</f>
        <v>Да</v>
      </c>
      <c r="R85" s="41" t="str">
        <f aca="true">IF(C85="","",IF(M85="","Нет сведений",IF(M85&lt;TODAY(),"Просрочен",IF(M85-TODAY()&lt;=30,"Истекает","В срок"))))</f>
        <v>Просрочен</v>
      </c>
      <c r="S85" s="41" t="str">
        <f aca="false">IF(AND(N85="Да",O85=""),"Не пройдено","")</f>
        <v>Не пройдено</v>
      </c>
    </row>
    <row r="86" customFormat="false" ht="14.25" hidden="false" customHeight="false" outlineLevel="0" collapsed="false">
      <c r="A86" s="35" t="n">
        <f aca="false">IF(C86="","",ROW()-5)</f>
        <v>81</v>
      </c>
      <c r="B86" s="36" t="s">
        <v>104</v>
      </c>
      <c r="C86" s="36" t="s">
        <v>246</v>
      </c>
      <c r="D86" s="36" t="s">
        <v>247</v>
      </c>
      <c r="E86" s="36" t="s">
        <v>248</v>
      </c>
      <c r="F86" s="37" t="n">
        <v>44966</v>
      </c>
      <c r="G86" s="38" t="str">
        <f aca="false">IF(C86="","",IF(TRIM(SUBSTITUTE(SUBSTITUTE(SUBSTITUTE(SUBSTITUTE(SUBSTITUTE(SUBSTITUTE(SUBSTITUTE(SUBSTITUTE(SUBSTITUTE(SUBSTITUTE(SUBSTITUTE(LOWER(TRIM(D86)),"ё","е"),"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категории",""))="инженер",IF(AND(ISNUMBER(SEARCH("техническ",E86)),ISNUMBER(SEARCH("контрол",E86))),"инженер отк",IF(ISNUMBER(SEARCH("диспетч",E86)),"инженер пдо",TRIM(SUBSTITUTE(SUBSTITUTE(SUBSTITUTE(SUBSTITUTE(SUBSTITUTE(SUBSTITUTE(SUBSTITUTE(SUBSTITUTE(SUBSTITUTE(SUBSTITUTE(SUBSTITUTE(LOWER(TRIM(D86)),"ё","е"),"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инженер",IF(ISNUMBER(SEARCH("диспетч",E86)),"ведущий инженер пдо",TRIM(SUBSTITUTE(SUBSTITUTE(SUBSTITUTE(SUBSTITUTE(SUBSTITUTE(SUBSTITUTE(SUBSTITUTE(SUBSTITUTE(SUBSTITUTE(SUBSTITUTE(SUBSTITUTE(LOWER(TRIM(D86)),"ё","е"),"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отк",TRIM(SUBSTITUTE(SUBSTITUTE(SUBSTITUTE(SUBSTITUTE(SUBSTITUTE(SUBSTITUTE(SUBSTITUTE(SUBSTITUTE(SUBSTITUTE(SUBSTITUTE(SUBSTITUTE(LOWER(TRIM(D86)),"ё","е")," -","-"),"- ","-")," 2 разряда","")," 3 разряда","")," 4 разряда","")," 5 разряда","")," 6 разряда","")," 1 категории","")," 2 категории","")," 3 категории",""))))))</f>
        <v>инженер по авиационному и радиоэлектронному оборудованию</v>
      </c>
      <c r="H86" s="35" t="n">
        <f aca="false">IF(C86="","",IF(AND(G86="мастер участка",ISNUMBER(SEARCH("РЭО",E86))),29,IFERROR(INDEX(Соответствие!$B$2:$B$100,MATCH(G86,Соответствие!$A$2:$A$100,0)),"?")))</f>
        <v>40</v>
      </c>
      <c r="I86" s="39" t="str">
        <f aca="false">IF(C86="","",IFERROR(INDEX(Перечень!$C$6:$C$52,MATCH(H86,Перечень!$A$6:$A$52,0)),""))</f>
        <v>п.4.4, п.4.6, п.5.1, п.6.2</v>
      </c>
      <c r="J86" s="35" t="n">
        <f aca="false">IF(C86="","",IFERROR(INDEX(Перечень!$D$6:$D$52,MATCH(H86,Перечень!$A$6:$A$52,0)),12))</f>
        <v>12</v>
      </c>
      <c r="K86" s="40"/>
      <c r="L86" s="40"/>
      <c r="M86" s="37" t="str">
        <f aca="false">IF(AND(K86="",L86=""),"",EDATE(MAX(K86,L86),J86))</f>
        <v/>
      </c>
      <c r="N86" s="41" t="str">
        <f aca="false">IF(C86="","",IFERROR(INDEX(Перечень!$F$6:$F$52,MATCH(H86,Перечень!$A$6:$A$52,0)),""))</f>
        <v>-</v>
      </c>
      <c r="O86" s="40"/>
      <c r="P86" s="37" t="str">
        <f aca="false">IF(O86="","",EDATE(O86,60))</f>
        <v/>
      </c>
      <c r="Q86" s="41" t="str">
        <f aca="false">IF(AND(K86&lt;&gt;"",F86&lt;&gt;"",K86&gt;F86),"Да","")</f>
        <v/>
      </c>
      <c r="R86" s="41" t="str">
        <f aca="true">IF(C86="","",IF(M86="","Нет сведений",IF(M86&lt;TODAY(),"Просрочен",IF(M86-TODAY()&lt;=30,"Истекает","В срок"))))</f>
        <v>Нет сведений</v>
      </c>
      <c r="S86" s="41" t="str">
        <f aca="false">IF(AND(N86="Да",O86=""),"Не пройдено","")</f>
        <v/>
      </c>
    </row>
    <row r="87" customFormat="false" ht="14.25" hidden="false" customHeight="false" outlineLevel="0" collapsed="false">
      <c r="A87" s="35" t="n">
        <f aca="false">IF(C87="","",ROW()-5)</f>
        <v>82</v>
      </c>
      <c r="B87" s="36" t="s">
        <v>107</v>
      </c>
      <c r="C87" s="36" t="s">
        <v>249</v>
      </c>
      <c r="D87" s="36" t="s">
        <v>250</v>
      </c>
      <c r="E87" s="36" t="s">
        <v>251</v>
      </c>
      <c r="F87" s="37" t="n">
        <v>46139</v>
      </c>
      <c r="G87" s="38" t="str">
        <f aca="false">IF(C87="","",IF(TRIM(SUBSTITUTE(SUBSTITUTE(SUBSTITUTE(SUBSTITUTE(SUBSTITUTE(SUBSTITUTE(SUBSTITUTE(SUBSTITUTE(SUBSTITUTE(SUBSTITUTE(SUBSTITUTE(LOWER(TRIM(D87)),"ё","е"),"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категории",""))="инженер",IF(AND(ISNUMBER(SEARCH("техническ",E87)),ISNUMBER(SEARCH("контрол",E87))),"инженер отк",IF(ISNUMBER(SEARCH("диспетч",E87)),"инженер пдо",TRIM(SUBSTITUTE(SUBSTITUTE(SUBSTITUTE(SUBSTITUTE(SUBSTITUTE(SUBSTITUTE(SUBSTITUTE(SUBSTITUTE(SUBSTITUTE(SUBSTITUTE(SUBSTITUTE(LOWER(TRIM(D87)),"ё","е"),"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инженер",IF(ISNUMBER(SEARCH("диспетч",E87)),"ведущий инженер пдо",TRIM(SUBSTITUTE(SUBSTITUTE(SUBSTITUTE(SUBSTITUTE(SUBSTITUTE(SUBSTITUTE(SUBSTITUTE(SUBSTITUTE(SUBSTITUTE(SUBSTITUTE(SUBSTITUTE(LOWER(TRIM(D87)),"ё","е"),"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отк",TRIM(SUBSTITUTE(SUBSTITUTE(SUBSTITUTE(SUBSTITUTE(SUBSTITUTE(SUBSTITUTE(SUBSTITUTE(SUBSTITUTE(SUBSTITUTE(SUBSTITUTE(SUBSTITUTE(LOWER(TRIM(D87)),"ё","е")," -","-"),"- ","-")," 2 разряда","")," 3 разряда","")," 4 разряда","")," 5 разряда","")," 6 разряда","")," 1 категории","")," 2 категории","")," 3 категории",""))))))</f>
        <v>оператор склада</v>
      </c>
      <c r="H87" s="35" t="n">
        <f aca="false">IF(C87="","",IF(AND(G87="мастер участка",ISNUMBER(SEARCH("РЭО",E87))),29,IFERROR(INDEX(Соответствие!$B$2:$B$100,MATCH(G87,Соответствие!$A$2:$A$100,0)),"?")))</f>
        <v>16</v>
      </c>
      <c r="I87" s="39" t="str">
        <f aca="false">IF(C87="","",IFERROR(INDEX(Перечень!$C$6:$C$52,MATCH(H87,Перечень!$A$6:$A$52,0)),""))</f>
        <v>п.4.4, п.5.1, п.6.2</v>
      </c>
      <c r="J87" s="35" t="n">
        <f aca="false">IF(C87="","",IFERROR(INDEX(Перечень!$D$6:$D$52,MATCH(H87,Перечень!$A$6:$A$52,0)),12))</f>
        <v>12</v>
      </c>
      <c r="K87" s="40"/>
      <c r="L87" s="40"/>
      <c r="M87" s="37" t="str">
        <f aca="false">IF(AND(K87="",L87=""),"",EDATE(MAX(K87,L87),J87))</f>
        <v/>
      </c>
      <c r="N87" s="41" t="str">
        <f aca="false">IF(C87="","",IFERROR(INDEX(Перечень!$F$6:$F$52,MATCH(H87,Перечень!$A$6:$A$52,0)),""))</f>
        <v>-</v>
      </c>
      <c r="O87" s="40"/>
      <c r="P87" s="37" t="str">
        <f aca="false">IF(O87="","",EDATE(O87,60))</f>
        <v/>
      </c>
      <c r="Q87" s="41" t="str">
        <f aca="false">IF(AND(K87&lt;&gt;"",F87&lt;&gt;"",K87&gt;F87),"Да","")</f>
        <v/>
      </c>
      <c r="R87" s="41" t="str">
        <f aca="true">IF(C87="","",IF(M87="","Нет сведений",IF(M87&lt;TODAY(),"Просрочен",IF(M87-TODAY()&lt;=30,"Истекает","В срок"))))</f>
        <v>Нет сведений</v>
      </c>
      <c r="S87" s="41" t="str">
        <f aca="false">IF(AND(N87="Да",O87=""),"Не пройдено","")</f>
        <v/>
      </c>
    </row>
    <row r="88" customFormat="false" ht="14.25" hidden="false" customHeight="false" outlineLevel="0" collapsed="false">
      <c r="A88" s="35" t="n">
        <f aca="false">IF(C88="","",ROW()-5)</f>
        <v>83</v>
      </c>
      <c r="B88" s="36" t="s">
        <v>109</v>
      </c>
      <c r="C88" s="36" t="s">
        <v>252</v>
      </c>
      <c r="D88" s="36" t="s">
        <v>253</v>
      </c>
      <c r="E88" s="36" t="s">
        <v>254</v>
      </c>
      <c r="F88" s="37" t="n">
        <v>45558</v>
      </c>
      <c r="G88" s="38" t="str">
        <f aca="false">IF(C88="","",IF(TRIM(SUBSTITUTE(SUBSTITUTE(SUBSTITUTE(SUBSTITUTE(SUBSTITUTE(SUBSTITUTE(SUBSTITUTE(SUBSTITUTE(SUBSTITUTE(SUBSTITUTE(SUBSTITUTE(LOWER(TRIM(D88)),"ё","е"),"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категории",""))="инженер",IF(AND(ISNUMBER(SEARCH("техническ",E88)),ISNUMBER(SEARCH("контрол",E88))),"инженер отк",IF(ISNUMBER(SEARCH("диспетч",E88)),"инженер пдо",TRIM(SUBSTITUTE(SUBSTITUTE(SUBSTITUTE(SUBSTITUTE(SUBSTITUTE(SUBSTITUTE(SUBSTITUTE(SUBSTITUTE(SUBSTITUTE(SUBSTITUTE(SUBSTITUTE(LOWER(TRIM(D88)),"ё","е"),"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инженер",IF(ISNUMBER(SEARCH("диспетч",E88)),"ведущий инженер пдо",TRIM(SUBSTITUTE(SUBSTITUTE(SUBSTITUTE(SUBSTITUTE(SUBSTITUTE(SUBSTITUTE(SUBSTITUTE(SUBSTITUTE(SUBSTITUTE(SUBSTITUTE(SUBSTITUTE(LOWER(TRIM(D88)),"ё","е"),"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отк",TRIM(SUBSTITUTE(SUBSTITUTE(SUBSTITUTE(SUBSTITUTE(SUBSTITUTE(SUBSTITUTE(SUBSTITUTE(SUBSTITUTE(SUBSTITUTE(SUBSTITUTE(SUBSTITUTE(LOWER(TRIM(D88)),"ё","е")," -","-"),"- ","-")," 2 разряда","")," 3 разряда","")," 4 разряда","")," 5 разряда","")," 6 разряда","")," 1 категории","")," 2 категории","")," 3 категории",""))))))</f>
        <v>инженер пдо</v>
      </c>
      <c r="H88" s="35" t="n">
        <f aca="false">IF(C88="","",IF(AND(G88="мастер участка",ISNUMBER(SEARCH("РЭО",E88))),29,IFERROR(INDEX(Соответствие!$B$2:$B$100,MATCH(G88,Соответствие!$A$2:$A$100,0)),"?")))</f>
        <v>27</v>
      </c>
      <c r="I88" s="39" t="str">
        <f aca="false">IF(C88="","",IFERROR(INDEX(Перечень!$C$6:$C$52,MATCH(H88,Перечень!$A$6:$A$52,0)),""))</f>
        <v>п.4.4, п.5.2</v>
      </c>
      <c r="J88" s="35" t="n">
        <f aca="false">IF(C88="","",IFERROR(INDEX(Перечень!$D$6:$D$52,MATCH(H88,Перечень!$A$6:$A$52,0)),12))</f>
        <v>12</v>
      </c>
      <c r="K88" s="40"/>
      <c r="L88" s="40"/>
      <c r="M88" s="37" t="str">
        <f aca="false">IF(AND(K88="",L88=""),"",EDATE(MAX(K88,L88),J88))</f>
        <v/>
      </c>
      <c r="N88" s="41" t="str">
        <f aca="false">IF(C88="","",IFERROR(INDEX(Перечень!$F$6:$F$52,MATCH(H88,Перечень!$A$6:$A$52,0)),""))</f>
        <v>-</v>
      </c>
      <c r="O88" s="40"/>
      <c r="P88" s="37" t="str">
        <f aca="false">IF(O88="","",EDATE(O88,60))</f>
        <v/>
      </c>
      <c r="Q88" s="41" t="str">
        <f aca="false">IF(AND(K88&lt;&gt;"",F88&lt;&gt;"",K88&gt;F88),"Да","")</f>
        <v/>
      </c>
      <c r="R88" s="41" t="str">
        <f aca="true">IF(C88="","",IF(M88="","Нет сведений",IF(M88&lt;TODAY(),"Просрочен",IF(M88-TODAY()&lt;=30,"Истекает","В срок"))))</f>
        <v>Нет сведений</v>
      </c>
      <c r="S88" s="41" t="str">
        <f aca="false">IF(AND(N88="Да",O88=""),"Не пройдено","")</f>
        <v/>
      </c>
    </row>
    <row r="89" customFormat="false" ht="14.25" hidden="false" customHeight="false" outlineLevel="0" collapsed="false">
      <c r="A89" s="35" t="n">
        <f aca="false">IF(C89="","",ROW()-5)</f>
        <v>84</v>
      </c>
      <c r="B89" s="36" t="s">
        <v>107</v>
      </c>
      <c r="C89" s="36" t="s">
        <v>255</v>
      </c>
      <c r="D89" s="36" t="s">
        <v>256</v>
      </c>
      <c r="E89" s="36" t="s">
        <v>254</v>
      </c>
      <c r="F89" s="37" t="n">
        <v>43031</v>
      </c>
      <c r="G89" s="38" t="str">
        <f aca="false">IF(C89="","",IF(TRIM(SUBSTITUTE(SUBSTITUTE(SUBSTITUTE(SUBSTITUTE(SUBSTITUTE(SUBSTITUTE(SUBSTITUTE(SUBSTITUTE(SUBSTITUTE(SUBSTITUTE(SUBSTITUTE(LOWER(TRIM(D89)),"ё","е"),"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категории",""))="инженер",IF(AND(ISNUMBER(SEARCH("техническ",E89)),ISNUMBER(SEARCH("контрол",E89))),"инженер отк",IF(ISNUMBER(SEARCH("диспетч",E89)),"инженер пдо",TRIM(SUBSTITUTE(SUBSTITUTE(SUBSTITUTE(SUBSTITUTE(SUBSTITUTE(SUBSTITUTE(SUBSTITUTE(SUBSTITUTE(SUBSTITUTE(SUBSTITUTE(SUBSTITUTE(LOWER(TRIM(D89)),"ё","е"),"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категории","")))),IF(TRIM(SUBSTITUTE(SUBSTITUTE(SUBSTITUTE(SUBSTITUTE(SUBSTITUTE(SUBSTITUTE(SUBSTITUTE(SUBSTITUTE(SUBSTITUTE(SUBSTITUTE(SUBSTITUTE(LOWER(TRIM(D89)),"ё","е"),"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инженер",IF(ISNUMBER(SEARCH("диспетч",E89)),"ведущий инженер пдо",TRIM(SUBSTITUTE(SUBSTITUTE(SUBSTITUTE(SUBSTITUTE(SUBSTITUTE(SUBSTITUTE(SUBSTITUTE(SUBSTITUTE(SUBSTITUTE(SUBSTITUTE(SUBSTITUTE(LOWER(TRIM(D89)),"ё","е"),"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категории",""))),IF(TRIM(SUBSTITUTE(SUBSTITUTE(SUBSTITUTE(SUBSTITUTE(SUBSTITUTE(SUBSTITUTE(SUBSTITUTE(SUBSTITUTE(SUBSTITUTE(SUBSTITUTE(SUBSTITUTE(LOWER(TRIM(D89)),"ё","е"),"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отк",TRIM(SUBSTITUTE(SUBSTITUTE(SUBSTITUTE(SUBSTITUTE(SUBSTITUTE(SUBSTITUTE(SUBSTITUTE(SUBSTITUTE(SUBSTITUTE(SUBSTITUTE(SUBSTITUTE(LOWER(TRIM(D89)),"ё","е")," -","-"),"- ","-")," 2 разряда","")," 3 разряда","")," 4 разряда","")," 5 разряда","")," 6 разряда","")," 1 категории","")," 2 категории","")," 3 категории",""))))))</f>
        <v>ведущий инженер пдо</v>
      </c>
      <c r="H89" s="35" t="n">
        <f aca="false">IF(C89="","",IF(AND(G89="мастер участка",ISNUMBER(SEARCH("РЭО",E89))),29,IFERROR(INDEX(Соответствие!$B$2:$B$100,MATCH(G89,Соответствие!$A$2:$A$100,0)),"?")))</f>
        <v>27</v>
      </c>
      <c r="I89" s="39" t="str">
        <f aca="false">IF(C89="","",IFERROR(INDEX(Перечень!$C$6:$C$52,MATCH(H89,Перечень!$A$6:$A$52,0)),""))</f>
        <v>п.4.4, п.5.2</v>
      </c>
      <c r="J89" s="35" t="n">
        <f aca="false">IF(C89="","",IFERROR(INDEX(Перечень!$D$6:$D$52,MATCH(H89,Перечень!$A$6:$A$52,0)),12))</f>
        <v>12</v>
      </c>
      <c r="K89" s="40"/>
      <c r="L89" s="40"/>
      <c r="M89" s="37" t="str">
        <f aca="false">IF(AND(K89="",L89=""),"",EDATE(MAX(K89,L89),J89))</f>
        <v/>
      </c>
      <c r="N89" s="41" t="str">
        <f aca="false">IF(C89="","",IFERROR(INDEX(Перечень!$F$6:$F$52,MATCH(H89,Перечень!$A$6:$A$52,0)),""))</f>
        <v>-</v>
      </c>
      <c r="O89" s="40"/>
      <c r="P89" s="37" t="str">
        <f aca="false">IF(O89="","",EDATE(O89,60))</f>
        <v/>
      </c>
      <c r="Q89" s="41" t="str">
        <f aca="false">IF(AND(K89&lt;&gt;"",F89&lt;&gt;"",K89&gt;F89),"Да","")</f>
        <v/>
      </c>
      <c r="R89" s="41" t="str">
        <f aca="true">IF(C89="","",IF(M89="","Нет сведений",IF(M89&lt;TODAY(),"Просрочен",IF(M89-TODAY()&lt;=30,"Истекает","В срок"))))</f>
        <v>Нет сведений</v>
      </c>
      <c r="S89" s="41" t="str">
        <f aca="false">IF(AND(N89="Да",O89=""),"Не пройдено","")</f>
        <v/>
      </c>
    </row>
    <row r="90" customFormat="false" ht="14.25" hidden="false" customHeight="false" outlineLevel="0" collapsed="false">
      <c r="A90" s="35" t="n">
        <f aca="false">IF(C90="","",ROW()-5)</f>
        <v>85</v>
      </c>
      <c r="B90" s="36" t="s">
        <v>107</v>
      </c>
      <c r="C90" s="36" t="s">
        <v>257</v>
      </c>
      <c r="D90" s="36" t="s">
        <v>258</v>
      </c>
      <c r="E90" s="36" t="s">
        <v>254</v>
      </c>
      <c r="F90" s="37" t="n">
        <v>45719</v>
      </c>
      <c r="G90" s="38" t="str">
        <f aca="false">IF(C90="","",IF(TRIM(SUBSTITUTE(SUBSTITUTE(SUBSTITUTE(SUBSTITUTE(SUBSTITUTE(SUBSTITUTE(SUBSTITUTE(SUBSTITUTE(SUBSTITUTE(SUBSTITUTE(SUBSTITUTE(LOWER(TRIM(D90)),"ё","е"),"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категории",""))="инженер",IF(AND(ISNUMBER(SEARCH("техническ",E90)),ISNUMBER(SEARCH("контрол",E90))),"инженер отк",IF(ISNUMBER(SEARCH("диспетч",E90)),"инженер пдо",TRIM(SUBSTITUTE(SUBSTITUTE(SUBSTITUTE(SUBSTITUTE(SUBSTITUTE(SUBSTITUTE(SUBSTITUTE(SUBSTITUTE(SUBSTITUTE(SUBSTITUTE(SUBSTITUTE(LOWER(TRIM(D90)),"ё","е"),"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инженер",IF(ISNUMBER(SEARCH("диспетч",E90)),"ведущий инженер пдо",TRIM(SUBSTITUTE(SUBSTITUTE(SUBSTITUTE(SUBSTITUTE(SUBSTITUTE(SUBSTITUTE(SUBSTITUTE(SUBSTITUTE(SUBSTITUTE(SUBSTITUTE(SUBSTITUTE(LOWER(TRIM(D90)),"ё","е"),"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отк",TRIM(SUBSTITUTE(SUBSTITUTE(SUBSTITUTE(SUBSTITUTE(SUBSTITUTE(SUBSTITUTE(SUBSTITUTE(SUBSTITUTE(SUBSTITUTE(SUBSTITUTE(SUBSTITUTE(LOWER(TRIM(D90)),"ё","е")," -","-"),"- ","-")," 2 разряда","")," 3 разряда","")," 4 разряда","")," 5 разряда","")," 6 разряда","")," 1 категории","")," 2 категории","")," 3 категории",""))))))</f>
        <v>диспетчер</v>
      </c>
      <c r="H90" s="35" t="n">
        <f aca="false">IF(C90="","",IF(AND(G90="мастер участка",ISNUMBER(SEARCH("РЭО",E90))),29,IFERROR(INDEX(Соответствие!$B$2:$B$100,MATCH(G90,Соответствие!$A$2:$A$100,0)),"?")))</f>
        <v>28</v>
      </c>
      <c r="I90" s="39" t="str">
        <f aca="false">IF(C90="","",IFERROR(INDEX(Перечень!$C$6:$C$52,MATCH(H90,Перечень!$A$6:$A$52,0)),""))</f>
        <v>п.4.4, п.5.2</v>
      </c>
      <c r="J90" s="35" t="n">
        <f aca="false">IF(C90="","",IFERROR(INDEX(Перечень!$D$6:$D$52,MATCH(H90,Перечень!$A$6:$A$52,0)),12))</f>
        <v>12</v>
      </c>
      <c r="K90" s="40"/>
      <c r="L90" s="40"/>
      <c r="M90" s="37" t="str">
        <f aca="false">IF(AND(K90="",L90=""),"",EDATE(MAX(K90,L90),J90))</f>
        <v/>
      </c>
      <c r="N90" s="41" t="str">
        <f aca="false">IF(C90="","",IFERROR(INDEX(Перечень!$F$6:$F$52,MATCH(H90,Перечень!$A$6:$A$52,0)),""))</f>
        <v>-</v>
      </c>
      <c r="O90" s="40"/>
      <c r="P90" s="37" t="str">
        <f aca="false">IF(O90="","",EDATE(O90,60))</f>
        <v/>
      </c>
      <c r="Q90" s="41" t="str">
        <f aca="false">IF(AND(K90&lt;&gt;"",F90&lt;&gt;"",K90&gt;F90),"Да","")</f>
        <v/>
      </c>
      <c r="R90" s="41" t="str">
        <f aca="true">IF(C90="","",IF(M90="","Нет сведений",IF(M90&lt;TODAY(),"Просрочен",IF(M90-TODAY()&lt;=30,"Истекает","В срок"))))</f>
        <v>Нет сведений</v>
      </c>
      <c r="S90" s="41" t="str">
        <f aca="false">IF(AND(N90="Да",O90=""),"Не пройдено","")</f>
        <v/>
      </c>
    </row>
    <row r="91" customFormat="false" ht="14.25" hidden="false" customHeight="false" outlineLevel="0" collapsed="false">
      <c r="A91" s="35" t="n">
        <f aca="false">IF(C91="","",ROW()-5)</f>
        <v>86</v>
      </c>
      <c r="B91" s="36" t="s">
        <v>107</v>
      </c>
      <c r="C91" s="36" t="s">
        <v>259</v>
      </c>
      <c r="D91" s="36" t="s">
        <v>258</v>
      </c>
      <c r="E91" s="36" t="s">
        <v>254</v>
      </c>
      <c r="F91" s="37" t="n">
        <v>45803</v>
      </c>
      <c r="G91" s="38" t="str">
        <f aca="false">IF(C91="","",IF(TRIM(SUBSTITUTE(SUBSTITUTE(SUBSTITUTE(SUBSTITUTE(SUBSTITUTE(SUBSTITUTE(SUBSTITUTE(SUBSTITUTE(SUBSTITUTE(SUBSTITUTE(SUBSTITUTE(LOWER(TRIM(D91)),"ё","е"),"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категории",""))="инженер",IF(AND(ISNUMBER(SEARCH("техническ",E91)),ISNUMBER(SEARCH("контрол",E91))),"инженер отк",IF(ISNUMBER(SEARCH("диспетч",E91)),"инженер пдо",TRIM(SUBSTITUTE(SUBSTITUTE(SUBSTITUTE(SUBSTITUTE(SUBSTITUTE(SUBSTITUTE(SUBSTITUTE(SUBSTITUTE(SUBSTITUTE(SUBSTITUTE(SUBSTITUTE(LOWER(TRIM(D91)),"ё","е"),"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инженер",IF(ISNUMBER(SEARCH("диспетч",E91)),"ведущий инженер пдо",TRIM(SUBSTITUTE(SUBSTITUTE(SUBSTITUTE(SUBSTITUTE(SUBSTITUTE(SUBSTITUTE(SUBSTITUTE(SUBSTITUTE(SUBSTITUTE(SUBSTITUTE(SUBSTITUTE(LOWER(TRIM(D91)),"ё","е"),"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отк",TRIM(SUBSTITUTE(SUBSTITUTE(SUBSTITUTE(SUBSTITUTE(SUBSTITUTE(SUBSTITUTE(SUBSTITUTE(SUBSTITUTE(SUBSTITUTE(SUBSTITUTE(SUBSTITUTE(LOWER(TRIM(D91)),"ё","е")," -","-"),"- ","-")," 2 разряда","")," 3 разряда","")," 4 разряда","")," 5 разряда","")," 6 разряда","")," 1 категории","")," 2 категории","")," 3 категории",""))))))</f>
        <v>диспетчер</v>
      </c>
      <c r="H91" s="35" t="n">
        <f aca="false">IF(C91="","",IF(AND(G91="мастер участка",ISNUMBER(SEARCH("РЭО",E91))),29,IFERROR(INDEX(Соответствие!$B$2:$B$100,MATCH(G91,Соответствие!$A$2:$A$100,0)),"?")))</f>
        <v>28</v>
      </c>
      <c r="I91" s="39" t="str">
        <f aca="false">IF(C91="","",IFERROR(INDEX(Перечень!$C$6:$C$52,MATCH(H91,Перечень!$A$6:$A$52,0)),""))</f>
        <v>п.4.4, п.5.2</v>
      </c>
      <c r="J91" s="35" t="n">
        <f aca="false">IF(C91="","",IFERROR(INDEX(Перечень!$D$6:$D$52,MATCH(H91,Перечень!$A$6:$A$52,0)),12))</f>
        <v>12</v>
      </c>
      <c r="K91" s="40"/>
      <c r="L91" s="40"/>
      <c r="M91" s="37" t="str">
        <f aca="false">IF(AND(K91="",L91=""),"",EDATE(MAX(K91,L91),J91))</f>
        <v/>
      </c>
      <c r="N91" s="41" t="str">
        <f aca="false">IF(C91="","",IFERROR(INDEX(Перечень!$F$6:$F$52,MATCH(H91,Перечень!$A$6:$A$52,0)),""))</f>
        <v>-</v>
      </c>
      <c r="O91" s="40"/>
      <c r="P91" s="37" t="str">
        <f aca="false">IF(O91="","",EDATE(O91,60))</f>
        <v/>
      </c>
      <c r="Q91" s="41" t="str">
        <f aca="false">IF(AND(K91&lt;&gt;"",F91&lt;&gt;"",K91&gt;F91),"Да","")</f>
        <v/>
      </c>
      <c r="R91" s="41" t="str">
        <f aca="true">IF(C91="","",IF(M91="","Нет сведений",IF(M91&lt;TODAY(),"Просрочен",IF(M91-TODAY()&lt;=30,"Истекает","В срок"))))</f>
        <v>Нет сведений</v>
      </c>
      <c r="S91" s="41" t="str">
        <f aca="false">IF(AND(N91="Да",O91=""),"Не пройдено","")</f>
        <v/>
      </c>
    </row>
    <row r="92" customFormat="false" ht="14.25" hidden="false" customHeight="false" outlineLevel="0" collapsed="false">
      <c r="A92" s="35" t="n">
        <f aca="false">IF(C92="","",ROW()-5)</f>
        <v>87</v>
      </c>
      <c r="B92" s="36" t="s">
        <v>107</v>
      </c>
      <c r="C92" s="36" t="s">
        <v>260</v>
      </c>
      <c r="D92" s="36" t="s">
        <v>258</v>
      </c>
      <c r="E92" s="36" t="s">
        <v>254</v>
      </c>
      <c r="F92" s="37" t="n">
        <v>45833</v>
      </c>
      <c r="G92" s="38" t="str">
        <f aca="false">IF(C92="","",IF(TRIM(SUBSTITUTE(SUBSTITUTE(SUBSTITUTE(SUBSTITUTE(SUBSTITUTE(SUBSTITUTE(SUBSTITUTE(SUBSTITUTE(SUBSTITUTE(SUBSTITUTE(SUBSTITUTE(LOWER(TRIM(D92)),"ё","е"),"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категории",""))="инженер",IF(AND(ISNUMBER(SEARCH("техническ",E92)),ISNUMBER(SEARCH("контрол",E92))),"инженер отк",IF(ISNUMBER(SEARCH("диспетч",E92)),"инженер пдо",TRIM(SUBSTITUTE(SUBSTITUTE(SUBSTITUTE(SUBSTITUTE(SUBSTITUTE(SUBSTITUTE(SUBSTITUTE(SUBSTITUTE(SUBSTITUTE(SUBSTITUTE(SUBSTITUTE(LOWER(TRIM(D92)),"ё","е"),"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инженер",IF(ISNUMBER(SEARCH("диспетч",E92)),"ведущий инженер пдо",TRIM(SUBSTITUTE(SUBSTITUTE(SUBSTITUTE(SUBSTITUTE(SUBSTITUTE(SUBSTITUTE(SUBSTITUTE(SUBSTITUTE(SUBSTITUTE(SUBSTITUTE(SUBSTITUTE(LOWER(TRIM(D92)),"ё","е"),"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отк",TRIM(SUBSTITUTE(SUBSTITUTE(SUBSTITUTE(SUBSTITUTE(SUBSTITUTE(SUBSTITUTE(SUBSTITUTE(SUBSTITUTE(SUBSTITUTE(SUBSTITUTE(SUBSTITUTE(LOWER(TRIM(D92)),"ё","е")," -","-"),"- ","-")," 2 разряда","")," 3 разряда","")," 4 разряда","")," 5 разряда","")," 6 разряда","")," 1 категории","")," 2 категории","")," 3 категории",""))))))</f>
        <v>диспетчер</v>
      </c>
      <c r="H92" s="35" t="n">
        <f aca="false">IF(C92="","",IF(AND(G92="мастер участка",ISNUMBER(SEARCH("РЭО",E92))),29,IFERROR(INDEX(Соответствие!$B$2:$B$100,MATCH(G92,Соответствие!$A$2:$A$100,0)),"?")))</f>
        <v>28</v>
      </c>
      <c r="I92" s="39" t="str">
        <f aca="false">IF(C92="","",IFERROR(INDEX(Перечень!$C$6:$C$52,MATCH(H92,Перечень!$A$6:$A$52,0)),""))</f>
        <v>п.4.4, п.5.2</v>
      </c>
      <c r="J92" s="35" t="n">
        <f aca="false">IF(C92="","",IFERROR(INDEX(Перечень!$D$6:$D$52,MATCH(H92,Перечень!$A$6:$A$52,0)),12))</f>
        <v>12</v>
      </c>
      <c r="K92" s="40"/>
      <c r="L92" s="40"/>
      <c r="M92" s="37" t="str">
        <f aca="false">IF(AND(K92="",L92=""),"",EDATE(MAX(K92,L92),J92))</f>
        <v/>
      </c>
      <c r="N92" s="41" t="str">
        <f aca="false">IF(C92="","",IFERROR(INDEX(Перечень!$F$6:$F$52,MATCH(H92,Перечень!$A$6:$A$52,0)),""))</f>
        <v>-</v>
      </c>
      <c r="O92" s="40"/>
      <c r="P92" s="37" t="str">
        <f aca="false">IF(O92="","",EDATE(O92,60))</f>
        <v/>
      </c>
      <c r="Q92" s="41" t="str">
        <f aca="false">IF(AND(K92&lt;&gt;"",F92&lt;&gt;"",K92&gt;F92),"Да","")</f>
        <v/>
      </c>
      <c r="R92" s="41" t="str">
        <f aca="true">IF(C92="","",IF(M92="","Нет сведений",IF(M92&lt;TODAY(),"Просрочен",IF(M92-TODAY()&lt;=30,"Истекает","В срок"))))</f>
        <v>Нет сведений</v>
      </c>
      <c r="S92" s="41" t="str">
        <f aca="false">IF(AND(N92="Да",O92=""),"Не пройдено","")</f>
        <v/>
      </c>
    </row>
    <row r="93" customFormat="false" ht="14.25" hidden="false" customHeight="false" outlineLevel="0" collapsed="false">
      <c r="A93" s="35" t="n">
        <f aca="false">IF(C93="","",ROW()-5)</f>
        <v>88</v>
      </c>
      <c r="B93" s="36" t="s">
        <v>107</v>
      </c>
      <c r="C93" s="36" t="s">
        <v>261</v>
      </c>
      <c r="D93" s="36" t="s">
        <v>258</v>
      </c>
      <c r="E93" s="36" t="s">
        <v>254</v>
      </c>
      <c r="F93" s="37" t="n">
        <v>45908</v>
      </c>
      <c r="G93" s="38" t="str">
        <f aca="false">IF(C93="","",IF(TRIM(SUBSTITUTE(SUBSTITUTE(SUBSTITUTE(SUBSTITUTE(SUBSTITUTE(SUBSTITUTE(SUBSTITUTE(SUBSTITUTE(SUBSTITUTE(SUBSTITUTE(SUBSTITUTE(LOWER(TRIM(D93)),"ё","е"),"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категории",""))="инженер",IF(AND(ISNUMBER(SEARCH("техническ",E93)),ISNUMBER(SEARCH("контрол",E93))),"инженер отк",IF(ISNUMBER(SEARCH("диспетч",E93)),"инженер пдо",TRIM(SUBSTITUTE(SUBSTITUTE(SUBSTITUTE(SUBSTITUTE(SUBSTITUTE(SUBSTITUTE(SUBSTITUTE(SUBSTITUTE(SUBSTITUTE(SUBSTITUTE(SUBSTITUTE(LOWER(TRIM(D93)),"ё","е"),"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инженер",IF(ISNUMBER(SEARCH("диспетч",E93)),"ведущий инженер пдо",TRIM(SUBSTITUTE(SUBSTITUTE(SUBSTITUTE(SUBSTITUTE(SUBSTITUTE(SUBSTITUTE(SUBSTITUTE(SUBSTITUTE(SUBSTITUTE(SUBSTITUTE(SUBSTITUTE(LOWER(TRIM(D93)),"ё","е"),"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отк",TRIM(SUBSTITUTE(SUBSTITUTE(SUBSTITUTE(SUBSTITUTE(SUBSTITUTE(SUBSTITUTE(SUBSTITUTE(SUBSTITUTE(SUBSTITUTE(SUBSTITUTE(SUBSTITUTE(LOWER(TRIM(D93)),"ё","е")," -","-"),"- ","-")," 2 разряда","")," 3 разряда","")," 4 разряда","")," 5 разряда","")," 6 разряда","")," 1 категории","")," 2 категории","")," 3 категории",""))))))</f>
        <v>диспетчер</v>
      </c>
      <c r="H93" s="35" t="n">
        <f aca="false">IF(C93="","",IF(AND(G93="мастер участка",ISNUMBER(SEARCH("РЭО",E93))),29,IFERROR(INDEX(Соответствие!$B$2:$B$100,MATCH(G93,Соответствие!$A$2:$A$100,0)),"?")))</f>
        <v>28</v>
      </c>
      <c r="I93" s="39" t="str">
        <f aca="false">IF(C93="","",IFERROR(INDEX(Перечень!$C$6:$C$52,MATCH(H93,Перечень!$A$6:$A$52,0)),""))</f>
        <v>п.4.4, п.5.2</v>
      </c>
      <c r="J93" s="35" t="n">
        <f aca="false">IF(C93="","",IFERROR(INDEX(Перечень!$D$6:$D$52,MATCH(H93,Перечень!$A$6:$A$52,0)),12))</f>
        <v>12</v>
      </c>
      <c r="K93" s="40"/>
      <c r="L93" s="40"/>
      <c r="M93" s="37" t="str">
        <f aca="false">IF(AND(K93="",L93=""),"",EDATE(MAX(K93,L93),J93))</f>
        <v/>
      </c>
      <c r="N93" s="41" t="str">
        <f aca="false">IF(C93="","",IFERROR(INDEX(Перечень!$F$6:$F$52,MATCH(H93,Перечень!$A$6:$A$52,0)),""))</f>
        <v>-</v>
      </c>
      <c r="O93" s="40"/>
      <c r="P93" s="37" t="str">
        <f aca="false">IF(O93="","",EDATE(O93,60))</f>
        <v/>
      </c>
      <c r="Q93" s="41" t="str">
        <f aca="false">IF(AND(K93&lt;&gt;"",F93&lt;&gt;"",K93&gt;F93),"Да","")</f>
        <v/>
      </c>
      <c r="R93" s="41" t="str">
        <f aca="true">IF(C93="","",IF(M93="","Нет сведений",IF(M93&lt;TODAY(),"Просрочен",IF(M93-TODAY()&lt;=30,"Истекает","В срок"))))</f>
        <v>Нет сведений</v>
      </c>
      <c r="S93" s="41" t="str">
        <f aca="false">IF(AND(N93="Да",O93=""),"Не пройдено","")</f>
        <v/>
      </c>
    </row>
    <row r="94" customFormat="false" ht="14.25" hidden="false" customHeight="false" outlineLevel="0" collapsed="false">
      <c r="A94" s="35" t="n">
        <f aca="false">IF(C94="","",ROW()-5)</f>
        <v>89</v>
      </c>
      <c r="B94" s="36" t="s">
        <v>107</v>
      </c>
      <c r="C94" s="36" t="s">
        <v>262</v>
      </c>
      <c r="D94" s="36" t="s">
        <v>258</v>
      </c>
      <c r="E94" s="36" t="s">
        <v>254</v>
      </c>
      <c r="F94" s="37" t="n">
        <v>42360</v>
      </c>
      <c r="G94" s="38" t="str">
        <f aca="false">IF(C94="","",IF(TRIM(SUBSTITUTE(SUBSTITUTE(SUBSTITUTE(SUBSTITUTE(SUBSTITUTE(SUBSTITUTE(SUBSTITUTE(SUBSTITUTE(SUBSTITUTE(SUBSTITUTE(SUBSTITUTE(LOWER(TRIM(D94)),"ё","е"),"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категории",""))="инженер",IF(AND(ISNUMBER(SEARCH("техническ",E94)),ISNUMBER(SEARCH("контрол",E94))),"инженер отк",IF(ISNUMBER(SEARCH("диспетч",E94)),"инженер пдо",TRIM(SUBSTITUTE(SUBSTITUTE(SUBSTITUTE(SUBSTITUTE(SUBSTITUTE(SUBSTITUTE(SUBSTITUTE(SUBSTITUTE(SUBSTITUTE(SUBSTITUTE(SUBSTITUTE(LOWER(TRIM(D94)),"ё","е"),"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инженер",IF(ISNUMBER(SEARCH("диспетч",E94)),"ведущий инженер пдо",TRIM(SUBSTITUTE(SUBSTITUTE(SUBSTITUTE(SUBSTITUTE(SUBSTITUTE(SUBSTITUTE(SUBSTITUTE(SUBSTITUTE(SUBSTITUTE(SUBSTITUTE(SUBSTITUTE(LOWER(TRIM(D94)),"ё","е"),"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отк",TRIM(SUBSTITUTE(SUBSTITUTE(SUBSTITUTE(SUBSTITUTE(SUBSTITUTE(SUBSTITUTE(SUBSTITUTE(SUBSTITUTE(SUBSTITUTE(SUBSTITUTE(SUBSTITUTE(LOWER(TRIM(D94)),"ё","е")," -","-"),"- ","-")," 2 разряда","")," 3 разряда","")," 4 разряда","")," 5 разряда","")," 6 разряда","")," 1 категории","")," 2 категории","")," 3 категории",""))))))</f>
        <v>диспетчер</v>
      </c>
      <c r="H94" s="35" t="n">
        <f aca="false">IF(C94="","",IF(AND(G94="мастер участка",ISNUMBER(SEARCH("РЭО",E94))),29,IFERROR(INDEX(Соответствие!$B$2:$B$100,MATCH(G94,Соответствие!$A$2:$A$100,0)),"?")))</f>
        <v>28</v>
      </c>
      <c r="I94" s="39" t="str">
        <f aca="false">IF(C94="","",IFERROR(INDEX(Перечень!$C$6:$C$52,MATCH(H94,Перечень!$A$6:$A$52,0)),""))</f>
        <v>п.4.4, п.5.2</v>
      </c>
      <c r="J94" s="35" t="n">
        <f aca="false">IF(C94="","",IFERROR(INDEX(Перечень!$D$6:$D$52,MATCH(H94,Перечень!$A$6:$A$52,0)),12))</f>
        <v>12</v>
      </c>
      <c r="K94" s="40"/>
      <c r="L94" s="40"/>
      <c r="M94" s="37" t="str">
        <f aca="false">IF(AND(K94="",L94=""),"",EDATE(MAX(K94,L94),J94))</f>
        <v/>
      </c>
      <c r="N94" s="41" t="str">
        <f aca="false">IF(C94="","",IFERROR(INDEX(Перечень!$F$6:$F$52,MATCH(H94,Перечень!$A$6:$A$52,0)),""))</f>
        <v>-</v>
      </c>
      <c r="O94" s="40"/>
      <c r="P94" s="37" t="str">
        <f aca="false">IF(O94="","",EDATE(O94,60))</f>
        <v/>
      </c>
      <c r="Q94" s="41" t="str">
        <f aca="false">IF(AND(K94&lt;&gt;"",F94&lt;&gt;"",K94&gt;F94),"Да","")</f>
        <v/>
      </c>
      <c r="R94" s="41" t="str">
        <f aca="true">IF(C94="","",IF(M94="","Нет сведений",IF(M94&lt;TODAY(),"Просрочен",IF(M94-TODAY()&lt;=30,"Истекает","В срок"))))</f>
        <v>Нет сведений</v>
      </c>
      <c r="S94" s="41" t="str">
        <f aca="false">IF(AND(N94="Да",O94=""),"Не пройдено","")</f>
        <v/>
      </c>
    </row>
    <row r="95" customFormat="false" ht="14.25" hidden="false" customHeight="false" outlineLevel="0" collapsed="false">
      <c r="A95" s="35" t="n">
        <f aca="false">IF(C95="","",ROW()-5)</f>
        <v>90</v>
      </c>
      <c r="B95" s="36" t="s">
        <v>107</v>
      </c>
      <c r="C95" s="36" t="s">
        <v>263</v>
      </c>
      <c r="D95" s="36" t="s">
        <v>258</v>
      </c>
      <c r="E95" s="36" t="s">
        <v>254</v>
      </c>
      <c r="F95" s="37" t="n">
        <v>45966</v>
      </c>
      <c r="G95" s="38" t="str">
        <f aca="false">IF(C95="","",IF(TRIM(SUBSTITUTE(SUBSTITUTE(SUBSTITUTE(SUBSTITUTE(SUBSTITUTE(SUBSTITUTE(SUBSTITUTE(SUBSTITUTE(SUBSTITUTE(SUBSTITUTE(SUBSTITUTE(LOWER(TRIM(D95)),"ё","е"),"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категории",""))="инженер",IF(AND(ISNUMBER(SEARCH("техническ",E95)),ISNUMBER(SEARCH("контрол",E95))),"инженер отк",IF(ISNUMBER(SEARCH("диспетч",E95)),"инженер пдо",TRIM(SUBSTITUTE(SUBSTITUTE(SUBSTITUTE(SUBSTITUTE(SUBSTITUTE(SUBSTITUTE(SUBSTITUTE(SUBSTITUTE(SUBSTITUTE(SUBSTITUTE(SUBSTITUTE(LOWER(TRIM(D95)),"ё","е"),"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инженер",IF(ISNUMBER(SEARCH("диспетч",E95)),"ведущий инженер пдо",TRIM(SUBSTITUTE(SUBSTITUTE(SUBSTITUTE(SUBSTITUTE(SUBSTITUTE(SUBSTITUTE(SUBSTITUTE(SUBSTITUTE(SUBSTITUTE(SUBSTITUTE(SUBSTITUTE(LOWER(TRIM(D95)),"ё","е"),"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отк",TRIM(SUBSTITUTE(SUBSTITUTE(SUBSTITUTE(SUBSTITUTE(SUBSTITUTE(SUBSTITUTE(SUBSTITUTE(SUBSTITUTE(SUBSTITUTE(SUBSTITUTE(SUBSTITUTE(LOWER(TRIM(D95)),"ё","е")," -","-"),"- ","-")," 2 разряда","")," 3 разряда","")," 4 разряда","")," 5 разряда","")," 6 разряда","")," 1 категории","")," 2 категории","")," 3 категории",""))))))</f>
        <v>диспетчер</v>
      </c>
      <c r="H95" s="35" t="n">
        <f aca="false">IF(C95="","",IF(AND(G95="мастер участка",ISNUMBER(SEARCH("РЭО",E95))),29,IFERROR(INDEX(Соответствие!$B$2:$B$100,MATCH(G95,Соответствие!$A$2:$A$100,0)),"?")))</f>
        <v>28</v>
      </c>
      <c r="I95" s="39" t="str">
        <f aca="false">IF(C95="","",IFERROR(INDEX(Перечень!$C$6:$C$52,MATCH(H95,Перечень!$A$6:$A$52,0)),""))</f>
        <v>п.4.4, п.5.2</v>
      </c>
      <c r="J95" s="35" t="n">
        <f aca="false">IF(C95="","",IFERROR(INDEX(Перечень!$D$6:$D$52,MATCH(H95,Перечень!$A$6:$A$52,0)),12))</f>
        <v>12</v>
      </c>
      <c r="K95" s="40"/>
      <c r="L95" s="40"/>
      <c r="M95" s="37" t="str">
        <f aca="false">IF(AND(K95="",L95=""),"",EDATE(MAX(K95,L95),J95))</f>
        <v/>
      </c>
      <c r="N95" s="41" t="str">
        <f aca="false">IF(C95="","",IFERROR(INDEX(Перечень!$F$6:$F$52,MATCH(H95,Перечень!$A$6:$A$52,0)),""))</f>
        <v>-</v>
      </c>
      <c r="O95" s="40"/>
      <c r="P95" s="37" t="str">
        <f aca="false">IF(O95="","",EDATE(O95,60))</f>
        <v/>
      </c>
      <c r="Q95" s="41" t="str">
        <f aca="false">IF(AND(K95&lt;&gt;"",F95&lt;&gt;"",K95&gt;F95),"Да","")</f>
        <v/>
      </c>
      <c r="R95" s="41" t="str">
        <f aca="true">IF(C95="","",IF(M95="","Нет сведений",IF(M95&lt;TODAY(),"Просрочен",IF(M95-TODAY()&lt;=30,"Истекает","В срок"))))</f>
        <v>Нет сведений</v>
      </c>
      <c r="S95" s="41" t="str">
        <f aca="false">IF(AND(N95="Да",O95=""),"Не пройдено","")</f>
        <v/>
      </c>
    </row>
    <row r="96" customFormat="false" ht="14.25" hidden="false" customHeight="false" outlineLevel="0" collapsed="false">
      <c r="A96" s="35" t="n">
        <f aca="false">IF(C96="","",ROW()-5)</f>
        <v>91</v>
      </c>
      <c r="B96" s="36" t="s">
        <v>107</v>
      </c>
      <c r="C96" s="36" t="s">
        <v>264</v>
      </c>
      <c r="D96" s="36" t="s">
        <v>258</v>
      </c>
      <c r="E96" s="36" t="s">
        <v>254</v>
      </c>
      <c r="F96" s="37" t="n">
        <v>46113</v>
      </c>
      <c r="G96" s="38" t="str">
        <f aca="false">IF(C96="","",IF(TRIM(SUBSTITUTE(SUBSTITUTE(SUBSTITUTE(SUBSTITUTE(SUBSTITUTE(SUBSTITUTE(SUBSTITUTE(SUBSTITUTE(SUBSTITUTE(SUBSTITUTE(SUBSTITUTE(LOWER(TRIM(D96)),"ё","е"),"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категории",""))="инженер",IF(AND(ISNUMBER(SEARCH("техническ",E96)),ISNUMBER(SEARCH("контрол",E96))),"инженер отк",IF(ISNUMBER(SEARCH("диспетч",E96)),"инженер пдо",TRIM(SUBSTITUTE(SUBSTITUTE(SUBSTITUTE(SUBSTITUTE(SUBSTITUTE(SUBSTITUTE(SUBSTITUTE(SUBSTITUTE(SUBSTITUTE(SUBSTITUTE(SUBSTITUTE(LOWER(TRIM(D96)),"ё","е"),"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инженер",IF(ISNUMBER(SEARCH("диспетч",E96)),"ведущий инженер пдо",TRIM(SUBSTITUTE(SUBSTITUTE(SUBSTITUTE(SUBSTITUTE(SUBSTITUTE(SUBSTITUTE(SUBSTITUTE(SUBSTITUTE(SUBSTITUTE(SUBSTITUTE(SUBSTITUTE(LOWER(TRIM(D96)),"ё","е"),"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отк",TRIM(SUBSTITUTE(SUBSTITUTE(SUBSTITUTE(SUBSTITUTE(SUBSTITUTE(SUBSTITUTE(SUBSTITUTE(SUBSTITUTE(SUBSTITUTE(SUBSTITUTE(SUBSTITUTE(LOWER(TRIM(D96)),"ё","е")," -","-"),"- ","-")," 2 разряда","")," 3 разряда","")," 4 разряда","")," 5 разряда","")," 6 разряда","")," 1 категории","")," 2 категории","")," 3 категории",""))))))</f>
        <v>диспетчер</v>
      </c>
      <c r="H96" s="35" t="n">
        <f aca="false">IF(C96="","",IF(AND(G96="мастер участка",ISNUMBER(SEARCH("РЭО",E96))),29,IFERROR(INDEX(Соответствие!$B$2:$B$100,MATCH(G96,Соответствие!$A$2:$A$100,0)),"?")))</f>
        <v>28</v>
      </c>
      <c r="I96" s="39" t="str">
        <f aca="false">IF(C96="","",IFERROR(INDEX(Перечень!$C$6:$C$52,MATCH(H96,Перечень!$A$6:$A$52,0)),""))</f>
        <v>п.4.4, п.5.2</v>
      </c>
      <c r="J96" s="35" t="n">
        <f aca="false">IF(C96="","",IFERROR(INDEX(Перечень!$D$6:$D$52,MATCH(H96,Перечень!$A$6:$A$52,0)),12))</f>
        <v>12</v>
      </c>
      <c r="K96" s="40"/>
      <c r="L96" s="40"/>
      <c r="M96" s="37" t="str">
        <f aca="false">IF(AND(K96="",L96=""),"",EDATE(MAX(K96,L96),J96))</f>
        <v/>
      </c>
      <c r="N96" s="41" t="str">
        <f aca="false">IF(C96="","",IFERROR(INDEX(Перечень!$F$6:$F$52,MATCH(H96,Перечень!$A$6:$A$52,0)),""))</f>
        <v>-</v>
      </c>
      <c r="O96" s="40"/>
      <c r="P96" s="37" t="str">
        <f aca="false">IF(O96="","",EDATE(O96,60))</f>
        <v/>
      </c>
      <c r="Q96" s="41" t="str">
        <f aca="false">IF(AND(K96&lt;&gt;"",F96&lt;&gt;"",K96&gt;F96),"Да","")</f>
        <v/>
      </c>
      <c r="R96" s="41" t="str">
        <f aca="true">IF(C96="","",IF(M96="","Нет сведений",IF(M96&lt;TODAY(),"Просрочен",IF(M96-TODAY()&lt;=30,"Истекает","В срок"))))</f>
        <v>Нет сведений</v>
      </c>
      <c r="S96" s="41" t="str">
        <f aca="false">IF(AND(N96="Да",O96=""),"Не пройдено","")</f>
        <v/>
      </c>
    </row>
    <row r="97" customFormat="false" ht="14.25" hidden="false" customHeight="false" outlineLevel="0" collapsed="false">
      <c r="A97" s="35" t="n">
        <f aca="false">IF(C97="","",ROW()-5)</f>
        <v>92</v>
      </c>
      <c r="B97" s="36" t="s">
        <v>107</v>
      </c>
      <c r="C97" s="36" t="s">
        <v>265</v>
      </c>
      <c r="D97" s="36" t="s">
        <v>266</v>
      </c>
      <c r="E97" s="36" t="s">
        <v>254</v>
      </c>
      <c r="F97" s="37" t="n">
        <v>45691</v>
      </c>
      <c r="G97" s="38" t="str">
        <f aca="false">IF(C97="","",IF(TRIM(SUBSTITUTE(SUBSTITUTE(SUBSTITUTE(SUBSTITUTE(SUBSTITUTE(SUBSTITUTE(SUBSTITUTE(SUBSTITUTE(SUBSTITUTE(SUBSTITUTE(SUBSTITUTE(LOWER(TRIM(D97)),"ё","е"),"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категории",""))="инженер",IF(AND(ISNUMBER(SEARCH("техническ",E97)),ISNUMBER(SEARCH("контрол",E97))),"инженер отк",IF(ISNUMBER(SEARCH("диспетч",E97)),"инженер пдо",TRIM(SUBSTITUTE(SUBSTITUTE(SUBSTITUTE(SUBSTITUTE(SUBSTITUTE(SUBSTITUTE(SUBSTITUTE(SUBSTITUTE(SUBSTITUTE(SUBSTITUTE(SUBSTITUTE(LOWER(TRIM(D97)),"ё","е"),"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инженер",IF(ISNUMBER(SEARCH("диспетч",E97)),"ведущий инженер пдо",TRIM(SUBSTITUTE(SUBSTITUTE(SUBSTITUTE(SUBSTITUTE(SUBSTITUTE(SUBSTITUTE(SUBSTITUTE(SUBSTITUTE(SUBSTITUTE(SUBSTITUTE(SUBSTITUTE(LOWER(TRIM(D97)),"ё","е"),"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отк",TRIM(SUBSTITUTE(SUBSTITUTE(SUBSTITUTE(SUBSTITUTE(SUBSTITUTE(SUBSTITUTE(SUBSTITUTE(SUBSTITUTE(SUBSTITUTE(SUBSTITUTE(SUBSTITUTE(LOWER(TRIM(D97)),"ё","е")," -","-"),"- ","-")," 2 разряда","")," 3 разряда","")," 4 разряда","")," 5 разряда","")," 6 разряда","")," 1 категории","")," 2 категории","")," 3 категории",""))))))</f>
        <v>ведущий диспетчер</v>
      </c>
      <c r="H97" s="35" t="n">
        <f aca="false">IF(C97="","",IF(AND(G97="мастер участка",ISNUMBER(SEARCH("РЭО",E97))),29,IFERROR(INDEX(Соответствие!$B$2:$B$100,MATCH(G97,Соответствие!$A$2:$A$100,0)),"?")))</f>
        <v>28</v>
      </c>
      <c r="I97" s="39" t="str">
        <f aca="false">IF(C97="","",IFERROR(INDEX(Перечень!$C$6:$C$52,MATCH(H97,Перечень!$A$6:$A$52,0)),""))</f>
        <v>п.4.4, п.5.2</v>
      </c>
      <c r="J97" s="35" t="n">
        <f aca="false">IF(C97="","",IFERROR(INDEX(Перечень!$D$6:$D$52,MATCH(H97,Перечень!$A$6:$A$52,0)),12))</f>
        <v>12</v>
      </c>
      <c r="K97" s="40"/>
      <c r="L97" s="40"/>
      <c r="M97" s="37" t="str">
        <f aca="false">IF(AND(K97="",L97=""),"",EDATE(MAX(K97,L97),J97))</f>
        <v/>
      </c>
      <c r="N97" s="41" t="str">
        <f aca="false">IF(C97="","",IFERROR(INDEX(Перечень!$F$6:$F$52,MATCH(H97,Перечень!$A$6:$A$52,0)),""))</f>
        <v>-</v>
      </c>
      <c r="O97" s="40"/>
      <c r="P97" s="37" t="str">
        <f aca="false">IF(O97="","",EDATE(O97,60))</f>
        <v/>
      </c>
      <c r="Q97" s="41" t="str">
        <f aca="false">IF(AND(K97&lt;&gt;"",F97&lt;&gt;"",K97&gt;F97),"Да","")</f>
        <v/>
      </c>
      <c r="R97" s="41" t="str">
        <f aca="true">IF(C97="","",IF(M97="","Нет сведений",IF(M97&lt;TODAY(),"Просрочен",IF(M97-TODAY()&lt;=30,"Истекает","В срок"))))</f>
        <v>Нет сведений</v>
      </c>
      <c r="S97" s="41" t="str">
        <f aca="false">IF(AND(N97="Да",O97=""),"Не пройдено","")</f>
        <v/>
      </c>
    </row>
    <row r="98" customFormat="false" ht="14.25" hidden="false" customHeight="false" outlineLevel="0" collapsed="false">
      <c r="A98" s="35" t="n">
        <f aca="false">IF(C98="","",ROW()-5)</f>
        <v>93</v>
      </c>
      <c r="B98" s="36" t="s">
        <v>107</v>
      </c>
      <c r="C98" s="36" t="s">
        <v>267</v>
      </c>
      <c r="D98" s="36" t="s">
        <v>266</v>
      </c>
      <c r="E98" s="36" t="s">
        <v>254</v>
      </c>
      <c r="F98" s="37" t="n">
        <v>45537</v>
      </c>
      <c r="G98" s="38" t="str">
        <f aca="false">IF(C98="","",IF(TRIM(SUBSTITUTE(SUBSTITUTE(SUBSTITUTE(SUBSTITUTE(SUBSTITUTE(SUBSTITUTE(SUBSTITUTE(SUBSTITUTE(SUBSTITUTE(SUBSTITUTE(SUBSTITUTE(LOWER(TRIM(D98)),"ё","е"),"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категории",""))="инженер",IF(AND(ISNUMBER(SEARCH("техническ",E98)),ISNUMBER(SEARCH("контрол",E98))),"инженер отк",IF(ISNUMBER(SEARCH("диспетч",E98)),"инженер пдо",TRIM(SUBSTITUTE(SUBSTITUTE(SUBSTITUTE(SUBSTITUTE(SUBSTITUTE(SUBSTITUTE(SUBSTITUTE(SUBSTITUTE(SUBSTITUTE(SUBSTITUTE(SUBSTITUTE(LOWER(TRIM(D98)),"ё","е"),"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инженер",IF(ISNUMBER(SEARCH("диспетч",E98)),"ведущий инженер пдо",TRIM(SUBSTITUTE(SUBSTITUTE(SUBSTITUTE(SUBSTITUTE(SUBSTITUTE(SUBSTITUTE(SUBSTITUTE(SUBSTITUTE(SUBSTITUTE(SUBSTITUTE(SUBSTITUTE(LOWER(TRIM(D98)),"ё","е"),"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отк",TRIM(SUBSTITUTE(SUBSTITUTE(SUBSTITUTE(SUBSTITUTE(SUBSTITUTE(SUBSTITUTE(SUBSTITUTE(SUBSTITUTE(SUBSTITUTE(SUBSTITUTE(SUBSTITUTE(LOWER(TRIM(D98)),"ё","е")," -","-"),"- ","-")," 2 разряда","")," 3 разряда","")," 4 разряда","")," 5 разряда","")," 6 разряда","")," 1 категории","")," 2 категории","")," 3 категории",""))))))</f>
        <v>ведущий диспетчер</v>
      </c>
      <c r="H98" s="35" t="n">
        <f aca="false">IF(C98="","",IF(AND(G98="мастер участка",ISNUMBER(SEARCH("РЭО",E98))),29,IFERROR(INDEX(Соответствие!$B$2:$B$100,MATCH(G98,Соответствие!$A$2:$A$100,0)),"?")))</f>
        <v>28</v>
      </c>
      <c r="I98" s="39" t="str">
        <f aca="false">IF(C98="","",IFERROR(INDEX(Перечень!$C$6:$C$52,MATCH(H98,Перечень!$A$6:$A$52,0)),""))</f>
        <v>п.4.4, п.5.2</v>
      </c>
      <c r="J98" s="35" t="n">
        <f aca="false">IF(C98="","",IFERROR(INDEX(Перечень!$D$6:$D$52,MATCH(H98,Перечень!$A$6:$A$52,0)),12))</f>
        <v>12</v>
      </c>
      <c r="K98" s="40"/>
      <c r="L98" s="40"/>
      <c r="M98" s="37" t="str">
        <f aca="false">IF(AND(K98="",L98=""),"",EDATE(MAX(K98,L98),J98))</f>
        <v/>
      </c>
      <c r="N98" s="41" t="str">
        <f aca="false">IF(C98="","",IFERROR(INDEX(Перечень!$F$6:$F$52,MATCH(H98,Перечень!$A$6:$A$52,0)),""))</f>
        <v>-</v>
      </c>
      <c r="O98" s="40"/>
      <c r="P98" s="37" t="str">
        <f aca="false">IF(O98="","",EDATE(O98,60))</f>
        <v/>
      </c>
      <c r="Q98" s="41" t="str">
        <f aca="false">IF(AND(K98&lt;&gt;"",F98&lt;&gt;"",K98&gt;F98),"Да","")</f>
        <v/>
      </c>
      <c r="R98" s="41" t="str">
        <f aca="true">IF(C98="","",IF(M98="","Нет сведений",IF(M98&lt;TODAY(),"Просрочен",IF(M98-TODAY()&lt;=30,"Истекает","В срок"))))</f>
        <v>Нет сведений</v>
      </c>
      <c r="S98" s="41" t="str">
        <f aca="false">IF(AND(N98="Да",O98=""),"Не пройдено","")</f>
        <v/>
      </c>
    </row>
    <row r="99" customFormat="false" ht="14.25" hidden="false" customHeight="false" outlineLevel="0" collapsed="false">
      <c r="A99" s="35" t="n">
        <f aca="false">IF(C99="","",ROW()-5)</f>
        <v>94</v>
      </c>
      <c r="B99" s="36" t="s">
        <v>107</v>
      </c>
      <c r="C99" s="36" t="s">
        <v>268</v>
      </c>
      <c r="D99" s="36" t="s">
        <v>266</v>
      </c>
      <c r="E99" s="36" t="s">
        <v>254</v>
      </c>
      <c r="F99" s="37" t="n">
        <v>45579</v>
      </c>
      <c r="G99" s="38" t="str">
        <f aca="false">IF(C99="","",IF(TRIM(SUBSTITUTE(SUBSTITUTE(SUBSTITUTE(SUBSTITUTE(SUBSTITUTE(SUBSTITUTE(SUBSTITUTE(SUBSTITUTE(SUBSTITUTE(SUBSTITUTE(SUBSTITUTE(LOWER(TRIM(D99)),"ё","е"),"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категории",""))="инженер",IF(AND(ISNUMBER(SEARCH("техническ",E99)),ISNUMBER(SEARCH("контрол",E99))),"инженер отк",IF(ISNUMBER(SEARCH("диспетч",E99)),"инженер пдо",TRIM(SUBSTITUTE(SUBSTITUTE(SUBSTITUTE(SUBSTITUTE(SUBSTITUTE(SUBSTITUTE(SUBSTITUTE(SUBSTITUTE(SUBSTITUTE(SUBSTITUTE(SUBSTITUTE(LOWER(TRIM(D99)),"ё","е"),"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категории","")))),IF(TRIM(SUBSTITUTE(SUBSTITUTE(SUBSTITUTE(SUBSTITUTE(SUBSTITUTE(SUBSTITUTE(SUBSTITUTE(SUBSTITUTE(SUBSTITUTE(SUBSTITUTE(SUBSTITUTE(LOWER(TRIM(D99)),"ё","е"),"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инженер",IF(ISNUMBER(SEARCH("диспетч",E99)),"ведущий инженер пдо",TRIM(SUBSTITUTE(SUBSTITUTE(SUBSTITUTE(SUBSTITUTE(SUBSTITUTE(SUBSTITUTE(SUBSTITUTE(SUBSTITUTE(SUBSTITUTE(SUBSTITUTE(SUBSTITUTE(LOWER(TRIM(D99)),"ё","е"),"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категории",""))),IF(TRIM(SUBSTITUTE(SUBSTITUTE(SUBSTITUTE(SUBSTITUTE(SUBSTITUTE(SUBSTITUTE(SUBSTITUTE(SUBSTITUTE(SUBSTITUTE(SUBSTITUTE(SUBSTITUTE(LOWER(TRIM(D99)),"ё","е"),"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отк",TRIM(SUBSTITUTE(SUBSTITUTE(SUBSTITUTE(SUBSTITUTE(SUBSTITUTE(SUBSTITUTE(SUBSTITUTE(SUBSTITUTE(SUBSTITUTE(SUBSTITUTE(SUBSTITUTE(LOWER(TRIM(D99)),"ё","е")," -","-"),"- ","-")," 2 разряда","")," 3 разряда","")," 4 разряда","")," 5 разряда","")," 6 разряда","")," 1 категории","")," 2 категории","")," 3 категории",""))))))</f>
        <v>ведущий диспетчер</v>
      </c>
      <c r="H99" s="35" t="n">
        <f aca="false">IF(C99="","",IF(AND(G99="мастер участка",ISNUMBER(SEARCH("РЭО",E99))),29,IFERROR(INDEX(Соответствие!$B$2:$B$100,MATCH(G99,Соответствие!$A$2:$A$100,0)),"?")))</f>
        <v>28</v>
      </c>
      <c r="I99" s="39" t="str">
        <f aca="false">IF(C99="","",IFERROR(INDEX(Перечень!$C$6:$C$52,MATCH(H99,Перечень!$A$6:$A$52,0)),""))</f>
        <v>п.4.4, п.5.2</v>
      </c>
      <c r="J99" s="35" t="n">
        <f aca="false">IF(C99="","",IFERROR(INDEX(Перечень!$D$6:$D$52,MATCH(H99,Перечень!$A$6:$A$52,0)),12))</f>
        <v>12</v>
      </c>
      <c r="K99" s="40"/>
      <c r="L99" s="40"/>
      <c r="M99" s="37" t="str">
        <f aca="false">IF(AND(K99="",L99=""),"",EDATE(MAX(K99,L99),J99))</f>
        <v/>
      </c>
      <c r="N99" s="41" t="str">
        <f aca="false">IF(C99="","",IFERROR(INDEX(Перечень!$F$6:$F$52,MATCH(H99,Перечень!$A$6:$A$52,0)),""))</f>
        <v>-</v>
      </c>
      <c r="O99" s="40"/>
      <c r="P99" s="37" t="str">
        <f aca="false">IF(O99="","",EDATE(O99,60))</f>
        <v/>
      </c>
      <c r="Q99" s="41" t="str">
        <f aca="false">IF(AND(K99&lt;&gt;"",F99&lt;&gt;"",K99&gt;F99),"Да","")</f>
        <v/>
      </c>
      <c r="R99" s="41" t="str">
        <f aca="true">IF(C99="","",IF(M99="","Нет сведений",IF(M99&lt;TODAY(),"Просрочен",IF(M99-TODAY()&lt;=30,"Истекает","В срок"))))</f>
        <v>Нет сведений</v>
      </c>
      <c r="S99" s="41" t="str">
        <f aca="false">IF(AND(N99="Да",O99=""),"Не пройдено","")</f>
        <v/>
      </c>
    </row>
    <row r="100" customFormat="false" ht="14.25" hidden="false" customHeight="false" outlineLevel="0" collapsed="false">
      <c r="A100" s="35" t="n">
        <f aca="false">IF(C100="","",ROW()-5)</f>
        <v>95</v>
      </c>
      <c r="B100" s="36" t="s">
        <v>107</v>
      </c>
      <c r="C100" s="36" t="s">
        <v>269</v>
      </c>
      <c r="D100" s="36" t="s">
        <v>256</v>
      </c>
      <c r="E100" s="36" t="s">
        <v>254</v>
      </c>
      <c r="F100" s="37" t="n">
        <v>40616</v>
      </c>
      <c r="G100" s="38" t="str">
        <f aca="false">IF(C100="","",IF(TRIM(SUBSTITUTE(SUBSTITUTE(SUBSTITUTE(SUBSTITUTE(SUBSTITUTE(SUBSTITUTE(SUBSTITUTE(SUBSTITUTE(SUBSTITUTE(SUBSTITUTE(SUBSTITUTE(LOWER(TRIM(D100)),"ё","е"),"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категории",""))="инженер",IF(AND(ISNUMBER(SEARCH("техническ",E100)),ISNUMBER(SEARCH("контрол",E100))),"инженер отк",IF(ISNUMBER(SEARCH("диспетч",E100)),"инженер пдо",TRIM(SUBSTITUTE(SUBSTITUTE(SUBSTITUTE(SUBSTITUTE(SUBSTITUTE(SUBSTITUTE(SUBSTITUTE(SUBSTITUTE(SUBSTITUTE(SUBSTITUTE(SUBSTITUTE(LOWER(TRIM(D100)),"ё","е"),"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инженер",IF(ISNUMBER(SEARCH("диспетч",E100)),"ведущий инженер пдо",TRIM(SUBSTITUTE(SUBSTITUTE(SUBSTITUTE(SUBSTITUTE(SUBSTITUTE(SUBSTITUTE(SUBSTITUTE(SUBSTITUTE(SUBSTITUTE(SUBSTITUTE(SUBSTITUTE(LOWER(TRIM(D100)),"ё","е"),"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отк",TRIM(SUBSTITUTE(SUBSTITUTE(SUBSTITUTE(SUBSTITUTE(SUBSTITUTE(SUBSTITUTE(SUBSTITUTE(SUBSTITUTE(SUBSTITUTE(SUBSTITUTE(SUBSTITUTE(LOWER(TRIM(D100)),"ё","е")," -","-"),"- ","-")," 2 разряда","")," 3 разряда","")," 4 разряда","")," 5 разряда","")," 6 разряда","")," 1 категории","")," 2 категории","")," 3 категории",""))))))</f>
        <v>ведущий инженер пдо</v>
      </c>
      <c r="H100" s="35" t="n">
        <f aca="false">IF(C100="","",IF(AND(G100="мастер участка",ISNUMBER(SEARCH("РЭО",E100))),29,IFERROR(INDEX(Соответствие!$B$2:$B$100,MATCH(G100,Соответствие!$A$2:$A$100,0)),"?")))</f>
        <v>27</v>
      </c>
      <c r="I100" s="39" t="str">
        <f aca="false">IF(C100="","",IFERROR(INDEX(Перечень!$C$6:$C$52,MATCH(H100,Перечень!$A$6:$A$52,0)),""))</f>
        <v>п.4.4, п.5.2</v>
      </c>
      <c r="J100" s="35" t="n">
        <f aca="false">IF(C100="","",IFERROR(INDEX(Перечень!$D$6:$D$52,MATCH(H100,Перечень!$A$6:$A$52,0)),12))</f>
        <v>12</v>
      </c>
      <c r="K100" s="40"/>
      <c r="L100" s="40"/>
      <c r="M100" s="37" t="str">
        <f aca="false">IF(AND(K100="",L100=""),"",EDATE(MAX(K100,L100),J100))</f>
        <v/>
      </c>
      <c r="N100" s="41" t="str">
        <f aca="false">IF(C100="","",IFERROR(INDEX(Перечень!$F$6:$F$52,MATCH(H100,Перечень!$A$6:$A$52,0)),""))</f>
        <v>-</v>
      </c>
      <c r="O100" s="40"/>
      <c r="P100" s="37" t="str">
        <f aca="false">IF(O100="","",EDATE(O100,60))</f>
        <v/>
      </c>
      <c r="Q100" s="41" t="str">
        <f aca="false">IF(AND(K100&lt;&gt;"",F100&lt;&gt;"",K100&gt;F100),"Да","")</f>
        <v/>
      </c>
      <c r="R100" s="41" t="str">
        <f aca="true">IF(C100="","",IF(M100="","Нет сведений",IF(M100&lt;TODAY(),"Просрочен",IF(M100-TODAY()&lt;=30,"Истекает","В срок"))))</f>
        <v>Нет сведений</v>
      </c>
      <c r="S100" s="41" t="str">
        <f aca="false">IF(AND(N100="Да",O100=""),"Не пройдено","")</f>
        <v/>
      </c>
    </row>
    <row r="101" customFormat="false" ht="14.25" hidden="false" customHeight="false" outlineLevel="0" collapsed="false">
      <c r="A101" s="35" t="n">
        <f aca="false">IF(C101="","",ROW()-5)</f>
        <v>96</v>
      </c>
      <c r="B101" s="36" t="s">
        <v>107</v>
      </c>
      <c r="C101" s="36" t="s">
        <v>270</v>
      </c>
      <c r="D101" s="36" t="s">
        <v>271</v>
      </c>
      <c r="E101" s="36" t="s">
        <v>254</v>
      </c>
      <c r="F101" s="37" t="n">
        <v>45397</v>
      </c>
      <c r="G101" s="38" t="str">
        <f aca="false">IF(C101="","",IF(TRIM(SUBSTITUTE(SUBSTITUTE(SUBSTITUTE(SUBSTITUTE(SUBSTITUTE(SUBSTITUTE(SUBSTITUTE(SUBSTITUTE(SUBSTITUTE(SUBSTITUTE(SUBSTITUTE(LOWER(TRIM(D101)),"ё","е"),"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категории",""))="инженер",IF(AND(ISNUMBER(SEARCH("техническ",E101)),ISNUMBER(SEARCH("контрол",E101))),"инженер отк",IF(ISNUMBER(SEARCH("диспетч",E101)),"инженер пдо",TRIM(SUBSTITUTE(SUBSTITUTE(SUBSTITUTE(SUBSTITUTE(SUBSTITUTE(SUBSTITUTE(SUBSTITUTE(SUBSTITUTE(SUBSTITUTE(SUBSTITUTE(SUBSTITUTE(LOWER(TRIM(D101)),"ё","е"),"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инженер",IF(ISNUMBER(SEARCH("диспетч",E101)),"ведущий инженер пдо",TRIM(SUBSTITUTE(SUBSTITUTE(SUBSTITUTE(SUBSTITUTE(SUBSTITUTE(SUBSTITUTE(SUBSTITUTE(SUBSTITUTE(SUBSTITUTE(SUBSTITUTE(SUBSTITUTE(LOWER(TRIM(D101)),"ё","е"),"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отк",TRIM(SUBSTITUTE(SUBSTITUTE(SUBSTITUTE(SUBSTITUTE(SUBSTITUTE(SUBSTITUTE(SUBSTITUTE(SUBSTITUTE(SUBSTITUTE(SUBSTITUTE(SUBSTITUTE(LOWER(TRIM(D101)),"ё","е")," -","-"),"- ","-")," 2 разряда","")," 3 разряда","")," 4 разряда","")," 5 разряда","")," 6 разряда","")," 1 категории","")," 2 категории","")," 3 категории",""))))))</f>
        <v>ведущий специалист по учету</v>
      </c>
      <c r="H101" s="35" t="n">
        <f aca="false">IF(C101="","",IF(AND(G101="мастер участка",ISNUMBER(SEARCH("РЭО",E101))),29,IFERROR(INDEX(Соответствие!$B$2:$B$100,MATCH(G101,Соответствие!$A$2:$A$100,0)),"?")))</f>
        <v>27</v>
      </c>
      <c r="I101" s="39" t="str">
        <f aca="false">IF(C101="","",IFERROR(INDEX(Перечень!$C$6:$C$52,MATCH(H101,Перечень!$A$6:$A$52,0)),""))</f>
        <v>п.4.4, п.5.2</v>
      </c>
      <c r="J101" s="35" t="n">
        <f aca="false">IF(C101="","",IFERROR(INDEX(Перечень!$D$6:$D$52,MATCH(H101,Перечень!$A$6:$A$52,0)),12))</f>
        <v>12</v>
      </c>
      <c r="K101" s="40"/>
      <c r="L101" s="40"/>
      <c r="M101" s="37" t="str">
        <f aca="false">IF(AND(K101="",L101=""),"",EDATE(MAX(K101,L101),J101))</f>
        <v/>
      </c>
      <c r="N101" s="41" t="str">
        <f aca="false">IF(C101="","",IFERROR(INDEX(Перечень!$F$6:$F$52,MATCH(H101,Перечень!$A$6:$A$52,0)),""))</f>
        <v>-</v>
      </c>
      <c r="O101" s="40"/>
      <c r="P101" s="37" t="str">
        <f aca="false">IF(O101="","",EDATE(O101,60))</f>
        <v/>
      </c>
      <c r="Q101" s="41" t="str">
        <f aca="false">IF(AND(K101&lt;&gt;"",F101&lt;&gt;"",K101&gt;F101),"Да","")</f>
        <v/>
      </c>
      <c r="R101" s="41" t="str">
        <f aca="true">IF(C101="","",IF(M101="","Нет сведений",IF(M101&lt;TODAY(),"Просрочен",IF(M101-TODAY()&lt;=30,"Истекает","В срок"))))</f>
        <v>Нет сведений</v>
      </c>
      <c r="S101" s="41" t="str">
        <f aca="false">IF(AND(N101="Да",O101=""),"Не пройдено","")</f>
        <v/>
      </c>
    </row>
    <row r="102" customFormat="false" ht="14.25" hidden="false" customHeight="false" outlineLevel="0" collapsed="false">
      <c r="A102" s="35" t="n">
        <f aca="false">IF(C102="","",ROW()-5)</f>
        <v>97</v>
      </c>
      <c r="B102" s="36" t="s">
        <v>107</v>
      </c>
      <c r="C102" s="36" t="s">
        <v>272</v>
      </c>
      <c r="D102" s="36" t="s">
        <v>273</v>
      </c>
      <c r="E102" s="36" t="s">
        <v>274</v>
      </c>
      <c r="F102" s="37" t="n">
        <v>45509</v>
      </c>
      <c r="G102" s="38" t="str">
        <f aca="false">IF(C102="","",IF(TRIM(SUBSTITUTE(SUBSTITUTE(SUBSTITUTE(SUBSTITUTE(SUBSTITUTE(SUBSTITUTE(SUBSTITUTE(SUBSTITUTE(SUBSTITUTE(SUBSTITUTE(SUBSTITUTE(LOWER(TRIM(D102)),"ё","е"),"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категории",""))="инженер",IF(AND(ISNUMBER(SEARCH("техническ",E102)),ISNUMBER(SEARCH("контрол",E102))),"инженер отк",IF(ISNUMBER(SEARCH("диспетч",E102)),"инженер пдо",TRIM(SUBSTITUTE(SUBSTITUTE(SUBSTITUTE(SUBSTITUTE(SUBSTITUTE(SUBSTITUTE(SUBSTITUTE(SUBSTITUTE(SUBSTITUTE(SUBSTITUTE(SUBSTITUTE(LOWER(TRIM(D102)),"ё","е"),"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инженер",IF(ISNUMBER(SEARCH("диспетч",E102)),"ведущий инженер пдо",TRIM(SUBSTITUTE(SUBSTITUTE(SUBSTITUTE(SUBSTITUTE(SUBSTITUTE(SUBSTITUTE(SUBSTITUTE(SUBSTITUTE(SUBSTITUTE(SUBSTITUTE(SUBSTITUTE(LOWER(TRIM(D102)),"ё","е"),"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отк",TRIM(SUBSTITUTE(SUBSTITUTE(SUBSTITUTE(SUBSTITUTE(SUBSTITUTE(SUBSTITUTE(SUBSTITUTE(SUBSTITUTE(SUBSTITUTE(SUBSTITUTE(SUBSTITUTE(LOWER(TRIM(D102)),"ё","е")," -","-"),"- ","-")," 2 разряда","")," 3 разряда","")," 4 разряда","")," 5 разряда","")," 6 разряда","")," 1 категории","")," 2 категории","")," 3 категории",""))))))</f>
        <v>токарь</v>
      </c>
      <c r="H102" s="35" t="n">
        <f aca="false">IF(C102="","",IF(AND(G102="мастер участка",ISNUMBER(SEARCH("РЭО",E102))),29,IFERROR(INDEX(Соответствие!$B$2:$B$100,MATCH(G102,Соответствие!$A$2:$A$100,0)),"?")))</f>
        <v>34</v>
      </c>
      <c r="I102" s="39" t="str">
        <f aca="false">IF(C102="","",IFERROR(INDEX(Перечень!$C$6:$C$52,MATCH(H102,Перечень!$A$6:$A$52,0)),""))</f>
        <v>п.4.3.1, п.4.3.2, п.4.4, п.5.1, п.5.2, п.15</v>
      </c>
      <c r="J102" s="35" t="n">
        <f aca="false">IF(C102="","",IFERROR(INDEX(Перечень!$D$6:$D$52,MATCH(H102,Перечень!$A$6:$A$52,0)),12))</f>
        <v>12</v>
      </c>
      <c r="K102" s="40"/>
      <c r="L102" s="40"/>
      <c r="M102" s="37" t="str">
        <f aca="false">IF(AND(K102="",L102=""),"",EDATE(MAX(K102,L102),J102))</f>
        <v/>
      </c>
      <c r="N102" s="41" t="str">
        <f aca="false">IF(C102="","",IFERROR(INDEX(Перечень!$F$6:$F$52,MATCH(H102,Перечень!$A$6:$A$52,0)),""))</f>
        <v>-</v>
      </c>
      <c r="O102" s="40"/>
      <c r="P102" s="37" t="str">
        <f aca="false">IF(O102="","",EDATE(O102,60))</f>
        <v/>
      </c>
      <c r="Q102" s="41" t="str">
        <f aca="false">IF(AND(K102&lt;&gt;"",F102&lt;&gt;"",K102&gt;F102),"Да","")</f>
        <v/>
      </c>
      <c r="R102" s="41" t="str">
        <f aca="true">IF(C102="","",IF(M102="","Нет сведений",IF(M102&lt;TODAY(),"Просрочен",IF(M102-TODAY()&lt;=30,"Истекает","В срок"))))</f>
        <v>Нет сведений</v>
      </c>
      <c r="S102" s="41" t="str">
        <f aca="false">IF(AND(N102="Да",O102=""),"Не пройдено","")</f>
        <v/>
      </c>
    </row>
    <row r="103" customFormat="false" ht="14.25" hidden="false" customHeight="false" outlineLevel="0" collapsed="false">
      <c r="A103" s="35" t="n">
        <f aca="false">IF(C103="","",ROW()-5)</f>
        <v>98</v>
      </c>
      <c r="B103" s="36" t="s">
        <v>107</v>
      </c>
      <c r="C103" s="36" t="s">
        <v>275</v>
      </c>
      <c r="D103" s="36" t="s">
        <v>273</v>
      </c>
      <c r="E103" s="36" t="s">
        <v>274</v>
      </c>
      <c r="F103" s="37" t="n">
        <v>45565</v>
      </c>
      <c r="G103" s="38" t="str">
        <f aca="false">IF(C103="","",IF(TRIM(SUBSTITUTE(SUBSTITUTE(SUBSTITUTE(SUBSTITUTE(SUBSTITUTE(SUBSTITUTE(SUBSTITUTE(SUBSTITUTE(SUBSTITUTE(SUBSTITUTE(SUBSTITUTE(LOWER(TRIM(D103)),"ё","е"),"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категории",""))="инженер",IF(AND(ISNUMBER(SEARCH("техническ",E103)),ISNUMBER(SEARCH("контрол",E103))),"инженер отк",IF(ISNUMBER(SEARCH("диспетч",E103)),"инженер пдо",TRIM(SUBSTITUTE(SUBSTITUTE(SUBSTITUTE(SUBSTITUTE(SUBSTITUTE(SUBSTITUTE(SUBSTITUTE(SUBSTITUTE(SUBSTITUTE(SUBSTITUTE(SUBSTITUTE(LOWER(TRIM(D103)),"ё","е"),"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инженер",IF(ISNUMBER(SEARCH("диспетч",E103)),"ведущий инженер пдо",TRIM(SUBSTITUTE(SUBSTITUTE(SUBSTITUTE(SUBSTITUTE(SUBSTITUTE(SUBSTITUTE(SUBSTITUTE(SUBSTITUTE(SUBSTITUTE(SUBSTITUTE(SUBSTITUTE(LOWER(TRIM(D103)),"ё","е"),"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отк",TRIM(SUBSTITUTE(SUBSTITUTE(SUBSTITUTE(SUBSTITUTE(SUBSTITUTE(SUBSTITUTE(SUBSTITUTE(SUBSTITUTE(SUBSTITUTE(SUBSTITUTE(SUBSTITUTE(LOWER(TRIM(D103)),"ё","е")," -","-"),"- ","-")," 2 разряда","")," 3 разряда","")," 4 разряда","")," 5 разряда","")," 6 разряда","")," 1 категории","")," 2 категории","")," 3 категории",""))))))</f>
        <v>токарь</v>
      </c>
      <c r="H103" s="35" t="n">
        <f aca="false">IF(C103="","",IF(AND(G103="мастер участка",ISNUMBER(SEARCH("РЭО",E103))),29,IFERROR(INDEX(Соответствие!$B$2:$B$100,MATCH(G103,Соответствие!$A$2:$A$100,0)),"?")))</f>
        <v>34</v>
      </c>
      <c r="I103" s="39" t="str">
        <f aca="false">IF(C103="","",IFERROR(INDEX(Перечень!$C$6:$C$52,MATCH(H103,Перечень!$A$6:$A$52,0)),""))</f>
        <v>п.4.3.1, п.4.3.2, п.4.4, п.5.1, п.5.2, п.15</v>
      </c>
      <c r="J103" s="35" t="n">
        <f aca="false">IF(C103="","",IFERROR(INDEX(Перечень!$D$6:$D$52,MATCH(H103,Перечень!$A$6:$A$52,0)),12))</f>
        <v>12</v>
      </c>
      <c r="K103" s="40"/>
      <c r="L103" s="40"/>
      <c r="M103" s="37" t="str">
        <f aca="false">IF(AND(K103="",L103=""),"",EDATE(MAX(K103,L103),J103))</f>
        <v/>
      </c>
      <c r="N103" s="41" t="str">
        <f aca="false">IF(C103="","",IFERROR(INDEX(Перечень!$F$6:$F$52,MATCH(H103,Перечень!$A$6:$A$52,0)),""))</f>
        <v>-</v>
      </c>
      <c r="O103" s="40"/>
      <c r="P103" s="37" t="str">
        <f aca="false">IF(O103="","",EDATE(O103,60))</f>
        <v/>
      </c>
      <c r="Q103" s="41" t="str">
        <f aca="false">IF(AND(K103&lt;&gt;"",F103&lt;&gt;"",K103&gt;F103),"Да","")</f>
        <v/>
      </c>
      <c r="R103" s="41" t="str">
        <f aca="true">IF(C103="","",IF(M103="","Нет сведений",IF(M103&lt;TODAY(),"Просрочен",IF(M103-TODAY()&lt;=30,"Истекает","В срок"))))</f>
        <v>Нет сведений</v>
      </c>
      <c r="S103" s="41" t="str">
        <f aca="false">IF(AND(N103="Да",O103=""),"Не пройдено","")</f>
        <v/>
      </c>
    </row>
    <row r="104" customFormat="false" ht="14.25" hidden="false" customHeight="false" outlineLevel="0" collapsed="false">
      <c r="A104" s="35" t="n">
        <f aca="false">IF(C104="","",ROW()-5)</f>
        <v>99</v>
      </c>
      <c r="B104" s="36" t="s">
        <v>107</v>
      </c>
      <c r="C104" s="36" t="s">
        <v>276</v>
      </c>
      <c r="D104" s="36" t="s">
        <v>273</v>
      </c>
      <c r="E104" s="36" t="s">
        <v>274</v>
      </c>
      <c r="F104" s="37" t="n">
        <v>45924</v>
      </c>
      <c r="G104" s="38" t="str">
        <f aca="false">IF(C104="","",IF(TRIM(SUBSTITUTE(SUBSTITUTE(SUBSTITUTE(SUBSTITUTE(SUBSTITUTE(SUBSTITUTE(SUBSTITUTE(SUBSTITUTE(SUBSTITUTE(SUBSTITUTE(SUBSTITUTE(LOWER(TRIM(D104)),"ё","е"),"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категории",""))="инженер",IF(AND(ISNUMBER(SEARCH("техническ",E104)),ISNUMBER(SEARCH("контрол",E104))),"инженер отк",IF(ISNUMBER(SEARCH("диспетч",E104)),"инженер пдо",TRIM(SUBSTITUTE(SUBSTITUTE(SUBSTITUTE(SUBSTITUTE(SUBSTITUTE(SUBSTITUTE(SUBSTITUTE(SUBSTITUTE(SUBSTITUTE(SUBSTITUTE(SUBSTITUTE(LOWER(TRIM(D104)),"ё","е"),"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инженер",IF(ISNUMBER(SEARCH("диспетч",E104)),"ведущий инженер пдо",TRIM(SUBSTITUTE(SUBSTITUTE(SUBSTITUTE(SUBSTITUTE(SUBSTITUTE(SUBSTITUTE(SUBSTITUTE(SUBSTITUTE(SUBSTITUTE(SUBSTITUTE(SUBSTITUTE(LOWER(TRIM(D104)),"ё","е"),"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отк",TRIM(SUBSTITUTE(SUBSTITUTE(SUBSTITUTE(SUBSTITUTE(SUBSTITUTE(SUBSTITUTE(SUBSTITUTE(SUBSTITUTE(SUBSTITUTE(SUBSTITUTE(SUBSTITUTE(LOWER(TRIM(D104)),"ё","е")," -","-"),"- ","-")," 2 разряда","")," 3 разряда","")," 4 разряда","")," 5 разряда","")," 6 разряда","")," 1 категории","")," 2 категории","")," 3 категории",""))))))</f>
        <v>токарь</v>
      </c>
      <c r="H104" s="35" t="n">
        <f aca="false">IF(C104="","",IF(AND(G104="мастер участка",ISNUMBER(SEARCH("РЭО",E104))),29,IFERROR(INDEX(Соответствие!$B$2:$B$100,MATCH(G104,Соответствие!$A$2:$A$100,0)),"?")))</f>
        <v>34</v>
      </c>
      <c r="I104" s="39" t="str">
        <f aca="false">IF(C104="","",IFERROR(INDEX(Перечень!$C$6:$C$52,MATCH(H104,Перечень!$A$6:$A$52,0)),""))</f>
        <v>п.4.3.1, п.4.3.2, п.4.4, п.5.1, п.5.2, п.15</v>
      </c>
      <c r="J104" s="35" t="n">
        <f aca="false">IF(C104="","",IFERROR(INDEX(Перечень!$D$6:$D$52,MATCH(H104,Перечень!$A$6:$A$52,0)),12))</f>
        <v>12</v>
      </c>
      <c r="K104" s="40" t="n">
        <v>45882</v>
      </c>
      <c r="L104" s="40"/>
      <c r="M104" s="37" t="n">
        <f aca="false">IF(AND(K104="",L104=""),"",EDATE(MAX(K104,L104),J104))</f>
        <v>46247</v>
      </c>
      <c r="N104" s="41" t="str">
        <f aca="false">IF(C104="","",IFERROR(INDEX(Перечень!$F$6:$F$52,MATCH(H104,Перечень!$A$6:$A$52,0)),""))</f>
        <v>-</v>
      </c>
      <c r="O104" s="40"/>
      <c r="P104" s="37" t="str">
        <f aca="false">IF(O104="","",EDATE(O104,60))</f>
        <v/>
      </c>
      <c r="Q104" s="41" t="str">
        <f aca="false">IF(AND(K104&lt;&gt;"",F104&lt;&gt;"",K104&gt;F104),"Да","")</f>
        <v/>
      </c>
      <c r="R104" s="41" t="str">
        <f aca="true">IF(C104="","",IF(M104="","Нет сведений",IF(M104&lt;TODAY(),"Просрочен",IF(M104-TODAY()&lt;=30,"Истекает","В срок"))))</f>
        <v>Просрочен</v>
      </c>
      <c r="S104" s="41" t="str">
        <f aca="false">IF(AND(N104="Да",O104=""),"Не пройдено","")</f>
        <v/>
      </c>
    </row>
    <row r="105" customFormat="false" ht="14.25" hidden="false" customHeight="false" outlineLevel="0" collapsed="false">
      <c r="A105" s="35" t="n">
        <f aca="false">IF(C105="","",ROW()-5)</f>
        <v>100</v>
      </c>
      <c r="B105" s="36" t="s">
        <v>107</v>
      </c>
      <c r="C105" s="36" t="s">
        <v>277</v>
      </c>
      <c r="D105" s="36" t="s">
        <v>278</v>
      </c>
      <c r="E105" s="36" t="s">
        <v>274</v>
      </c>
      <c r="F105" s="37" t="n">
        <v>45638</v>
      </c>
      <c r="G105" s="38" t="str">
        <f aca="false">IF(C105="","",IF(TRIM(SUBSTITUTE(SUBSTITUTE(SUBSTITUTE(SUBSTITUTE(SUBSTITUTE(SUBSTITUTE(SUBSTITUTE(SUBSTITUTE(SUBSTITUTE(SUBSTITUTE(SUBSTITUTE(LOWER(TRIM(D105)),"ё","е"),"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категории",""))="инженер",IF(AND(ISNUMBER(SEARCH("техническ",E105)),ISNUMBER(SEARCH("контрол",E105))),"инженер отк",IF(ISNUMBER(SEARCH("диспетч",E105)),"инженер пдо",TRIM(SUBSTITUTE(SUBSTITUTE(SUBSTITUTE(SUBSTITUTE(SUBSTITUTE(SUBSTITUTE(SUBSTITUTE(SUBSTITUTE(SUBSTITUTE(SUBSTITUTE(SUBSTITUTE(LOWER(TRIM(D105)),"ё","е"),"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инженер",IF(ISNUMBER(SEARCH("диспетч",E105)),"ведущий инженер пдо",TRIM(SUBSTITUTE(SUBSTITUTE(SUBSTITUTE(SUBSTITUTE(SUBSTITUTE(SUBSTITUTE(SUBSTITUTE(SUBSTITUTE(SUBSTITUTE(SUBSTITUTE(SUBSTITUTE(LOWER(TRIM(D105)),"ё","е"),"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отк",TRIM(SUBSTITUTE(SUBSTITUTE(SUBSTITUTE(SUBSTITUTE(SUBSTITUTE(SUBSTITUTE(SUBSTITUTE(SUBSTITUTE(SUBSTITUTE(SUBSTITUTE(SUBSTITUTE(LOWER(TRIM(D105)),"ё","е")," -","-"),"- ","-")," 2 разряда","")," 3 разряда","")," 4 разряда","")," 5 разряда","")," 6 разряда","")," 1 категории","")," 2 категории","")," 3 категории",""))))))</f>
        <v>оператор станков с чпу</v>
      </c>
      <c r="H105" s="35" t="n">
        <f aca="false">IF(C105="","",IF(AND(G105="мастер участка",ISNUMBER(SEARCH("РЭО",E105))),29,IFERROR(INDEX(Соответствие!$B$2:$B$100,MATCH(G105,Соответствие!$A$2:$A$100,0)),"?")))</f>
        <v>30</v>
      </c>
      <c r="I105" s="39" t="str">
        <f aca="false">IF(C105="","",IFERROR(INDEX(Перечень!$C$6:$C$52,MATCH(H105,Перечень!$A$6:$A$52,0)),""))</f>
        <v>п.4.3.1, п.4.3.2, п.4.4, п.5.1, п.5.2, п.15</v>
      </c>
      <c r="J105" s="35" t="n">
        <f aca="false">IF(C105="","",IFERROR(INDEX(Перечень!$D$6:$D$52,MATCH(H105,Перечень!$A$6:$A$52,0)),12))</f>
        <v>12</v>
      </c>
      <c r="K105" s="40"/>
      <c r="L105" s="40"/>
      <c r="M105" s="37" t="str">
        <f aca="false">IF(AND(K105="",L105=""),"",EDATE(MAX(K105,L105),J105))</f>
        <v/>
      </c>
      <c r="N105" s="41" t="str">
        <f aca="false">IF(C105="","",IFERROR(INDEX(Перечень!$F$6:$F$52,MATCH(H105,Перечень!$A$6:$A$52,0)),""))</f>
        <v>-</v>
      </c>
      <c r="O105" s="40"/>
      <c r="P105" s="37" t="str">
        <f aca="false">IF(O105="","",EDATE(O105,60))</f>
        <v/>
      </c>
      <c r="Q105" s="41" t="str">
        <f aca="false">IF(AND(K105&lt;&gt;"",F105&lt;&gt;"",K105&gt;F105),"Да","")</f>
        <v/>
      </c>
      <c r="R105" s="41" t="str">
        <f aca="true">IF(C105="","",IF(M105="","Нет сведений",IF(M105&lt;TODAY(),"Просрочен",IF(M105-TODAY()&lt;=30,"Истекает","В срок"))))</f>
        <v>Нет сведений</v>
      </c>
      <c r="S105" s="41" t="str">
        <f aca="false">IF(AND(N105="Да",O105=""),"Не пройдено","")</f>
        <v/>
      </c>
    </row>
    <row r="106" customFormat="false" ht="14.25" hidden="false" customHeight="false" outlineLevel="0" collapsed="false">
      <c r="A106" s="35" t="n">
        <f aca="false">IF(C106="","",ROW()-5)</f>
        <v>101</v>
      </c>
      <c r="B106" s="36" t="s">
        <v>107</v>
      </c>
      <c r="C106" s="36" t="s">
        <v>279</v>
      </c>
      <c r="D106" s="36" t="s">
        <v>278</v>
      </c>
      <c r="E106" s="36" t="s">
        <v>274</v>
      </c>
      <c r="F106" s="37" t="n">
        <v>45792</v>
      </c>
      <c r="G106" s="38" t="str">
        <f aca="false">IF(C106="","",IF(TRIM(SUBSTITUTE(SUBSTITUTE(SUBSTITUTE(SUBSTITUTE(SUBSTITUTE(SUBSTITUTE(SUBSTITUTE(SUBSTITUTE(SUBSTITUTE(SUBSTITUTE(SUBSTITUTE(LOWER(TRIM(D106)),"ё","е"),"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категории",""))="инженер",IF(AND(ISNUMBER(SEARCH("техническ",E106)),ISNUMBER(SEARCH("контрол",E106))),"инженер отк",IF(ISNUMBER(SEARCH("диспетч",E106)),"инженер пдо",TRIM(SUBSTITUTE(SUBSTITUTE(SUBSTITUTE(SUBSTITUTE(SUBSTITUTE(SUBSTITUTE(SUBSTITUTE(SUBSTITUTE(SUBSTITUTE(SUBSTITUTE(SUBSTITUTE(LOWER(TRIM(D106)),"ё","е"),"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инженер",IF(ISNUMBER(SEARCH("диспетч",E106)),"ведущий инженер пдо",TRIM(SUBSTITUTE(SUBSTITUTE(SUBSTITUTE(SUBSTITUTE(SUBSTITUTE(SUBSTITUTE(SUBSTITUTE(SUBSTITUTE(SUBSTITUTE(SUBSTITUTE(SUBSTITUTE(LOWER(TRIM(D106)),"ё","е"),"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отк",TRIM(SUBSTITUTE(SUBSTITUTE(SUBSTITUTE(SUBSTITUTE(SUBSTITUTE(SUBSTITUTE(SUBSTITUTE(SUBSTITUTE(SUBSTITUTE(SUBSTITUTE(SUBSTITUTE(LOWER(TRIM(D106)),"ё","е")," -","-"),"- ","-")," 2 разряда","")," 3 разряда","")," 4 разряда","")," 5 разряда","")," 6 разряда","")," 1 категории","")," 2 категории","")," 3 категории",""))))))</f>
        <v>оператор станков с чпу</v>
      </c>
      <c r="H106" s="35" t="n">
        <f aca="false">IF(C106="","",IF(AND(G106="мастер участка",ISNUMBER(SEARCH("РЭО",E106))),29,IFERROR(INDEX(Соответствие!$B$2:$B$100,MATCH(G106,Соответствие!$A$2:$A$100,0)),"?")))</f>
        <v>30</v>
      </c>
      <c r="I106" s="39" t="str">
        <f aca="false">IF(C106="","",IFERROR(INDEX(Перечень!$C$6:$C$52,MATCH(H106,Перечень!$A$6:$A$52,0)),""))</f>
        <v>п.4.3.1, п.4.3.2, п.4.4, п.5.1, п.5.2, п.15</v>
      </c>
      <c r="J106" s="35" t="n">
        <f aca="false">IF(C106="","",IFERROR(INDEX(Перечень!$D$6:$D$52,MATCH(H106,Перечень!$A$6:$A$52,0)),12))</f>
        <v>12</v>
      </c>
      <c r="K106" s="40"/>
      <c r="L106" s="40"/>
      <c r="M106" s="37" t="str">
        <f aca="false">IF(AND(K106="",L106=""),"",EDATE(MAX(K106,L106),J106))</f>
        <v/>
      </c>
      <c r="N106" s="41" t="str">
        <f aca="false">IF(C106="","",IFERROR(INDEX(Перечень!$F$6:$F$52,MATCH(H106,Перечень!$A$6:$A$52,0)),""))</f>
        <v>-</v>
      </c>
      <c r="O106" s="40"/>
      <c r="P106" s="37" t="str">
        <f aca="false">IF(O106="","",EDATE(O106,60))</f>
        <v/>
      </c>
      <c r="Q106" s="41" t="str">
        <f aca="false">IF(AND(K106&lt;&gt;"",F106&lt;&gt;"",K106&gt;F106),"Да","")</f>
        <v/>
      </c>
      <c r="R106" s="41" t="str">
        <f aca="true">IF(C106="","",IF(M106="","Нет сведений",IF(M106&lt;TODAY(),"Просрочен",IF(M106-TODAY()&lt;=30,"Истекает","В срок"))))</f>
        <v>Нет сведений</v>
      </c>
      <c r="S106" s="41" t="str">
        <f aca="false">IF(AND(N106="Да",O106=""),"Не пройдено","")</f>
        <v/>
      </c>
    </row>
    <row r="107" customFormat="false" ht="14.25" hidden="false" customHeight="false" outlineLevel="0" collapsed="false">
      <c r="A107" s="35" t="n">
        <f aca="false">IF(C107="","",ROW()-5)</f>
        <v>102</v>
      </c>
      <c r="B107" s="36" t="s">
        <v>107</v>
      </c>
      <c r="C107" s="36" t="s">
        <v>280</v>
      </c>
      <c r="D107" s="36" t="s">
        <v>281</v>
      </c>
      <c r="E107" s="36" t="s">
        <v>274</v>
      </c>
      <c r="F107" s="37" t="n">
        <v>45212</v>
      </c>
      <c r="G107" s="38" t="str">
        <f aca="false">IF(C107="","",IF(TRIM(SUBSTITUTE(SUBSTITUTE(SUBSTITUTE(SUBSTITUTE(SUBSTITUTE(SUBSTITUTE(SUBSTITUTE(SUBSTITUTE(SUBSTITUTE(SUBSTITUTE(SUBSTITUTE(LOWER(TRIM(D107)),"ё","е"),"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категории",""))="инженер",IF(AND(ISNUMBER(SEARCH("техническ",E107)),ISNUMBER(SEARCH("контрол",E107))),"инженер отк",IF(ISNUMBER(SEARCH("диспетч",E107)),"инженер пдо",TRIM(SUBSTITUTE(SUBSTITUTE(SUBSTITUTE(SUBSTITUTE(SUBSTITUTE(SUBSTITUTE(SUBSTITUTE(SUBSTITUTE(SUBSTITUTE(SUBSTITUTE(SUBSTITUTE(LOWER(TRIM(D107)),"ё","е"),"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инженер",IF(ISNUMBER(SEARCH("диспетч",E107)),"ведущий инженер пдо",TRIM(SUBSTITUTE(SUBSTITUTE(SUBSTITUTE(SUBSTITUTE(SUBSTITUTE(SUBSTITUTE(SUBSTITUTE(SUBSTITUTE(SUBSTITUTE(SUBSTITUTE(SUBSTITUTE(LOWER(TRIM(D107)),"ё","е"),"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отк",TRIM(SUBSTITUTE(SUBSTITUTE(SUBSTITUTE(SUBSTITUTE(SUBSTITUTE(SUBSTITUTE(SUBSTITUTE(SUBSTITUTE(SUBSTITUTE(SUBSTITUTE(SUBSTITUTE(LOWER(TRIM(D107)),"ё","е")," -","-"),"- ","-")," 2 разряда","")," 3 разряда","")," 4 разряда","")," 5 разряда","")," 6 разряда","")," 1 категории","")," 2 категории","")," 3 категории",""))))))</f>
        <v>фрезеровщик</v>
      </c>
      <c r="H107" s="35" t="n">
        <f aca="false">IF(C107="","",IF(AND(G107="мастер участка",ISNUMBER(SEARCH("РЭО",E107))),29,IFERROR(INDEX(Соответствие!$B$2:$B$100,MATCH(G107,Соответствие!$A$2:$A$100,0)),"?")))</f>
        <v>33</v>
      </c>
      <c r="I107" s="39" t="str">
        <f aca="false">IF(C107="","",IFERROR(INDEX(Перечень!$C$6:$C$52,MATCH(H107,Перечень!$A$6:$A$52,0)),""))</f>
        <v>п.4.3.1, п.4.3.2, п.4.4, п.5.1, п.5.2, п.15</v>
      </c>
      <c r="J107" s="35" t="n">
        <f aca="false">IF(C107="","",IFERROR(INDEX(Перечень!$D$6:$D$52,MATCH(H107,Перечень!$A$6:$A$52,0)),12))</f>
        <v>12</v>
      </c>
      <c r="K107" s="40"/>
      <c r="L107" s="40"/>
      <c r="M107" s="37" t="str">
        <f aca="false">IF(AND(K107="",L107=""),"",EDATE(MAX(K107,L107),J107))</f>
        <v/>
      </c>
      <c r="N107" s="41" t="str">
        <f aca="false">IF(C107="","",IFERROR(INDEX(Перечень!$F$6:$F$52,MATCH(H107,Перечень!$A$6:$A$52,0)),""))</f>
        <v>-</v>
      </c>
      <c r="O107" s="40"/>
      <c r="P107" s="37" t="str">
        <f aca="false">IF(O107="","",EDATE(O107,60))</f>
        <v/>
      </c>
      <c r="Q107" s="41" t="str">
        <f aca="false">IF(AND(K107&lt;&gt;"",F107&lt;&gt;"",K107&gt;F107),"Да","")</f>
        <v/>
      </c>
      <c r="R107" s="41" t="str">
        <f aca="true">IF(C107="","",IF(M107="","Нет сведений",IF(M107&lt;TODAY(),"Просрочен",IF(M107-TODAY()&lt;=30,"Истекает","В срок"))))</f>
        <v>Нет сведений</v>
      </c>
      <c r="S107" s="41" t="str">
        <f aca="false">IF(AND(N107="Да",O107=""),"Не пройдено","")</f>
        <v/>
      </c>
    </row>
    <row r="108" customFormat="false" ht="14.25" hidden="false" customHeight="false" outlineLevel="0" collapsed="false">
      <c r="A108" s="35" t="n">
        <f aca="false">IF(C108="","",ROW()-5)</f>
        <v>103</v>
      </c>
      <c r="B108" s="36" t="s">
        <v>107</v>
      </c>
      <c r="C108" s="36" t="s">
        <v>282</v>
      </c>
      <c r="D108" s="36" t="s">
        <v>241</v>
      </c>
      <c r="E108" s="36" t="s">
        <v>274</v>
      </c>
      <c r="F108" s="37" t="n">
        <v>39615</v>
      </c>
      <c r="G108" s="38" t="str">
        <f aca="false">IF(C108="","",IF(TRIM(SUBSTITUTE(SUBSTITUTE(SUBSTITUTE(SUBSTITUTE(SUBSTITUTE(SUBSTITUTE(SUBSTITUTE(SUBSTITUTE(SUBSTITUTE(SUBSTITUTE(SUBSTITUTE(LOWER(TRIM(D108)),"ё","е"),"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категории",""))="инженер",IF(AND(ISNUMBER(SEARCH("техническ",E108)),ISNUMBER(SEARCH("контрол",E108))),"инженер отк",IF(ISNUMBER(SEARCH("диспетч",E108)),"инженер пдо",TRIM(SUBSTITUTE(SUBSTITUTE(SUBSTITUTE(SUBSTITUTE(SUBSTITUTE(SUBSTITUTE(SUBSTITUTE(SUBSTITUTE(SUBSTITUTE(SUBSTITUTE(SUBSTITUTE(LOWER(TRIM(D108)),"ё","е"),"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инженер",IF(ISNUMBER(SEARCH("диспетч",E108)),"ведущий инженер пдо",TRIM(SUBSTITUTE(SUBSTITUTE(SUBSTITUTE(SUBSTITUTE(SUBSTITUTE(SUBSTITUTE(SUBSTITUTE(SUBSTITUTE(SUBSTITUTE(SUBSTITUTE(SUBSTITUTE(LOWER(TRIM(D108)),"ё","е"),"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отк",TRIM(SUBSTITUTE(SUBSTITUTE(SUBSTITUTE(SUBSTITUTE(SUBSTITUTE(SUBSTITUTE(SUBSTITUTE(SUBSTITUTE(SUBSTITUTE(SUBSTITUTE(SUBSTITUTE(LOWER(TRIM(D108)),"ё","е")," -","-"),"- ","-")," 2 разряда","")," 3 разряда","")," 4 разряда","")," 5 разряда","")," 6 разряда","")," 1 категории","")," 2 категории","")," 3 категории",""))))))</f>
        <v>мастер участка</v>
      </c>
      <c r="H108" s="35" t="n">
        <f aca="false">IF(C108="","",IF(AND(G108="мастер участка",ISNUMBER(SEARCH("РЭО",E108))),29,IFERROR(INDEX(Соответствие!$B$2:$B$100,MATCH(G108,Соответствие!$A$2:$A$100,0)),"?")))</f>
        <v>18</v>
      </c>
      <c r="I108" s="39" t="str">
        <f aca="false">IF(C108="","",IFERROR(INDEX(Перечень!$C$6:$C$52,MATCH(H108,Перечень!$A$6:$A$52,0)),""))</f>
        <v>п.4.4, п.5.2</v>
      </c>
      <c r="J108" s="35" t="n">
        <f aca="false">IF(C108="","",IFERROR(INDEX(Перечень!$D$6:$D$52,MATCH(H108,Перечень!$A$6:$A$52,0)),12))</f>
        <v>12</v>
      </c>
      <c r="K108" s="40"/>
      <c r="L108" s="40"/>
      <c r="M108" s="37" t="str">
        <f aca="false">IF(AND(K108="",L108=""),"",EDATE(MAX(K108,L108),J108))</f>
        <v/>
      </c>
      <c r="N108" s="41" t="str">
        <f aca="false">IF(C108="","",IFERROR(INDEX(Перечень!$F$6:$F$52,MATCH(H108,Перечень!$A$6:$A$52,0)),""))</f>
        <v>-</v>
      </c>
      <c r="O108" s="40"/>
      <c r="P108" s="37" t="str">
        <f aca="false">IF(O108="","",EDATE(O108,60))</f>
        <v/>
      </c>
      <c r="Q108" s="41" t="str">
        <f aca="false">IF(AND(K108&lt;&gt;"",F108&lt;&gt;"",K108&gt;F108),"Да","")</f>
        <v/>
      </c>
      <c r="R108" s="41" t="str">
        <f aca="true">IF(C108="","",IF(M108="","Нет сведений",IF(M108&lt;TODAY(),"Просрочен",IF(M108-TODAY()&lt;=30,"Истекает","В срок"))))</f>
        <v>Нет сведений</v>
      </c>
      <c r="S108" s="41" t="str">
        <f aca="false">IF(AND(N108="Да",O108=""),"Не пройдено","")</f>
        <v/>
      </c>
    </row>
    <row r="109" customFormat="false" ht="14.25" hidden="false" customHeight="false" outlineLevel="0" collapsed="false">
      <c r="A109" s="35" t="n">
        <f aca="false">IF(C109="","",ROW()-5)</f>
        <v>104</v>
      </c>
      <c r="B109" s="36" t="s">
        <v>107</v>
      </c>
      <c r="C109" s="36" t="s">
        <v>283</v>
      </c>
      <c r="D109" s="36" t="s">
        <v>284</v>
      </c>
      <c r="E109" s="36" t="s">
        <v>274</v>
      </c>
      <c r="F109" s="37" t="n">
        <v>45691</v>
      </c>
      <c r="G109" s="38" t="str">
        <f aca="false">IF(C109="","",IF(TRIM(SUBSTITUTE(SUBSTITUTE(SUBSTITUTE(SUBSTITUTE(SUBSTITUTE(SUBSTITUTE(SUBSTITUTE(SUBSTITUTE(SUBSTITUTE(SUBSTITUTE(SUBSTITUTE(LOWER(TRIM(D109)),"ё","е"),"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категории",""))="инженер",IF(AND(ISNUMBER(SEARCH("техническ",E109)),ISNUMBER(SEARCH("контрол",E109))),"инженер отк",IF(ISNUMBER(SEARCH("диспетч",E109)),"инженер пдо",TRIM(SUBSTITUTE(SUBSTITUTE(SUBSTITUTE(SUBSTITUTE(SUBSTITUTE(SUBSTITUTE(SUBSTITUTE(SUBSTITUTE(SUBSTITUTE(SUBSTITUTE(SUBSTITUTE(LOWER(TRIM(D109)),"ё","е"),"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категории","")))),IF(TRIM(SUBSTITUTE(SUBSTITUTE(SUBSTITUTE(SUBSTITUTE(SUBSTITUTE(SUBSTITUTE(SUBSTITUTE(SUBSTITUTE(SUBSTITUTE(SUBSTITUTE(SUBSTITUTE(LOWER(TRIM(D109)),"ё","е"),"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инженер",IF(ISNUMBER(SEARCH("диспетч",E109)),"ведущий инженер пдо",TRIM(SUBSTITUTE(SUBSTITUTE(SUBSTITUTE(SUBSTITUTE(SUBSTITUTE(SUBSTITUTE(SUBSTITUTE(SUBSTITUTE(SUBSTITUTE(SUBSTITUTE(SUBSTITUTE(LOWER(TRIM(D109)),"ё","е"),"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категории",""))),IF(TRIM(SUBSTITUTE(SUBSTITUTE(SUBSTITUTE(SUBSTITUTE(SUBSTITUTE(SUBSTITUTE(SUBSTITUTE(SUBSTITUTE(SUBSTITUTE(SUBSTITUTE(SUBSTITUTE(LOWER(TRIM(D109)),"ё","е"),"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отк",TRIM(SUBSTITUTE(SUBSTITUTE(SUBSTITUTE(SUBSTITUTE(SUBSTITUTE(SUBSTITUTE(SUBSTITUTE(SUBSTITUTE(SUBSTITUTE(SUBSTITUTE(SUBSTITUTE(LOWER(TRIM(D109)),"ё","е")," -","-"),"- ","-")," 2 разряда","")," 3 разряда","")," 4 разряда","")," 5 разряда","")," 6 разряда","")," 1 категории","")," 2 категории","")," 3 категории",""))))))</f>
        <v>оператор-наладчик станков с чпу</v>
      </c>
      <c r="H109" s="35" t="n">
        <f aca="false">IF(C109="","",IF(AND(G109="мастер участка",ISNUMBER(SEARCH("РЭО",E109))),29,IFERROR(INDEX(Соответствие!$B$2:$B$100,MATCH(G109,Соответствие!$A$2:$A$100,0)),"?")))</f>
        <v>25</v>
      </c>
      <c r="I109" s="39" t="str">
        <f aca="false">IF(C109="","",IFERROR(INDEX(Перечень!$C$6:$C$52,MATCH(H109,Перечень!$A$6:$A$52,0)),""))</f>
        <v>п.4.3.1, п.4.3.2, п.4.4, п.5.1, п.5.2, п.15</v>
      </c>
      <c r="J109" s="35" t="n">
        <f aca="false">IF(C109="","",IFERROR(INDEX(Перечень!$D$6:$D$52,MATCH(H109,Перечень!$A$6:$A$52,0)),12))</f>
        <v>12</v>
      </c>
      <c r="K109" s="40"/>
      <c r="L109" s="40"/>
      <c r="M109" s="37" t="str">
        <f aca="false">IF(AND(K109="",L109=""),"",EDATE(MAX(K109,L109),J109))</f>
        <v/>
      </c>
      <c r="N109" s="41" t="str">
        <f aca="false">IF(C109="","",IFERROR(INDEX(Перечень!$F$6:$F$52,MATCH(H109,Перечень!$A$6:$A$52,0)),""))</f>
        <v>-</v>
      </c>
      <c r="O109" s="40"/>
      <c r="P109" s="37" t="str">
        <f aca="false">IF(O109="","",EDATE(O109,60))</f>
        <v/>
      </c>
      <c r="Q109" s="41" t="str">
        <f aca="false">IF(AND(K109&lt;&gt;"",F109&lt;&gt;"",K109&gt;F109),"Да","")</f>
        <v/>
      </c>
      <c r="R109" s="41" t="str">
        <f aca="true">IF(C109="","",IF(M109="","Нет сведений",IF(M109&lt;TODAY(),"Просрочен",IF(M109-TODAY()&lt;=30,"Истекает","В срок"))))</f>
        <v>Нет сведений</v>
      </c>
      <c r="S109" s="41" t="str">
        <f aca="false">IF(AND(N109="Да",O109=""),"Не пройдено","")</f>
        <v/>
      </c>
    </row>
    <row r="110" customFormat="false" ht="14.25" hidden="false" customHeight="false" outlineLevel="0" collapsed="false">
      <c r="A110" s="35" t="n">
        <f aca="false">IF(C110="","",ROW()-5)</f>
        <v>105</v>
      </c>
      <c r="B110" s="36" t="s">
        <v>107</v>
      </c>
      <c r="C110" s="36" t="s">
        <v>285</v>
      </c>
      <c r="D110" s="36" t="s">
        <v>286</v>
      </c>
      <c r="E110" s="36" t="s">
        <v>274</v>
      </c>
      <c r="F110" s="37" t="n">
        <v>45930</v>
      </c>
      <c r="G110" s="38" t="str">
        <f aca="false">IF(C110="","",IF(TRIM(SUBSTITUTE(SUBSTITUTE(SUBSTITUTE(SUBSTITUTE(SUBSTITUTE(SUBSTITUTE(SUBSTITUTE(SUBSTITUTE(SUBSTITUTE(SUBSTITUTE(SUBSTITUTE(LOWER(TRIM(D110)),"ё","е"),"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категории",""))="инженер",IF(AND(ISNUMBER(SEARCH("техническ",E110)),ISNUMBER(SEARCH("контрол",E110))),"инженер отк",IF(ISNUMBER(SEARCH("диспетч",E110)),"инженер пдо",TRIM(SUBSTITUTE(SUBSTITUTE(SUBSTITUTE(SUBSTITUTE(SUBSTITUTE(SUBSTITUTE(SUBSTITUTE(SUBSTITUTE(SUBSTITUTE(SUBSTITUTE(SUBSTITUTE(LOWER(TRIM(D110)),"ё","е"),"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инженер",IF(ISNUMBER(SEARCH("диспетч",E110)),"ведущий инженер пдо",TRIM(SUBSTITUTE(SUBSTITUTE(SUBSTITUTE(SUBSTITUTE(SUBSTITUTE(SUBSTITUTE(SUBSTITUTE(SUBSTITUTE(SUBSTITUTE(SUBSTITUTE(SUBSTITUTE(LOWER(TRIM(D110)),"ё","е"),"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отк",TRIM(SUBSTITUTE(SUBSTITUTE(SUBSTITUTE(SUBSTITUTE(SUBSTITUTE(SUBSTITUTE(SUBSTITUTE(SUBSTITUTE(SUBSTITUTE(SUBSTITUTE(SUBSTITUTE(LOWER(TRIM(D110)),"ё","е")," -","-"),"- ","-")," 2 разряда","")," 3 разряда","")," 4 разряда","")," 5 разряда","")," 6 разряда","")," 1 категории","")," 2 категории","")," 3 категории",""))))))</f>
        <v>токарь</v>
      </c>
      <c r="H110" s="35" t="n">
        <f aca="false">IF(C110="","",IF(AND(G110="мастер участка",ISNUMBER(SEARCH("РЭО",E110))),29,IFERROR(INDEX(Соответствие!$B$2:$B$100,MATCH(G110,Соответствие!$A$2:$A$100,0)),"?")))</f>
        <v>34</v>
      </c>
      <c r="I110" s="39" t="str">
        <f aca="false">IF(C110="","",IFERROR(INDEX(Перечень!$C$6:$C$52,MATCH(H110,Перечень!$A$6:$A$52,0)),""))</f>
        <v>п.4.3.1, п.4.3.2, п.4.4, п.5.1, п.5.2, п.15</v>
      </c>
      <c r="J110" s="35" t="n">
        <f aca="false">IF(C110="","",IFERROR(INDEX(Перечень!$D$6:$D$52,MATCH(H110,Перечень!$A$6:$A$52,0)),12))</f>
        <v>12</v>
      </c>
      <c r="K110" s="40" t="n">
        <v>45916</v>
      </c>
      <c r="L110" s="40"/>
      <c r="M110" s="37" t="n">
        <f aca="false">IF(AND(K110="",L110=""),"",EDATE(MAX(K110,L110),J110))</f>
        <v>46281</v>
      </c>
      <c r="N110" s="41" t="str">
        <f aca="false">IF(C110="","",IFERROR(INDEX(Перечень!$F$6:$F$52,MATCH(H110,Перечень!$A$6:$A$52,0)),""))</f>
        <v>-</v>
      </c>
      <c r="O110" s="40"/>
      <c r="P110" s="37" t="str">
        <f aca="false">IF(O110="","",EDATE(O110,60))</f>
        <v/>
      </c>
      <c r="Q110" s="41" t="str">
        <f aca="false">IF(AND(K110&lt;&gt;"",F110&lt;&gt;"",K110&gt;F110),"Да","")</f>
        <v/>
      </c>
      <c r="R110" s="41" t="str">
        <f aca="true">IF(C110="","",IF(M110="","Нет сведений",IF(M110&lt;TODAY(),"Просрочен",IF(M110-TODAY()&lt;=30,"Истекает","В срок"))))</f>
        <v>Просрочен</v>
      </c>
      <c r="S110" s="41" t="str">
        <f aca="false">IF(AND(N110="Да",O110=""),"Не пройдено","")</f>
        <v/>
      </c>
    </row>
    <row r="111" customFormat="false" ht="14.25" hidden="false" customHeight="false" outlineLevel="0" collapsed="false">
      <c r="A111" s="35" t="n">
        <f aca="false">IF(C111="","",ROW()-5)</f>
        <v>106</v>
      </c>
      <c r="B111" s="36" t="s">
        <v>107</v>
      </c>
      <c r="C111" s="36" t="s">
        <v>287</v>
      </c>
      <c r="D111" s="36" t="s">
        <v>286</v>
      </c>
      <c r="E111" s="36" t="s">
        <v>274</v>
      </c>
      <c r="F111" s="37" t="n">
        <v>45840</v>
      </c>
      <c r="G111" s="38" t="str">
        <f aca="false">IF(C111="","",IF(TRIM(SUBSTITUTE(SUBSTITUTE(SUBSTITUTE(SUBSTITUTE(SUBSTITUTE(SUBSTITUTE(SUBSTITUTE(SUBSTITUTE(SUBSTITUTE(SUBSTITUTE(SUBSTITUTE(LOWER(TRIM(D111)),"ё","е"),"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категории",""))="инженер",IF(AND(ISNUMBER(SEARCH("техническ",E111)),ISNUMBER(SEARCH("контрол",E111))),"инженер отк",IF(ISNUMBER(SEARCH("диспетч",E111)),"инженер пдо",TRIM(SUBSTITUTE(SUBSTITUTE(SUBSTITUTE(SUBSTITUTE(SUBSTITUTE(SUBSTITUTE(SUBSTITUTE(SUBSTITUTE(SUBSTITUTE(SUBSTITUTE(SUBSTITUTE(LOWER(TRIM(D111)),"ё","е"),"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инженер",IF(ISNUMBER(SEARCH("диспетч",E111)),"ведущий инженер пдо",TRIM(SUBSTITUTE(SUBSTITUTE(SUBSTITUTE(SUBSTITUTE(SUBSTITUTE(SUBSTITUTE(SUBSTITUTE(SUBSTITUTE(SUBSTITUTE(SUBSTITUTE(SUBSTITUTE(LOWER(TRIM(D111)),"ё","е"),"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отк",TRIM(SUBSTITUTE(SUBSTITUTE(SUBSTITUTE(SUBSTITUTE(SUBSTITUTE(SUBSTITUTE(SUBSTITUTE(SUBSTITUTE(SUBSTITUTE(SUBSTITUTE(SUBSTITUTE(LOWER(TRIM(D111)),"ё","е")," -","-"),"- ","-")," 2 разряда","")," 3 разряда","")," 4 разряда","")," 5 разряда","")," 6 разряда","")," 1 категории","")," 2 категории","")," 3 категории",""))))))</f>
        <v>токарь</v>
      </c>
      <c r="H111" s="35" t="n">
        <f aca="false">IF(C111="","",IF(AND(G111="мастер участка",ISNUMBER(SEARCH("РЭО",E111))),29,IFERROR(INDEX(Соответствие!$B$2:$B$100,MATCH(G111,Соответствие!$A$2:$A$100,0)),"?")))</f>
        <v>34</v>
      </c>
      <c r="I111" s="39" t="str">
        <f aca="false">IF(C111="","",IFERROR(INDEX(Перечень!$C$6:$C$52,MATCH(H111,Перечень!$A$6:$A$52,0)),""))</f>
        <v>п.4.3.1, п.4.3.2, п.4.4, п.5.1, п.5.2, п.15</v>
      </c>
      <c r="J111" s="35" t="n">
        <f aca="false">IF(C111="","",IFERROR(INDEX(Перечень!$D$6:$D$52,MATCH(H111,Перечень!$A$6:$A$52,0)),12))</f>
        <v>12</v>
      </c>
      <c r="K111" s="40" t="n">
        <v>45835</v>
      </c>
      <c r="L111" s="40"/>
      <c r="M111" s="37" t="n">
        <f aca="false">IF(AND(K111="",L111=""),"",EDATE(MAX(K111,L111),J111))</f>
        <v>46200</v>
      </c>
      <c r="N111" s="41" t="str">
        <f aca="false">IF(C111="","",IFERROR(INDEX(Перечень!$F$6:$F$52,MATCH(H111,Перечень!$A$6:$A$52,0)),""))</f>
        <v>-</v>
      </c>
      <c r="O111" s="40"/>
      <c r="P111" s="37" t="str">
        <f aca="false">IF(O111="","",EDATE(O111,60))</f>
        <v/>
      </c>
      <c r="Q111" s="41" t="str">
        <f aca="false">IF(AND(K111&lt;&gt;"",F111&lt;&gt;"",K111&gt;F111),"Да","")</f>
        <v/>
      </c>
      <c r="R111" s="41" t="str">
        <f aca="true">IF(C111="","",IF(M111="","Нет сведений",IF(M111&lt;TODAY(),"Просрочен",IF(M111-TODAY()&lt;=30,"Истекает","В срок"))))</f>
        <v>Просрочен</v>
      </c>
      <c r="S111" s="41" t="str">
        <f aca="false">IF(AND(N111="Да",O111=""),"Не пройдено","")</f>
        <v/>
      </c>
    </row>
    <row r="112" customFormat="false" ht="14.25" hidden="false" customHeight="false" outlineLevel="0" collapsed="false">
      <c r="A112" s="35" t="n">
        <f aca="false">IF(C112="","",ROW()-5)</f>
        <v>107</v>
      </c>
      <c r="B112" s="36" t="s">
        <v>107</v>
      </c>
      <c r="C112" s="36" t="s">
        <v>288</v>
      </c>
      <c r="D112" s="36" t="s">
        <v>289</v>
      </c>
      <c r="E112" s="36" t="s">
        <v>274</v>
      </c>
      <c r="F112" s="37" t="n">
        <v>44692</v>
      </c>
      <c r="G112" s="38" t="str">
        <f aca="false">IF(C112="","",IF(TRIM(SUBSTITUTE(SUBSTITUTE(SUBSTITUTE(SUBSTITUTE(SUBSTITUTE(SUBSTITUTE(SUBSTITUTE(SUBSTITUTE(SUBSTITUTE(SUBSTITUTE(SUBSTITUTE(LOWER(TRIM(D112)),"ё","е"),"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категории",""))="инженер",IF(AND(ISNUMBER(SEARCH("техническ",E112)),ISNUMBER(SEARCH("контрол",E112))),"инженер отк",IF(ISNUMBER(SEARCH("диспетч",E112)),"инженер пдо",TRIM(SUBSTITUTE(SUBSTITUTE(SUBSTITUTE(SUBSTITUTE(SUBSTITUTE(SUBSTITUTE(SUBSTITUTE(SUBSTITUTE(SUBSTITUTE(SUBSTITUTE(SUBSTITUTE(LOWER(TRIM(D112)),"ё","е"),"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инженер",IF(ISNUMBER(SEARCH("диспетч",E112)),"ведущий инженер пдо",TRIM(SUBSTITUTE(SUBSTITUTE(SUBSTITUTE(SUBSTITUTE(SUBSTITUTE(SUBSTITUTE(SUBSTITUTE(SUBSTITUTE(SUBSTITUTE(SUBSTITUTE(SUBSTITUTE(LOWER(TRIM(D112)),"ё","е"),"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отк",TRIM(SUBSTITUTE(SUBSTITUTE(SUBSTITUTE(SUBSTITUTE(SUBSTITUTE(SUBSTITUTE(SUBSTITUTE(SUBSTITUTE(SUBSTITUTE(SUBSTITUTE(SUBSTITUTE(LOWER(TRIM(D112)),"ё","е")," -","-"),"- ","-")," 2 разряда","")," 3 разряда","")," 4 разряда","")," 5 разряда","")," 6 разряда","")," 1 категории","")," 2 категории","")," 3 категории",""))))))</f>
        <v>фрезеровщик</v>
      </c>
      <c r="H112" s="35" t="n">
        <f aca="false">IF(C112="","",IF(AND(G112="мастер участка",ISNUMBER(SEARCH("РЭО",E112))),29,IFERROR(INDEX(Соответствие!$B$2:$B$100,MATCH(G112,Соответствие!$A$2:$A$100,0)),"?")))</f>
        <v>33</v>
      </c>
      <c r="I112" s="39" t="str">
        <f aca="false">IF(C112="","",IFERROR(INDEX(Перечень!$C$6:$C$52,MATCH(H112,Перечень!$A$6:$A$52,0)),""))</f>
        <v>п.4.3.1, п.4.3.2, п.4.4, п.5.1, п.5.2, п.15</v>
      </c>
      <c r="J112" s="35" t="n">
        <f aca="false">IF(C112="","",IFERROR(INDEX(Перечень!$D$6:$D$52,MATCH(H112,Перечень!$A$6:$A$52,0)),12))</f>
        <v>12</v>
      </c>
      <c r="K112" s="40"/>
      <c r="L112" s="40"/>
      <c r="M112" s="37" t="str">
        <f aca="false">IF(AND(K112="",L112=""),"",EDATE(MAX(K112,L112),J112))</f>
        <v/>
      </c>
      <c r="N112" s="41" t="str">
        <f aca="false">IF(C112="","",IFERROR(INDEX(Перечень!$F$6:$F$52,MATCH(H112,Перечень!$A$6:$A$52,0)),""))</f>
        <v>-</v>
      </c>
      <c r="O112" s="40"/>
      <c r="P112" s="37" t="str">
        <f aca="false">IF(O112="","",EDATE(O112,60))</f>
        <v/>
      </c>
      <c r="Q112" s="41" t="str">
        <f aca="false">IF(AND(K112&lt;&gt;"",F112&lt;&gt;"",K112&gt;F112),"Да","")</f>
        <v/>
      </c>
      <c r="R112" s="41" t="str">
        <f aca="true">IF(C112="","",IF(M112="","Нет сведений",IF(M112&lt;TODAY(),"Просрочен",IF(M112-TODAY()&lt;=30,"Истекает","В срок"))))</f>
        <v>Нет сведений</v>
      </c>
      <c r="S112" s="41" t="str">
        <f aca="false">IF(AND(N112="Да",O112=""),"Не пройдено","")</f>
        <v/>
      </c>
    </row>
    <row r="113" customFormat="false" ht="14.25" hidden="false" customHeight="false" outlineLevel="0" collapsed="false">
      <c r="A113" s="35" t="n">
        <f aca="false">IF(C113="","",ROW()-5)</f>
        <v>108</v>
      </c>
      <c r="B113" s="36" t="s">
        <v>107</v>
      </c>
      <c r="C113" s="36" t="s">
        <v>290</v>
      </c>
      <c r="D113" s="36" t="s">
        <v>291</v>
      </c>
      <c r="E113" s="36" t="s">
        <v>292</v>
      </c>
      <c r="F113" s="37" t="n">
        <v>41673</v>
      </c>
      <c r="G113" s="38" t="str">
        <f aca="false">IF(C113="","",IF(TRIM(SUBSTITUTE(SUBSTITUTE(SUBSTITUTE(SUBSTITUTE(SUBSTITUTE(SUBSTITUTE(SUBSTITUTE(SUBSTITUTE(SUBSTITUTE(SUBSTITUTE(SUBSTITUTE(LOWER(TRIM(D113)),"ё","е"),"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категории",""))="инженер",IF(AND(ISNUMBER(SEARCH("техническ",E113)),ISNUMBER(SEARCH("контрол",E113))),"инженер отк",IF(ISNUMBER(SEARCH("диспетч",E113)),"инженер пдо",TRIM(SUBSTITUTE(SUBSTITUTE(SUBSTITUTE(SUBSTITUTE(SUBSTITUTE(SUBSTITUTE(SUBSTITUTE(SUBSTITUTE(SUBSTITUTE(SUBSTITUTE(SUBSTITUTE(LOWER(TRIM(D113)),"ё","е"),"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инженер",IF(ISNUMBER(SEARCH("диспетч",E113)),"ведущий инженер пдо",TRIM(SUBSTITUTE(SUBSTITUTE(SUBSTITUTE(SUBSTITUTE(SUBSTITUTE(SUBSTITUTE(SUBSTITUTE(SUBSTITUTE(SUBSTITUTE(SUBSTITUTE(SUBSTITUTE(LOWER(TRIM(D113)),"ё","е"),"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отк",TRIM(SUBSTITUTE(SUBSTITUTE(SUBSTITUTE(SUBSTITUTE(SUBSTITUTE(SUBSTITUTE(SUBSTITUTE(SUBSTITUTE(SUBSTITUTE(SUBSTITUTE(SUBSTITUTE(LOWER(TRIM(D113)),"ё","е"),"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113" s="35" t="n">
        <f aca="false">IF(C113="","",IF(AND(G113="мастер участка",ISNUMBER(SEARCH("РЭО",E113))),29,IFERROR(INDEX(Соответствие!$B$2:$B$100,MATCH(G113,Соответствие!$A$2:$A$100,0)),"?")))</f>
        <v>32</v>
      </c>
      <c r="I113" s="39" t="str">
        <f aca="false">IF(C113="","",IFERROR(INDEX(Перечень!$C$6:$C$52,MATCH(H113,Перечень!$A$6:$A$52,0)),""))</f>
        <v>п.4.3.1, п.4.3.2, п.4.4, п.5.1, п.15</v>
      </c>
      <c r="J113" s="35" t="n">
        <f aca="false">IF(C113="","",IFERROR(INDEX(Перечень!$D$6:$D$52,MATCH(H113,Перечень!$A$6:$A$52,0)),12))</f>
        <v>12</v>
      </c>
      <c r="K113" s="40"/>
      <c r="L113" s="40"/>
      <c r="M113" s="37" t="str">
        <f aca="false">IF(AND(K113="",L113=""),"",EDATE(MAX(K113,L113),J113))</f>
        <v/>
      </c>
      <c r="N113" s="41" t="str">
        <f aca="false">IF(C113="","",IFERROR(INDEX(Перечень!$F$6:$F$52,MATCH(H113,Перечень!$A$6:$A$52,0)),""))</f>
        <v>-</v>
      </c>
      <c r="O113" s="40"/>
      <c r="P113" s="37" t="str">
        <f aca="false">IF(O113="","",EDATE(O113,60))</f>
        <v/>
      </c>
      <c r="Q113" s="41" t="str">
        <f aca="false">IF(AND(K113&lt;&gt;"",F113&lt;&gt;"",K113&gt;F113),"Да","")</f>
        <v/>
      </c>
      <c r="R113" s="41" t="str">
        <f aca="true">IF(C113="","",IF(M113="","Нет сведений",IF(M113&lt;TODAY(),"Просрочен",IF(M113-TODAY()&lt;=30,"Истекает","В срок"))))</f>
        <v>Нет сведений</v>
      </c>
      <c r="S113" s="41" t="str">
        <f aca="false">IF(AND(N113="Да",O113=""),"Не пройдено","")</f>
        <v/>
      </c>
    </row>
    <row r="114" customFormat="false" ht="14.25" hidden="false" customHeight="false" outlineLevel="0" collapsed="false">
      <c r="A114" s="35" t="n">
        <f aca="false">IF(C114="","",ROW()-5)</f>
        <v>109</v>
      </c>
      <c r="B114" s="36" t="s">
        <v>107</v>
      </c>
      <c r="C114" s="36" t="s">
        <v>293</v>
      </c>
      <c r="D114" s="36" t="s">
        <v>291</v>
      </c>
      <c r="E114" s="36" t="s">
        <v>292</v>
      </c>
      <c r="F114" s="37" t="n">
        <v>45643</v>
      </c>
      <c r="G114" s="38" t="str">
        <f aca="false">IF(C114="","",IF(TRIM(SUBSTITUTE(SUBSTITUTE(SUBSTITUTE(SUBSTITUTE(SUBSTITUTE(SUBSTITUTE(SUBSTITUTE(SUBSTITUTE(SUBSTITUTE(SUBSTITUTE(SUBSTITUTE(LOWER(TRIM(D114)),"ё","е"),"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категории",""))="инженер",IF(AND(ISNUMBER(SEARCH("техническ",E114)),ISNUMBER(SEARCH("контрол",E114))),"инженер отк",IF(ISNUMBER(SEARCH("диспетч",E114)),"инженер пдо",TRIM(SUBSTITUTE(SUBSTITUTE(SUBSTITUTE(SUBSTITUTE(SUBSTITUTE(SUBSTITUTE(SUBSTITUTE(SUBSTITUTE(SUBSTITUTE(SUBSTITUTE(SUBSTITUTE(LOWER(TRIM(D114)),"ё","е"),"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инженер",IF(ISNUMBER(SEARCH("диспетч",E114)),"ведущий инженер пдо",TRIM(SUBSTITUTE(SUBSTITUTE(SUBSTITUTE(SUBSTITUTE(SUBSTITUTE(SUBSTITUTE(SUBSTITUTE(SUBSTITUTE(SUBSTITUTE(SUBSTITUTE(SUBSTITUTE(LOWER(TRIM(D114)),"ё","е"),"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отк",TRIM(SUBSTITUTE(SUBSTITUTE(SUBSTITUTE(SUBSTITUTE(SUBSTITUTE(SUBSTITUTE(SUBSTITUTE(SUBSTITUTE(SUBSTITUTE(SUBSTITUTE(SUBSTITUTE(LOWER(TRIM(D114)),"ё","е"),"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114" s="35" t="n">
        <f aca="false">IF(C114="","",IF(AND(G114="мастер участка",ISNUMBER(SEARCH("РЭО",E114))),29,IFERROR(INDEX(Соответствие!$B$2:$B$100,MATCH(G114,Соответствие!$A$2:$A$100,0)),"?")))</f>
        <v>32</v>
      </c>
      <c r="I114" s="39" t="str">
        <f aca="false">IF(C114="","",IFERROR(INDEX(Перечень!$C$6:$C$52,MATCH(H114,Перечень!$A$6:$A$52,0)),""))</f>
        <v>п.4.3.1, п.4.3.2, п.4.4, п.5.1, п.15</v>
      </c>
      <c r="J114" s="35" t="n">
        <f aca="false">IF(C114="","",IFERROR(INDEX(Перечень!$D$6:$D$52,MATCH(H114,Перечень!$A$6:$A$52,0)),12))</f>
        <v>12</v>
      </c>
      <c r="K114" s="40"/>
      <c r="L114" s="40"/>
      <c r="M114" s="37" t="str">
        <f aca="false">IF(AND(K114="",L114=""),"",EDATE(MAX(K114,L114),J114))</f>
        <v/>
      </c>
      <c r="N114" s="41" t="str">
        <f aca="false">IF(C114="","",IFERROR(INDEX(Перечень!$F$6:$F$52,MATCH(H114,Перечень!$A$6:$A$52,0)),""))</f>
        <v>-</v>
      </c>
      <c r="O114" s="40"/>
      <c r="P114" s="37" t="str">
        <f aca="false">IF(O114="","",EDATE(O114,60))</f>
        <v/>
      </c>
      <c r="Q114" s="41" t="str">
        <f aca="false">IF(AND(K114&lt;&gt;"",F114&lt;&gt;"",K114&gt;F114),"Да","")</f>
        <v/>
      </c>
      <c r="R114" s="41" t="str">
        <f aca="true">IF(C114="","",IF(M114="","Нет сведений",IF(M114&lt;TODAY(),"Просрочен",IF(M114-TODAY()&lt;=30,"Истекает","В срок"))))</f>
        <v>Нет сведений</v>
      </c>
      <c r="S114" s="41" t="str">
        <f aca="false">IF(AND(N114="Да",O114=""),"Не пройдено","")</f>
        <v/>
      </c>
    </row>
    <row r="115" customFormat="false" ht="14.25" hidden="false" customHeight="false" outlineLevel="0" collapsed="false">
      <c r="A115" s="35" t="n">
        <f aca="false">IF(C115="","",ROW()-5)</f>
        <v>110</v>
      </c>
      <c r="B115" s="36" t="s">
        <v>107</v>
      </c>
      <c r="C115" s="36" t="s">
        <v>294</v>
      </c>
      <c r="D115" s="36" t="s">
        <v>291</v>
      </c>
      <c r="E115" s="36" t="s">
        <v>292</v>
      </c>
      <c r="F115" s="37" t="n">
        <v>45565</v>
      </c>
      <c r="G115" s="38" t="str">
        <f aca="false">IF(C115="","",IF(TRIM(SUBSTITUTE(SUBSTITUTE(SUBSTITUTE(SUBSTITUTE(SUBSTITUTE(SUBSTITUTE(SUBSTITUTE(SUBSTITUTE(SUBSTITUTE(SUBSTITUTE(SUBSTITUTE(LOWER(TRIM(D115)),"ё","е"),"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категории",""))="инженер",IF(AND(ISNUMBER(SEARCH("техническ",E115)),ISNUMBER(SEARCH("контрол",E115))),"инженер отк",IF(ISNUMBER(SEARCH("диспетч",E115)),"инженер пдо",TRIM(SUBSTITUTE(SUBSTITUTE(SUBSTITUTE(SUBSTITUTE(SUBSTITUTE(SUBSTITUTE(SUBSTITUTE(SUBSTITUTE(SUBSTITUTE(SUBSTITUTE(SUBSTITUTE(LOWER(TRIM(D115)),"ё","е"),"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инженер",IF(ISNUMBER(SEARCH("диспетч",E115)),"ведущий инженер пдо",TRIM(SUBSTITUTE(SUBSTITUTE(SUBSTITUTE(SUBSTITUTE(SUBSTITUTE(SUBSTITUTE(SUBSTITUTE(SUBSTITUTE(SUBSTITUTE(SUBSTITUTE(SUBSTITUTE(LOWER(TRIM(D115)),"ё","е"),"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отк",TRIM(SUBSTITUTE(SUBSTITUTE(SUBSTITUTE(SUBSTITUTE(SUBSTITUTE(SUBSTITUTE(SUBSTITUTE(SUBSTITUTE(SUBSTITUTE(SUBSTITUTE(SUBSTITUTE(LOWER(TRIM(D115)),"ё","е"),"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115" s="35" t="n">
        <f aca="false">IF(C115="","",IF(AND(G115="мастер участка",ISNUMBER(SEARCH("РЭО",E115))),29,IFERROR(INDEX(Соответствие!$B$2:$B$100,MATCH(G115,Соответствие!$A$2:$A$100,0)),"?")))</f>
        <v>32</v>
      </c>
      <c r="I115" s="39" t="str">
        <f aca="false">IF(C115="","",IFERROR(INDEX(Перечень!$C$6:$C$52,MATCH(H115,Перечень!$A$6:$A$52,0)),""))</f>
        <v>п.4.3.1, п.4.3.2, п.4.4, п.5.1, п.15</v>
      </c>
      <c r="J115" s="35" t="n">
        <f aca="false">IF(C115="","",IFERROR(INDEX(Перечень!$D$6:$D$52,MATCH(H115,Перечень!$A$6:$A$52,0)),12))</f>
        <v>12</v>
      </c>
      <c r="K115" s="40"/>
      <c r="L115" s="40"/>
      <c r="M115" s="37" t="str">
        <f aca="false">IF(AND(K115="",L115=""),"",EDATE(MAX(K115,L115),J115))</f>
        <v/>
      </c>
      <c r="N115" s="41" t="str">
        <f aca="false">IF(C115="","",IFERROR(INDEX(Перечень!$F$6:$F$52,MATCH(H115,Перечень!$A$6:$A$52,0)),""))</f>
        <v>-</v>
      </c>
      <c r="O115" s="40"/>
      <c r="P115" s="37" t="str">
        <f aca="false">IF(O115="","",EDATE(O115,60))</f>
        <v/>
      </c>
      <c r="Q115" s="41" t="str">
        <f aca="false">IF(AND(K115&lt;&gt;"",F115&lt;&gt;"",K115&gt;F115),"Да","")</f>
        <v/>
      </c>
      <c r="R115" s="41" t="str">
        <f aca="true">IF(C115="","",IF(M115="","Нет сведений",IF(M115&lt;TODAY(),"Просрочен",IF(M115-TODAY()&lt;=30,"Истекает","В срок"))))</f>
        <v>Нет сведений</v>
      </c>
      <c r="S115" s="41" t="str">
        <f aca="false">IF(AND(N115="Да",O115=""),"Не пройдено","")</f>
        <v/>
      </c>
    </row>
    <row r="116" customFormat="false" ht="14.25" hidden="false" customHeight="false" outlineLevel="0" collapsed="false">
      <c r="A116" s="35" t="n">
        <f aca="false">IF(C116="","",ROW()-5)</f>
        <v>111</v>
      </c>
      <c r="B116" s="36" t="s">
        <v>107</v>
      </c>
      <c r="C116" s="36" t="s">
        <v>295</v>
      </c>
      <c r="D116" s="36" t="s">
        <v>291</v>
      </c>
      <c r="E116" s="36" t="s">
        <v>292</v>
      </c>
      <c r="F116" s="37" t="n">
        <v>44795</v>
      </c>
      <c r="G116" s="38" t="str">
        <f aca="false">IF(C116="","",IF(TRIM(SUBSTITUTE(SUBSTITUTE(SUBSTITUTE(SUBSTITUTE(SUBSTITUTE(SUBSTITUTE(SUBSTITUTE(SUBSTITUTE(SUBSTITUTE(SUBSTITUTE(SUBSTITUTE(LOWER(TRIM(D116)),"ё","е"),"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категории",""))="инженер",IF(AND(ISNUMBER(SEARCH("техническ",E116)),ISNUMBER(SEARCH("контрол",E116))),"инженер отк",IF(ISNUMBER(SEARCH("диспетч",E116)),"инженер пдо",TRIM(SUBSTITUTE(SUBSTITUTE(SUBSTITUTE(SUBSTITUTE(SUBSTITUTE(SUBSTITUTE(SUBSTITUTE(SUBSTITUTE(SUBSTITUTE(SUBSTITUTE(SUBSTITUTE(LOWER(TRIM(D116)),"ё","е"),"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инженер",IF(ISNUMBER(SEARCH("диспетч",E116)),"ведущий инженер пдо",TRIM(SUBSTITUTE(SUBSTITUTE(SUBSTITUTE(SUBSTITUTE(SUBSTITUTE(SUBSTITUTE(SUBSTITUTE(SUBSTITUTE(SUBSTITUTE(SUBSTITUTE(SUBSTITUTE(LOWER(TRIM(D116)),"ё","е"),"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отк",TRIM(SUBSTITUTE(SUBSTITUTE(SUBSTITUTE(SUBSTITUTE(SUBSTITUTE(SUBSTITUTE(SUBSTITUTE(SUBSTITUTE(SUBSTITUTE(SUBSTITUTE(SUBSTITUTE(LOWER(TRIM(D116)),"ё","е"),"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116" s="35" t="n">
        <f aca="false">IF(C116="","",IF(AND(G116="мастер участка",ISNUMBER(SEARCH("РЭО",E116))),29,IFERROR(INDEX(Соответствие!$B$2:$B$100,MATCH(G116,Соответствие!$A$2:$A$100,0)),"?")))</f>
        <v>32</v>
      </c>
      <c r="I116" s="39" t="str">
        <f aca="false">IF(C116="","",IFERROR(INDEX(Перечень!$C$6:$C$52,MATCH(H116,Перечень!$A$6:$A$52,0)),""))</f>
        <v>п.4.3.1, п.4.3.2, п.4.4, п.5.1, п.15</v>
      </c>
      <c r="J116" s="35" t="n">
        <f aca="false">IF(C116="","",IFERROR(INDEX(Перечень!$D$6:$D$52,MATCH(H116,Перечень!$A$6:$A$52,0)),12))</f>
        <v>12</v>
      </c>
      <c r="K116" s="40"/>
      <c r="L116" s="40"/>
      <c r="M116" s="37" t="str">
        <f aca="false">IF(AND(K116="",L116=""),"",EDATE(MAX(K116,L116),J116))</f>
        <v/>
      </c>
      <c r="N116" s="41" t="str">
        <f aca="false">IF(C116="","",IFERROR(INDEX(Перечень!$F$6:$F$52,MATCH(H116,Перечень!$A$6:$A$52,0)),""))</f>
        <v>-</v>
      </c>
      <c r="O116" s="40"/>
      <c r="P116" s="37" t="str">
        <f aca="false">IF(O116="","",EDATE(O116,60))</f>
        <v/>
      </c>
      <c r="Q116" s="41" t="str">
        <f aca="false">IF(AND(K116&lt;&gt;"",F116&lt;&gt;"",K116&gt;F116),"Да","")</f>
        <v/>
      </c>
      <c r="R116" s="41" t="str">
        <f aca="true">IF(C116="","",IF(M116="","Нет сведений",IF(M116&lt;TODAY(),"Просрочен",IF(M116-TODAY()&lt;=30,"Истекает","В срок"))))</f>
        <v>Нет сведений</v>
      </c>
      <c r="S116" s="41" t="str">
        <f aca="false">IF(AND(N116="Да",O116=""),"Не пройдено","")</f>
        <v/>
      </c>
    </row>
    <row r="117" customFormat="false" ht="14.25" hidden="false" customHeight="false" outlineLevel="0" collapsed="false">
      <c r="A117" s="35" t="n">
        <f aca="false">IF(C117="","",ROW()-5)</f>
        <v>112</v>
      </c>
      <c r="B117" s="36" t="s">
        <v>107</v>
      </c>
      <c r="C117" s="36" t="s">
        <v>296</v>
      </c>
      <c r="D117" s="36" t="s">
        <v>291</v>
      </c>
      <c r="E117" s="36" t="s">
        <v>292</v>
      </c>
      <c r="F117" s="37" t="n">
        <v>42429</v>
      </c>
      <c r="G117" s="38" t="str">
        <f aca="false">IF(C117="","",IF(TRIM(SUBSTITUTE(SUBSTITUTE(SUBSTITUTE(SUBSTITUTE(SUBSTITUTE(SUBSTITUTE(SUBSTITUTE(SUBSTITUTE(SUBSTITUTE(SUBSTITUTE(SUBSTITUTE(LOWER(TRIM(D117)),"ё","е"),"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категории",""))="инженер",IF(AND(ISNUMBER(SEARCH("техническ",E117)),ISNUMBER(SEARCH("контрол",E117))),"инженер отк",IF(ISNUMBER(SEARCH("диспетч",E117)),"инженер пдо",TRIM(SUBSTITUTE(SUBSTITUTE(SUBSTITUTE(SUBSTITUTE(SUBSTITUTE(SUBSTITUTE(SUBSTITUTE(SUBSTITUTE(SUBSTITUTE(SUBSTITUTE(SUBSTITUTE(LOWER(TRIM(D117)),"ё","е"),"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инженер",IF(ISNUMBER(SEARCH("диспетч",E117)),"ведущий инженер пдо",TRIM(SUBSTITUTE(SUBSTITUTE(SUBSTITUTE(SUBSTITUTE(SUBSTITUTE(SUBSTITUTE(SUBSTITUTE(SUBSTITUTE(SUBSTITUTE(SUBSTITUTE(SUBSTITUTE(LOWER(TRIM(D117)),"ё","е"),"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отк",TRIM(SUBSTITUTE(SUBSTITUTE(SUBSTITUTE(SUBSTITUTE(SUBSTITUTE(SUBSTITUTE(SUBSTITUTE(SUBSTITUTE(SUBSTITUTE(SUBSTITUTE(SUBSTITUTE(LOWER(TRIM(D117)),"ё","е"),"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117" s="35" t="n">
        <f aca="false">IF(C117="","",IF(AND(G117="мастер участка",ISNUMBER(SEARCH("РЭО",E117))),29,IFERROR(INDEX(Соответствие!$B$2:$B$100,MATCH(G117,Соответствие!$A$2:$A$100,0)),"?")))</f>
        <v>32</v>
      </c>
      <c r="I117" s="39" t="str">
        <f aca="false">IF(C117="","",IFERROR(INDEX(Перечень!$C$6:$C$52,MATCH(H117,Перечень!$A$6:$A$52,0)),""))</f>
        <v>п.4.3.1, п.4.3.2, п.4.4, п.5.1, п.15</v>
      </c>
      <c r="J117" s="35" t="n">
        <f aca="false">IF(C117="","",IFERROR(INDEX(Перечень!$D$6:$D$52,MATCH(H117,Перечень!$A$6:$A$52,0)),12))</f>
        <v>12</v>
      </c>
      <c r="K117" s="40"/>
      <c r="L117" s="40"/>
      <c r="M117" s="37" t="str">
        <f aca="false">IF(AND(K117="",L117=""),"",EDATE(MAX(K117,L117),J117))</f>
        <v/>
      </c>
      <c r="N117" s="41" t="str">
        <f aca="false">IF(C117="","",IFERROR(INDEX(Перечень!$F$6:$F$52,MATCH(H117,Перечень!$A$6:$A$52,0)),""))</f>
        <v>-</v>
      </c>
      <c r="O117" s="40"/>
      <c r="P117" s="37" t="str">
        <f aca="false">IF(O117="","",EDATE(O117,60))</f>
        <v/>
      </c>
      <c r="Q117" s="41" t="str">
        <f aca="false">IF(AND(K117&lt;&gt;"",F117&lt;&gt;"",K117&gt;F117),"Да","")</f>
        <v/>
      </c>
      <c r="R117" s="41" t="str">
        <f aca="true">IF(C117="","",IF(M117="","Нет сведений",IF(M117&lt;TODAY(),"Просрочен",IF(M117-TODAY()&lt;=30,"Истекает","В срок"))))</f>
        <v>Нет сведений</v>
      </c>
      <c r="S117" s="41" t="str">
        <f aca="false">IF(AND(N117="Да",O117=""),"Не пройдено","")</f>
        <v/>
      </c>
    </row>
    <row r="118" customFormat="false" ht="14.25" hidden="false" customHeight="false" outlineLevel="0" collapsed="false">
      <c r="A118" s="35" t="n">
        <f aca="false">IF(C118="","",ROW()-5)</f>
        <v>113</v>
      </c>
      <c r="B118" s="36" t="s">
        <v>107</v>
      </c>
      <c r="C118" s="36" t="s">
        <v>297</v>
      </c>
      <c r="D118" s="36" t="s">
        <v>298</v>
      </c>
      <c r="E118" s="36" t="s">
        <v>292</v>
      </c>
      <c r="F118" s="37" t="n">
        <v>45714</v>
      </c>
      <c r="G118" s="38" t="str">
        <f aca="false">IF(C118="","",IF(TRIM(SUBSTITUTE(SUBSTITUTE(SUBSTITUTE(SUBSTITUTE(SUBSTITUTE(SUBSTITUTE(SUBSTITUTE(SUBSTITUTE(SUBSTITUTE(SUBSTITUTE(SUBSTITUTE(LOWER(TRIM(D118)),"ё","е"),"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категории",""))="инженер",IF(AND(ISNUMBER(SEARCH("техническ",E118)),ISNUMBER(SEARCH("контрол",E118))),"инженер отк",IF(ISNUMBER(SEARCH("диспетч",E118)),"инженер пдо",TRIM(SUBSTITUTE(SUBSTITUTE(SUBSTITUTE(SUBSTITUTE(SUBSTITUTE(SUBSTITUTE(SUBSTITUTE(SUBSTITUTE(SUBSTITUTE(SUBSTITUTE(SUBSTITUTE(LOWER(TRIM(D118)),"ё","е"),"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инженер",IF(ISNUMBER(SEARCH("диспетч",E118)),"ведущий инженер пдо",TRIM(SUBSTITUTE(SUBSTITUTE(SUBSTITUTE(SUBSTITUTE(SUBSTITUTE(SUBSTITUTE(SUBSTITUTE(SUBSTITUTE(SUBSTITUTE(SUBSTITUTE(SUBSTITUTE(LOWER(TRIM(D118)),"ё","е"),"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отк",TRIM(SUBSTITUTE(SUBSTITUTE(SUBSTITUTE(SUBSTITUTE(SUBSTITUTE(SUBSTITUTE(SUBSTITUTE(SUBSTITUTE(SUBSTITUTE(SUBSTITUTE(SUBSTITUTE(LOWER(TRIM(D118)),"ё","е"),"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118" s="35" t="n">
        <f aca="false">IF(C118="","",IF(AND(G118="мастер участка",ISNUMBER(SEARCH("РЭО",E118))),29,IFERROR(INDEX(Соответствие!$B$2:$B$100,MATCH(G118,Соответствие!$A$2:$A$100,0)),"?")))</f>
        <v>32</v>
      </c>
      <c r="I118" s="39" t="str">
        <f aca="false">IF(C118="","",IFERROR(INDEX(Перечень!$C$6:$C$52,MATCH(H118,Перечень!$A$6:$A$52,0)),""))</f>
        <v>п.4.3.1, п.4.3.2, п.4.4, п.5.1, п.15</v>
      </c>
      <c r="J118" s="35" t="n">
        <f aca="false">IF(C118="","",IFERROR(INDEX(Перечень!$D$6:$D$52,MATCH(H118,Перечень!$A$6:$A$52,0)),12))</f>
        <v>12</v>
      </c>
      <c r="K118" s="40"/>
      <c r="L118" s="40"/>
      <c r="M118" s="37" t="str">
        <f aca="false">IF(AND(K118="",L118=""),"",EDATE(MAX(K118,L118),J118))</f>
        <v/>
      </c>
      <c r="N118" s="41" t="str">
        <f aca="false">IF(C118="","",IFERROR(INDEX(Перечень!$F$6:$F$52,MATCH(H118,Перечень!$A$6:$A$52,0)),""))</f>
        <v>-</v>
      </c>
      <c r="O118" s="40"/>
      <c r="P118" s="37" t="str">
        <f aca="false">IF(O118="","",EDATE(O118,60))</f>
        <v/>
      </c>
      <c r="Q118" s="41" t="str">
        <f aca="false">IF(AND(K118&lt;&gt;"",F118&lt;&gt;"",K118&gt;F118),"Да","")</f>
        <v/>
      </c>
      <c r="R118" s="41" t="str">
        <f aca="true">IF(C118="","",IF(M118="","Нет сведений",IF(M118&lt;TODAY(),"Просрочен",IF(M118-TODAY()&lt;=30,"Истекает","В срок"))))</f>
        <v>Нет сведений</v>
      </c>
      <c r="S118" s="41" t="str">
        <f aca="false">IF(AND(N118="Да",O118=""),"Не пройдено","")</f>
        <v/>
      </c>
    </row>
    <row r="119" customFormat="false" ht="14.25" hidden="false" customHeight="false" outlineLevel="0" collapsed="false">
      <c r="A119" s="35" t="n">
        <f aca="false">IF(C119="","",ROW()-5)</f>
        <v>114</v>
      </c>
      <c r="B119" s="36" t="s">
        <v>107</v>
      </c>
      <c r="C119" s="36" t="s">
        <v>299</v>
      </c>
      <c r="D119" s="36" t="s">
        <v>298</v>
      </c>
      <c r="E119" s="36" t="s">
        <v>292</v>
      </c>
      <c r="F119" s="37" t="n">
        <v>45587</v>
      </c>
      <c r="G119" s="38" t="str">
        <f aca="false">IF(C119="","",IF(TRIM(SUBSTITUTE(SUBSTITUTE(SUBSTITUTE(SUBSTITUTE(SUBSTITUTE(SUBSTITUTE(SUBSTITUTE(SUBSTITUTE(SUBSTITUTE(SUBSTITUTE(SUBSTITUTE(LOWER(TRIM(D119)),"ё","е"),"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категории",""))="инженер",IF(AND(ISNUMBER(SEARCH("техническ",E119)),ISNUMBER(SEARCH("контрол",E119))),"инженер отк",IF(ISNUMBER(SEARCH("диспетч",E119)),"инженер пдо",TRIM(SUBSTITUTE(SUBSTITUTE(SUBSTITUTE(SUBSTITUTE(SUBSTITUTE(SUBSTITUTE(SUBSTITUTE(SUBSTITUTE(SUBSTITUTE(SUBSTITUTE(SUBSTITUTE(LOWER(TRIM(D119)),"ё","е"),"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категории","")))),IF(TRIM(SUBSTITUTE(SUBSTITUTE(SUBSTITUTE(SUBSTITUTE(SUBSTITUTE(SUBSTITUTE(SUBSTITUTE(SUBSTITUTE(SUBSTITUTE(SUBSTITUTE(SUBSTITUTE(LOWER(TRIM(D119)),"ё","е"),"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инженер",IF(ISNUMBER(SEARCH("диспетч",E119)),"ведущий инженер пдо",TRIM(SUBSTITUTE(SUBSTITUTE(SUBSTITUTE(SUBSTITUTE(SUBSTITUTE(SUBSTITUTE(SUBSTITUTE(SUBSTITUTE(SUBSTITUTE(SUBSTITUTE(SUBSTITUTE(LOWER(TRIM(D119)),"ё","е"),"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категории",""))),IF(TRIM(SUBSTITUTE(SUBSTITUTE(SUBSTITUTE(SUBSTITUTE(SUBSTITUTE(SUBSTITUTE(SUBSTITUTE(SUBSTITUTE(SUBSTITUTE(SUBSTITUTE(SUBSTITUTE(LOWER(TRIM(D119)),"ё","е"),"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отк",TRIM(SUBSTITUTE(SUBSTITUTE(SUBSTITUTE(SUBSTITUTE(SUBSTITUTE(SUBSTITUTE(SUBSTITUTE(SUBSTITUTE(SUBSTITUTE(SUBSTITUTE(SUBSTITUTE(LOWER(TRIM(D119)),"ё","е"),"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119" s="35" t="n">
        <f aca="false">IF(C119="","",IF(AND(G119="мастер участка",ISNUMBER(SEARCH("РЭО",E119))),29,IFERROR(INDEX(Соответствие!$B$2:$B$100,MATCH(G119,Соответствие!$A$2:$A$100,0)),"?")))</f>
        <v>32</v>
      </c>
      <c r="I119" s="39" t="str">
        <f aca="false">IF(C119="","",IFERROR(INDEX(Перечень!$C$6:$C$52,MATCH(H119,Перечень!$A$6:$A$52,0)),""))</f>
        <v>п.4.3.1, п.4.3.2, п.4.4, п.5.1, п.15</v>
      </c>
      <c r="J119" s="35" t="n">
        <f aca="false">IF(C119="","",IFERROR(INDEX(Перечень!$D$6:$D$52,MATCH(H119,Перечень!$A$6:$A$52,0)),12))</f>
        <v>12</v>
      </c>
      <c r="K119" s="40"/>
      <c r="L119" s="40"/>
      <c r="M119" s="37" t="str">
        <f aca="false">IF(AND(K119="",L119=""),"",EDATE(MAX(K119,L119),J119))</f>
        <v/>
      </c>
      <c r="N119" s="41" t="str">
        <f aca="false">IF(C119="","",IFERROR(INDEX(Перечень!$F$6:$F$52,MATCH(H119,Перечень!$A$6:$A$52,0)),""))</f>
        <v>-</v>
      </c>
      <c r="O119" s="40"/>
      <c r="P119" s="37" t="str">
        <f aca="false">IF(O119="","",EDATE(O119,60))</f>
        <v/>
      </c>
      <c r="Q119" s="41" t="str">
        <f aca="false">IF(AND(K119&lt;&gt;"",F119&lt;&gt;"",K119&gt;F119),"Да","")</f>
        <v/>
      </c>
      <c r="R119" s="41" t="str">
        <f aca="true">IF(C119="","",IF(M119="","Нет сведений",IF(M119&lt;TODAY(),"Просрочен",IF(M119-TODAY()&lt;=30,"Истекает","В срок"))))</f>
        <v>Нет сведений</v>
      </c>
      <c r="S119" s="41" t="str">
        <f aca="false">IF(AND(N119="Да",O119=""),"Не пройдено","")</f>
        <v/>
      </c>
    </row>
    <row r="120" customFormat="false" ht="14.25" hidden="false" customHeight="false" outlineLevel="0" collapsed="false">
      <c r="A120" s="35" t="n">
        <f aca="false">IF(C120="","",ROW()-5)</f>
        <v>115</v>
      </c>
      <c r="B120" s="36" t="s">
        <v>107</v>
      </c>
      <c r="C120" s="36" t="s">
        <v>300</v>
      </c>
      <c r="D120" s="36" t="s">
        <v>298</v>
      </c>
      <c r="E120" s="36" t="s">
        <v>292</v>
      </c>
      <c r="F120" s="37" t="n">
        <v>37438</v>
      </c>
      <c r="G120" s="38" t="str">
        <f aca="false">IF(C120="","",IF(TRIM(SUBSTITUTE(SUBSTITUTE(SUBSTITUTE(SUBSTITUTE(SUBSTITUTE(SUBSTITUTE(SUBSTITUTE(SUBSTITUTE(SUBSTITUTE(SUBSTITUTE(SUBSTITUTE(LOWER(TRIM(D120)),"ё","е"),"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категории",""))="инженер",IF(AND(ISNUMBER(SEARCH("техническ",E120)),ISNUMBER(SEARCH("контрол",E120))),"инженер отк",IF(ISNUMBER(SEARCH("диспетч",E120)),"инженер пдо",TRIM(SUBSTITUTE(SUBSTITUTE(SUBSTITUTE(SUBSTITUTE(SUBSTITUTE(SUBSTITUTE(SUBSTITUTE(SUBSTITUTE(SUBSTITUTE(SUBSTITUTE(SUBSTITUTE(LOWER(TRIM(D120)),"ё","е"),"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инженер",IF(ISNUMBER(SEARCH("диспетч",E120)),"ведущий инженер пдо",TRIM(SUBSTITUTE(SUBSTITUTE(SUBSTITUTE(SUBSTITUTE(SUBSTITUTE(SUBSTITUTE(SUBSTITUTE(SUBSTITUTE(SUBSTITUTE(SUBSTITUTE(SUBSTITUTE(LOWER(TRIM(D120)),"ё","е"),"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отк",TRIM(SUBSTITUTE(SUBSTITUTE(SUBSTITUTE(SUBSTITUTE(SUBSTITUTE(SUBSTITUTE(SUBSTITUTE(SUBSTITUTE(SUBSTITUTE(SUBSTITUTE(SUBSTITUTE(LOWER(TRIM(D120)),"ё","е"),"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120" s="35" t="n">
        <f aca="false">IF(C120="","",IF(AND(G120="мастер участка",ISNUMBER(SEARCH("РЭО",E120))),29,IFERROR(INDEX(Соответствие!$B$2:$B$100,MATCH(G120,Соответствие!$A$2:$A$100,0)),"?")))</f>
        <v>32</v>
      </c>
      <c r="I120" s="39" t="str">
        <f aca="false">IF(C120="","",IFERROR(INDEX(Перечень!$C$6:$C$52,MATCH(H120,Перечень!$A$6:$A$52,0)),""))</f>
        <v>п.4.3.1, п.4.3.2, п.4.4, п.5.1, п.15</v>
      </c>
      <c r="J120" s="35" t="n">
        <f aca="false">IF(C120="","",IFERROR(INDEX(Перечень!$D$6:$D$52,MATCH(H120,Перечень!$A$6:$A$52,0)),12))</f>
        <v>12</v>
      </c>
      <c r="K120" s="40"/>
      <c r="L120" s="40"/>
      <c r="M120" s="37" t="str">
        <f aca="false">IF(AND(K120="",L120=""),"",EDATE(MAX(K120,L120),J120))</f>
        <v/>
      </c>
      <c r="N120" s="41" t="str">
        <f aca="false">IF(C120="","",IFERROR(INDEX(Перечень!$F$6:$F$52,MATCH(H120,Перечень!$A$6:$A$52,0)),""))</f>
        <v>-</v>
      </c>
      <c r="O120" s="40"/>
      <c r="P120" s="37" t="str">
        <f aca="false">IF(O120="","",EDATE(O120,60))</f>
        <v/>
      </c>
      <c r="Q120" s="41" t="str">
        <f aca="false">IF(AND(K120&lt;&gt;"",F120&lt;&gt;"",K120&gt;F120),"Да","")</f>
        <v/>
      </c>
      <c r="R120" s="41" t="str">
        <f aca="true">IF(C120="","",IF(M120="","Нет сведений",IF(M120&lt;TODAY(),"Просрочен",IF(M120-TODAY()&lt;=30,"Истекает","В срок"))))</f>
        <v>Нет сведений</v>
      </c>
      <c r="S120" s="41" t="str">
        <f aca="false">IF(AND(N120="Да",O120=""),"Не пройдено","")</f>
        <v/>
      </c>
    </row>
    <row r="121" customFormat="false" ht="14.25" hidden="false" customHeight="false" outlineLevel="0" collapsed="false">
      <c r="A121" s="35" t="n">
        <f aca="false">IF(C121="","",ROW()-5)</f>
        <v>116</v>
      </c>
      <c r="B121" s="36" t="s">
        <v>107</v>
      </c>
      <c r="C121" s="36" t="s">
        <v>301</v>
      </c>
      <c r="D121" s="36" t="s">
        <v>284</v>
      </c>
      <c r="E121" s="36" t="s">
        <v>274</v>
      </c>
      <c r="F121" s="37" t="n">
        <v>45362</v>
      </c>
      <c r="G121" s="38" t="str">
        <f aca="false">IF(C121="","",IF(TRIM(SUBSTITUTE(SUBSTITUTE(SUBSTITUTE(SUBSTITUTE(SUBSTITUTE(SUBSTITUTE(SUBSTITUTE(SUBSTITUTE(SUBSTITUTE(SUBSTITUTE(SUBSTITUTE(LOWER(TRIM(D121)),"ё","е"),"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категории",""))="инженер",IF(AND(ISNUMBER(SEARCH("техническ",E121)),ISNUMBER(SEARCH("контрол",E121))),"инженер отк",IF(ISNUMBER(SEARCH("диспетч",E121)),"инженер пдо",TRIM(SUBSTITUTE(SUBSTITUTE(SUBSTITUTE(SUBSTITUTE(SUBSTITUTE(SUBSTITUTE(SUBSTITUTE(SUBSTITUTE(SUBSTITUTE(SUBSTITUTE(SUBSTITUTE(LOWER(TRIM(D121)),"ё","е"),"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инженер",IF(ISNUMBER(SEARCH("диспетч",E121)),"ведущий инженер пдо",TRIM(SUBSTITUTE(SUBSTITUTE(SUBSTITUTE(SUBSTITUTE(SUBSTITUTE(SUBSTITUTE(SUBSTITUTE(SUBSTITUTE(SUBSTITUTE(SUBSTITUTE(SUBSTITUTE(LOWER(TRIM(D121)),"ё","е"),"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отк",TRIM(SUBSTITUTE(SUBSTITUTE(SUBSTITUTE(SUBSTITUTE(SUBSTITUTE(SUBSTITUTE(SUBSTITUTE(SUBSTITUTE(SUBSTITUTE(SUBSTITUTE(SUBSTITUTE(LOWER(TRIM(D121)),"ё","е")," -","-"),"- ","-")," 2 разряда","")," 3 разряда","")," 4 разряда","")," 5 разряда","")," 6 разряда","")," 1 категории","")," 2 категории","")," 3 категории",""))))))</f>
        <v>оператор-наладчик станков с чпу</v>
      </c>
      <c r="H121" s="35" t="n">
        <f aca="false">IF(C121="","",IF(AND(G121="мастер участка",ISNUMBER(SEARCH("РЭО",E121))),29,IFERROR(INDEX(Соответствие!$B$2:$B$100,MATCH(G121,Соответствие!$A$2:$A$100,0)),"?")))</f>
        <v>25</v>
      </c>
      <c r="I121" s="39" t="str">
        <f aca="false">IF(C121="","",IFERROR(INDEX(Перечень!$C$6:$C$52,MATCH(H121,Перечень!$A$6:$A$52,0)),""))</f>
        <v>п.4.3.1, п.4.3.2, п.4.4, п.5.1, п.5.2, п.15</v>
      </c>
      <c r="J121" s="35" t="n">
        <f aca="false">IF(C121="","",IFERROR(INDEX(Перечень!$D$6:$D$52,MATCH(H121,Перечень!$A$6:$A$52,0)),12))</f>
        <v>12</v>
      </c>
      <c r="K121" s="40"/>
      <c r="L121" s="40"/>
      <c r="M121" s="37" t="str">
        <f aca="false">IF(AND(K121="",L121=""),"",EDATE(MAX(K121,L121),J121))</f>
        <v/>
      </c>
      <c r="N121" s="41" t="str">
        <f aca="false">IF(C121="","",IFERROR(INDEX(Перечень!$F$6:$F$52,MATCH(H121,Перечень!$A$6:$A$52,0)),""))</f>
        <v>-</v>
      </c>
      <c r="O121" s="40"/>
      <c r="P121" s="37" t="str">
        <f aca="false">IF(O121="","",EDATE(O121,60))</f>
        <v/>
      </c>
      <c r="Q121" s="41" t="str">
        <f aca="false">IF(AND(K121&lt;&gt;"",F121&lt;&gt;"",K121&gt;F121),"Да","")</f>
        <v/>
      </c>
      <c r="R121" s="41" t="str">
        <f aca="true">IF(C121="","",IF(M121="","Нет сведений",IF(M121&lt;TODAY(),"Просрочен",IF(M121-TODAY()&lt;=30,"Истекает","В срок"))))</f>
        <v>Нет сведений</v>
      </c>
      <c r="S121" s="41" t="str">
        <f aca="false">IF(AND(N121="Да",O121=""),"Не пройдено","")</f>
        <v/>
      </c>
    </row>
    <row r="122" customFormat="false" ht="14.25" hidden="false" customHeight="false" outlineLevel="0" collapsed="false">
      <c r="A122" s="35" t="n">
        <f aca="false">IF(C122="","",ROW()-5)</f>
        <v>117</v>
      </c>
      <c r="B122" s="36" t="s">
        <v>107</v>
      </c>
      <c r="C122" s="36" t="s">
        <v>302</v>
      </c>
      <c r="D122" s="36" t="s">
        <v>284</v>
      </c>
      <c r="E122" s="36" t="s">
        <v>274</v>
      </c>
      <c r="F122" s="37" t="n">
        <v>45917</v>
      </c>
      <c r="G122" s="38" t="str">
        <f aca="false">IF(C122="","",IF(TRIM(SUBSTITUTE(SUBSTITUTE(SUBSTITUTE(SUBSTITUTE(SUBSTITUTE(SUBSTITUTE(SUBSTITUTE(SUBSTITUTE(SUBSTITUTE(SUBSTITUTE(SUBSTITUTE(LOWER(TRIM(D122)),"ё","е"),"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категории",""))="инженер",IF(AND(ISNUMBER(SEARCH("техническ",E122)),ISNUMBER(SEARCH("контрол",E122))),"инженер отк",IF(ISNUMBER(SEARCH("диспетч",E122)),"инженер пдо",TRIM(SUBSTITUTE(SUBSTITUTE(SUBSTITUTE(SUBSTITUTE(SUBSTITUTE(SUBSTITUTE(SUBSTITUTE(SUBSTITUTE(SUBSTITUTE(SUBSTITUTE(SUBSTITUTE(LOWER(TRIM(D122)),"ё","е"),"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инженер",IF(ISNUMBER(SEARCH("диспетч",E122)),"ведущий инженер пдо",TRIM(SUBSTITUTE(SUBSTITUTE(SUBSTITUTE(SUBSTITUTE(SUBSTITUTE(SUBSTITUTE(SUBSTITUTE(SUBSTITUTE(SUBSTITUTE(SUBSTITUTE(SUBSTITUTE(LOWER(TRIM(D122)),"ё","е"),"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отк",TRIM(SUBSTITUTE(SUBSTITUTE(SUBSTITUTE(SUBSTITUTE(SUBSTITUTE(SUBSTITUTE(SUBSTITUTE(SUBSTITUTE(SUBSTITUTE(SUBSTITUTE(SUBSTITUTE(LOWER(TRIM(D122)),"ё","е")," -","-"),"- ","-")," 2 разряда","")," 3 разряда","")," 4 разряда","")," 5 разряда","")," 6 разряда","")," 1 категории","")," 2 категории","")," 3 категории",""))))))</f>
        <v>оператор-наладчик станков с чпу</v>
      </c>
      <c r="H122" s="35" t="n">
        <f aca="false">IF(C122="","",IF(AND(G122="мастер участка",ISNUMBER(SEARCH("РЭО",E122))),29,IFERROR(INDEX(Соответствие!$B$2:$B$100,MATCH(G122,Соответствие!$A$2:$A$100,0)),"?")))</f>
        <v>25</v>
      </c>
      <c r="I122" s="39" t="str">
        <f aca="false">IF(C122="","",IFERROR(INDEX(Перечень!$C$6:$C$52,MATCH(H122,Перечень!$A$6:$A$52,0)),""))</f>
        <v>п.4.3.1, п.4.3.2, п.4.4, п.5.1, п.5.2, п.15</v>
      </c>
      <c r="J122" s="35" t="n">
        <f aca="false">IF(C122="","",IFERROR(INDEX(Перечень!$D$6:$D$52,MATCH(H122,Перечень!$A$6:$A$52,0)),12))</f>
        <v>12</v>
      </c>
      <c r="K122" s="40"/>
      <c r="L122" s="40"/>
      <c r="M122" s="37" t="str">
        <f aca="false">IF(AND(K122="",L122=""),"",EDATE(MAX(K122,L122),J122))</f>
        <v/>
      </c>
      <c r="N122" s="41" t="str">
        <f aca="false">IF(C122="","",IFERROR(INDEX(Перечень!$F$6:$F$52,MATCH(H122,Перечень!$A$6:$A$52,0)),""))</f>
        <v>-</v>
      </c>
      <c r="O122" s="40"/>
      <c r="P122" s="37" t="str">
        <f aca="false">IF(O122="","",EDATE(O122,60))</f>
        <v/>
      </c>
      <c r="Q122" s="41" t="str">
        <f aca="false">IF(AND(K122&lt;&gt;"",F122&lt;&gt;"",K122&gt;F122),"Да","")</f>
        <v/>
      </c>
      <c r="R122" s="41" t="str">
        <f aca="true">IF(C122="","",IF(M122="","Нет сведений",IF(M122&lt;TODAY(),"Просрочен",IF(M122-TODAY()&lt;=30,"Истекает","В срок"))))</f>
        <v>Нет сведений</v>
      </c>
      <c r="S122" s="41" t="str">
        <f aca="false">IF(AND(N122="Да",O122=""),"Не пройдено","")</f>
        <v/>
      </c>
    </row>
    <row r="123" customFormat="false" ht="14.25" hidden="false" customHeight="false" outlineLevel="0" collapsed="false">
      <c r="A123" s="35" t="n">
        <f aca="false">IF(C123="","",ROW()-5)</f>
        <v>118</v>
      </c>
      <c r="B123" s="36" t="s">
        <v>107</v>
      </c>
      <c r="C123" s="36" t="s">
        <v>303</v>
      </c>
      <c r="D123" s="36" t="s">
        <v>284</v>
      </c>
      <c r="E123" s="36" t="s">
        <v>274</v>
      </c>
      <c r="F123" s="37" t="n">
        <v>45922</v>
      </c>
      <c r="G123" s="38" t="str">
        <f aca="false">IF(C123="","",IF(TRIM(SUBSTITUTE(SUBSTITUTE(SUBSTITUTE(SUBSTITUTE(SUBSTITUTE(SUBSTITUTE(SUBSTITUTE(SUBSTITUTE(SUBSTITUTE(SUBSTITUTE(SUBSTITUTE(LOWER(TRIM(D123)),"ё","е"),"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категории",""))="инженер",IF(AND(ISNUMBER(SEARCH("техническ",E123)),ISNUMBER(SEARCH("контрол",E123))),"инженер отк",IF(ISNUMBER(SEARCH("диспетч",E123)),"инженер пдо",TRIM(SUBSTITUTE(SUBSTITUTE(SUBSTITUTE(SUBSTITUTE(SUBSTITUTE(SUBSTITUTE(SUBSTITUTE(SUBSTITUTE(SUBSTITUTE(SUBSTITUTE(SUBSTITUTE(LOWER(TRIM(D123)),"ё","е"),"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инженер",IF(ISNUMBER(SEARCH("диспетч",E123)),"ведущий инженер пдо",TRIM(SUBSTITUTE(SUBSTITUTE(SUBSTITUTE(SUBSTITUTE(SUBSTITUTE(SUBSTITUTE(SUBSTITUTE(SUBSTITUTE(SUBSTITUTE(SUBSTITUTE(SUBSTITUTE(LOWER(TRIM(D123)),"ё","е"),"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отк",TRIM(SUBSTITUTE(SUBSTITUTE(SUBSTITUTE(SUBSTITUTE(SUBSTITUTE(SUBSTITUTE(SUBSTITUTE(SUBSTITUTE(SUBSTITUTE(SUBSTITUTE(SUBSTITUTE(LOWER(TRIM(D123)),"ё","е")," -","-"),"- ","-")," 2 разряда","")," 3 разряда","")," 4 разряда","")," 5 разряда","")," 6 разряда","")," 1 категории","")," 2 категории","")," 3 категории",""))))))</f>
        <v>оператор-наладчик станков с чпу</v>
      </c>
      <c r="H123" s="35" t="n">
        <f aca="false">IF(C123="","",IF(AND(G123="мастер участка",ISNUMBER(SEARCH("РЭО",E123))),29,IFERROR(INDEX(Соответствие!$B$2:$B$100,MATCH(G123,Соответствие!$A$2:$A$100,0)),"?")))</f>
        <v>25</v>
      </c>
      <c r="I123" s="39" t="str">
        <f aca="false">IF(C123="","",IFERROR(INDEX(Перечень!$C$6:$C$52,MATCH(H123,Перечень!$A$6:$A$52,0)),""))</f>
        <v>п.4.3.1, п.4.3.2, п.4.4, п.5.1, п.5.2, п.15</v>
      </c>
      <c r="J123" s="35" t="n">
        <f aca="false">IF(C123="","",IFERROR(INDEX(Перечень!$D$6:$D$52,MATCH(H123,Перечень!$A$6:$A$52,0)),12))</f>
        <v>12</v>
      </c>
      <c r="K123" s="40"/>
      <c r="L123" s="40"/>
      <c r="M123" s="37" t="str">
        <f aca="false">IF(AND(K123="",L123=""),"",EDATE(MAX(K123,L123),J123))</f>
        <v/>
      </c>
      <c r="N123" s="41" t="str">
        <f aca="false">IF(C123="","",IFERROR(INDEX(Перечень!$F$6:$F$52,MATCH(H123,Перечень!$A$6:$A$52,0)),""))</f>
        <v>-</v>
      </c>
      <c r="O123" s="40"/>
      <c r="P123" s="37" t="str">
        <f aca="false">IF(O123="","",EDATE(O123,60))</f>
        <v/>
      </c>
      <c r="Q123" s="41" t="str">
        <f aca="false">IF(AND(K123&lt;&gt;"",F123&lt;&gt;"",K123&gt;F123),"Да","")</f>
        <v/>
      </c>
      <c r="R123" s="41" t="str">
        <f aca="true">IF(C123="","",IF(M123="","Нет сведений",IF(M123&lt;TODAY(),"Просрочен",IF(M123-TODAY()&lt;=30,"Истекает","В срок"))))</f>
        <v>Нет сведений</v>
      </c>
      <c r="S123" s="41" t="str">
        <f aca="false">IF(AND(N123="Да",O123=""),"Не пройдено","")</f>
        <v/>
      </c>
    </row>
    <row r="124" customFormat="false" ht="14.25" hidden="false" customHeight="false" outlineLevel="0" collapsed="false">
      <c r="A124" s="35" t="n">
        <f aca="false">IF(C124="","",ROW()-5)</f>
        <v>119</v>
      </c>
      <c r="B124" s="36" t="s">
        <v>107</v>
      </c>
      <c r="C124" s="36" t="s">
        <v>304</v>
      </c>
      <c r="D124" s="36" t="s">
        <v>284</v>
      </c>
      <c r="E124" s="36" t="s">
        <v>274</v>
      </c>
      <c r="F124" s="37" t="n">
        <v>45454</v>
      </c>
      <c r="G124" s="38" t="str">
        <f aca="false">IF(C124="","",IF(TRIM(SUBSTITUTE(SUBSTITUTE(SUBSTITUTE(SUBSTITUTE(SUBSTITUTE(SUBSTITUTE(SUBSTITUTE(SUBSTITUTE(SUBSTITUTE(SUBSTITUTE(SUBSTITUTE(LOWER(TRIM(D124)),"ё","е"),"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категории",""))="инженер",IF(AND(ISNUMBER(SEARCH("техническ",E124)),ISNUMBER(SEARCH("контрол",E124))),"инженер отк",IF(ISNUMBER(SEARCH("диспетч",E124)),"инженер пдо",TRIM(SUBSTITUTE(SUBSTITUTE(SUBSTITUTE(SUBSTITUTE(SUBSTITUTE(SUBSTITUTE(SUBSTITUTE(SUBSTITUTE(SUBSTITUTE(SUBSTITUTE(SUBSTITUTE(LOWER(TRIM(D124)),"ё","е"),"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инженер",IF(ISNUMBER(SEARCH("диспетч",E124)),"ведущий инженер пдо",TRIM(SUBSTITUTE(SUBSTITUTE(SUBSTITUTE(SUBSTITUTE(SUBSTITUTE(SUBSTITUTE(SUBSTITUTE(SUBSTITUTE(SUBSTITUTE(SUBSTITUTE(SUBSTITUTE(LOWER(TRIM(D124)),"ё","е"),"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отк",TRIM(SUBSTITUTE(SUBSTITUTE(SUBSTITUTE(SUBSTITUTE(SUBSTITUTE(SUBSTITUTE(SUBSTITUTE(SUBSTITUTE(SUBSTITUTE(SUBSTITUTE(SUBSTITUTE(LOWER(TRIM(D124)),"ё","е")," -","-"),"- ","-")," 2 разряда","")," 3 разряда","")," 4 разряда","")," 5 разряда","")," 6 разряда","")," 1 категории","")," 2 категории","")," 3 категории",""))))))</f>
        <v>оператор-наладчик станков с чпу</v>
      </c>
      <c r="H124" s="35" t="n">
        <f aca="false">IF(C124="","",IF(AND(G124="мастер участка",ISNUMBER(SEARCH("РЭО",E124))),29,IFERROR(INDEX(Соответствие!$B$2:$B$100,MATCH(G124,Соответствие!$A$2:$A$100,0)),"?")))</f>
        <v>25</v>
      </c>
      <c r="I124" s="39" t="str">
        <f aca="false">IF(C124="","",IFERROR(INDEX(Перечень!$C$6:$C$52,MATCH(H124,Перечень!$A$6:$A$52,0)),""))</f>
        <v>п.4.3.1, п.4.3.2, п.4.4, п.5.1, п.5.2, п.15</v>
      </c>
      <c r="J124" s="35" t="n">
        <f aca="false">IF(C124="","",IFERROR(INDEX(Перечень!$D$6:$D$52,MATCH(H124,Перечень!$A$6:$A$52,0)),12))</f>
        <v>12</v>
      </c>
      <c r="K124" s="40"/>
      <c r="L124" s="40"/>
      <c r="M124" s="37" t="str">
        <f aca="false">IF(AND(K124="",L124=""),"",EDATE(MAX(K124,L124),J124))</f>
        <v/>
      </c>
      <c r="N124" s="41" t="str">
        <f aca="false">IF(C124="","",IFERROR(INDEX(Перечень!$F$6:$F$52,MATCH(H124,Перечень!$A$6:$A$52,0)),""))</f>
        <v>-</v>
      </c>
      <c r="O124" s="40"/>
      <c r="P124" s="37" t="str">
        <f aca="false">IF(O124="","",EDATE(O124,60))</f>
        <v/>
      </c>
      <c r="Q124" s="41" t="str">
        <f aca="false">IF(AND(K124&lt;&gt;"",F124&lt;&gt;"",K124&gt;F124),"Да","")</f>
        <v/>
      </c>
      <c r="R124" s="41" t="str">
        <f aca="true">IF(C124="","",IF(M124="","Нет сведений",IF(M124&lt;TODAY(),"Просрочен",IF(M124-TODAY()&lt;=30,"Истекает","В срок"))))</f>
        <v>Нет сведений</v>
      </c>
      <c r="S124" s="41" t="str">
        <f aca="false">IF(AND(N124="Да",O124=""),"Не пройдено","")</f>
        <v/>
      </c>
    </row>
    <row r="125" customFormat="false" ht="14.25" hidden="false" customHeight="false" outlineLevel="0" collapsed="false">
      <c r="A125" s="35" t="n">
        <f aca="false">IF(C125="","",ROW()-5)</f>
        <v>120</v>
      </c>
      <c r="B125" s="36" t="s">
        <v>107</v>
      </c>
      <c r="C125" s="36" t="s">
        <v>305</v>
      </c>
      <c r="D125" s="36" t="s">
        <v>306</v>
      </c>
      <c r="E125" s="36" t="s">
        <v>292</v>
      </c>
      <c r="F125" s="37" t="n">
        <v>45974</v>
      </c>
      <c r="G125" s="38" t="str">
        <f aca="false">IF(C125="","",IF(TRIM(SUBSTITUTE(SUBSTITUTE(SUBSTITUTE(SUBSTITUTE(SUBSTITUTE(SUBSTITUTE(SUBSTITUTE(SUBSTITUTE(SUBSTITUTE(SUBSTITUTE(SUBSTITUTE(LOWER(TRIM(D125)),"ё","е"),"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категории",""))="инженер",IF(AND(ISNUMBER(SEARCH("техническ",E125)),ISNUMBER(SEARCH("контрол",E125))),"инженер отк",IF(ISNUMBER(SEARCH("диспетч",E125)),"инженер пдо",TRIM(SUBSTITUTE(SUBSTITUTE(SUBSTITUTE(SUBSTITUTE(SUBSTITUTE(SUBSTITUTE(SUBSTITUTE(SUBSTITUTE(SUBSTITUTE(SUBSTITUTE(SUBSTITUTE(LOWER(TRIM(D125)),"ё","е"),"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инженер",IF(ISNUMBER(SEARCH("диспетч",E125)),"ведущий инженер пдо",TRIM(SUBSTITUTE(SUBSTITUTE(SUBSTITUTE(SUBSTITUTE(SUBSTITUTE(SUBSTITUTE(SUBSTITUTE(SUBSTITUTE(SUBSTITUTE(SUBSTITUTE(SUBSTITUTE(LOWER(TRIM(D125)),"ё","е"),"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отк",TRIM(SUBSTITUTE(SUBSTITUTE(SUBSTITUTE(SUBSTITUTE(SUBSTITUTE(SUBSTITUTE(SUBSTITUTE(SUBSTITUTE(SUBSTITUTE(SUBSTITUTE(SUBSTITUTE(LOWER(TRIM(D125)),"ё","е"),"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125" s="35" t="n">
        <f aca="false">IF(C125="","",IF(AND(G125="мастер участка",ISNUMBER(SEARCH("РЭО",E125))),29,IFERROR(INDEX(Соответствие!$B$2:$B$100,MATCH(G125,Соответствие!$A$2:$A$100,0)),"?")))</f>
        <v>32</v>
      </c>
      <c r="I125" s="39" t="str">
        <f aca="false">IF(C125="","",IFERROR(INDEX(Перечень!$C$6:$C$52,MATCH(H125,Перечень!$A$6:$A$52,0)),""))</f>
        <v>п.4.3.1, п.4.3.2, п.4.4, п.5.1, п.15</v>
      </c>
      <c r="J125" s="35" t="n">
        <f aca="false">IF(C125="","",IFERROR(INDEX(Перечень!$D$6:$D$52,MATCH(H125,Перечень!$A$6:$A$52,0)),12))</f>
        <v>12</v>
      </c>
      <c r="K125" s="40"/>
      <c r="L125" s="40"/>
      <c r="M125" s="37" t="str">
        <f aca="false">IF(AND(K125="",L125=""),"",EDATE(MAX(K125,L125),J125))</f>
        <v/>
      </c>
      <c r="N125" s="41" t="str">
        <f aca="false">IF(C125="","",IFERROR(INDEX(Перечень!$F$6:$F$52,MATCH(H125,Перечень!$A$6:$A$52,0)),""))</f>
        <v>-</v>
      </c>
      <c r="O125" s="40"/>
      <c r="P125" s="37" t="str">
        <f aca="false">IF(O125="","",EDATE(O125,60))</f>
        <v/>
      </c>
      <c r="Q125" s="41" t="str">
        <f aca="false">IF(AND(K125&lt;&gt;"",F125&lt;&gt;"",K125&gt;F125),"Да","")</f>
        <v/>
      </c>
      <c r="R125" s="41" t="str">
        <f aca="true">IF(C125="","",IF(M125="","Нет сведений",IF(M125&lt;TODAY(),"Просрочен",IF(M125-TODAY()&lt;=30,"Истекает","В срок"))))</f>
        <v>Нет сведений</v>
      </c>
      <c r="S125" s="41" t="str">
        <f aca="false">IF(AND(N125="Да",O125=""),"Не пройдено","")</f>
        <v/>
      </c>
    </row>
    <row r="126" customFormat="false" ht="14.25" hidden="false" customHeight="false" outlineLevel="0" collapsed="false">
      <c r="A126" s="35" t="n">
        <f aca="false">IF(C126="","",ROW()-5)</f>
        <v>121</v>
      </c>
      <c r="B126" s="36" t="s">
        <v>107</v>
      </c>
      <c r="C126" s="36" t="s">
        <v>307</v>
      </c>
      <c r="D126" s="36" t="s">
        <v>306</v>
      </c>
      <c r="E126" s="36" t="s">
        <v>292</v>
      </c>
      <c r="F126" s="37" t="n">
        <v>45958</v>
      </c>
      <c r="G126" s="38" t="str">
        <f aca="false">IF(C126="","",IF(TRIM(SUBSTITUTE(SUBSTITUTE(SUBSTITUTE(SUBSTITUTE(SUBSTITUTE(SUBSTITUTE(SUBSTITUTE(SUBSTITUTE(SUBSTITUTE(SUBSTITUTE(SUBSTITUTE(LOWER(TRIM(D126)),"ё","е"),"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категории",""))="инженер",IF(AND(ISNUMBER(SEARCH("техническ",E126)),ISNUMBER(SEARCH("контрол",E126))),"инженер отк",IF(ISNUMBER(SEARCH("диспетч",E126)),"инженер пдо",TRIM(SUBSTITUTE(SUBSTITUTE(SUBSTITUTE(SUBSTITUTE(SUBSTITUTE(SUBSTITUTE(SUBSTITUTE(SUBSTITUTE(SUBSTITUTE(SUBSTITUTE(SUBSTITUTE(LOWER(TRIM(D126)),"ё","е"),"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инженер",IF(ISNUMBER(SEARCH("диспетч",E126)),"ведущий инженер пдо",TRIM(SUBSTITUTE(SUBSTITUTE(SUBSTITUTE(SUBSTITUTE(SUBSTITUTE(SUBSTITUTE(SUBSTITUTE(SUBSTITUTE(SUBSTITUTE(SUBSTITUTE(SUBSTITUTE(LOWER(TRIM(D126)),"ё","е"),"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отк",TRIM(SUBSTITUTE(SUBSTITUTE(SUBSTITUTE(SUBSTITUTE(SUBSTITUTE(SUBSTITUTE(SUBSTITUTE(SUBSTITUTE(SUBSTITUTE(SUBSTITUTE(SUBSTITUTE(LOWER(TRIM(D126)),"ё","е"),"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126" s="35" t="n">
        <f aca="false">IF(C126="","",IF(AND(G126="мастер участка",ISNUMBER(SEARCH("РЭО",E126))),29,IFERROR(INDEX(Соответствие!$B$2:$B$100,MATCH(G126,Соответствие!$A$2:$A$100,0)),"?")))</f>
        <v>32</v>
      </c>
      <c r="I126" s="39" t="str">
        <f aca="false">IF(C126="","",IFERROR(INDEX(Перечень!$C$6:$C$52,MATCH(H126,Перечень!$A$6:$A$52,0)),""))</f>
        <v>п.4.3.1, п.4.3.2, п.4.4, п.5.1, п.15</v>
      </c>
      <c r="J126" s="35" t="n">
        <f aca="false">IF(C126="","",IFERROR(INDEX(Перечень!$D$6:$D$52,MATCH(H126,Перечень!$A$6:$A$52,0)),12))</f>
        <v>12</v>
      </c>
      <c r="K126" s="40"/>
      <c r="L126" s="40"/>
      <c r="M126" s="37" t="str">
        <f aca="false">IF(AND(K126="",L126=""),"",EDATE(MAX(K126,L126),J126))</f>
        <v/>
      </c>
      <c r="N126" s="41" t="str">
        <f aca="false">IF(C126="","",IFERROR(INDEX(Перечень!$F$6:$F$52,MATCH(H126,Перечень!$A$6:$A$52,0)),""))</f>
        <v>-</v>
      </c>
      <c r="O126" s="40"/>
      <c r="P126" s="37" t="str">
        <f aca="false">IF(O126="","",EDATE(O126,60))</f>
        <v/>
      </c>
      <c r="Q126" s="41" t="str">
        <f aca="false">IF(AND(K126&lt;&gt;"",F126&lt;&gt;"",K126&gt;F126),"Да","")</f>
        <v/>
      </c>
      <c r="R126" s="41" t="str">
        <f aca="true">IF(C126="","",IF(M126="","Нет сведений",IF(M126&lt;TODAY(),"Просрочен",IF(M126-TODAY()&lt;=30,"Истекает","В срок"))))</f>
        <v>Нет сведений</v>
      </c>
      <c r="S126" s="41" t="str">
        <f aca="false">IF(AND(N126="Да",O126=""),"Не пройдено","")</f>
        <v/>
      </c>
    </row>
    <row r="127" customFormat="false" ht="14.25" hidden="false" customHeight="false" outlineLevel="0" collapsed="false">
      <c r="A127" s="35" t="n">
        <f aca="false">IF(C127="","",ROW()-5)</f>
        <v>122</v>
      </c>
      <c r="B127" s="36" t="s">
        <v>107</v>
      </c>
      <c r="C127" s="36" t="s">
        <v>308</v>
      </c>
      <c r="D127" s="36" t="s">
        <v>306</v>
      </c>
      <c r="E127" s="36" t="s">
        <v>292</v>
      </c>
      <c r="F127" s="37" t="n">
        <v>45833</v>
      </c>
      <c r="G127" s="38" t="str">
        <f aca="false">IF(C127="","",IF(TRIM(SUBSTITUTE(SUBSTITUTE(SUBSTITUTE(SUBSTITUTE(SUBSTITUTE(SUBSTITUTE(SUBSTITUTE(SUBSTITUTE(SUBSTITUTE(SUBSTITUTE(SUBSTITUTE(LOWER(TRIM(D127)),"ё","е"),"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категории",""))="инженер",IF(AND(ISNUMBER(SEARCH("техническ",E127)),ISNUMBER(SEARCH("контрол",E127))),"инженер отк",IF(ISNUMBER(SEARCH("диспетч",E127)),"инженер пдо",TRIM(SUBSTITUTE(SUBSTITUTE(SUBSTITUTE(SUBSTITUTE(SUBSTITUTE(SUBSTITUTE(SUBSTITUTE(SUBSTITUTE(SUBSTITUTE(SUBSTITUTE(SUBSTITUTE(LOWER(TRIM(D127)),"ё","е"),"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инженер",IF(ISNUMBER(SEARCH("диспетч",E127)),"ведущий инженер пдо",TRIM(SUBSTITUTE(SUBSTITUTE(SUBSTITUTE(SUBSTITUTE(SUBSTITUTE(SUBSTITUTE(SUBSTITUTE(SUBSTITUTE(SUBSTITUTE(SUBSTITUTE(SUBSTITUTE(LOWER(TRIM(D127)),"ё","е"),"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отк",TRIM(SUBSTITUTE(SUBSTITUTE(SUBSTITUTE(SUBSTITUTE(SUBSTITUTE(SUBSTITUTE(SUBSTITUTE(SUBSTITUTE(SUBSTITUTE(SUBSTITUTE(SUBSTITUTE(LOWER(TRIM(D127)),"ё","е"),"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127" s="35" t="n">
        <f aca="false">IF(C127="","",IF(AND(G127="мастер участка",ISNUMBER(SEARCH("РЭО",E127))),29,IFERROR(INDEX(Соответствие!$B$2:$B$100,MATCH(G127,Соответствие!$A$2:$A$100,0)),"?")))</f>
        <v>32</v>
      </c>
      <c r="I127" s="39" t="str">
        <f aca="false">IF(C127="","",IFERROR(INDEX(Перечень!$C$6:$C$52,MATCH(H127,Перечень!$A$6:$A$52,0)),""))</f>
        <v>п.4.3.1, п.4.3.2, п.4.4, п.5.1, п.15</v>
      </c>
      <c r="J127" s="35" t="n">
        <f aca="false">IF(C127="","",IFERROR(INDEX(Перечень!$D$6:$D$52,MATCH(H127,Перечень!$A$6:$A$52,0)),12))</f>
        <v>12</v>
      </c>
      <c r="K127" s="40"/>
      <c r="L127" s="40"/>
      <c r="M127" s="37" t="str">
        <f aca="false">IF(AND(K127="",L127=""),"",EDATE(MAX(K127,L127),J127))</f>
        <v/>
      </c>
      <c r="N127" s="41" t="str">
        <f aca="false">IF(C127="","",IFERROR(INDEX(Перечень!$F$6:$F$52,MATCH(H127,Перечень!$A$6:$A$52,0)),""))</f>
        <v>-</v>
      </c>
      <c r="O127" s="40"/>
      <c r="P127" s="37" t="str">
        <f aca="false">IF(O127="","",EDATE(O127,60))</f>
        <v/>
      </c>
      <c r="Q127" s="41" t="str">
        <f aca="false">IF(AND(K127&lt;&gt;"",F127&lt;&gt;"",K127&gt;F127),"Да","")</f>
        <v/>
      </c>
      <c r="R127" s="41" t="str">
        <f aca="true">IF(C127="","",IF(M127="","Нет сведений",IF(M127&lt;TODAY(),"Просрочен",IF(M127-TODAY()&lt;=30,"Истекает","В срок"))))</f>
        <v>Нет сведений</v>
      </c>
      <c r="S127" s="41" t="str">
        <f aca="false">IF(AND(N127="Да",O127=""),"Не пройдено","")</f>
        <v/>
      </c>
    </row>
    <row r="128" customFormat="false" ht="14.25" hidden="false" customHeight="false" outlineLevel="0" collapsed="false">
      <c r="A128" s="35" t="n">
        <f aca="false">IF(C128="","",ROW()-5)</f>
        <v>123</v>
      </c>
      <c r="B128" s="36" t="s">
        <v>107</v>
      </c>
      <c r="C128" s="36" t="s">
        <v>309</v>
      </c>
      <c r="D128" s="36" t="s">
        <v>306</v>
      </c>
      <c r="E128" s="36" t="s">
        <v>292</v>
      </c>
      <c r="F128" s="37" t="n">
        <v>45714</v>
      </c>
      <c r="G128" s="38" t="str">
        <f aca="false">IF(C128="","",IF(TRIM(SUBSTITUTE(SUBSTITUTE(SUBSTITUTE(SUBSTITUTE(SUBSTITUTE(SUBSTITUTE(SUBSTITUTE(SUBSTITUTE(SUBSTITUTE(SUBSTITUTE(SUBSTITUTE(LOWER(TRIM(D128)),"ё","е"),"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категории",""))="инженер",IF(AND(ISNUMBER(SEARCH("техническ",E128)),ISNUMBER(SEARCH("контрол",E128))),"инженер отк",IF(ISNUMBER(SEARCH("диспетч",E128)),"инженер пдо",TRIM(SUBSTITUTE(SUBSTITUTE(SUBSTITUTE(SUBSTITUTE(SUBSTITUTE(SUBSTITUTE(SUBSTITUTE(SUBSTITUTE(SUBSTITUTE(SUBSTITUTE(SUBSTITUTE(LOWER(TRIM(D128)),"ё","е"),"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инженер",IF(ISNUMBER(SEARCH("диспетч",E128)),"ведущий инженер пдо",TRIM(SUBSTITUTE(SUBSTITUTE(SUBSTITUTE(SUBSTITUTE(SUBSTITUTE(SUBSTITUTE(SUBSTITUTE(SUBSTITUTE(SUBSTITUTE(SUBSTITUTE(SUBSTITUTE(LOWER(TRIM(D128)),"ё","е"),"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отк",TRIM(SUBSTITUTE(SUBSTITUTE(SUBSTITUTE(SUBSTITUTE(SUBSTITUTE(SUBSTITUTE(SUBSTITUTE(SUBSTITUTE(SUBSTITUTE(SUBSTITUTE(SUBSTITUTE(LOWER(TRIM(D128)),"ё","е"),"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128" s="35" t="n">
        <f aca="false">IF(C128="","",IF(AND(G128="мастер участка",ISNUMBER(SEARCH("РЭО",E128))),29,IFERROR(INDEX(Соответствие!$B$2:$B$100,MATCH(G128,Соответствие!$A$2:$A$100,0)),"?")))</f>
        <v>32</v>
      </c>
      <c r="I128" s="39" t="str">
        <f aca="false">IF(C128="","",IFERROR(INDEX(Перечень!$C$6:$C$52,MATCH(H128,Перечень!$A$6:$A$52,0)),""))</f>
        <v>п.4.3.1, п.4.3.2, п.4.4, п.5.1, п.15</v>
      </c>
      <c r="J128" s="35" t="n">
        <f aca="false">IF(C128="","",IFERROR(INDEX(Перечень!$D$6:$D$52,MATCH(H128,Перечень!$A$6:$A$52,0)),12))</f>
        <v>12</v>
      </c>
      <c r="K128" s="40"/>
      <c r="L128" s="40"/>
      <c r="M128" s="37" t="str">
        <f aca="false">IF(AND(K128="",L128=""),"",EDATE(MAX(K128,L128),J128))</f>
        <v/>
      </c>
      <c r="N128" s="41" t="str">
        <f aca="false">IF(C128="","",IFERROR(INDEX(Перечень!$F$6:$F$52,MATCH(H128,Перечень!$A$6:$A$52,0)),""))</f>
        <v>-</v>
      </c>
      <c r="O128" s="40"/>
      <c r="P128" s="37" t="str">
        <f aca="false">IF(O128="","",EDATE(O128,60))</f>
        <v/>
      </c>
      <c r="Q128" s="41" t="str">
        <f aca="false">IF(AND(K128&lt;&gt;"",F128&lt;&gt;"",K128&gt;F128),"Да","")</f>
        <v/>
      </c>
      <c r="R128" s="41" t="str">
        <f aca="true">IF(C128="","",IF(M128="","Нет сведений",IF(M128&lt;TODAY(),"Просрочен",IF(M128-TODAY()&lt;=30,"Истекает","В срок"))))</f>
        <v>Нет сведений</v>
      </c>
      <c r="S128" s="41" t="str">
        <f aca="false">IF(AND(N128="Да",O128=""),"Не пройдено","")</f>
        <v/>
      </c>
    </row>
    <row r="129" customFormat="false" ht="14.25" hidden="false" customHeight="false" outlineLevel="0" collapsed="false">
      <c r="A129" s="35" t="n">
        <f aca="false">IF(C129="","",ROW()-5)</f>
        <v>124</v>
      </c>
      <c r="B129" s="36" t="s">
        <v>107</v>
      </c>
      <c r="C129" s="36" t="s">
        <v>310</v>
      </c>
      <c r="D129" s="36" t="s">
        <v>241</v>
      </c>
      <c r="E129" s="36" t="s">
        <v>311</v>
      </c>
      <c r="F129" s="37" t="n">
        <v>46132</v>
      </c>
      <c r="G129" s="38" t="str">
        <f aca="false">IF(C129="","",IF(TRIM(SUBSTITUTE(SUBSTITUTE(SUBSTITUTE(SUBSTITUTE(SUBSTITUTE(SUBSTITUTE(SUBSTITUTE(SUBSTITUTE(SUBSTITUTE(SUBSTITUTE(SUBSTITUTE(LOWER(TRIM(D129)),"ё","е"),"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категории",""))="инженер",IF(AND(ISNUMBER(SEARCH("техническ",E129)),ISNUMBER(SEARCH("контрол",E129))),"инженер отк",IF(ISNUMBER(SEARCH("диспетч",E129)),"инженер пдо",TRIM(SUBSTITUTE(SUBSTITUTE(SUBSTITUTE(SUBSTITUTE(SUBSTITUTE(SUBSTITUTE(SUBSTITUTE(SUBSTITUTE(SUBSTITUTE(SUBSTITUTE(SUBSTITUTE(LOWER(TRIM(D129)),"ё","е"),"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категории","")))),IF(TRIM(SUBSTITUTE(SUBSTITUTE(SUBSTITUTE(SUBSTITUTE(SUBSTITUTE(SUBSTITUTE(SUBSTITUTE(SUBSTITUTE(SUBSTITUTE(SUBSTITUTE(SUBSTITUTE(LOWER(TRIM(D129)),"ё","е"),"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инженер",IF(ISNUMBER(SEARCH("диспетч",E129)),"ведущий инженер пдо",TRIM(SUBSTITUTE(SUBSTITUTE(SUBSTITUTE(SUBSTITUTE(SUBSTITUTE(SUBSTITUTE(SUBSTITUTE(SUBSTITUTE(SUBSTITUTE(SUBSTITUTE(SUBSTITUTE(LOWER(TRIM(D129)),"ё","е"),"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категории",""))),IF(TRIM(SUBSTITUTE(SUBSTITUTE(SUBSTITUTE(SUBSTITUTE(SUBSTITUTE(SUBSTITUTE(SUBSTITUTE(SUBSTITUTE(SUBSTITUTE(SUBSTITUTE(SUBSTITUTE(LOWER(TRIM(D129)),"ё","е"),"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отк",TRIM(SUBSTITUTE(SUBSTITUTE(SUBSTITUTE(SUBSTITUTE(SUBSTITUTE(SUBSTITUTE(SUBSTITUTE(SUBSTITUTE(SUBSTITUTE(SUBSTITUTE(SUBSTITUTE(LOWER(TRIM(D129)),"ё","е")," -","-"),"- ","-")," 2 разряда","")," 3 разряда","")," 4 разряда","")," 5 разряда","")," 6 разряда","")," 1 категории","")," 2 категории","")," 3 категории",""))))))</f>
        <v>мастер участка</v>
      </c>
      <c r="H129" s="35" t="n">
        <f aca="false">IF(C129="","",IF(AND(G129="мастер участка",ISNUMBER(SEARCH("РЭО",E129))),29,IFERROR(INDEX(Соответствие!$B$2:$B$100,MATCH(G129,Соответствие!$A$2:$A$100,0)),"?")))</f>
        <v>29</v>
      </c>
      <c r="I129" s="39" t="str">
        <f aca="false">IF(C129="","",IFERROR(INDEX(Перечень!$C$6:$C$52,MATCH(H129,Перечень!$A$6:$A$52,0)),""))</f>
        <v>п.4.3.1, п.4.3.2, п.4.4, п.4.9, п.5.1, п.5.2, п.6.2, п.9</v>
      </c>
      <c r="J129" s="35" t="n">
        <f aca="false">IF(C129="","",IFERROR(INDEX(Перечень!$D$6:$D$52,MATCH(H129,Перечень!$A$6:$A$52,0)),12))</f>
        <v>12</v>
      </c>
      <c r="K129" s="40" t="n">
        <v>46108</v>
      </c>
      <c r="L129" s="40"/>
      <c r="M129" s="37" t="n">
        <f aca="false">IF(AND(K129="",L129=""),"",EDATE(MAX(K129,L129),J129))</f>
        <v>46473</v>
      </c>
      <c r="N129" s="41" t="str">
        <f aca="false">IF(C129="","",IFERROR(INDEX(Перечень!$F$6:$F$52,MATCH(H129,Перечень!$A$6:$A$52,0)),""))</f>
        <v>Да</v>
      </c>
      <c r="O129" s="40"/>
      <c r="P129" s="37" t="str">
        <f aca="false">IF(O129="","",EDATE(O129,60))</f>
        <v/>
      </c>
      <c r="Q129" s="41" t="str">
        <f aca="false">IF(AND(K129&lt;&gt;"",F129&lt;&gt;"",K129&gt;F129),"Да","")</f>
        <v/>
      </c>
      <c r="R129" s="41" t="str">
        <f aca="true">IF(C129="","",IF(M129="","Нет сведений",IF(M129&lt;TODAY(),"Просрочен",IF(M129-TODAY()&lt;=30,"Истекает","В срок"))))</f>
        <v>В срок</v>
      </c>
      <c r="S129" s="41" t="str">
        <f aca="false">IF(AND(N129="Да",O129=""),"Не пройдено","")</f>
        <v>Не пройдено</v>
      </c>
    </row>
    <row r="130" customFormat="false" ht="14.25" hidden="false" customHeight="false" outlineLevel="0" collapsed="false">
      <c r="A130" s="35" t="n">
        <f aca="false">IF(C130="","",ROW()-5)</f>
        <v>125</v>
      </c>
      <c r="B130" s="36" t="s">
        <v>107</v>
      </c>
      <c r="C130" s="36" t="s">
        <v>312</v>
      </c>
      <c r="D130" s="36" t="s">
        <v>162</v>
      </c>
      <c r="E130" s="36" t="s">
        <v>311</v>
      </c>
      <c r="F130" s="37" t="n">
        <v>45846</v>
      </c>
      <c r="G130" s="38" t="str">
        <f aca="false">IF(C130="","",IF(TRIM(SUBSTITUTE(SUBSTITUTE(SUBSTITUTE(SUBSTITUTE(SUBSTITUTE(SUBSTITUTE(SUBSTITUTE(SUBSTITUTE(SUBSTITUTE(SUBSTITUTE(SUBSTITUTE(LOWER(TRIM(D130)),"ё","е"),"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категории",""))="инженер",IF(AND(ISNUMBER(SEARCH("техническ",E130)),ISNUMBER(SEARCH("контрол",E130))),"инженер отк",IF(ISNUMBER(SEARCH("диспетч",E130)),"инженер пдо",TRIM(SUBSTITUTE(SUBSTITUTE(SUBSTITUTE(SUBSTITUTE(SUBSTITUTE(SUBSTITUTE(SUBSTITUTE(SUBSTITUTE(SUBSTITUTE(SUBSTITUTE(SUBSTITUTE(LOWER(TRIM(D130)),"ё","е"),"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инженер",IF(ISNUMBER(SEARCH("диспетч",E130)),"ведущий инженер пдо",TRIM(SUBSTITUTE(SUBSTITUTE(SUBSTITUTE(SUBSTITUTE(SUBSTITUTE(SUBSTITUTE(SUBSTITUTE(SUBSTITUTE(SUBSTITUTE(SUBSTITUTE(SUBSTITUTE(LOWER(TRIM(D130)),"ё","е"),"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отк",TRIM(SUBSTITUTE(SUBSTITUTE(SUBSTITUTE(SUBSTITUTE(SUBSTITUTE(SUBSTITUTE(SUBSTITUTE(SUBSTITUTE(SUBSTITUTE(SUBSTITUTE(SUBSTITUTE(LOWER(TRIM(D130)),"ё","е"),"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130" s="35" t="n">
        <f aca="false">IF(C130="","",IF(AND(G130="мастер участка",ISNUMBER(SEARCH("РЭО",E130))),29,IFERROR(INDEX(Соответствие!$B$2:$B$100,MATCH(G130,Соответствие!$A$2:$A$100,0)),"?")))</f>
        <v>20</v>
      </c>
      <c r="I130" s="39" t="str">
        <f aca="false">IF(C130="","",IFERROR(INDEX(Перечень!$C$6:$C$52,MATCH(H130,Перечень!$A$6:$A$52,0)),""))</f>
        <v>п.4.3.1, п.4.3.2, п.4.4, п.4.9, п.5.1, п.5.2, п.6.2, п.9</v>
      </c>
      <c r="J130" s="35" t="n">
        <f aca="false">IF(C130="","",IFERROR(INDEX(Перечень!$D$6:$D$52,MATCH(H130,Перечень!$A$6:$A$52,0)),12))</f>
        <v>12</v>
      </c>
      <c r="K130" s="40" t="n">
        <v>45840</v>
      </c>
      <c r="L130" s="40"/>
      <c r="M130" s="37" t="n">
        <f aca="false">IF(AND(K130="",L130=""),"",EDATE(MAX(K130,L130),J130))</f>
        <v>46205</v>
      </c>
      <c r="N130" s="41" t="str">
        <f aca="false">IF(C130="","",IFERROR(INDEX(Перечень!$F$6:$F$52,MATCH(H130,Перечень!$A$6:$A$52,0)),""))</f>
        <v>Да</v>
      </c>
      <c r="O130" s="40"/>
      <c r="P130" s="37" t="str">
        <f aca="false">IF(O130="","",EDATE(O130,60))</f>
        <v/>
      </c>
      <c r="Q130" s="41" t="str">
        <f aca="false">IF(AND(K130&lt;&gt;"",F130&lt;&gt;"",K130&gt;F130),"Да","")</f>
        <v/>
      </c>
      <c r="R130" s="41" t="str">
        <f aca="true">IF(C130="","",IF(M130="","Нет сведений",IF(M130&lt;TODAY(),"Просрочен",IF(M130-TODAY()&lt;=30,"Истекает","В срок"))))</f>
        <v>Просрочен</v>
      </c>
      <c r="S130" s="41" t="str">
        <f aca="false">IF(AND(N130="Да",O130=""),"Не пройдено","")</f>
        <v>Не пройдено</v>
      </c>
    </row>
    <row r="131" customFormat="false" ht="14.25" hidden="false" customHeight="false" outlineLevel="0" collapsed="false">
      <c r="A131" s="35" t="n">
        <f aca="false">IF(C131="","",ROW()-5)</f>
        <v>126</v>
      </c>
      <c r="B131" s="36" t="s">
        <v>107</v>
      </c>
      <c r="C131" s="36" t="s">
        <v>313</v>
      </c>
      <c r="D131" s="36" t="s">
        <v>162</v>
      </c>
      <c r="E131" s="36" t="s">
        <v>311</v>
      </c>
      <c r="F131" s="37" t="n">
        <v>45958</v>
      </c>
      <c r="G131" s="38" t="str">
        <f aca="false">IF(C131="","",IF(TRIM(SUBSTITUTE(SUBSTITUTE(SUBSTITUTE(SUBSTITUTE(SUBSTITUTE(SUBSTITUTE(SUBSTITUTE(SUBSTITUTE(SUBSTITUTE(SUBSTITUTE(SUBSTITUTE(LOWER(TRIM(D131)),"ё","е"),"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категории",""))="инженер",IF(AND(ISNUMBER(SEARCH("техническ",E131)),ISNUMBER(SEARCH("контрол",E131))),"инженер отк",IF(ISNUMBER(SEARCH("диспетч",E131)),"инженер пдо",TRIM(SUBSTITUTE(SUBSTITUTE(SUBSTITUTE(SUBSTITUTE(SUBSTITUTE(SUBSTITUTE(SUBSTITUTE(SUBSTITUTE(SUBSTITUTE(SUBSTITUTE(SUBSTITUTE(LOWER(TRIM(D131)),"ё","е"),"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инженер",IF(ISNUMBER(SEARCH("диспетч",E131)),"ведущий инженер пдо",TRIM(SUBSTITUTE(SUBSTITUTE(SUBSTITUTE(SUBSTITUTE(SUBSTITUTE(SUBSTITUTE(SUBSTITUTE(SUBSTITUTE(SUBSTITUTE(SUBSTITUTE(SUBSTITUTE(LOWER(TRIM(D131)),"ё","е"),"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отк",TRIM(SUBSTITUTE(SUBSTITUTE(SUBSTITUTE(SUBSTITUTE(SUBSTITUTE(SUBSTITUTE(SUBSTITUTE(SUBSTITUTE(SUBSTITUTE(SUBSTITUTE(SUBSTITUTE(LOWER(TRIM(D131)),"ё","е"),"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131" s="35" t="n">
        <f aca="false">IF(C131="","",IF(AND(G131="мастер участка",ISNUMBER(SEARCH("РЭО",E131))),29,IFERROR(INDEX(Соответствие!$B$2:$B$100,MATCH(G131,Соответствие!$A$2:$A$100,0)),"?")))</f>
        <v>20</v>
      </c>
      <c r="I131" s="39" t="str">
        <f aca="false">IF(C131="","",IFERROR(INDEX(Перечень!$C$6:$C$52,MATCH(H131,Перечень!$A$6:$A$52,0)),""))</f>
        <v>п.4.3.1, п.4.3.2, п.4.4, п.4.9, п.5.1, п.5.2, п.6.2, п.9</v>
      </c>
      <c r="J131" s="35" t="n">
        <f aca="false">IF(C131="","",IFERROR(INDEX(Перечень!$D$6:$D$52,MATCH(H131,Перечень!$A$6:$A$52,0)),12))</f>
        <v>12</v>
      </c>
      <c r="K131" s="40"/>
      <c r="L131" s="40"/>
      <c r="M131" s="37" t="str">
        <f aca="false">IF(AND(K131="",L131=""),"",EDATE(MAX(K131,L131),J131))</f>
        <v/>
      </c>
      <c r="N131" s="41" t="str">
        <f aca="false">IF(C131="","",IFERROR(INDEX(Перечень!$F$6:$F$52,MATCH(H131,Перечень!$A$6:$A$52,0)),""))</f>
        <v>Да</v>
      </c>
      <c r="O131" s="40"/>
      <c r="P131" s="37" t="str">
        <f aca="false">IF(O131="","",EDATE(O131,60))</f>
        <v/>
      </c>
      <c r="Q131" s="41" t="str">
        <f aca="false">IF(AND(K131&lt;&gt;"",F131&lt;&gt;"",K131&gt;F131),"Да","")</f>
        <v/>
      </c>
      <c r="R131" s="41" t="str">
        <f aca="true">IF(C131="","",IF(M131="","Нет сведений",IF(M131&lt;TODAY(),"Просрочен",IF(M131-TODAY()&lt;=30,"Истекает","В срок"))))</f>
        <v>Нет сведений</v>
      </c>
      <c r="S131" s="41" t="str">
        <f aca="false">IF(AND(N131="Да",O131=""),"Не пройдено","")</f>
        <v>Не пройдено</v>
      </c>
    </row>
    <row r="132" customFormat="false" ht="14.25" hidden="false" customHeight="false" outlineLevel="0" collapsed="false">
      <c r="A132" s="35" t="n">
        <f aca="false">IF(C132="","",ROW()-5)</f>
        <v>127</v>
      </c>
      <c r="B132" s="36" t="s">
        <v>107</v>
      </c>
      <c r="C132" s="36" t="s">
        <v>314</v>
      </c>
      <c r="D132" s="36" t="s">
        <v>162</v>
      </c>
      <c r="E132" s="36" t="s">
        <v>311</v>
      </c>
      <c r="F132" s="37" t="n">
        <v>43313</v>
      </c>
      <c r="G132" s="38" t="str">
        <f aca="false">IF(C132="","",IF(TRIM(SUBSTITUTE(SUBSTITUTE(SUBSTITUTE(SUBSTITUTE(SUBSTITUTE(SUBSTITUTE(SUBSTITUTE(SUBSTITUTE(SUBSTITUTE(SUBSTITUTE(SUBSTITUTE(LOWER(TRIM(D132)),"ё","е"),"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категории",""))="инженер",IF(AND(ISNUMBER(SEARCH("техническ",E132)),ISNUMBER(SEARCH("контрол",E132))),"инженер отк",IF(ISNUMBER(SEARCH("диспетч",E132)),"инженер пдо",TRIM(SUBSTITUTE(SUBSTITUTE(SUBSTITUTE(SUBSTITUTE(SUBSTITUTE(SUBSTITUTE(SUBSTITUTE(SUBSTITUTE(SUBSTITUTE(SUBSTITUTE(SUBSTITUTE(LOWER(TRIM(D132)),"ё","е"),"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инженер",IF(ISNUMBER(SEARCH("диспетч",E132)),"ведущий инженер пдо",TRIM(SUBSTITUTE(SUBSTITUTE(SUBSTITUTE(SUBSTITUTE(SUBSTITUTE(SUBSTITUTE(SUBSTITUTE(SUBSTITUTE(SUBSTITUTE(SUBSTITUTE(SUBSTITUTE(LOWER(TRIM(D132)),"ё","е"),"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отк",TRIM(SUBSTITUTE(SUBSTITUTE(SUBSTITUTE(SUBSTITUTE(SUBSTITUTE(SUBSTITUTE(SUBSTITUTE(SUBSTITUTE(SUBSTITUTE(SUBSTITUTE(SUBSTITUTE(LOWER(TRIM(D132)),"ё","е"),"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132" s="35" t="n">
        <f aca="false">IF(C132="","",IF(AND(G132="мастер участка",ISNUMBER(SEARCH("РЭО",E132))),29,IFERROR(INDEX(Соответствие!$B$2:$B$100,MATCH(G132,Соответствие!$A$2:$A$100,0)),"?")))</f>
        <v>20</v>
      </c>
      <c r="I132" s="39" t="str">
        <f aca="false">IF(C132="","",IFERROR(INDEX(Перечень!$C$6:$C$52,MATCH(H132,Перечень!$A$6:$A$52,0)),""))</f>
        <v>п.4.3.1, п.4.3.2, п.4.4, п.4.9, п.5.1, п.5.2, п.6.2, п.9</v>
      </c>
      <c r="J132" s="35" t="n">
        <f aca="false">IF(C132="","",IFERROR(INDEX(Перечень!$D$6:$D$52,MATCH(H132,Перечень!$A$6:$A$52,0)),12))</f>
        <v>12</v>
      </c>
      <c r="K132" s="40"/>
      <c r="L132" s="40"/>
      <c r="M132" s="37" t="str">
        <f aca="false">IF(AND(K132="",L132=""),"",EDATE(MAX(K132,L132),J132))</f>
        <v/>
      </c>
      <c r="N132" s="41" t="str">
        <f aca="false">IF(C132="","",IFERROR(INDEX(Перечень!$F$6:$F$52,MATCH(H132,Перечень!$A$6:$A$52,0)),""))</f>
        <v>Да</v>
      </c>
      <c r="O132" s="40"/>
      <c r="P132" s="37" t="str">
        <f aca="false">IF(O132="","",EDATE(O132,60))</f>
        <v/>
      </c>
      <c r="Q132" s="41" t="str">
        <f aca="false">IF(AND(K132&lt;&gt;"",F132&lt;&gt;"",K132&gt;F132),"Да","")</f>
        <v/>
      </c>
      <c r="R132" s="41" t="str">
        <f aca="true">IF(C132="","",IF(M132="","Нет сведений",IF(M132&lt;TODAY(),"Просрочен",IF(M132-TODAY()&lt;=30,"Истекает","В срок"))))</f>
        <v>Нет сведений</v>
      </c>
      <c r="S132" s="41" t="str">
        <f aca="false">IF(AND(N132="Да",O132=""),"Не пройдено","")</f>
        <v>Не пройдено</v>
      </c>
    </row>
    <row r="133" customFormat="false" ht="14.25" hidden="false" customHeight="false" outlineLevel="0" collapsed="false">
      <c r="A133" s="35" t="n">
        <f aca="false">IF(C133="","",ROW()-5)</f>
        <v>128</v>
      </c>
      <c r="B133" s="36" t="s">
        <v>107</v>
      </c>
      <c r="C133" s="36" t="s">
        <v>315</v>
      </c>
      <c r="D133" s="36" t="s">
        <v>162</v>
      </c>
      <c r="E133" s="36" t="s">
        <v>311</v>
      </c>
      <c r="F133" s="37" t="n">
        <v>42289</v>
      </c>
      <c r="G133" s="38" t="str">
        <f aca="false">IF(C133="","",IF(TRIM(SUBSTITUTE(SUBSTITUTE(SUBSTITUTE(SUBSTITUTE(SUBSTITUTE(SUBSTITUTE(SUBSTITUTE(SUBSTITUTE(SUBSTITUTE(SUBSTITUTE(SUBSTITUTE(LOWER(TRIM(D133)),"ё","е"),"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категории",""))="инженер",IF(AND(ISNUMBER(SEARCH("техническ",E133)),ISNUMBER(SEARCH("контрол",E133))),"инженер отк",IF(ISNUMBER(SEARCH("диспетч",E133)),"инженер пдо",TRIM(SUBSTITUTE(SUBSTITUTE(SUBSTITUTE(SUBSTITUTE(SUBSTITUTE(SUBSTITUTE(SUBSTITUTE(SUBSTITUTE(SUBSTITUTE(SUBSTITUTE(SUBSTITUTE(LOWER(TRIM(D133)),"ё","е"),"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инженер",IF(ISNUMBER(SEARCH("диспетч",E133)),"ведущий инженер пдо",TRIM(SUBSTITUTE(SUBSTITUTE(SUBSTITUTE(SUBSTITUTE(SUBSTITUTE(SUBSTITUTE(SUBSTITUTE(SUBSTITUTE(SUBSTITUTE(SUBSTITUTE(SUBSTITUTE(LOWER(TRIM(D133)),"ё","е"),"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отк",TRIM(SUBSTITUTE(SUBSTITUTE(SUBSTITUTE(SUBSTITUTE(SUBSTITUTE(SUBSTITUTE(SUBSTITUTE(SUBSTITUTE(SUBSTITUTE(SUBSTITUTE(SUBSTITUTE(LOWER(TRIM(D133)),"ё","е"),"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133" s="35" t="n">
        <f aca="false">IF(C133="","",IF(AND(G133="мастер участка",ISNUMBER(SEARCH("РЭО",E133))),29,IFERROR(INDEX(Соответствие!$B$2:$B$100,MATCH(G133,Соответствие!$A$2:$A$100,0)),"?")))</f>
        <v>20</v>
      </c>
      <c r="I133" s="39" t="str">
        <f aca="false">IF(C133="","",IFERROR(INDEX(Перечень!$C$6:$C$52,MATCH(H133,Перечень!$A$6:$A$52,0)),""))</f>
        <v>п.4.3.1, п.4.3.2, п.4.4, п.4.9, п.5.1, п.5.2, п.6.2, п.9</v>
      </c>
      <c r="J133" s="35" t="n">
        <f aca="false">IF(C133="","",IFERROR(INDEX(Перечень!$D$6:$D$52,MATCH(H133,Перечень!$A$6:$A$52,0)),12))</f>
        <v>12</v>
      </c>
      <c r="K133" s="40"/>
      <c r="L133" s="40"/>
      <c r="M133" s="37" t="str">
        <f aca="false">IF(AND(K133="",L133=""),"",EDATE(MAX(K133,L133),J133))</f>
        <v/>
      </c>
      <c r="N133" s="41" t="str">
        <f aca="false">IF(C133="","",IFERROR(INDEX(Перечень!$F$6:$F$52,MATCH(H133,Перечень!$A$6:$A$52,0)),""))</f>
        <v>Да</v>
      </c>
      <c r="O133" s="40"/>
      <c r="P133" s="37" t="str">
        <f aca="false">IF(O133="","",EDATE(O133,60))</f>
        <v/>
      </c>
      <c r="Q133" s="41" t="str">
        <f aca="false">IF(AND(K133&lt;&gt;"",F133&lt;&gt;"",K133&gt;F133),"Да","")</f>
        <v/>
      </c>
      <c r="R133" s="41" t="str">
        <f aca="true">IF(C133="","",IF(M133="","Нет сведений",IF(M133&lt;TODAY(),"Просрочен",IF(M133-TODAY()&lt;=30,"Истекает","В срок"))))</f>
        <v>Нет сведений</v>
      </c>
      <c r="S133" s="41" t="str">
        <f aca="false">IF(AND(N133="Да",O133=""),"Не пройдено","")</f>
        <v>Не пройдено</v>
      </c>
    </row>
    <row r="134" customFormat="false" ht="14.25" hidden="false" customHeight="false" outlineLevel="0" collapsed="false">
      <c r="A134" s="35" t="n">
        <f aca="false">IF(C134="","",ROW()-5)</f>
        <v>129</v>
      </c>
      <c r="B134" s="36" t="s">
        <v>107</v>
      </c>
      <c r="C134" s="36" t="s">
        <v>316</v>
      </c>
      <c r="D134" s="36" t="s">
        <v>317</v>
      </c>
      <c r="E134" s="36" t="s">
        <v>318</v>
      </c>
      <c r="F134" s="37" t="n">
        <v>39419</v>
      </c>
      <c r="G134" s="38" t="str">
        <f aca="false">IF(C134="","",IF(TRIM(SUBSTITUTE(SUBSTITUTE(SUBSTITUTE(SUBSTITUTE(SUBSTITUTE(SUBSTITUTE(SUBSTITUTE(SUBSTITUTE(SUBSTITUTE(SUBSTITUTE(SUBSTITUTE(LOWER(TRIM(D134)),"ё","е"),"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категории",""))="инженер",IF(AND(ISNUMBER(SEARCH("техническ",E134)),ISNUMBER(SEARCH("контрол",E134))),"инженер отк",IF(ISNUMBER(SEARCH("диспетч",E134)),"инженер пдо",TRIM(SUBSTITUTE(SUBSTITUTE(SUBSTITUTE(SUBSTITUTE(SUBSTITUTE(SUBSTITUTE(SUBSTITUTE(SUBSTITUTE(SUBSTITUTE(SUBSTITUTE(SUBSTITUTE(LOWER(TRIM(D134)),"ё","е"),"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инженер",IF(ISNUMBER(SEARCH("диспетч",E134)),"ведущий инженер пдо",TRIM(SUBSTITUTE(SUBSTITUTE(SUBSTITUTE(SUBSTITUTE(SUBSTITUTE(SUBSTITUTE(SUBSTITUTE(SUBSTITUTE(SUBSTITUTE(SUBSTITUTE(SUBSTITUTE(LOWER(TRIM(D134)),"ё","е"),"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отк",TRIM(SUBSTITUTE(SUBSTITUTE(SUBSTITUTE(SUBSTITUTE(SUBSTITUTE(SUBSTITUTE(SUBSTITUTE(SUBSTITUTE(SUBSTITUTE(SUBSTITUTE(SUBSTITUTE(LOWER(TRIM(D134)),"ё","е"),"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34" s="35" t="n">
        <f aca="false">IF(C134="","",IF(AND(G134="мастер участка",ISNUMBER(SEARCH("РЭО",E134))),29,IFERROR(INDEX(Соответствие!$B$2:$B$100,MATCH(G134,Соответствие!$A$2:$A$100,0)),"?")))</f>
        <v>21</v>
      </c>
      <c r="I134" s="39" t="str">
        <f aca="false">IF(C134="","",IFERROR(INDEX(Перечень!$C$6:$C$52,MATCH(H134,Перечень!$A$6:$A$52,0)),""))</f>
        <v>п.1.49.2, п.1.49.14, п.4.3.1, п.4.3.2, п.4.4, п.5.1, п.15</v>
      </c>
      <c r="J134" s="35" t="n">
        <f aca="false">IF(C134="","",IFERROR(INDEX(Перечень!$D$6:$D$52,MATCH(H134,Перечень!$A$6:$A$52,0)),12))</f>
        <v>12</v>
      </c>
      <c r="K134" s="40"/>
      <c r="L134" s="40"/>
      <c r="M134" s="37" t="str">
        <f aca="false">IF(AND(K134="",L134=""),"",EDATE(MAX(K134,L134),J134))</f>
        <v/>
      </c>
      <c r="N134" s="41" t="str">
        <f aca="false">IF(C134="","",IFERROR(INDEX(Перечень!$F$6:$F$52,MATCH(H134,Перечень!$A$6:$A$52,0)),""))</f>
        <v>-</v>
      </c>
      <c r="O134" s="40"/>
      <c r="P134" s="37" t="str">
        <f aca="false">IF(O134="","",EDATE(O134,60))</f>
        <v/>
      </c>
      <c r="Q134" s="41" t="str">
        <f aca="false">IF(AND(K134&lt;&gt;"",F134&lt;&gt;"",K134&gt;F134),"Да","")</f>
        <v/>
      </c>
      <c r="R134" s="41" t="str">
        <f aca="true">IF(C134="","",IF(M134="","Нет сведений",IF(M134&lt;TODAY(),"Просрочен",IF(M134-TODAY()&lt;=30,"Истекает","В срок"))))</f>
        <v>Нет сведений</v>
      </c>
      <c r="S134" s="41" t="str">
        <f aca="false">IF(AND(N134="Да",O134=""),"Не пройдено","")</f>
        <v/>
      </c>
    </row>
    <row r="135" customFormat="false" ht="14.25" hidden="false" customHeight="false" outlineLevel="0" collapsed="false">
      <c r="A135" s="35" t="n">
        <f aca="false">IF(C135="","",ROW()-5)</f>
        <v>130</v>
      </c>
      <c r="B135" s="36" t="s">
        <v>107</v>
      </c>
      <c r="C135" s="36" t="s">
        <v>319</v>
      </c>
      <c r="D135" s="36" t="s">
        <v>317</v>
      </c>
      <c r="E135" s="36" t="s">
        <v>318</v>
      </c>
      <c r="F135" s="37" t="n">
        <v>39753</v>
      </c>
      <c r="G135" s="38" t="str">
        <f aca="false">IF(C135="","",IF(TRIM(SUBSTITUTE(SUBSTITUTE(SUBSTITUTE(SUBSTITUTE(SUBSTITUTE(SUBSTITUTE(SUBSTITUTE(SUBSTITUTE(SUBSTITUTE(SUBSTITUTE(SUBSTITUTE(LOWER(TRIM(D135)),"ё","е"),"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категории",""))="инженер",IF(AND(ISNUMBER(SEARCH("техническ",E135)),ISNUMBER(SEARCH("контрол",E135))),"инженер отк",IF(ISNUMBER(SEARCH("диспетч",E135)),"инженер пдо",TRIM(SUBSTITUTE(SUBSTITUTE(SUBSTITUTE(SUBSTITUTE(SUBSTITUTE(SUBSTITUTE(SUBSTITUTE(SUBSTITUTE(SUBSTITUTE(SUBSTITUTE(SUBSTITUTE(LOWER(TRIM(D135)),"ё","е"),"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инженер",IF(ISNUMBER(SEARCH("диспетч",E135)),"ведущий инженер пдо",TRIM(SUBSTITUTE(SUBSTITUTE(SUBSTITUTE(SUBSTITUTE(SUBSTITUTE(SUBSTITUTE(SUBSTITUTE(SUBSTITUTE(SUBSTITUTE(SUBSTITUTE(SUBSTITUTE(LOWER(TRIM(D135)),"ё","е"),"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отк",TRIM(SUBSTITUTE(SUBSTITUTE(SUBSTITUTE(SUBSTITUTE(SUBSTITUTE(SUBSTITUTE(SUBSTITUTE(SUBSTITUTE(SUBSTITUTE(SUBSTITUTE(SUBSTITUTE(LOWER(TRIM(D135)),"ё","е"),"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35" s="35" t="n">
        <f aca="false">IF(C135="","",IF(AND(G135="мастер участка",ISNUMBER(SEARCH("РЭО",E135))),29,IFERROR(INDEX(Соответствие!$B$2:$B$100,MATCH(G135,Соответствие!$A$2:$A$100,0)),"?")))</f>
        <v>21</v>
      </c>
      <c r="I135" s="39" t="str">
        <f aca="false">IF(C135="","",IFERROR(INDEX(Перечень!$C$6:$C$52,MATCH(H135,Перечень!$A$6:$A$52,0)),""))</f>
        <v>п.1.49.2, п.1.49.14, п.4.3.1, п.4.3.2, п.4.4, п.5.1, п.15</v>
      </c>
      <c r="J135" s="35" t="n">
        <f aca="false">IF(C135="","",IFERROR(INDEX(Перечень!$D$6:$D$52,MATCH(H135,Перечень!$A$6:$A$52,0)),12))</f>
        <v>12</v>
      </c>
      <c r="K135" s="40"/>
      <c r="L135" s="40"/>
      <c r="M135" s="37" t="str">
        <f aca="false">IF(AND(K135="",L135=""),"",EDATE(MAX(K135,L135),J135))</f>
        <v/>
      </c>
      <c r="N135" s="41" t="str">
        <f aca="false">IF(C135="","",IFERROR(INDEX(Перечень!$F$6:$F$52,MATCH(H135,Перечень!$A$6:$A$52,0)),""))</f>
        <v>-</v>
      </c>
      <c r="O135" s="40"/>
      <c r="P135" s="37" t="str">
        <f aca="false">IF(O135="","",EDATE(O135,60))</f>
        <v/>
      </c>
      <c r="Q135" s="41" t="str">
        <f aca="false">IF(AND(K135&lt;&gt;"",F135&lt;&gt;"",K135&gt;F135),"Да","")</f>
        <v/>
      </c>
      <c r="R135" s="41" t="str">
        <f aca="true">IF(C135="","",IF(M135="","Нет сведений",IF(M135&lt;TODAY(),"Просрочен",IF(M135-TODAY()&lt;=30,"Истекает","В срок"))))</f>
        <v>Нет сведений</v>
      </c>
      <c r="S135" s="41" t="str">
        <f aca="false">IF(AND(N135="Да",O135=""),"Не пройдено","")</f>
        <v/>
      </c>
    </row>
    <row r="136" customFormat="false" ht="14.25" hidden="false" customHeight="false" outlineLevel="0" collapsed="false">
      <c r="A136" s="35" t="n">
        <f aca="false">IF(C136="","",ROW()-5)</f>
        <v>131</v>
      </c>
      <c r="B136" s="36" t="s">
        <v>107</v>
      </c>
      <c r="C136" s="36" t="s">
        <v>320</v>
      </c>
      <c r="D136" s="36" t="s">
        <v>317</v>
      </c>
      <c r="E136" s="36" t="s">
        <v>318</v>
      </c>
      <c r="F136" s="37" t="n">
        <v>43276</v>
      </c>
      <c r="G136" s="38" t="str">
        <f aca="false">IF(C136="","",IF(TRIM(SUBSTITUTE(SUBSTITUTE(SUBSTITUTE(SUBSTITUTE(SUBSTITUTE(SUBSTITUTE(SUBSTITUTE(SUBSTITUTE(SUBSTITUTE(SUBSTITUTE(SUBSTITUTE(LOWER(TRIM(D136)),"ё","е"),"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категории",""))="инженер",IF(AND(ISNUMBER(SEARCH("техническ",E136)),ISNUMBER(SEARCH("контрол",E136))),"инженер отк",IF(ISNUMBER(SEARCH("диспетч",E136)),"инженер пдо",TRIM(SUBSTITUTE(SUBSTITUTE(SUBSTITUTE(SUBSTITUTE(SUBSTITUTE(SUBSTITUTE(SUBSTITUTE(SUBSTITUTE(SUBSTITUTE(SUBSTITUTE(SUBSTITUTE(LOWER(TRIM(D136)),"ё","е"),"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инженер",IF(ISNUMBER(SEARCH("диспетч",E136)),"ведущий инженер пдо",TRIM(SUBSTITUTE(SUBSTITUTE(SUBSTITUTE(SUBSTITUTE(SUBSTITUTE(SUBSTITUTE(SUBSTITUTE(SUBSTITUTE(SUBSTITUTE(SUBSTITUTE(SUBSTITUTE(LOWER(TRIM(D136)),"ё","е"),"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отк",TRIM(SUBSTITUTE(SUBSTITUTE(SUBSTITUTE(SUBSTITUTE(SUBSTITUTE(SUBSTITUTE(SUBSTITUTE(SUBSTITUTE(SUBSTITUTE(SUBSTITUTE(SUBSTITUTE(LOWER(TRIM(D136)),"ё","е"),"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36" s="35" t="n">
        <f aca="false">IF(C136="","",IF(AND(G136="мастер участка",ISNUMBER(SEARCH("РЭО",E136))),29,IFERROR(INDEX(Соответствие!$B$2:$B$100,MATCH(G136,Соответствие!$A$2:$A$100,0)),"?")))</f>
        <v>21</v>
      </c>
      <c r="I136" s="39" t="str">
        <f aca="false">IF(C136="","",IFERROR(INDEX(Перечень!$C$6:$C$52,MATCH(H136,Перечень!$A$6:$A$52,0)),""))</f>
        <v>п.1.49.2, п.1.49.14, п.4.3.1, п.4.3.2, п.4.4, п.5.1, п.15</v>
      </c>
      <c r="J136" s="35" t="n">
        <f aca="false">IF(C136="","",IFERROR(INDEX(Перечень!$D$6:$D$52,MATCH(H136,Перечень!$A$6:$A$52,0)),12))</f>
        <v>12</v>
      </c>
      <c r="K136" s="40"/>
      <c r="L136" s="40"/>
      <c r="M136" s="37" t="str">
        <f aca="false">IF(AND(K136="",L136=""),"",EDATE(MAX(K136,L136),J136))</f>
        <v/>
      </c>
      <c r="N136" s="41" t="str">
        <f aca="false">IF(C136="","",IFERROR(INDEX(Перечень!$F$6:$F$52,MATCH(H136,Перечень!$A$6:$A$52,0)),""))</f>
        <v>-</v>
      </c>
      <c r="O136" s="40"/>
      <c r="P136" s="37" t="str">
        <f aca="false">IF(O136="","",EDATE(O136,60))</f>
        <v/>
      </c>
      <c r="Q136" s="41" t="str">
        <f aca="false">IF(AND(K136&lt;&gt;"",F136&lt;&gt;"",K136&gt;F136),"Да","")</f>
        <v/>
      </c>
      <c r="R136" s="41" t="str">
        <f aca="true">IF(C136="","",IF(M136="","Нет сведений",IF(M136&lt;TODAY(),"Просрочен",IF(M136-TODAY()&lt;=30,"Истекает","В срок"))))</f>
        <v>Нет сведений</v>
      </c>
      <c r="S136" s="41" t="str">
        <f aca="false">IF(AND(N136="Да",O136=""),"Не пройдено","")</f>
        <v/>
      </c>
    </row>
    <row r="137" customFormat="false" ht="14.25" hidden="false" customHeight="false" outlineLevel="0" collapsed="false">
      <c r="A137" s="35" t="n">
        <f aca="false">IF(C137="","",ROW()-5)</f>
        <v>132</v>
      </c>
      <c r="B137" s="36" t="s">
        <v>107</v>
      </c>
      <c r="C137" s="36" t="s">
        <v>321</v>
      </c>
      <c r="D137" s="36" t="s">
        <v>322</v>
      </c>
      <c r="E137" s="36" t="s">
        <v>318</v>
      </c>
      <c r="F137" s="37" t="n">
        <v>41381</v>
      </c>
      <c r="G137" s="38" t="str">
        <f aca="false">IF(C137="","",IF(TRIM(SUBSTITUTE(SUBSTITUTE(SUBSTITUTE(SUBSTITUTE(SUBSTITUTE(SUBSTITUTE(SUBSTITUTE(SUBSTITUTE(SUBSTITUTE(SUBSTITUTE(SUBSTITUTE(LOWER(TRIM(D137)),"ё","е"),"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категории",""))="инженер",IF(AND(ISNUMBER(SEARCH("техническ",E137)),ISNUMBER(SEARCH("контрол",E137))),"инженер отк",IF(ISNUMBER(SEARCH("диспетч",E137)),"инженер пдо",TRIM(SUBSTITUTE(SUBSTITUTE(SUBSTITUTE(SUBSTITUTE(SUBSTITUTE(SUBSTITUTE(SUBSTITUTE(SUBSTITUTE(SUBSTITUTE(SUBSTITUTE(SUBSTITUTE(LOWER(TRIM(D137)),"ё","е"),"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инженер",IF(ISNUMBER(SEARCH("диспетч",E137)),"ведущий инженер пдо",TRIM(SUBSTITUTE(SUBSTITUTE(SUBSTITUTE(SUBSTITUTE(SUBSTITUTE(SUBSTITUTE(SUBSTITUTE(SUBSTITUTE(SUBSTITUTE(SUBSTITUTE(SUBSTITUTE(LOWER(TRIM(D137)),"ё","е"),"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отк",TRIM(SUBSTITUTE(SUBSTITUTE(SUBSTITUTE(SUBSTITUTE(SUBSTITUTE(SUBSTITUTE(SUBSTITUTE(SUBSTITUTE(SUBSTITUTE(SUBSTITUTE(SUBSTITUTE(LOWER(TRIM(D137)),"ё","е"),"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37" s="35" t="n">
        <f aca="false">IF(C137="","",IF(AND(G137="мастер участка",ISNUMBER(SEARCH("РЭО",E137))),29,IFERROR(INDEX(Соответствие!$B$2:$B$100,MATCH(G137,Соответствие!$A$2:$A$100,0)),"?")))</f>
        <v>21</v>
      </c>
      <c r="I137" s="39" t="str">
        <f aca="false">IF(C137="","",IFERROR(INDEX(Перечень!$C$6:$C$52,MATCH(H137,Перечень!$A$6:$A$52,0)),""))</f>
        <v>п.1.49.2, п.1.49.14, п.4.3.1, п.4.3.2, п.4.4, п.5.1, п.15</v>
      </c>
      <c r="J137" s="35" t="n">
        <f aca="false">IF(C137="","",IFERROR(INDEX(Перечень!$D$6:$D$52,MATCH(H137,Перечень!$A$6:$A$52,0)),12))</f>
        <v>12</v>
      </c>
      <c r="K137" s="40"/>
      <c r="L137" s="40"/>
      <c r="M137" s="37" t="str">
        <f aca="false">IF(AND(K137="",L137=""),"",EDATE(MAX(K137,L137),J137))</f>
        <v/>
      </c>
      <c r="N137" s="41" t="str">
        <f aca="false">IF(C137="","",IFERROR(INDEX(Перечень!$F$6:$F$52,MATCH(H137,Перечень!$A$6:$A$52,0)),""))</f>
        <v>-</v>
      </c>
      <c r="O137" s="40"/>
      <c r="P137" s="37" t="str">
        <f aca="false">IF(O137="","",EDATE(O137,60))</f>
        <v/>
      </c>
      <c r="Q137" s="41" t="str">
        <f aca="false">IF(AND(K137&lt;&gt;"",F137&lt;&gt;"",K137&gt;F137),"Да","")</f>
        <v/>
      </c>
      <c r="R137" s="41" t="str">
        <f aca="true">IF(C137="","",IF(M137="","Нет сведений",IF(M137&lt;TODAY(),"Просрочен",IF(M137-TODAY()&lt;=30,"Истекает","В срок"))))</f>
        <v>Нет сведений</v>
      </c>
      <c r="S137" s="41" t="str">
        <f aca="false">IF(AND(N137="Да",O137=""),"Не пройдено","")</f>
        <v/>
      </c>
    </row>
    <row r="138" customFormat="false" ht="14.25" hidden="false" customHeight="false" outlineLevel="0" collapsed="false">
      <c r="A138" s="35" t="n">
        <f aca="false">IF(C138="","",ROW()-5)</f>
        <v>133</v>
      </c>
      <c r="B138" s="36" t="s">
        <v>107</v>
      </c>
      <c r="C138" s="36" t="s">
        <v>323</v>
      </c>
      <c r="D138" s="36" t="s">
        <v>324</v>
      </c>
      <c r="E138" s="36" t="s">
        <v>318</v>
      </c>
      <c r="F138" s="37" t="n">
        <v>45616</v>
      </c>
      <c r="G138" s="38" t="str">
        <f aca="false">IF(C138="","",IF(TRIM(SUBSTITUTE(SUBSTITUTE(SUBSTITUTE(SUBSTITUTE(SUBSTITUTE(SUBSTITUTE(SUBSTITUTE(SUBSTITUTE(SUBSTITUTE(SUBSTITUTE(SUBSTITUTE(LOWER(TRIM(D138)),"ё","е"),"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категории",""))="инженер",IF(AND(ISNUMBER(SEARCH("техническ",E138)),ISNUMBER(SEARCH("контрол",E138))),"инженер отк",IF(ISNUMBER(SEARCH("диспетч",E138)),"инженер пдо",TRIM(SUBSTITUTE(SUBSTITUTE(SUBSTITUTE(SUBSTITUTE(SUBSTITUTE(SUBSTITUTE(SUBSTITUTE(SUBSTITUTE(SUBSTITUTE(SUBSTITUTE(SUBSTITUTE(LOWER(TRIM(D138)),"ё","е"),"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инженер",IF(ISNUMBER(SEARCH("диспетч",E138)),"ведущий инженер пдо",TRIM(SUBSTITUTE(SUBSTITUTE(SUBSTITUTE(SUBSTITUTE(SUBSTITUTE(SUBSTITUTE(SUBSTITUTE(SUBSTITUTE(SUBSTITUTE(SUBSTITUTE(SUBSTITUTE(LOWER(TRIM(D138)),"ё","е"),"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отк",TRIM(SUBSTITUTE(SUBSTITUTE(SUBSTITUTE(SUBSTITUTE(SUBSTITUTE(SUBSTITUTE(SUBSTITUTE(SUBSTITUTE(SUBSTITUTE(SUBSTITUTE(SUBSTITUTE(LOWER(TRIM(D138)),"ё","е")," -","-"),"- ","-")," 2 разряда","")," 3 разряда","")," 4 разряда","")," 5 разряда","")," 6 разряда","")," 1 категории","")," 2 категории","")," 3 категории",""))))))</f>
        <v>столяр</v>
      </c>
      <c r="H138" s="35" t="n">
        <f aca="false">IF(C138="","",IF(AND(G138="мастер участка",ISNUMBER(SEARCH("РЭО",E138))),29,IFERROR(INDEX(Соответствие!$B$2:$B$100,MATCH(G138,Соответствие!$A$2:$A$100,0)),"?")))</f>
        <v>21</v>
      </c>
      <c r="I138" s="39" t="str">
        <f aca="false">IF(C138="","",IFERROR(INDEX(Перечень!$C$6:$C$52,MATCH(H138,Перечень!$A$6:$A$52,0)),""))</f>
        <v>п.1.49.2, п.1.49.14, п.4.3.1, п.4.3.2, п.4.4, п.5.1, п.15</v>
      </c>
      <c r="J138" s="35" t="n">
        <f aca="false">IF(C138="","",IFERROR(INDEX(Перечень!$D$6:$D$52,MATCH(H138,Перечень!$A$6:$A$52,0)),12))</f>
        <v>12</v>
      </c>
      <c r="K138" s="40"/>
      <c r="L138" s="40"/>
      <c r="M138" s="37" t="str">
        <f aca="false">IF(AND(K138="",L138=""),"",EDATE(MAX(K138,L138),J138))</f>
        <v/>
      </c>
      <c r="N138" s="41" t="str">
        <f aca="false">IF(C138="","",IFERROR(INDEX(Перечень!$F$6:$F$52,MATCH(H138,Перечень!$A$6:$A$52,0)),""))</f>
        <v>-</v>
      </c>
      <c r="O138" s="40"/>
      <c r="P138" s="37" t="str">
        <f aca="false">IF(O138="","",EDATE(O138,60))</f>
        <v/>
      </c>
      <c r="Q138" s="41" t="str">
        <f aca="false">IF(AND(K138&lt;&gt;"",F138&lt;&gt;"",K138&gt;F138),"Да","")</f>
        <v/>
      </c>
      <c r="R138" s="41" t="str">
        <f aca="true">IF(C138="","",IF(M138="","Нет сведений",IF(M138&lt;TODAY(),"Просрочен",IF(M138-TODAY()&lt;=30,"Истекает","В срок"))))</f>
        <v>Нет сведений</v>
      </c>
      <c r="S138" s="41" t="str">
        <f aca="false">IF(AND(N138="Да",O138=""),"Не пройдено","")</f>
        <v/>
      </c>
    </row>
    <row r="139" customFormat="false" ht="14.25" hidden="false" customHeight="false" outlineLevel="0" collapsed="false">
      <c r="A139" s="35" t="n">
        <f aca="false">IF(C139="","",ROW()-5)</f>
        <v>134</v>
      </c>
      <c r="B139" s="36" t="s">
        <v>107</v>
      </c>
      <c r="C139" s="36" t="s">
        <v>325</v>
      </c>
      <c r="D139" s="36" t="s">
        <v>326</v>
      </c>
      <c r="E139" s="36" t="s">
        <v>318</v>
      </c>
      <c r="F139" s="37" t="n">
        <v>46149</v>
      </c>
      <c r="G139" s="38" t="str">
        <f aca="false">IF(C139="","",IF(TRIM(SUBSTITUTE(SUBSTITUTE(SUBSTITUTE(SUBSTITUTE(SUBSTITUTE(SUBSTITUTE(SUBSTITUTE(SUBSTITUTE(SUBSTITUTE(SUBSTITUTE(SUBSTITUTE(LOWER(TRIM(D139)),"ё","е"),"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категории",""))="инженер",IF(AND(ISNUMBER(SEARCH("техническ",E139)),ISNUMBER(SEARCH("контрол",E139))),"инженер отк",IF(ISNUMBER(SEARCH("диспетч",E139)),"инженер пдо",TRIM(SUBSTITUTE(SUBSTITUTE(SUBSTITUTE(SUBSTITUTE(SUBSTITUTE(SUBSTITUTE(SUBSTITUTE(SUBSTITUTE(SUBSTITUTE(SUBSTITUTE(SUBSTITUTE(LOWER(TRIM(D139)),"ё","е"),"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категории","")))),IF(TRIM(SUBSTITUTE(SUBSTITUTE(SUBSTITUTE(SUBSTITUTE(SUBSTITUTE(SUBSTITUTE(SUBSTITUTE(SUBSTITUTE(SUBSTITUTE(SUBSTITUTE(SUBSTITUTE(LOWER(TRIM(D139)),"ё","е"),"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инженер",IF(ISNUMBER(SEARCH("диспетч",E139)),"ведущий инженер пдо",TRIM(SUBSTITUTE(SUBSTITUTE(SUBSTITUTE(SUBSTITUTE(SUBSTITUTE(SUBSTITUTE(SUBSTITUTE(SUBSTITUTE(SUBSTITUTE(SUBSTITUTE(SUBSTITUTE(LOWER(TRIM(D139)),"ё","е"),"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категории",""))),IF(TRIM(SUBSTITUTE(SUBSTITUTE(SUBSTITUTE(SUBSTITUTE(SUBSTITUTE(SUBSTITUTE(SUBSTITUTE(SUBSTITUTE(SUBSTITUTE(SUBSTITUTE(SUBSTITUTE(LOWER(TRIM(D139)),"ё","е"),"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отк",TRIM(SUBSTITUTE(SUBSTITUTE(SUBSTITUTE(SUBSTITUTE(SUBSTITUTE(SUBSTITUTE(SUBSTITUTE(SUBSTITUTE(SUBSTITUTE(SUBSTITUTE(SUBSTITUTE(LOWER(TRIM(D139)),"ё","е"),"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39" s="35" t="n">
        <f aca="false">IF(C139="","",IF(AND(G139="мастер участка",ISNUMBER(SEARCH("РЭО",E139))),29,IFERROR(INDEX(Соответствие!$B$2:$B$100,MATCH(G139,Соответствие!$A$2:$A$100,0)),"?")))</f>
        <v>21</v>
      </c>
      <c r="I139" s="39" t="str">
        <f aca="false">IF(C139="","",IFERROR(INDEX(Перечень!$C$6:$C$52,MATCH(H139,Перечень!$A$6:$A$52,0)),""))</f>
        <v>п.1.49.2, п.1.49.14, п.4.3.1, п.4.3.2, п.4.4, п.5.1, п.15</v>
      </c>
      <c r="J139" s="35" t="n">
        <f aca="false">IF(C139="","",IFERROR(INDEX(Перечень!$D$6:$D$52,MATCH(H139,Перечень!$A$6:$A$52,0)),12))</f>
        <v>12</v>
      </c>
      <c r="K139" s="40"/>
      <c r="L139" s="40"/>
      <c r="M139" s="37" t="str">
        <f aca="false">IF(AND(K139="",L139=""),"",EDATE(MAX(K139,L139),J139))</f>
        <v/>
      </c>
      <c r="N139" s="41" t="str">
        <f aca="false">IF(C139="","",IFERROR(INDEX(Перечень!$F$6:$F$52,MATCH(H139,Перечень!$A$6:$A$52,0)),""))</f>
        <v>-</v>
      </c>
      <c r="O139" s="40"/>
      <c r="P139" s="37" t="str">
        <f aca="false">IF(O139="","",EDATE(O139,60))</f>
        <v/>
      </c>
      <c r="Q139" s="41" t="str">
        <f aca="false">IF(AND(K139&lt;&gt;"",F139&lt;&gt;"",K139&gt;F139),"Да","")</f>
        <v/>
      </c>
      <c r="R139" s="41" t="str">
        <f aca="true">IF(C139="","",IF(M139="","Нет сведений",IF(M139&lt;TODAY(),"Просрочен",IF(M139-TODAY()&lt;=30,"Истекает","В срок"))))</f>
        <v>Нет сведений</v>
      </c>
      <c r="S139" s="41" t="str">
        <f aca="false">IF(AND(N139="Да",O139=""),"Не пройдено","")</f>
        <v/>
      </c>
    </row>
    <row r="140" customFormat="false" ht="14.25" hidden="false" customHeight="false" outlineLevel="0" collapsed="false">
      <c r="A140" s="35" t="n">
        <f aca="false">IF(C140="","",ROW()-5)</f>
        <v>135</v>
      </c>
      <c r="B140" s="36" t="s">
        <v>107</v>
      </c>
      <c r="C140" s="36" t="s">
        <v>327</v>
      </c>
      <c r="D140" s="36" t="s">
        <v>328</v>
      </c>
      <c r="E140" s="36" t="s">
        <v>318</v>
      </c>
      <c r="F140" s="37" t="n">
        <v>43678</v>
      </c>
      <c r="G140" s="38" t="str">
        <f aca="false">IF(C140="","",IF(TRIM(SUBSTITUTE(SUBSTITUTE(SUBSTITUTE(SUBSTITUTE(SUBSTITUTE(SUBSTITUTE(SUBSTITUTE(SUBSTITUTE(SUBSTITUTE(SUBSTITUTE(SUBSTITUTE(LOWER(TRIM(D140)),"ё","е"),"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категории",""))="инженер",IF(AND(ISNUMBER(SEARCH("техническ",E140)),ISNUMBER(SEARCH("контрол",E140))),"инженер отк",IF(ISNUMBER(SEARCH("диспетч",E140)),"инженер пдо",TRIM(SUBSTITUTE(SUBSTITUTE(SUBSTITUTE(SUBSTITUTE(SUBSTITUTE(SUBSTITUTE(SUBSTITUTE(SUBSTITUTE(SUBSTITUTE(SUBSTITUTE(SUBSTITUTE(LOWER(TRIM(D140)),"ё","е"),"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инженер",IF(ISNUMBER(SEARCH("диспетч",E140)),"ведущий инженер пдо",TRIM(SUBSTITUTE(SUBSTITUTE(SUBSTITUTE(SUBSTITUTE(SUBSTITUTE(SUBSTITUTE(SUBSTITUTE(SUBSTITUTE(SUBSTITUTE(SUBSTITUTE(SUBSTITUTE(LOWER(TRIM(D140)),"ё","е"),"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отк",TRIM(SUBSTITUTE(SUBSTITUTE(SUBSTITUTE(SUBSTITUTE(SUBSTITUTE(SUBSTITUTE(SUBSTITUTE(SUBSTITUTE(SUBSTITUTE(SUBSTITUTE(SUBSTITUTE(LOWER(TRIM(D140)),"ё","е")," -","-"),"- ","-")," 2 разряда","")," 3 разряда","")," 4 разряда","")," 5 разряда","")," 6 разряда","")," 1 категории","")," 2 категории","")," 3 категории",""))))))</f>
        <v>оператор станков с чпу</v>
      </c>
      <c r="H140" s="35" t="n">
        <f aca="false">IF(C140="","",IF(AND(G140="мастер участка",ISNUMBER(SEARCH("РЭО",E140))),29,IFERROR(INDEX(Соответствие!$B$2:$B$100,MATCH(G140,Соответствие!$A$2:$A$100,0)),"?")))</f>
        <v>30</v>
      </c>
      <c r="I140" s="39" t="str">
        <f aca="false">IF(C140="","",IFERROR(INDEX(Перечень!$C$6:$C$52,MATCH(H140,Перечень!$A$6:$A$52,0)),""))</f>
        <v>п.4.3.1, п.4.3.2, п.4.4, п.5.1, п.5.2, п.15</v>
      </c>
      <c r="J140" s="35" t="n">
        <f aca="false">IF(C140="","",IFERROR(INDEX(Перечень!$D$6:$D$52,MATCH(H140,Перечень!$A$6:$A$52,0)),12))</f>
        <v>12</v>
      </c>
      <c r="K140" s="40"/>
      <c r="L140" s="40"/>
      <c r="M140" s="37" t="str">
        <f aca="false">IF(AND(K140="",L140=""),"",EDATE(MAX(K140,L140),J140))</f>
        <v/>
      </c>
      <c r="N140" s="41" t="str">
        <f aca="false">IF(C140="","",IFERROR(INDEX(Перечень!$F$6:$F$52,MATCH(H140,Перечень!$A$6:$A$52,0)),""))</f>
        <v>-</v>
      </c>
      <c r="O140" s="40"/>
      <c r="P140" s="37" t="str">
        <f aca="false">IF(O140="","",EDATE(O140,60))</f>
        <v/>
      </c>
      <c r="Q140" s="41" t="str">
        <f aca="false">IF(AND(K140&lt;&gt;"",F140&lt;&gt;"",K140&gt;F140),"Да","")</f>
        <v/>
      </c>
      <c r="R140" s="41" t="str">
        <f aca="true">IF(C140="","",IF(M140="","Нет сведений",IF(M140&lt;TODAY(),"Просрочен",IF(M140-TODAY()&lt;=30,"Истекает","В срок"))))</f>
        <v>Нет сведений</v>
      </c>
      <c r="S140" s="41" t="str">
        <f aca="false">IF(AND(N140="Да",O140=""),"Не пройдено","")</f>
        <v/>
      </c>
    </row>
    <row r="141" customFormat="false" ht="14.25" hidden="false" customHeight="false" outlineLevel="0" collapsed="false">
      <c r="A141" s="35" t="n">
        <f aca="false">IF(C141="","",ROW()-5)</f>
        <v>136</v>
      </c>
      <c r="B141" s="36" t="s">
        <v>107</v>
      </c>
      <c r="C141" s="36" t="s">
        <v>329</v>
      </c>
      <c r="D141" s="36" t="s">
        <v>241</v>
      </c>
      <c r="E141" s="36" t="s">
        <v>318</v>
      </c>
      <c r="F141" s="37" t="n">
        <v>45768</v>
      </c>
      <c r="G141" s="38" t="str">
        <f aca="false">IF(C141="","",IF(TRIM(SUBSTITUTE(SUBSTITUTE(SUBSTITUTE(SUBSTITUTE(SUBSTITUTE(SUBSTITUTE(SUBSTITUTE(SUBSTITUTE(SUBSTITUTE(SUBSTITUTE(SUBSTITUTE(LOWER(TRIM(D141)),"ё","е"),"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категории",""))="инженер",IF(AND(ISNUMBER(SEARCH("техническ",E141)),ISNUMBER(SEARCH("контрол",E141))),"инженер отк",IF(ISNUMBER(SEARCH("диспетч",E141)),"инженер пдо",TRIM(SUBSTITUTE(SUBSTITUTE(SUBSTITUTE(SUBSTITUTE(SUBSTITUTE(SUBSTITUTE(SUBSTITUTE(SUBSTITUTE(SUBSTITUTE(SUBSTITUTE(SUBSTITUTE(LOWER(TRIM(D141)),"ё","е"),"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инженер",IF(ISNUMBER(SEARCH("диспетч",E141)),"ведущий инженер пдо",TRIM(SUBSTITUTE(SUBSTITUTE(SUBSTITUTE(SUBSTITUTE(SUBSTITUTE(SUBSTITUTE(SUBSTITUTE(SUBSTITUTE(SUBSTITUTE(SUBSTITUTE(SUBSTITUTE(LOWER(TRIM(D141)),"ё","е"),"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отк",TRIM(SUBSTITUTE(SUBSTITUTE(SUBSTITUTE(SUBSTITUTE(SUBSTITUTE(SUBSTITUTE(SUBSTITUTE(SUBSTITUTE(SUBSTITUTE(SUBSTITUTE(SUBSTITUTE(LOWER(TRIM(D141)),"ё","е")," -","-"),"- ","-")," 2 разряда","")," 3 разряда","")," 4 разряда","")," 5 разряда","")," 6 разряда","")," 1 категории","")," 2 категории","")," 3 категории",""))))))</f>
        <v>мастер участка</v>
      </c>
      <c r="H141" s="35" t="n">
        <f aca="false">IF(C141="","",IF(AND(G141="мастер участка",ISNUMBER(SEARCH("РЭО",E141))),29,IFERROR(INDEX(Соответствие!$B$2:$B$100,MATCH(G141,Соответствие!$A$2:$A$100,0)),"?")))</f>
        <v>18</v>
      </c>
      <c r="I141" s="39" t="str">
        <f aca="false">IF(C141="","",IFERROR(INDEX(Перечень!$C$6:$C$52,MATCH(H141,Перечень!$A$6:$A$52,0)),""))</f>
        <v>п.4.4, п.5.2</v>
      </c>
      <c r="J141" s="35" t="n">
        <f aca="false">IF(C141="","",IFERROR(INDEX(Перечень!$D$6:$D$52,MATCH(H141,Перечень!$A$6:$A$52,0)),12))</f>
        <v>12</v>
      </c>
      <c r="K141" s="40"/>
      <c r="L141" s="40"/>
      <c r="M141" s="37" t="str">
        <f aca="false">IF(AND(K141="",L141=""),"",EDATE(MAX(K141,L141),J141))</f>
        <v/>
      </c>
      <c r="N141" s="41" t="str">
        <f aca="false">IF(C141="","",IFERROR(INDEX(Перечень!$F$6:$F$52,MATCH(H141,Перечень!$A$6:$A$52,0)),""))</f>
        <v>-</v>
      </c>
      <c r="O141" s="40"/>
      <c r="P141" s="37" t="str">
        <f aca="false">IF(O141="","",EDATE(O141,60))</f>
        <v/>
      </c>
      <c r="Q141" s="41" t="str">
        <f aca="false">IF(AND(K141&lt;&gt;"",F141&lt;&gt;"",K141&gt;F141),"Да","")</f>
        <v/>
      </c>
      <c r="R141" s="41" t="str">
        <f aca="true">IF(C141="","",IF(M141="","Нет сведений",IF(M141&lt;TODAY(),"Просрочен",IF(M141-TODAY()&lt;=30,"Истекает","В срок"))))</f>
        <v>Нет сведений</v>
      </c>
      <c r="S141" s="41" t="str">
        <f aca="false">IF(AND(N141="Да",O141=""),"Не пройдено","")</f>
        <v/>
      </c>
    </row>
    <row r="142" customFormat="false" ht="14.25" hidden="false" customHeight="false" outlineLevel="0" collapsed="false">
      <c r="A142" s="35" t="n">
        <f aca="false">IF(C142="","",ROW()-5)</f>
        <v>137</v>
      </c>
      <c r="B142" s="36" t="s">
        <v>107</v>
      </c>
      <c r="C142" s="36" t="s">
        <v>330</v>
      </c>
      <c r="D142" s="36" t="s">
        <v>241</v>
      </c>
      <c r="E142" s="36" t="s">
        <v>318</v>
      </c>
      <c r="F142" s="37" t="n">
        <v>39359</v>
      </c>
      <c r="G142" s="38" t="str">
        <f aca="false">IF(C142="","",IF(TRIM(SUBSTITUTE(SUBSTITUTE(SUBSTITUTE(SUBSTITUTE(SUBSTITUTE(SUBSTITUTE(SUBSTITUTE(SUBSTITUTE(SUBSTITUTE(SUBSTITUTE(SUBSTITUTE(LOWER(TRIM(D142)),"ё","е"),"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категории",""))="инженер",IF(AND(ISNUMBER(SEARCH("техническ",E142)),ISNUMBER(SEARCH("контрол",E142))),"инженер отк",IF(ISNUMBER(SEARCH("диспетч",E142)),"инженер пдо",TRIM(SUBSTITUTE(SUBSTITUTE(SUBSTITUTE(SUBSTITUTE(SUBSTITUTE(SUBSTITUTE(SUBSTITUTE(SUBSTITUTE(SUBSTITUTE(SUBSTITUTE(SUBSTITUTE(LOWER(TRIM(D142)),"ё","е"),"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инженер",IF(ISNUMBER(SEARCH("диспетч",E142)),"ведущий инженер пдо",TRIM(SUBSTITUTE(SUBSTITUTE(SUBSTITUTE(SUBSTITUTE(SUBSTITUTE(SUBSTITUTE(SUBSTITUTE(SUBSTITUTE(SUBSTITUTE(SUBSTITUTE(SUBSTITUTE(LOWER(TRIM(D142)),"ё","е"),"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отк",TRIM(SUBSTITUTE(SUBSTITUTE(SUBSTITUTE(SUBSTITUTE(SUBSTITUTE(SUBSTITUTE(SUBSTITUTE(SUBSTITUTE(SUBSTITUTE(SUBSTITUTE(SUBSTITUTE(LOWER(TRIM(D142)),"ё","е")," -","-"),"- ","-")," 2 разряда","")," 3 разряда","")," 4 разряда","")," 5 разряда","")," 6 разряда","")," 1 категории","")," 2 категории","")," 3 категории",""))))))</f>
        <v>мастер участка</v>
      </c>
      <c r="H142" s="35" t="n">
        <f aca="false">IF(C142="","",IF(AND(G142="мастер участка",ISNUMBER(SEARCH("РЭО",E142))),29,IFERROR(INDEX(Соответствие!$B$2:$B$100,MATCH(G142,Соответствие!$A$2:$A$100,0)),"?")))</f>
        <v>18</v>
      </c>
      <c r="I142" s="39" t="str">
        <f aca="false">IF(C142="","",IFERROR(INDEX(Перечень!$C$6:$C$52,MATCH(H142,Перечень!$A$6:$A$52,0)),""))</f>
        <v>п.4.4, п.5.2</v>
      </c>
      <c r="J142" s="35" t="n">
        <f aca="false">IF(C142="","",IFERROR(INDEX(Перечень!$D$6:$D$52,MATCH(H142,Перечень!$A$6:$A$52,0)),12))</f>
        <v>12</v>
      </c>
      <c r="K142" s="40"/>
      <c r="L142" s="40"/>
      <c r="M142" s="37" t="str">
        <f aca="false">IF(AND(K142="",L142=""),"",EDATE(MAX(K142,L142),J142))</f>
        <v/>
      </c>
      <c r="N142" s="41" t="str">
        <f aca="false">IF(C142="","",IFERROR(INDEX(Перечень!$F$6:$F$52,MATCH(H142,Перечень!$A$6:$A$52,0)),""))</f>
        <v>-</v>
      </c>
      <c r="O142" s="40"/>
      <c r="P142" s="37" t="str">
        <f aca="false">IF(O142="","",EDATE(O142,60))</f>
        <v/>
      </c>
      <c r="Q142" s="41" t="str">
        <f aca="false">IF(AND(K142&lt;&gt;"",F142&lt;&gt;"",K142&gt;F142),"Да","")</f>
        <v/>
      </c>
      <c r="R142" s="41" t="str">
        <f aca="true">IF(C142="","",IF(M142="","Нет сведений",IF(M142&lt;TODAY(),"Просрочен",IF(M142-TODAY()&lt;=30,"Истекает","В срок"))))</f>
        <v>Нет сведений</v>
      </c>
      <c r="S142" s="41" t="str">
        <f aca="false">IF(AND(N142="Да",O142=""),"Не пройдено","")</f>
        <v/>
      </c>
    </row>
    <row r="143" customFormat="false" ht="14.25" hidden="false" customHeight="false" outlineLevel="0" collapsed="false">
      <c r="A143" s="35" t="n">
        <f aca="false">IF(C143="","",ROW()-5)</f>
        <v>138</v>
      </c>
      <c r="B143" s="36" t="s">
        <v>107</v>
      </c>
      <c r="C143" s="36" t="s">
        <v>331</v>
      </c>
      <c r="D143" s="36" t="s">
        <v>278</v>
      </c>
      <c r="E143" s="36" t="s">
        <v>318</v>
      </c>
      <c r="F143" s="37" t="n">
        <v>40148</v>
      </c>
      <c r="G143" s="38" t="str">
        <f aca="false">IF(C143="","",IF(TRIM(SUBSTITUTE(SUBSTITUTE(SUBSTITUTE(SUBSTITUTE(SUBSTITUTE(SUBSTITUTE(SUBSTITUTE(SUBSTITUTE(SUBSTITUTE(SUBSTITUTE(SUBSTITUTE(LOWER(TRIM(D143)),"ё","е"),"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категории",""))="инженер",IF(AND(ISNUMBER(SEARCH("техническ",E143)),ISNUMBER(SEARCH("контрол",E143))),"инженер отк",IF(ISNUMBER(SEARCH("диспетч",E143)),"инженер пдо",TRIM(SUBSTITUTE(SUBSTITUTE(SUBSTITUTE(SUBSTITUTE(SUBSTITUTE(SUBSTITUTE(SUBSTITUTE(SUBSTITUTE(SUBSTITUTE(SUBSTITUTE(SUBSTITUTE(LOWER(TRIM(D143)),"ё","е"),"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инженер",IF(ISNUMBER(SEARCH("диспетч",E143)),"ведущий инженер пдо",TRIM(SUBSTITUTE(SUBSTITUTE(SUBSTITUTE(SUBSTITUTE(SUBSTITUTE(SUBSTITUTE(SUBSTITUTE(SUBSTITUTE(SUBSTITUTE(SUBSTITUTE(SUBSTITUTE(LOWER(TRIM(D143)),"ё","е"),"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отк",TRIM(SUBSTITUTE(SUBSTITUTE(SUBSTITUTE(SUBSTITUTE(SUBSTITUTE(SUBSTITUTE(SUBSTITUTE(SUBSTITUTE(SUBSTITUTE(SUBSTITUTE(SUBSTITUTE(LOWER(TRIM(D143)),"ё","е")," -","-"),"- ","-")," 2 разряда","")," 3 разряда","")," 4 разряда","")," 5 разряда","")," 6 разряда","")," 1 категории","")," 2 категории","")," 3 категории",""))))))</f>
        <v>оператор станков с чпу</v>
      </c>
      <c r="H143" s="35" t="n">
        <f aca="false">IF(C143="","",IF(AND(G143="мастер участка",ISNUMBER(SEARCH("РЭО",E143))),29,IFERROR(INDEX(Соответствие!$B$2:$B$100,MATCH(G143,Соответствие!$A$2:$A$100,0)),"?")))</f>
        <v>30</v>
      </c>
      <c r="I143" s="39" t="str">
        <f aca="false">IF(C143="","",IFERROR(INDEX(Перечень!$C$6:$C$52,MATCH(H143,Перечень!$A$6:$A$52,0)),""))</f>
        <v>п.4.3.1, п.4.3.2, п.4.4, п.5.1, п.5.2, п.15</v>
      </c>
      <c r="J143" s="35" t="n">
        <f aca="false">IF(C143="","",IFERROR(INDEX(Перечень!$D$6:$D$52,MATCH(H143,Перечень!$A$6:$A$52,0)),12))</f>
        <v>12</v>
      </c>
      <c r="K143" s="40"/>
      <c r="L143" s="40"/>
      <c r="M143" s="37" t="str">
        <f aca="false">IF(AND(K143="",L143=""),"",EDATE(MAX(K143,L143),J143))</f>
        <v/>
      </c>
      <c r="N143" s="41" t="str">
        <f aca="false">IF(C143="","",IFERROR(INDEX(Перечень!$F$6:$F$52,MATCH(H143,Перечень!$A$6:$A$52,0)),""))</f>
        <v>-</v>
      </c>
      <c r="O143" s="40"/>
      <c r="P143" s="37" t="str">
        <f aca="false">IF(O143="","",EDATE(O143,60))</f>
        <v/>
      </c>
      <c r="Q143" s="41" t="str">
        <f aca="false">IF(AND(K143&lt;&gt;"",F143&lt;&gt;"",K143&gt;F143),"Да","")</f>
        <v/>
      </c>
      <c r="R143" s="41" t="str">
        <f aca="true">IF(C143="","",IF(M143="","Нет сведений",IF(M143&lt;TODAY(),"Просрочен",IF(M143-TODAY()&lt;=30,"Истекает","В срок"))))</f>
        <v>Нет сведений</v>
      </c>
      <c r="S143" s="41" t="str">
        <f aca="false">IF(AND(N143="Да",O143=""),"Не пройдено","")</f>
        <v/>
      </c>
    </row>
    <row r="144" customFormat="false" ht="14.25" hidden="false" customHeight="false" outlineLevel="0" collapsed="false">
      <c r="A144" s="35" t="n">
        <f aca="false">IF(C144="","",ROW()-5)</f>
        <v>139</v>
      </c>
      <c r="B144" s="36" t="s">
        <v>107</v>
      </c>
      <c r="C144" s="36" t="s">
        <v>332</v>
      </c>
      <c r="D144" s="36" t="s">
        <v>333</v>
      </c>
      <c r="E144" s="36" t="s">
        <v>318</v>
      </c>
      <c r="F144" s="37" t="n">
        <v>44655</v>
      </c>
      <c r="G144" s="38" t="str">
        <f aca="false">IF(C144="","",IF(TRIM(SUBSTITUTE(SUBSTITUTE(SUBSTITUTE(SUBSTITUTE(SUBSTITUTE(SUBSTITUTE(SUBSTITUTE(SUBSTITUTE(SUBSTITUTE(SUBSTITUTE(SUBSTITUTE(LOWER(TRIM(D144)),"ё","е"),"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категории",""))="инженер",IF(AND(ISNUMBER(SEARCH("техническ",E144)),ISNUMBER(SEARCH("контрол",E144))),"инженер отк",IF(ISNUMBER(SEARCH("диспетч",E144)),"инженер пдо",TRIM(SUBSTITUTE(SUBSTITUTE(SUBSTITUTE(SUBSTITUTE(SUBSTITUTE(SUBSTITUTE(SUBSTITUTE(SUBSTITUTE(SUBSTITUTE(SUBSTITUTE(SUBSTITUTE(LOWER(TRIM(D144)),"ё","е"),"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инженер",IF(ISNUMBER(SEARCH("диспетч",E144)),"ведущий инженер пдо",TRIM(SUBSTITUTE(SUBSTITUTE(SUBSTITUTE(SUBSTITUTE(SUBSTITUTE(SUBSTITUTE(SUBSTITUTE(SUBSTITUTE(SUBSTITUTE(SUBSTITUTE(SUBSTITUTE(LOWER(TRIM(D144)),"ё","е"),"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отк",TRIM(SUBSTITUTE(SUBSTITUTE(SUBSTITUTE(SUBSTITUTE(SUBSTITUTE(SUBSTITUTE(SUBSTITUTE(SUBSTITUTE(SUBSTITUTE(SUBSTITUTE(SUBSTITUTE(LOWER(TRIM(D144)),"ё","е"),"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44" s="35" t="n">
        <f aca="false">IF(C144="","",IF(AND(G144="мастер участка",ISNUMBER(SEARCH("РЭО",E144))),29,IFERROR(INDEX(Соответствие!$B$2:$B$100,MATCH(G144,Соответствие!$A$2:$A$100,0)),"?")))</f>
        <v>21</v>
      </c>
      <c r="I144" s="39" t="str">
        <f aca="false">IF(C144="","",IFERROR(INDEX(Перечень!$C$6:$C$52,MATCH(H144,Перечень!$A$6:$A$52,0)),""))</f>
        <v>п.1.49.2, п.1.49.14, п.4.3.1, п.4.3.2, п.4.4, п.5.1, п.15</v>
      </c>
      <c r="J144" s="35" t="n">
        <f aca="false">IF(C144="","",IFERROR(INDEX(Перечень!$D$6:$D$52,MATCH(H144,Перечень!$A$6:$A$52,0)),12))</f>
        <v>12</v>
      </c>
      <c r="K144" s="40"/>
      <c r="L144" s="40"/>
      <c r="M144" s="37" t="str">
        <f aca="false">IF(AND(K144="",L144=""),"",EDATE(MAX(K144,L144),J144))</f>
        <v/>
      </c>
      <c r="N144" s="41" t="str">
        <f aca="false">IF(C144="","",IFERROR(INDEX(Перечень!$F$6:$F$52,MATCH(H144,Перечень!$A$6:$A$52,0)),""))</f>
        <v>-</v>
      </c>
      <c r="O144" s="40"/>
      <c r="P144" s="37" t="str">
        <f aca="false">IF(O144="","",EDATE(O144,60))</f>
        <v/>
      </c>
      <c r="Q144" s="41" t="str">
        <f aca="false">IF(AND(K144&lt;&gt;"",F144&lt;&gt;"",K144&gt;F144),"Да","")</f>
        <v/>
      </c>
      <c r="R144" s="41" t="str">
        <f aca="true">IF(C144="","",IF(M144="","Нет сведений",IF(M144&lt;TODAY(),"Просрочен",IF(M144-TODAY()&lt;=30,"Истекает","В срок"))))</f>
        <v>Нет сведений</v>
      </c>
      <c r="S144" s="41" t="str">
        <f aca="false">IF(AND(N144="Да",O144=""),"Не пройдено","")</f>
        <v/>
      </c>
    </row>
    <row r="145" customFormat="false" ht="14.25" hidden="false" customHeight="false" outlineLevel="0" collapsed="false">
      <c r="A145" s="35" t="n">
        <f aca="false">IF(C145="","",ROW()-5)</f>
        <v>140</v>
      </c>
      <c r="B145" s="36" t="s">
        <v>107</v>
      </c>
      <c r="C145" s="36" t="s">
        <v>334</v>
      </c>
      <c r="D145" s="36" t="s">
        <v>333</v>
      </c>
      <c r="E145" s="36" t="s">
        <v>318</v>
      </c>
      <c r="F145" s="37" t="n">
        <v>42494</v>
      </c>
      <c r="G145" s="38" t="str">
        <f aca="false">IF(C145="","",IF(TRIM(SUBSTITUTE(SUBSTITUTE(SUBSTITUTE(SUBSTITUTE(SUBSTITUTE(SUBSTITUTE(SUBSTITUTE(SUBSTITUTE(SUBSTITUTE(SUBSTITUTE(SUBSTITUTE(LOWER(TRIM(D145)),"ё","е"),"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категории",""))="инженер",IF(AND(ISNUMBER(SEARCH("техническ",E145)),ISNUMBER(SEARCH("контрол",E145))),"инженер отк",IF(ISNUMBER(SEARCH("диспетч",E145)),"инженер пдо",TRIM(SUBSTITUTE(SUBSTITUTE(SUBSTITUTE(SUBSTITUTE(SUBSTITUTE(SUBSTITUTE(SUBSTITUTE(SUBSTITUTE(SUBSTITUTE(SUBSTITUTE(SUBSTITUTE(LOWER(TRIM(D145)),"ё","е"),"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инженер",IF(ISNUMBER(SEARCH("диспетч",E145)),"ведущий инженер пдо",TRIM(SUBSTITUTE(SUBSTITUTE(SUBSTITUTE(SUBSTITUTE(SUBSTITUTE(SUBSTITUTE(SUBSTITUTE(SUBSTITUTE(SUBSTITUTE(SUBSTITUTE(SUBSTITUTE(LOWER(TRIM(D145)),"ё","е"),"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отк",TRIM(SUBSTITUTE(SUBSTITUTE(SUBSTITUTE(SUBSTITUTE(SUBSTITUTE(SUBSTITUTE(SUBSTITUTE(SUBSTITUTE(SUBSTITUTE(SUBSTITUTE(SUBSTITUTE(LOWER(TRIM(D145)),"ё","е"),"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45" s="35" t="n">
        <f aca="false">IF(C145="","",IF(AND(G145="мастер участка",ISNUMBER(SEARCH("РЭО",E145))),29,IFERROR(INDEX(Соответствие!$B$2:$B$100,MATCH(G145,Соответствие!$A$2:$A$100,0)),"?")))</f>
        <v>21</v>
      </c>
      <c r="I145" s="39" t="str">
        <f aca="false">IF(C145="","",IFERROR(INDEX(Перечень!$C$6:$C$52,MATCH(H145,Перечень!$A$6:$A$52,0)),""))</f>
        <v>п.1.49.2, п.1.49.14, п.4.3.1, п.4.3.2, п.4.4, п.5.1, п.15</v>
      </c>
      <c r="J145" s="35" t="n">
        <f aca="false">IF(C145="","",IFERROR(INDEX(Перечень!$D$6:$D$52,MATCH(H145,Перечень!$A$6:$A$52,0)),12))</f>
        <v>12</v>
      </c>
      <c r="K145" s="40"/>
      <c r="L145" s="40"/>
      <c r="M145" s="37" t="str">
        <f aca="false">IF(AND(K145="",L145=""),"",EDATE(MAX(K145,L145),J145))</f>
        <v/>
      </c>
      <c r="N145" s="41" t="str">
        <f aca="false">IF(C145="","",IFERROR(INDEX(Перечень!$F$6:$F$52,MATCH(H145,Перечень!$A$6:$A$52,0)),""))</f>
        <v>-</v>
      </c>
      <c r="O145" s="40"/>
      <c r="P145" s="37" t="str">
        <f aca="false">IF(O145="","",EDATE(O145,60))</f>
        <v/>
      </c>
      <c r="Q145" s="41" t="str">
        <f aca="false">IF(AND(K145&lt;&gt;"",F145&lt;&gt;"",K145&gt;F145),"Да","")</f>
        <v/>
      </c>
      <c r="R145" s="41" t="str">
        <f aca="true">IF(C145="","",IF(M145="","Нет сведений",IF(M145&lt;TODAY(),"Просрочен",IF(M145-TODAY()&lt;=30,"Истекает","В срок"))))</f>
        <v>Нет сведений</v>
      </c>
      <c r="S145" s="41" t="str">
        <f aca="false">IF(AND(N145="Да",O145=""),"Не пройдено","")</f>
        <v/>
      </c>
    </row>
    <row r="146" customFormat="false" ht="14.25" hidden="false" customHeight="false" outlineLevel="0" collapsed="false">
      <c r="A146" s="35" t="n">
        <f aca="false">IF(C146="","",ROW()-5)</f>
        <v>141</v>
      </c>
      <c r="B146" s="36" t="s">
        <v>107</v>
      </c>
      <c r="C146" s="36" t="s">
        <v>335</v>
      </c>
      <c r="D146" s="36" t="s">
        <v>333</v>
      </c>
      <c r="E146" s="36" t="s">
        <v>318</v>
      </c>
      <c r="F146" s="37" t="n">
        <v>38363</v>
      </c>
      <c r="G146" s="38" t="str">
        <f aca="false">IF(C146="","",IF(TRIM(SUBSTITUTE(SUBSTITUTE(SUBSTITUTE(SUBSTITUTE(SUBSTITUTE(SUBSTITUTE(SUBSTITUTE(SUBSTITUTE(SUBSTITUTE(SUBSTITUTE(SUBSTITUTE(LOWER(TRIM(D146)),"ё","е"),"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категории",""))="инженер",IF(AND(ISNUMBER(SEARCH("техническ",E146)),ISNUMBER(SEARCH("контрол",E146))),"инженер отк",IF(ISNUMBER(SEARCH("диспетч",E146)),"инженер пдо",TRIM(SUBSTITUTE(SUBSTITUTE(SUBSTITUTE(SUBSTITUTE(SUBSTITUTE(SUBSTITUTE(SUBSTITUTE(SUBSTITUTE(SUBSTITUTE(SUBSTITUTE(SUBSTITUTE(LOWER(TRIM(D146)),"ё","е"),"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инженер",IF(ISNUMBER(SEARCH("диспетч",E146)),"ведущий инженер пдо",TRIM(SUBSTITUTE(SUBSTITUTE(SUBSTITUTE(SUBSTITUTE(SUBSTITUTE(SUBSTITUTE(SUBSTITUTE(SUBSTITUTE(SUBSTITUTE(SUBSTITUTE(SUBSTITUTE(LOWER(TRIM(D146)),"ё","е"),"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отк",TRIM(SUBSTITUTE(SUBSTITUTE(SUBSTITUTE(SUBSTITUTE(SUBSTITUTE(SUBSTITUTE(SUBSTITUTE(SUBSTITUTE(SUBSTITUTE(SUBSTITUTE(SUBSTITUTE(LOWER(TRIM(D146)),"ё","е"),"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46" s="35" t="n">
        <f aca="false">IF(C146="","",IF(AND(G146="мастер участка",ISNUMBER(SEARCH("РЭО",E146))),29,IFERROR(INDEX(Соответствие!$B$2:$B$100,MATCH(G146,Соответствие!$A$2:$A$100,0)),"?")))</f>
        <v>21</v>
      </c>
      <c r="I146" s="39" t="str">
        <f aca="false">IF(C146="","",IFERROR(INDEX(Перечень!$C$6:$C$52,MATCH(H146,Перечень!$A$6:$A$52,0)),""))</f>
        <v>п.1.49.2, п.1.49.14, п.4.3.1, п.4.3.2, п.4.4, п.5.1, п.15</v>
      </c>
      <c r="J146" s="35" t="n">
        <f aca="false">IF(C146="","",IFERROR(INDEX(Перечень!$D$6:$D$52,MATCH(H146,Перечень!$A$6:$A$52,0)),12))</f>
        <v>12</v>
      </c>
      <c r="K146" s="40"/>
      <c r="L146" s="40"/>
      <c r="M146" s="37" t="str">
        <f aca="false">IF(AND(K146="",L146=""),"",EDATE(MAX(K146,L146),J146))</f>
        <v/>
      </c>
      <c r="N146" s="41" t="str">
        <f aca="false">IF(C146="","",IFERROR(INDEX(Перечень!$F$6:$F$52,MATCH(H146,Перечень!$A$6:$A$52,0)),""))</f>
        <v>-</v>
      </c>
      <c r="O146" s="40"/>
      <c r="P146" s="37" t="str">
        <f aca="false">IF(O146="","",EDATE(O146,60))</f>
        <v/>
      </c>
      <c r="Q146" s="41" t="str">
        <f aca="false">IF(AND(K146&lt;&gt;"",F146&lt;&gt;"",K146&gt;F146),"Да","")</f>
        <v/>
      </c>
      <c r="R146" s="41" t="str">
        <f aca="true">IF(C146="","",IF(M146="","Нет сведений",IF(M146&lt;TODAY(),"Просрочен",IF(M146-TODAY()&lt;=30,"Истекает","В срок"))))</f>
        <v>Нет сведений</v>
      </c>
      <c r="S146" s="41" t="str">
        <f aca="false">IF(AND(N146="Да",O146=""),"Не пройдено","")</f>
        <v/>
      </c>
    </row>
    <row r="147" customFormat="false" ht="14.25" hidden="false" customHeight="false" outlineLevel="0" collapsed="false">
      <c r="A147" s="35" t="n">
        <f aca="false">IF(C147="","",ROW()-5)</f>
        <v>142</v>
      </c>
      <c r="B147" s="36" t="s">
        <v>107</v>
      </c>
      <c r="C147" s="36" t="s">
        <v>336</v>
      </c>
      <c r="D147" s="36" t="s">
        <v>333</v>
      </c>
      <c r="E147" s="36" t="s">
        <v>318</v>
      </c>
      <c r="F147" s="37" t="n">
        <v>45159</v>
      </c>
      <c r="G147" s="38" t="str">
        <f aca="false">IF(C147="","",IF(TRIM(SUBSTITUTE(SUBSTITUTE(SUBSTITUTE(SUBSTITUTE(SUBSTITUTE(SUBSTITUTE(SUBSTITUTE(SUBSTITUTE(SUBSTITUTE(SUBSTITUTE(SUBSTITUTE(LOWER(TRIM(D147)),"ё","е"),"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категории",""))="инженер",IF(AND(ISNUMBER(SEARCH("техническ",E147)),ISNUMBER(SEARCH("контрол",E147))),"инженер отк",IF(ISNUMBER(SEARCH("диспетч",E147)),"инженер пдо",TRIM(SUBSTITUTE(SUBSTITUTE(SUBSTITUTE(SUBSTITUTE(SUBSTITUTE(SUBSTITUTE(SUBSTITUTE(SUBSTITUTE(SUBSTITUTE(SUBSTITUTE(SUBSTITUTE(LOWER(TRIM(D147)),"ё","е"),"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инженер",IF(ISNUMBER(SEARCH("диспетч",E147)),"ведущий инженер пдо",TRIM(SUBSTITUTE(SUBSTITUTE(SUBSTITUTE(SUBSTITUTE(SUBSTITUTE(SUBSTITUTE(SUBSTITUTE(SUBSTITUTE(SUBSTITUTE(SUBSTITUTE(SUBSTITUTE(LOWER(TRIM(D147)),"ё","е"),"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отк",TRIM(SUBSTITUTE(SUBSTITUTE(SUBSTITUTE(SUBSTITUTE(SUBSTITUTE(SUBSTITUTE(SUBSTITUTE(SUBSTITUTE(SUBSTITUTE(SUBSTITUTE(SUBSTITUTE(LOWER(TRIM(D147)),"ё","е"),"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47" s="35" t="n">
        <f aca="false">IF(C147="","",IF(AND(G147="мастер участка",ISNUMBER(SEARCH("РЭО",E147))),29,IFERROR(INDEX(Соответствие!$B$2:$B$100,MATCH(G147,Соответствие!$A$2:$A$100,0)),"?")))</f>
        <v>21</v>
      </c>
      <c r="I147" s="39" t="str">
        <f aca="false">IF(C147="","",IFERROR(INDEX(Перечень!$C$6:$C$52,MATCH(H147,Перечень!$A$6:$A$52,0)),""))</f>
        <v>п.1.49.2, п.1.49.14, п.4.3.1, п.4.3.2, п.4.4, п.5.1, п.15</v>
      </c>
      <c r="J147" s="35" t="n">
        <f aca="false">IF(C147="","",IFERROR(INDEX(Перечень!$D$6:$D$52,MATCH(H147,Перечень!$A$6:$A$52,0)),12))</f>
        <v>12</v>
      </c>
      <c r="K147" s="40"/>
      <c r="L147" s="40"/>
      <c r="M147" s="37" t="str">
        <f aca="false">IF(AND(K147="",L147=""),"",EDATE(MAX(K147,L147),J147))</f>
        <v/>
      </c>
      <c r="N147" s="41" t="str">
        <f aca="false">IF(C147="","",IFERROR(INDEX(Перечень!$F$6:$F$52,MATCH(H147,Перечень!$A$6:$A$52,0)),""))</f>
        <v>-</v>
      </c>
      <c r="O147" s="40"/>
      <c r="P147" s="37" t="str">
        <f aca="false">IF(O147="","",EDATE(O147,60))</f>
        <v/>
      </c>
      <c r="Q147" s="41" t="str">
        <f aca="false">IF(AND(K147&lt;&gt;"",F147&lt;&gt;"",K147&gt;F147),"Да","")</f>
        <v/>
      </c>
      <c r="R147" s="41" t="str">
        <f aca="true">IF(C147="","",IF(M147="","Нет сведений",IF(M147&lt;TODAY(),"Просрочен",IF(M147-TODAY()&lt;=30,"Истекает","В срок"))))</f>
        <v>Нет сведений</v>
      </c>
      <c r="S147" s="41" t="str">
        <f aca="false">IF(AND(N147="Да",O147=""),"Не пройдено","")</f>
        <v/>
      </c>
    </row>
    <row r="148" customFormat="false" ht="14.25" hidden="false" customHeight="false" outlineLevel="0" collapsed="false">
      <c r="A148" s="35" t="n">
        <f aca="false">IF(C148="","",ROW()-5)</f>
        <v>143</v>
      </c>
      <c r="B148" s="36" t="s">
        <v>107</v>
      </c>
      <c r="C148" s="36" t="s">
        <v>337</v>
      </c>
      <c r="D148" s="36" t="s">
        <v>333</v>
      </c>
      <c r="E148" s="36" t="s">
        <v>318</v>
      </c>
      <c r="F148" s="37" t="n">
        <v>39356</v>
      </c>
      <c r="G148" s="38" t="str">
        <f aca="false">IF(C148="","",IF(TRIM(SUBSTITUTE(SUBSTITUTE(SUBSTITUTE(SUBSTITUTE(SUBSTITUTE(SUBSTITUTE(SUBSTITUTE(SUBSTITUTE(SUBSTITUTE(SUBSTITUTE(SUBSTITUTE(LOWER(TRIM(D148)),"ё","е"),"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категории",""))="инженер",IF(AND(ISNUMBER(SEARCH("техническ",E148)),ISNUMBER(SEARCH("контрол",E148))),"инженер отк",IF(ISNUMBER(SEARCH("диспетч",E148)),"инженер пдо",TRIM(SUBSTITUTE(SUBSTITUTE(SUBSTITUTE(SUBSTITUTE(SUBSTITUTE(SUBSTITUTE(SUBSTITUTE(SUBSTITUTE(SUBSTITUTE(SUBSTITUTE(SUBSTITUTE(LOWER(TRIM(D148)),"ё","е"),"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инженер",IF(ISNUMBER(SEARCH("диспетч",E148)),"ведущий инженер пдо",TRIM(SUBSTITUTE(SUBSTITUTE(SUBSTITUTE(SUBSTITUTE(SUBSTITUTE(SUBSTITUTE(SUBSTITUTE(SUBSTITUTE(SUBSTITUTE(SUBSTITUTE(SUBSTITUTE(LOWER(TRIM(D148)),"ё","е"),"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отк",TRIM(SUBSTITUTE(SUBSTITUTE(SUBSTITUTE(SUBSTITUTE(SUBSTITUTE(SUBSTITUTE(SUBSTITUTE(SUBSTITUTE(SUBSTITUTE(SUBSTITUTE(SUBSTITUTE(LOWER(TRIM(D148)),"ё","е"),"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48" s="35" t="n">
        <f aca="false">IF(C148="","",IF(AND(G148="мастер участка",ISNUMBER(SEARCH("РЭО",E148))),29,IFERROR(INDEX(Соответствие!$B$2:$B$100,MATCH(G148,Соответствие!$A$2:$A$100,0)),"?")))</f>
        <v>21</v>
      </c>
      <c r="I148" s="39" t="str">
        <f aca="false">IF(C148="","",IFERROR(INDEX(Перечень!$C$6:$C$52,MATCH(H148,Перечень!$A$6:$A$52,0)),""))</f>
        <v>п.1.49.2, п.1.49.14, п.4.3.1, п.4.3.2, п.4.4, п.5.1, п.15</v>
      </c>
      <c r="J148" s="35" t="n">
        <f aca="false">IF(C148="","",IFERROR(INDEX(Перечень!$D$6:$D$52,MATCH(H148,Перечень!$A$6:$A$52,0)),12))</f>
        <v>12</v>
      </c>
      <c r="K148" s="40"/>
      <c r="L148" s="40"/>
      <c r="M148" s="37" t="str">
        <f aca="false">IF(AND(K148="",L148=""),"",EDATE(MAX(K148,L148),J148))</f>
        <v/>
      </c>
      <c r="N148" s="41" t="str">
        <f aca="false">IF(C148="","",IFERROR(INDEX(Перечень!$F$6:$F$52,MATCH(H148,Перечень!$A$6:$A$52,0)),""))</f>
        <v>-</v>
      </c>
      <c r="O148" s="40"/>
      <c r="P148" s="37" t="str">
        <f aca="false">IF(O148="","",EDATE(O148,60))</f>
        <v/>
      </c>
      <c r="Q148" s="41" t="str">
        <f aca="false">IF(AND(K148&lt;&gt;"",F148&lt;&gt;"",K148&gt;F148),"Да","")</f>
        <v/>
      </c>
      <c r="R148" s="41" t="str">
        <f aca="true">IF(C148="","",IF(M148="","Нет сведений",IF(M148&lt;TODAY(),"Просрочен",IF(M148-TODAY()&lt;=30,"Истекает","В срок"))))</f>
        <v>Нет сведений</v>
      </c>
      <c r="S148" s="41" t="str">
        <f aca="false">IF(AND(N148="Да",O148=""),"Не пройдено","")</f>
        <v/>
      </c>
    </row>
    <row r="149" customFormat="false" ht="14.25" hidden="false" customHeight="false" outlineLevel="0" collapsed="false">
      <c r="A149" s="35" t="n">
        <f aca="false">IF(C149="","",ROW()-5)</f>
        <v>144</v>
      </c>
      <c r="B149" s="36" t="s">
        <v>107</v>
      </c>
      <c r="C149" s="36" t="s">
        <v>338</v>
      </c>
      <c r="D149" s="36" t="s">
        <v>333</v>
      </c>
      <c r="E149" s="36" t="s">
        <v>318</v>
      </c>
      <c r="F149" s="37" t="n">
        <v>38810</v>
      </c>
      <c r="G149" s="38" t="str">
        <f aca="false">IF(C149="","",IF(TRIM(SUBSTITUTE(SUBSTITUTE(SUBSTITUTE(SUBSTITUTE(SUBSTITUTE(SUBSTITUTE(SUBSTITUTE(SUBSTITUTE(SUBSTITUTE(SUBSTITUTE(SUBSTITUTE(LOWER(TRIM(D149)),"ё","е"),"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категории",""))="инженер",IF(AND(ISNUMBER(SEARCH("техническ",E149)),ISNUMBER(SEARCH("контрол",E149))),"инженер отк",IF(ISNUMBER(SEARCH("диспетч",E149)),"инженер пдо",TRIM(SUBSTITUTE(SUBSTITUTE(SUBSTITUTE(SUBSTITUTE(SUBSTITUTE(SUBSTITUTE(SUBSTITUTE(SUBSTITUTE(SUBSTITUTE(SUBSTITUTE(SUBSTITUTE(LOWER(TRIM(D149)),"ё","е"),"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категории","")))),IF(TRIM(SUBSTITUTE(SUBSTITUTE(SUBSTITUTE(SUBSTITUTE(SUBSTITUTE(SUBSTITUTE(SUBSTITUTE(SUBSTITUTE(SUBSTITUTE(SUBSTITUTE(SUBSTITUTE(LOWER(TRIM(D149)),"ё","е"),"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инженер",IF(ISNUMBER(SEARCH("диспетч",E149)),"ведущий инженер пдо",TRIM(SUBSTITUTE(SUBSTITUTE(SUBSTITUTE(SUBSTITUTE(SUBSTITUTE(SUBSTITUTE(SUBSTITUTE(SUBSTITUTE(SUBSTITUTE(SUBSTITUTE(SUBSTITUTE(LOWER(TRIM(D149)),"ё","е"),"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категории",""))),IF(TRIM(SUBSTITUTE(SUBSTITUTE(SUBSTITUTE(SUBSTITUTE(SUBSTITUTE(SUBSTITUTE(SUBSTITUTE(SUBSTITUTE(SUBSTITUTE(SUBSTITUTE(SUBSTITUTE(LOWER(TRIM(D149)),"ё","е"),"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отк",TRIM(SUBSTITUTE(SUBSTITUTE(SUBSTITUTE(SUBSTITUTE(SUBSTITUTE(SUBSTITUTE(SUBSTITUTE(SUBSTITUTE(SUBSTITUTE(SUBSTITUTE(SUBSTITUTE(LOWER(TRIM(D149)),"ё","е"),"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49" s="35" t="n">
        <f aca="false">IF(C149="","",IF(AND(G149="мастер участка",ISNUMBER(SEARCH("РЭО",E149))),29,IFERROR(INDEX(Соответствие!$B$2:$B$100,MATCH(G149,Соответствие!$A$2:$A$100,0)),"?")))</f>
        <v>21</v>
      </c>
      <c r="I149" s="39" t="str">
        <f aca="false">IF(C149="","",IFERROR(INDEX(Перечень!$C$6:$C$52,MATCH(H149,Перечень!$A$6:$A$52,0)),""))</f>
        <v>п.1.49.2, п.1.49.14, п.4.3.1, п.4.3.2, п.4.4, п.5.1, п.15</v>
      </c>
      <c r="J149" s="35" t="n">
        <f aca="false">IF(C149="","",IFERROR(INDEX(Перечень!$D$6:$D$52,MATCH(H149,Перечень!$A$6:$A$52,0)),12))</f>
        <v>12</v>
      </c>
      <c r="K149" s="40"/>
      <c r="L149" s="40"/>
      <c r="M149" s="37" t="str">
        <f aca="false">IF(AND(K149="",L149=""),"",EDATE(MAX(K149,L149),J149))</f>
        <v/>
      </c>
      <c r="N149" s="41" t="str">
        <f aca="false">IF(C149="","",IFERROR(INDEX(Перечень!$F$6:$F$52,MATCH(H149,Перечень!$A$6:$A$52,0)),""))</f>
        <v>-</v>
      </c>
      <c r="O149" s="40"/>
      <c r="P149" s="37" t="str">
        <f aca="false">IF(O149="","",EDATE(O149,60))</f>
        <v/>
      </c>
      <c r="Q149" s="41" t="str">
        <f aca="false">IF(AND(K149&lt;&gt;"",F149&lt;&gt;"",K149&gt;F149),"Да","")</f>
        <v/>
      </c>
      <c r="R149" s="41" t="str">
        <f aca="true">IF(C149="","",IF(M149="","Нет сведений",IF(M149&lt;TODAY(),"Просрочен",IF(M149-TODAY()&lt;=30,"Истекает","В срок"))))</f>
        <v>Нет сведений</v>
      </c>
      <c r="S149" s="41" t="str">
        <f aca="false">IF(AND(N149="Да",O149=""),"Не пройдено","")</f>
        <v/>
      </c>
    </row>
    <row r="150" customFormat="false" ht="14.25" hidden="false" customHeight="false" outlineLevel="0" collapsed="false">
      <c r="A150" s="35" t="n">
        <f aca="false">IF(C150="","",ROW()-5)</f>
        <v>145</v>
      </c>
      <c r="B150" s="36" t="s">
        <v>107</v>
      </c>
      <c r="C150" s="36" t="s">
        <v>339</v>
      </c>
      <c r="D150" s="36" t="s">
        <v>333</v>
      </c>
      <c r="E150" s="36" t="s">
        <v>318</v>
      </c>
      <c r="F150" s="37" t="n">
        <v>38728</v>
      </c>
      <c r="G150" s="38" t="str">
        <f aca="false">IF(C150="","",IF(TRIM(SUBSTITUTE(SUBSTITUTE(SUBSTITUTE(SUBSTITUTE(SUBSTITUTE(SUBSTITUTE(SUBSTITUTE(SUBSTITUTE(SUBSTITUTE(SUBSTITUTE(SUBSTITUTE(LOWER(TRIM(D150)),"ё","е"),"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категории",""))="инженер",IF(AND(ISNUMBER(SEARCH("техническ",E150)),ISNUMBER(SEARCH("контрол",E150))),"инженер отк",IF(ISNUMBER(SEARCH("диспетч",E150)),"инженер пдо",TRIM(SUBSTITUTE(SUBSTITUTE(SUBSTITUTE(SUBSTITUTE(SUBSTITUTE(SUBSTITUTE(SUBSTITUTE(SUBSTITUTE(SUBSTITUTE(SUBSTITUTE(SUBSTITUTE(LOWER(TRIM(D150)),"ё","е"),"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инженер",IF(ISNUMBER(SEARCH("диспетч",E150)),"ведущий инженер пдо",TRIM(SUBSTITUTE(SUBSTITUTE(SUBSTITUTE(SUBSTITUTE(SUBSTITUTE(SUBSTITUTE(SUBSTITUTE(SUBSTITUTE(SUBSTITUTE(SUBSTITUTE(SUBSTITUTE(LOWER(TRIM(D150)),"ё","е"),"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отк",TRIM(SUBSTITUTE(SUBSTITUTE(SUBSTITUTE(SUBSTITUTE(SUBSTITUTE(SUBSTITUTE(SUBSTITUTE(SUBSTITUTE(SUBSTITUTE(SUBSTITUTE(SUBSTITUTE(LOWER(TRIM(D150)),"ё","е"),"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50" s="35" t="n">
        <f aca="false">IF(C150="","",IF(AND(G150="мастер участка",ISNUMBER(SEARCH("РЭО",E150))),29,IFERROR(INDEX(Соответствие!$B$2:$B$100,MATCH(G150,Соответствие!$A$2:$A$100,0)),"?")))</f>
        <v>21</v>
      </c>
      <c r="I150" s="39" t="str">
        <f aca="false">IF(C150="","",IFERROR(INDEX(Перечень!$C$6:$C$52,MATCH(H150,Перечень!$A$6:$A$52,0)),""))</f>
        <v>п.1.49.2, п.1.49.14, п.4.3.1, п.4.3.2, п.4.4, п.5.1, п.15</v>
      </c>
      <c r="J150" s="35" t="n">
        <f aca="false">IF(C150="","",IFERROR(INDEX(Перечень!$D$6:$D$52,MATCH(H150,Перечень!$A$6:$A$52,0)),12))</f>
        <v>12</v>
      </c>
      <c r="K150" s="40"/>
      <c r="L150" s="40"/>
      <c r="M150" s="37" t="str">
        <f aca="false">IF(AND(K150="",L150=""),"",EDATE(MAX(K150,L150),J150))</f>
        <v/>
      </c>
      <c r="N150" s="41" t="str">
        <f aca="false">IF(C150="","",IFERROR(INDEX(Перечень!$F$6:$F$52,MATCH(H150,Перечень!$A$6:$A$52,0)),""))</f>
        <v>-</v>
      </c>
      <c r="O150" s="40"/>
      <c r="P150" s="37" t="str">
        <f aca="false">IF(O150="","",EDATE(O150,60))</f>
        <v/>
      </c>
      <c r="Q150" s="41" t="str">
        <f aca="false">IF(AND(K150&lt;&gt;"",F150&lt;&gt;"",K150&gt;F150),"Да","")</f>
        <v/>
      </c>
      <c r="R150" s="41" t="str">
        <f aca="true">IF(C150="","",IF(M150="","Нет сведений",IF(M150&lt;TODAY(),"Просрочен",IF(M150-TODAY()&lt;=30,"Истекает","В срок"))))</f>
        <v>Нет сведений</v>
      </c>
      <c r="S150" s="41" t="str">
        <f aca="false">IF(AND(N150="Да",O150=""),"Не пройдено","")</f>
        <v/>
      </c>
    </row>
    <row r="151" customFormat="false" ht="14.25" hidden="false" customHeight="false" outlineLevel="0" collapsed="false">
      <c r="A151" s="35" t="n">
        <f aca="false">IF(C151="","",ROW()-5)</f>
        <v>146</v>
      </c>
      <c r="B151" s="36" t="s">
        <v>107</v>
      </c>
      <c r="C151" s="36" t="s">
        <v>340</v>
      </c>
      <c r="D151" s="36" t="s">
        <v>333</v>
      </c>
      <c r="E151" s="36" t="s">
        <v>318</v>
      </c>
      <c r="F151" s="37" t="n">
        <v>38810</v>
      </c>
      <c r="G151" s="38" t="str">
        <f aca="false">IF(C151="","",IF(TRIM(SUBSTITUTE(SUBSTITUTE(SUBSTITUTE(SUBSTITUTE(SUBSTITUTE(SUBSTITUTE(SUBSTITUTE(SUBSTITUTE(SUBSTITUTE(SUBSTITUTE(SUBSTITUTE(LOWER(TRIM(D151)),"ё","е"),"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категории",""))="инженер",IF(AND(ISNUMBER(SEARCH("техническ",E151)),ISNUMBER(SEARCH("контрол",E151))),"инженер отк",IF(ISNUMBER(SEARCH("диспетч",E151)),"инженер пдо",TRIM(SUBSTITUTE(SUBSTITUTE(SUBSTITUTE(SUBSTITUTE(SUBSTITUTE(SUBSTITUTE(SUBSTITUTE(SUBSTITUTE(SUBSTITUTE(SUBSTITUTE(SUBSTITUTE(LOWER(TRIM(D151)),"ё","е"),"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инженер",IF(ISNUMBER(SEARCH("диспетч",E151)),"ведущий инженер пдо",TRIM(SUBSTITUTE(SUBSTITUTE(SUBSTITUTE(SUBSTITUTE(SUBSTITUTE(SUBSTITUTE(SUBSTITUTE(SUBSTITUTE(SUBSTITUTE(SUBSTITUTE(SUBSTITUTE(LOWER(TRIM(D151)),"ё","е"),"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отк",TRIM(SUBSTITUTE(SUBSTITUTE(SUBSTITUTE(SUBSTITUTE(SUBSTITUTE(SUBSTITUTE(SUBSTITUTE(SUBSTITUTE(SUBSTITUTE(SUBSTITUTE(SUBSTITUTE(LOWER(TRIM(D151)),"ё","е"),"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51" s="35" t="n">
        <f aca="false">IF(C151="","",IF(AND(G151="мастер участка",ISNUMBER(SEARCH("РЭО",E151))),29,IFERROR(INDEX(Соответствие!$B$2:$B$100,MATCH(G151,Соответствие!$A$2:$A$100,0)),"?")))</f>
        <v>21</v>
      </c>
      <c r="I151" s="39" t="str">
        <f aca="false">IF(C151="","",IFERROR(INDEX(Перечень!$C$6:$C$52,MATCH(H151,Перечень!$A$6:$A$52,0)),""))</f>
        <v>п.1.49.2, п.1.49.14, п.4.3.1, п.4.3.2, п.4.4, п.5.1, п.15</v>
      </c>
      <c r="J151" s="35" t="n">
        <f aca="false">IF(C151="","",IFERROR(INDEX(Перечень!$D$6:$D$52,MATCH(H151,Перечень!$A$6:$A$52,0)),12))</f>
        <v>12</v>
      </c>
      <c r="K151" s="40"/>
      <c r="L151" s="40"/>
      <c r="M151" s="37" t="str">
        <f aca="false">IF(AND(K151="",L151=""),"",EDATE(MAX(K151,L151),J151))</f>
        <v/>
      </c>
      <c r="N151" s="41" t="str">
        <f aca="false">IF(C151="","",IFERROR(INDEX(Перечень!$F$6:$F$52,MATCH(H151,Перечень!$A$6:$A$52,0)),""))</f>
        <v>-</v>
      </c>
      <c r="O151" s="40"/>
      <c r="P151" s="37" t="str">
        <f aca="false">IF(O151="","",EDATE(O151,60))</f>
        <v/>
      </c>
      <c r="Q151" s="41" t="str">
        <f aca="false">IF(AND(K151&lt;&gt;"",F151&lt;&gt;"",K151&gt;F151),"Да","")</f>
        <v/>
      </c>
      <c r="R151" s="41" t="str">
        <f aca="true">IF(C151="","",IF(M151="","Нет сведений",IF(M151&lt;TODAY(),"Просрочен",IF(M151-TODAY()&lt;=30,"Истекает","В срок"))))</f>
        <v>Нет сведений</v>
      </c>
      <c r="S151" s="41" t="str">
        <f aca="false">IF(AND(N151="Да",O151=""),"Не пройдено","")</f>
        <v/>
      </c>
    </row>
    <row r="152" customFormat="false" ht="14.25" hidden="false" customHeight="false" outlineLevel="0" collapsed="false">
      <c r="A152" s="35" t="n">
        <f aca="false">IF(C152="","",ROW()-5)</f>
        <v>147</v>
      </c>
      <c r="B152" s="36" t="s">
        <v>107</v>
      </c>
      <c r="C152" s="36" t="s">
        <v>341</v>
      </c>
      <c r="D152" s="36" t="s">
        <v>322</v>
      </c>
      <c r="E152" s="36" t="s">
        <v>318</v>
      </c>
      <c r="F152" s="37" t="n">
        <v>45688</v>
      </c>
      <c r="G152" s="38" t="str">
        <f aca="false">IF(C152="","",IF(TRIM(SUBSTITUTE(SUBSTITUTE(SUBSTITUTE(SUBSTITUTE(SUBSTITUTE(SUBSTITUTE(SUBSTITUTE(SUBSTITUTE(SUBSTITUTE(SUBSTITUTE(SUBSTITUTE(LOWER(TRIM(D152)),"ё","е"),"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категории",""))="инженер",IF(AND(ISNUMBER(SEARCH("техническ",E152)),ISNUMBER(SEARCH("контрол",E152))),"инженер отк",IF(ISNUMBER(SEARCH("диспетч",E152)),"инженер пдо",TRIM(SUBSTITUTE(SUBSTITUTE(SUBSTITUTE(SUBSTITUTE(SUBSTITUTE(SUBSTITUTE(SUBSTITUTE(SUBSTITUTE(SUBSTITUTE(SUBSTITUTE(SUBSTITUTE(LOWER(TRIM(D152)),"ё","е"),"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инженер",IF(ISNUMBER(SEARCH("диспетч",E152)),"ведущий инженер пдо",TRIM(SUBSTITUTE(SUBSTITUTE(SUBSTITUTE(SUBSTITUTE(SUBSTITUTE(SUBSTITUTE(SUBSTITUTE(SUBSTITUTE(SUBSTITUTE(SUBSTITUTE(SUBSTITUTE(LOWER(TRIM(D152)),"ё","е"),"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отк",TRIM(SUBSTITUTE(SUBSTITUTE(SUBSTITUTE(SUBSTITUTE(SUBSTITUTE(SUBSTITUTE(SUBSTITUTE(SUBSTITUTE(SUBSTITUTE(SUBSTITUTE(SUBSTITUTE(LOWER(TRIM(D152)),"ё","е"),"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52" s="35" t="n">
        <f aca="false">IF(C152="","",IF(AND(G152="мастер участка",ISNUMBER(SEARCH("РЭО",E152))),29,IFERROR(INDEX(Соответствие!$B$2:$B$100,MATCH(G152,Соответствие!$A$2:$A$100,0)),"?")))</f>
        <v>21</v>
      </c>
      <c r="I152" s="39" t="str">
        <f aca="false">IF(C152="","",IFERROR(INDEX(Перечень!$C$6:$C$52,MATCH(H152,Перечень!$A$6:$A$52,0)),""))</f>
        <v>п.1.49.2, п.1.49.14, п.4.3.1, п.4.3.2, п.4.4, п.5.1, п.15</v>
      </c>
      <c r="J152" s="35" t="n">
        <f aca="false">IF(C152="","",IFERROR(INDEX(Перечень!$D$6:$D$52,MATCH(H152,Перечень!$A$6:$A$52,0)),12))</f>
        <v>12</v>
      </c>
      <c r="K152" s="40"/>
      <c r="L152" s="40"/>
      <c r="M152" s="37" t="str">
        <f aca="false">IF(AND(K152="",L152=""),"",EDATE(MAX(K152,L152),J152))</f>
        <v/>
      </c>
      <c r="N152" s="41" t="str">
        <f aca="false">IF(C152="","",IFERROR(INDEX(Перечень!$F$6:$F$52,MATCH(H152,Перечень!$A$6:$A$52,0)),""))</f>
        <v>-</v>
      </c>
      <c r="O152" s="40"/>
      <c r="P152" s="37" t="str">
        <f aca="false">IF(O152="","",EDATE(O152,60))</f>
        <v/>
      </c>
      <c r="Q152" s="41" t="str">
        <f aca="false">IF(AND(K152&lt;&gt;"",F152&lt;&gt;"",K152&gt;F152),"Да","")</f>
        <v/>
      </c>
      <c r="R152" s="41" t="str">
        <f aca="true">IF(C152="","",IF(M152="","Нет сведений",IF(M152&lt;TODAY(),"Просрочен",IF(M152-TODAY()&lt;=30,"Истекает","В срок"))))</f>
        <v>Нет сведений</v>
      </c>
      <c r="S152" s="41" t="str">
        <f aca="false">IF(AND(N152="Да",O152=""),"Не пройдено","")</f>
        <v/>
      </c>
    </row>
    <row r="153" customFormat="false" ht="14.25" hidden="false" customHeight="false" outlineLevel="0" collapsed="false">
      <c r="A153" s="35" t="n">
        <f aca="false">IF(C153="","",ROW()-5)</f>
        <v>148</v>
      </c>
      <c r="B153" s="36" t="s">
        <v>107</v>
      </c>
      <c r="C153" s="36" t="s">
        <v>342</v>
      </c>
      <c r="D153" s="36" t="s">
        <v>322</v>
      </c>
      <c r="E153" s="36" t="s">
        <v>318</v>
      </c>
      <c r="F153" s="37" t="n">
        <v>45832</v>
      </c>
      <c r="G153" s="38" t="str">
        <f aca="false">IF(C153="","",IF(TRIM(SUBSTITUTE(SUBSTITUTE(SUBSTITUTE(SUBSTITUTE(SUBSTITUTE(SUBSTITUTE(SUBSTITUTE(SUBSTITUTE(SUBSTITUTE(SUBSTITUTE(SUBSTITUTE(LOWER(TRIM(D153)),"ё","е"),"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категории",""))="инженер",IF(AND(ISNUMBER(SEARCH("техническ",E153)),ISNUMBER(SEARCH("контрол",E153))),"инженер отк",IF(ISNUMBER(SEARCH("диспетч",E153)),"инженер пдо",TRIM(SUBSTITUTE(SUBSTITUTE(SUBSTITUTE(SUBSTITUTE(SUBSTITUTE(SUBSTITUTE(SUBSTITUTE(SUBSTITUTE(SUBSTITUTE(SUBSTITUTE(SUBSTITUTE(LOWER(TRIM(D153)),"ё","е"),"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инженер",IF(ISNUMBER(SEARCH("диспетч",E153)),"ведущий инженер пдо",TRIM(SUBSTITUTE(SUBSTITUTE(SUBSTITUTE(SUBSTITUTE(SUBSTITUTE(SUBSTITUTE(SUBSTITUTE(SUBSTITUTE(SUBSTITUTE(SUBSTITUTE(SUBSTITUTE(LOWER(TRIM(D153)),"ё","е"),"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отк",TRIM(SUBSTITUTE(SUBSTITUTE(SUBSTITUTE(SUBSTITUTE(SUBSTITUTE(SUBSTITUTE(SUBSTITUTE(SUBSTITUTE(SUBSTITUTE(SUBSTITUTE(SUBSTITUTE(LOWER(TRIM(D153)),"ё","е"),"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53" s="35" t="n">
        <f aca="false">IF(C153="","",IF(AND(G153="мастер участка",ISNUMBER(SEARCH("РЭО",E153))),29,IFERROR(INDEX(Соответствие!$B$2:$B$100,MATCH(G153,Соответствие!$A$2:$A$100,0)),"?")))</f>
        <v>21</v>
      </c>
      <c r="I153" s="39" t="str">
        <f aca="false">IF(C153="","",IFERROR(INDEX(Перечень!$C$6:$C$52,MATCH(H153,Перечень!$A$6:$A$52,0)),""))</f>
        <v>п.1.49.2, п.1.49.14, п.4.3.1, п.4.3.2, п.4.4, п.5.1, п.15</v>
      </c>
      <c r="J153" s="35" t="n">
        <f aca="false">IF(C153="","",IFERROR(INDEX(Перечень!$D$6:$D$52,MATCH(H153,Перечень!$A$6:$A$52,0)),12))</f>
        <v>12</v>
      </c>
      <c r="K153" s="40"/>
      <c r="L153" s="40"/>
      <c r="M153" s="37" t="str">
        <f aca="false">IF(AND(K153="",L153=""),"",EDATE(MAX(K153,L153),J153))</f>
        <v/>
      </c>
      <c r="N153" s="41" t="str">
        <f aca="false">IF(C153="","",IFERROR(INDEX(Перечень!$F$6:$F$52,MATCH(H153,Перечень!$A$6:$A$52,0)),""))</f>
        <v>-</v>
      </c>
      <c r="O153" s="40"/>
      <c r="P153" s="37" t="str">
        <f aca="false">IF(O153="","",EDATE(O153,60))</f>
        <v/>
      </c>
      <c r="Q153" s="41" t="str">
        <f aca="false">IF(AND(K153&lt;&gt;"",F153&lt;&gt;"",K153&gt;F153),"Да","")</f>
        <v/>
      </c>
      <c r="R153" s="41" t="str">
        <f aca="true">IF(C153="","",IF(M153="","Нет сведений",IF(M153&lt;TODAY(),"Просрочен",IF(M153-TODAY()&lt;=30,"Истекает","В срок"))))</f>
        <v>Нет сведений</v>
      </c>
      <c r="S153" s="41" t="str">
        <f aca="false">IF(AND(N153="Да",O153=""),"Не пройдено","")</f>
        <v/>
      </c>
    </row>
    <row r="154" customFormat="false" ht="14.25" hidden="false" customHeight="false" outlineLevel="0" collapsed="false">
      <c r="A154" s="35" t="n">
        <f aca="false">IF(C154="","",ROW()-5)</f>
        <v>149</v>
      </c>
      <c r="B154" s="36" t="s">
        <v>107</v>
      </c>
      <c r="C154" s="36" t="s">
        <v>343</v>
      </c>
      <c r="D154" s="36" t="s">
        <v>322</v>
      </c>
      <c r="E154" s="36" t="s">
        <v>318</v>
      </c>
      <c r="F154" s="37" t="n">
        <v>40926</v>
      </c>
      <c r="G154" s="38" t="str">
        <f aca="false">IF(C154="","",IF(TRIM(SUBSTITUTE(SUBSTITUTE(SUBSTITUTE(SUBSTITUTE(SUBSTITUTE(SUBSTITUTE(SUBSTITUTE(SUBSTITUTE(SUBSTITUTE(SUBSTITUTE(SUBSTITUTE(LOWER(TRIM(D154)),"ё","е"),"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категории",""))="инженер",IF(AND(ISNUMBER(SEARCH("техническ",E154)),ISNUMBER(SEARCH("контрол",E154))),"инженер отк",IF(ISNUMBER(SEARCH("диспетч",E154)),"инженер пдо",TRIM(SUBSTITUTE(SUBSTITUTE(SUBSTITUTE(SUBSTITUTE(SUBSTITUTE(SUBSTITUTE(SUBSTITUTE(SUBSTITUTE(SUBSTITUTE(SUBSTITUTE(SUBSTITUTE(LOWER(TRIM(D154)),"ё","е"),"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инженер",IF(ISNUMBER(SEARCH("диспетч",E154)),"ведущий инженер пдо",TRIM(SUBSTITUTE(SUBSTITUTE(SUBSTITUTE(SUBSTITUTE(SUBSTITUTE(SUBSTITUTE(SUBSTITUTE(SUBSTITUTE(SUBSTITUTE(SUBSTITUTE(SUBSTITUTE(LOWER(TRIM(D154)),"ё","е"),"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отк",TRIM(SUBSTITUTE(SUBSTITUTE(SUBSTITUTE(SUBSTITUTE(SUBSTITUTE(SUBSTITUTE(SUBSTITUTE(SUBSTITUTE(SUBSTITUTE(SUBSTITUTE(SUBSTITUTE(LOWER(TRIM(D154)),"ё","е"),"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54" s="35" t="n">
        <f aca="false">IF(C154="","",IF(AND(G154="мастер участка",ISNUMBER(SEARCH("РЭО",E154))),29,IFERROR(INDEX(Соответствие!$B$2:$B$100,MATCH(G154,Соответствие!$A$2:$A$100,0)),"?")))</f>
        <v>21</v>
      </c>
      <c r="I154" s="39" t="str">
        <f aca="false">IF(C154="","",IFERROR(INDEX(Перечень!$C$6:$C$52,MATCH(H154,Перечень!$A$6:$A$52,0)),""))</f>
        <v>п.1.49.2, п.1.49.14, п.4.3.1, п.4.3.2, п.4.4, п.5.1, п.15</v>
      </c>
      <c r="J154" s="35" t="n">
        <f aca="false">IF(C154="","",IFERROR(INDEX(Перечень!$D$6:$D$52,MATCH(H154,Перечень!$A$6:$A$52,0)),12))</f>
        <v>12</v>
      </c>
      <c r="K154" s="40"/>
      <c r="L154" s="40"/>
      <c r="M154" s="37" t="str">
        <f aca="false">IF(AND(K154="",L154=""),"",EDATE(MAX(K154,L154),J154))</f>
        <v/>
      </c>
      <c r="N154" s="41" t="str">
        <f aca="false">IF(C154="","",IFERROR(INDEX(Перечень!$F$6:$F$52,MATCH(H154,Перечень!$A$6:$A$52,0)),""))</f>
        <v>-</v>
      </c>
      <c r="O154" s="40"/>
      <c r="P154" s="37" t="str">
        <f aca="false">IF(O154="","",EDATE(O154,60))</f>
        <v/>
      </c>
      <c r="Q154" s="41" t="str">
        <f aca="false">IF(AND(K154&lt;&gt;"",F154&lt;&gt;"",K154&gt;F154),"Да","")</f>
        <v/>
      </c>
      <c r="R154" s="41" t="str">
        <f aca="true">IF(C154="","",IF(M154="","Нет сведений",IF(M154&lt;TODAY(),"Просрочен",IF(M154-TODAY()&lt;=30,"Истекает","В срок"))))</f>
        <v>Нет сведений</v>
      </c>
      <c r="S154" s="41" t="str">
        <f aca="false">IF(AND(N154="Да",O154=""),"Не пройдено","")</f>
        <v/>
      </c>
    </row>
    <row r="155" customFormat="false" ht="14.25" hidden="false" customHeight="false" outlineLevel="0" collapsed="false">
      <c r="A155" s="35" t="n">
        <f aca="false">IF(C155="","",ROW()-5)</f>
        <v>150</v>
      </c>
      <c r="B155" s="36" t="s">
        <v>107</v>
      </c>
      <c r="C155" s="36" t="s">
        <v>344</v>
      </c>
      <c r="D155" s="36" t="s">
        <v>322</v>
      </c>
      <c r="E155" s="36" t="s">
        <v>318</v>
      </c>
      <c r="F155" s="37" t="n">
        <v>42570</v>
      </c>
      <c r="G155" s="38" t="str">
        <f aca="false">IF(C155="","",IF(TRIM(SUBSTITUTE(SUBSTITUTE(SUBSTITUTE(SUBSTITUTE(SUBSTITUTE(SUBSTITUTE(SUBSTITUTE(SUBSTITUTE(SUBSTITUTE(SUBSTITUTE(SUBSTITUTE(LOWER(TRIM(D155)),"ё","е"),"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категории",""))="инженер",IF(AND(ISNUMBER(SEARCH("техническ",E155)),ISNUMBER(SEARCH("контрол",E155))),"инженер отк",IF(ISNUMBER(SEARCH("диспетч",E155)),"инженер пдо",TRIM(SUBSTITUTE(SUBSTITUTE(SUBSTITUTE(SUBSTITUTE(SUBSTITUTE(SUBSTITUTE(SUBSTITUTE(SUBSTITUTE(SUBSTITUTE(SUBSTITUTE(SUBSTITUTE(LOWER(TRIM(D155)),"ё","е"),"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инженер",IF(ISNUMBER(SEARCH("диспетч",E155)),"ведущий инженер пдо",TRIM(SUBSTITUTE(SUBSTITUTE(SUBSTITUTE(SUBSTITUTE(SUBSTITUTE(SUBSTITUTE(SUBSTITUTE(SUBSTITUTE(SUBSTITUTE(SUBSTITUTE(SUBSTITUTE(LOWER(TRIM(D155)),"ё","е"),"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отк",TRIM(SUBSTITUTE(SUBSTITUTE(SUBSTITUTE(SUBSTITUTE(SUBSTITUTE(SUBSTITUTE(SUBSTITUTE(SUBSTITUTE(SUBSTITUTE(SUBSTITUTE(SUBSTITUTE(LOWER(TRIM(D155)),"ё","е"),"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55" s="35" t="n">
        <f aca="false">IF(C155="","",IF(AND(G155="мастер участка",ISNUMBER(SEARCH("РЭО",E155))),29,IFERROR(INDEX(Соответствие!$B$2:$B$100,MATCH(G155,Соответствие!$A$2:$A$100,0)),"?")))</f>
        <v>21</v>
      </c>
      <c r="I155" s="39" t="str">
        <f aca="false">IF(C155="","",IFERROR(INDEX(Перечень!$C$6:$C$52,MATCH(H155,Перечень!$A$6:$A$52,0)),""))</f>
        <v>п.1.49.2, п.1.49.14, п.4.3.1, п.4.3.2, п.4.4, п.5.1, п.15</v>
      </c>
      <c r="J155" s="35" t="n">
        <f aca="false">IF(C155="","",IFERROR(INDEX(Перечень!$D$6:$D$52,MATCH(H155,Перечень!$A$6:$A$52,0)),12))</f>
        <v>12</v>
      </c>
      <c r="K155" s="40"/>
      <c r="L155" s="40"/>
      <c r="M155" s="37" t="str">
        <f aca="false">IF(AND(K155="",L155=""),"",EDATE(MAX(K155,L155),J155))</f>
        <v/>
      </c>
      <c r="N155" s="41" t="str">
        <f aca="false">IF(C155="","",IFERROR(INDEX(Перечень!$F$6:$F$52,MATCH(H155,Перечень!$A$6:$A$52,0)),""))</f>
        <v>-</v>
      </c>
      <c r="O155" s="40"/>
      <c r="P155" s="37" t="str">
        <f aca="false">IF(O155="","",EDATE(O155,60))</f>
        <v/>
      </c>
      <c r="Q155" s="41" t="str">
        <f aca="false">IF(AND(K155&lt;&gt;"",F155&lt;&gt;"",K155&gt;F155),"Да","")</f>
        <v/>
      </c>
      <c r="R155" s="41" t="str">
        <f aca="true">IF(C155="","",IF(M155="","Нет сведений",IF(M155&lt;TODAY(),"Просрочен",IF(M155-TODAY()&lt;=30,"Истекает","В срок"))))</f>
        <v>Нет сведений</v>
      </c>
      <c r="S155" s="41" t="str">
        <f aca="false">IF(AND(N155="Да",O155=""),"Не пройдено","")</f>
        <v/>
      </c>
    </row>
    <row r="156" customFormat="false" ht="14.25" hidden="false" customHeight="false" outlineLevel="0" collapsed="false">
      <c r="A156" s="35" t="n">
        <f aca="false">IF(C156="","",ROW()-5)</f>
        <v>151</v>
      </c>
      <c r="B156" s="36" t="s">
        <v>107</v>
      </c>
      <c r="C156" s="36" t="s">
        <v>345</v>
      </c>
      <c r="D156" s="36" t="s">
        <v>322</v>
      </c>
      <c r="E156" s="36" t="s">
        <v>318</v>
      </c>
      <c r="F156" s="37" t="n">
        <v>43046</v>
      </c>
      <c r="G156" s="38" t="str">
        <f aca="false">IF(C156="","",IF(TRIM(SUBSTITUTE(SUBSTITUTE(SUBSTITUTE(SUBSTITUTE(SUBSTITUTE(SUBSTITUTE(SUBSTITUTE(SUBSTITUTE(SUBSTITUTE(SUBSTITUTE(SUBSTITUTE(LOWER(TRIM(D156)),"ё","е"),"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категории",""))="инженер",IF(AND(ISNUMBER(SEARCH("техническ",E156)),ISNUMBER(SEARCH("контрол",E156))),"инженер отк",IF(ISNUMBER(SEARCH("диспетч",E156)),"инженер пдо",TRIM(SUBSTITUTE(SUBSTITUTE(SUBSTITUTE(SUBSTITUTE(SUBSTITUTE(SUBSTITUTE(SUBSTITUTE(SUBSTITUTE(SUBSTITUTE(SUBSTITUTE(SUBSTITUTE(LOWER(TRIM(D156)),"ё","е"),"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инженер",IF(ISNUMBER(SEARCH("диспетч",E156)),"ведущий инженер пдо",TRIM(SUBSTITUTE(SUBSTITUTE(SUBSTITUTE(SUBSTITUTE(SUBSTITUTE(SUBSTITUTE(SUBSTITUTE(SUBSTITUTE(SUBSTITUTE(SUBSTITUTE(SUBSTITUTE(LOWER(TRIM(D156)),"ё","е"),"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отк",TRIM(SUBSTITUTE(SUBSTITUTE(SUBSTITUTE(SUBSTITUTE(SUBSTITUTE(SUBSTITUTE(SUBSTITUTE(SUBSTITUTE(SUBSTITUTE(SUBSTITUTE(SUBSTITUTE(LOWER(TRIM(D156)),"ё","е"),"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56" s="35" t="n">
        <f aca="false">IF(C156="","",IF(AND(G156="мастер участка",ISNUMBER(SEARCH("РЭО",E156))),29,IFERROR(INDEX(Соответствие!$B$2:$B$100,MATCH(G156,Соответствие!$A$2:$A$100,0)),"?")))</f>
        <v>21</v>
      </c>
      <c r="I156" s="39" t="str">
        <f aca="false">IF(C156="","",IFERROR(INDEX(Перечень!$C$6:$C$52,MATCH(H156,Перечень!$A$6:$A$52,0)),""))</f>
        <v>п.1.49.2, п.1.49.14, п.4.3.1, п.4.3.2, п.4.4, п.5.1, п.15</v>
      </c>
      <c r="J156" s="35" t="n">
        <f aca="false">IF(C156="","",IFERROR(INDEX(Перечень!$D$6:$D$52,MATCH(H156,Перечень!$A$6:$A$52,0)),12))</f>
        <v>12</v>
      </c>
      <c r="K156" s="40"/>
      <c r="L156" s="40"/>
      <c r="M156" s="37" t="str">
        <f aca="false">IF(AND(K156="",L156=""),"",EDATE(MAX(K156,L156),J156))</f>
        <v/>
      </c>
      <c r="N156" s="41" t="str">
        <f aca="false">IF(C156="","",IFERROR(INDEX(Перечень!$F$6:$F$52,MATCH(H156,Перечень!$A$6:$A$52,0)),""))</f>
        <v>-</v>
      </c>
      <c r="O156" s="40"/>
      <c r="P156" s="37" t="str">
        <f aca="false">IF(O156="","",EDATE(O156,60))</f>
        <v/>
      </c>
      <c r="Q156" s="41" t="str">
        <f aca="false">IF(AND(K156&lt;&gt;"",F156&lt;&gt;"",K156&gt;F156),"Да","")</f>
        <v/>
      </c>
      <c r="R156" s="41" t="str">
        <f aca="true">IF(C156="","",IF(M156="","Нет сведений",IF(M156&lt;TODAY(),"Просрочен",IF(M156-TODAY()&lt;=30,"Истекает","В срок"))))</f>
        <v>Нет сведений</v>
      </c>
      <c r="S156" s="41" t="str">
        <f aca="false">IF(AND(N156="Да",O156=""),"Не пройдено","")</f>
        <v/>
      </c>
    </row>
    <row r="157" customFormat="false" ht="14.25" hidden="false" customHeight="false" outlineLevel="0" collapsed="false">
      <c r="A157" s="35" t="n">
        <f aca="false">IF(C157="","",ROW()-5)</f>
        <v>152</v>
      </c>
      <c r="B157" s="36" t="s">
        <v>107</v>
      </c>
      <c r="C157" s="36" t="s">
        <v>346</v>
      </c>
      <c r="D157" s="36" t="s">
        <v>322</v>
      </c>
      <c r="E157" s="36" t="s">
        <v>318</v>
      </c>
      <c r="F157" s="37" t="n">
        <v>46106</v>
      </c>
      <c r="G157" s="38" t="str">
        <f aca="false">IF(C157="","",IF(TRIM(SUBSTITUTE(SUBSTITUTE(SUBSTITUTE(SUBSTITUTE(SUBSTITUTE(SUBSTITUTE(SUBSTITUTE(SUBSTITUTE(SUBSTITUTE(SUBSTITUTE(SUBSTITUTE(LOWER(TRIM(D157)),"ё","е"),"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категории",""))="инженер",IF(AND(ISNUMBER(SEARCH("техническ",E157)),ISNUMBER(SEARCH("контрол",E157))),"инженер отк",IF(ISNUMBER(SEARCH("диспетч",E157)),"инженер пдо",TRIM(SUBSTITUTE(SUBSTITUTE(SUBSTITUTE(SUBSTITUTE(SUBSTITUTE(SUBSTITUTE(SUBSTITUTE(SUBSTITUTE(SUBSTITUTE(SUBSTITUTE(SUBSTITUTE(LOWER(TRIM(D157)),"ё","е"),"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инженер",IF(ISNUMBER(SEARCH("диспетч",E157)),"ведущий инженер пдо",TRIM(SUBSTITUTE(SUBSTITUTE(SUBSTITUTE(SUBSTITUTE(SUBSTITUTE(SUBSTITUTE(SUBSTITUTE(SUBSTITUTE(SUBSTITUTE(SUBSTITUTE(SUBSTITUTE(LOWER(TRIM(D157)),"ё","е"),"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отк",TRIM(SUBSTITUTE(SUBSTITUTE(SUBSTITUTE(SUBSTITUTE(SUBSTITUTE(SUBSTITUTE(SUBSTITUTE(SUBSTITUTE(SUBSTITUTE(SUBSTITUTE(SUBSTITUTE(LOWER(TRIM(D157)),"ё","е"),"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57" s="35" t="n">
        <f aca="false">IF(C157="","",IF(AND(G157="мастер участка",ISNUMBER(SEARCH("РЭО",E157))),29,IFERROR(INDEX(Соответствие!$B$2:$B$100,MATCH(G157,Соответствие!$A$2:$A$100,0)),"?")))</f>
        <v>21</v>
      </c>
      <c r="I157" s="39" t="str">
        <f aca="false">IF(C157="","",IFERROR(INDEX(Перечень!$C$6:$C$52,MATCH(H157,Перечень!$A$6:$A$52,0)),""))</f>
        <v>п.1.49.2, п.1.49.14, п.4.3.1, п.4.3.2, п.4.4, п.5.1, п.15</v>
      </c>
      <c r="J157" s="35" t="n">
        <f aca="false">IF(C157="","",IFERROR(INDEX(Перечень!$D$6:$D$52,MATCH(H157,Перечень!$A$6:$A$52,0)),12))</f>
        <v>12</v>
      </c>
      <c r="K157" s="40"/>
      <c r="L157" s="40"/>
      <c r="M157" s="37" t="str">
        <f aca="false">IF(AND(K157="",L157=""),"",EDATE(MAX(K157,L157),J157))</f>
        <v/>
      </c>
      <c r="N157" s="41" t="str">
        <f aca="false">IF(C157="","",IFERROR(INDEX(Перечень!$F$6:$F$52,MATCH(H157,Перечень!$A$6:$A$52,0)),""))</f>
        <v>-</v>
      </c>
      <c r="O157" s="40"/>
      <c r="P157" s="37" t="str">
        <f aca="false">IF(O157="","",EDATE(O157,60))</f>
        <v/>
      </c>
      <c r="Q157" s="41" t="str">
        <f aca="false">IF(AND(K157&lt;&gt;"",F157&lt;&gt;"",K157&gt;F157),"Да","")</f>
        <v/>
      </c>
      <c r="R157" s="41" t="str">
        <f aca="true">IF(C157="","",IF(M157="","Нет сведений",IF(M157&lt;TODAY(),"Просрочен",IF(M157-TODAY()&lt;=30,"Истекает","В срок"))))</f>
        <v>Нет сведений</v>
      </c>
      <c r="S157" s="41" t="str">
        <f aca="false">IF(AND(N157="Да",O157=""),"Не пройдено","")</f>
        <v/>
      </c>
    </row>
    <row r="158" customFormat="false" ht="14.25" hidden="false" customHeight="false" outlineLevel="0" collapsed="false">
      <c r="A158" s="35" t="n">
        <f aca="false">IF(C158="","",ROW()-5)</f>
        <v>153</v>
      </c>
      <c r="B158" s="36" t="s">
        <v>107</v>
      </c>
      <c r="C158" s="36" t="s">
        <v>347</v>
      </c>
      <c r="D158" s="36" t="s">
        <v>348</v>
      </c>
      <c r="E158" s="36" t="s">
        <v>318</v>
      </c>
      <c r="F158" s="37" t="n">
        <v>42614</v>
      </c>
      <c r="G158" s="38" t="str">
        <f aca="false">IF(C158="","",IF(TRIM(SUBSTITUTE(SUBSTITUTE(SUBSTITUTE(SUBSTITUTE(SUBSTITUTE(SUBSTITUTE(SUBSTITUTE(SUBSTITUTE(SUBSTITUTE(SUBSTITUTE(SUBSTITUTE(LOWER(TRIM(D158)),"ё","е"),"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категории",""))="инженер",IF(AND(ISNUMBER(SEARCH("техническ",E158)),ISNUMBER(SEARCH("контрол",E158))),"инженер отк",IF(ISNUMBER(SEARCH("диспетч",E158)),"инженер пдо",TRIM(SUBSTITUTE(SUBSTITUTE(SUBSTITUTE(SUBSTITUTE(SUBSTITUTE(SUBSTITUTE(SUBSTITUTE(SUBSTITUTE(SUBSTITUTE(SUBSTITUTE(SUBSTITUTE(LOWER(TRIM(D158)),"ё","е"),"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инженер",IF(ISNUMBER(SEARCH("диспетч",E158)),"ведущий инженер пдо",TRIM(SUBSTITUTE(SUBSTITUTE(SUBSTITUTE(SUBSTITUTE(SUBSTITUTE(SUBSTITUTE(SUBSTITUTE(SUBSTITUTE(SUBSTITUTE(SUBSTITUTE(SUBSTITUTE(LOWER(TRIM(D158)),"ё","е"),"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отк",TRIM(SUBSTITUTE(SUBSTITUTE(SUBSTITUTE(SUBSTITUTE(SUBSTITUTE(SUBSTITUTE(SUBSTITUTE(SUBSTITUTE(SUBSTITUTE(SUBSTITUTE(SUBSTITUTE(LOWER(TRIM(D158)),"ё","е")," -","-"),"- ","-")," 2 разряда","")," 3 разряда","")," 4 разряда","")," 5 разряда","")," 6 разряда","")," 1 категории","")," 2 категории","")," 3 категории",""))))))</f>
        <v>бригадир</v>
      </c>
      <c r="H158" s="35" t="n">
        <f aca="false">IF(C158="","",IF(AND(G158="мастер участка",ISNUMBER(SEARCH("РЭО",E158))),29,IFERROR(INDEX(Соответствие!$B$2:$B$100,MATCH(G158,Соответствие!$A$2:$A$100,0)),"?")))</f>
        <v>47</v>
      </c>
      <c r="I158" s="39" t="str">
        <f aca="false">IF(C158="","",IFERROR(INDEX(Перечень!$C$6:$C$52,MATCH(H158,Перечень!$A$6:$A$52,0)),""))</f>
        <v>п.4.4, п.5.1, п.5.2</v>
      </c>
      <c r="J158" s="35" t="n">
        <f aca="false">IF(C158="","",IFERROR(INDEX(Перечень!$D$6:$D$52,MATCH(H158,Перечень!$A$6:$A$52,0)),12))</f>
        <v>12</v>
      </c>
      <c r="K158" s="40"/>
      <c r="L158" s="40"/>
      <c r="M158" s="37" t="str">
        <f aca="false">IF(AND(K158="",L158=""),"",EDATE(MAX(K158,L158),J158))</f>
        <v/>
      </c>
      <c r="N158" s="41" t="str">
        <f aca="false">IF(C158="","",IFERROR(INDEX(Перечень!$F$6:$F$52,MATCH(H158,Перечень!$A$6:$A$52,0)),""))</f>
        <v>-</v>
      </c>
      <c r="O158" s="40"/>
      <c r="P158" s="37" t="str">
        <f aca="false">IF(O158="","",EDATE(O158,60))</f>
        <v/>
      </c>
      <c r="Q158" s="41" t="str">
        <f aca="false">IF(AND(K158&lt;&gt;"",F158&lt;&gt;"",K158&gt;F158),"Да","")</f>
        <v/>
      </c>
      <c r="R158" s="41" t="str">
        <f aca="true">IF(C158="","",IF(M158="","Нет сведений",IF(M158&lt;TODAY(),"Просрочен",IF(M158-TODAY()&lt;=30,"Истекает","В срок"))))</f>
        <v>Нет сведений</v>
      </c>
      <c r="S158" s="41" t="str">
        <f aca="false">IF(AND(N158="Да",O158=""),"Не пройдено","")</f>
        <v/>
      </c>
    </row>
    <row r="159" customFormat="false" ht="14.25" hidden="false" customHeight="false" outlineLevel="0" collapsed="false">
      <c r="A159" s="35" t="n">
        <f aca="false">IF(C159="","",ROW()-5)</f>
        <v>154</v>
      </c>
      <c r="B159" s="36" t="s">
        <v>107</v>
      </c>
      <c r="C159" s="36" t="s">
        <v>349</v>
      </c>
      <c r="D159" s="36" t="s">
        <v>322</v>
      </c>
      <c r="E159" s="36" t="s">
        <v>318</v>
      </c>
      <c r="F159" s="37" t="n">
        <v>45688</v>
      </c>
      <c r="G159" s="38" t="str">
        <f aca="false">IF(C159="","",IF(TRIM(SUBSTITUTE(SUBSTITUTE(SUBSTITUTE(SUBSTITUTE(SUBSTITUTE(SUBSTITUTE(SUBSTITUTE(SUBSTITUTE(SUBSTITUTE(SUBSTITUTE(SUBSTITUTE(LOWER(TRIM(D159)),"ё","е"),"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категории",""))="инженер",IF(AND(ISNUMBER(SEARCH("техническ",E159)),ISNUMBER(SEARCH("контрол",E159))),"инженер отк",IF(ISNUMBER(SEARCH("диспетч",E159)),"инженер пдо",TRIM(SUBSTITUTE(SUBSTITUTE(SUBSTITUTE(SUBSTITUTE(SUBSTITUTE(SUBSTITUTE(SUBSTITUTE(SUBSTITUTE(SUBSTITUTE(SUBSTITUTE(SUBSTITUTE(LOWER(TRIM(D159)),"ё","е"),"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категории","")))),IF(TRIM(SUBSTITUTE(SUBSTITUTE(SUBSTITUTE(SUBSTITUTE(SUBSTITUTE(SUBSTITUTE(SUBSTITUTE(SUBSTITUTE(SUBSTITUTE(SUBSTITUTE(SUBSTITUTE(LOWER(TRIM(D159)),"ё","е"),"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инженер",IF(ISNUMBER(SEARCH("диспетч",E159)),"ведущий инженер пдо",TRIM(SUBSTITUTE(SUBSTITUTE(SUBSTITUTE(SUBSTITUTE(SUBSTITUTE(SUBSTITUTE(SUBSTITUTE(SUBSTITUTE(SUBSTITUTE(SUBSTITUTE(SUBSTITUTE(LOWER(TRIM(D159)),"ё","е"),"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категории",""))),IF(TRIM(SUBSTITUTE(SUBSTITUTE(SUBSTITUTE(SUBSTITUTE(SUBSTITUTE(SUBSTITUTE(SUBSTITUTE(SUBSTITUTE(SUBSTITUTE(SUBSTITUTE(SUBSTITUTE(LOWER(TRIM(D159)),"ё","е"),"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отк",TRIM(SUBSTITUTE(SUBSTITUTE(SUBSTITUTE(SUBSTITUTE(SUBSTITUTE(SUBSTITUTE(SUBSTITUTE(SUBSTITUTE(SUBSTITUTE(SUBSTITUTE(SUBSTITUTE(LOWER(TRIM(D159)),"ё","е"),"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59" s="35" t="n">
        <f aca="false">IF(C159="","",IF(AND(G159="мастер участка",ISNUMBER(SEARCH("РЭО",E159))),29,IFERROR(INDEX(Соответствие!$B$2:$B$100,MATCH(G159,Соответствие!$A$2:$A$100,0)),"?")))</f>
        <v>21</v>
      </c>
      <c r="I159" s="39" t="str">
        <f aca="false">IF(C159="","",IFERROR(INDEX(Перечень!$C$6:$C$52,MATCH(H159,Перечень!$A$6:$A$52,0)),""))</f>
        <v>п.1.49.2, п.1.49.14, п.4.3.1, п.4.3.2, п.4.4, п.5.1, п.15</v>
      </c>
      <c r="J159" s="35" t="n">
        <f aca="false">IF(C159="","",IFERROR(INDEX(Перечень!$D$6:$D$52,MATCH(H159,Перечень!$A$6:$A$52,0)),12))</f>
        <v>12</v>
      </c>
      <c r="K159" s="40"/>
      <c r="L159" s="40"/>
      <c r="M159" s="37" t="str">
        <f aca="false">IF(AND(K159="",L159=""),"",EDATE(MAX(K159,L159),J159))</f>
        <v/>
      </c>
      <c r="N159" s="41" t="str">
        <f aca="false">IF(C159="","",IFERROR(INDEX(Перечень!$F$6:$F$52,MATCH(H159,Перечень!$A$6:$A$52,0)),""))</f>
        <v>-</v>
      </c>
      <c r="O159" s="40"/>
      <c r="P159" s="37" t="str">
        <f aca="false">IF(O159="","",EDATE(O159,60))</f>
        <v/>
      </c>
      <c r="Q159" s="41" t="str">
        <f aca="false">IF(AND(K159&lt;&gt;"",F159&lt;&gt;"",K159&gt;F159),"Да","")</f>
        <v/>
      </c>
      <c r="R159" s="41" t="str">
        <f aca="true">IF(C159="","",IF(M159="","Нет сведений",IF(M159&lt;TODAY(),"Просрочен",IF(M159-TODAY()&lt;=30,"Истекает","В срок"))))</f>
        <v>Нет сведений</v>
      </c>
      <c r="S159" s="41" t="str">
        <f aca="false">IF(AND(N159="Да",O159=""),"Не пройдено","")</f>
        <v/>
      </c>
    </row>
    <row r="160" customFormat="false" ht="14.25" hidden="false" customHeight="false" outlineLevel="0" collapsed="false">
      <c r="A160" s="35" t="n">
        <f aca="false">IF(C160="","",ROW()-5)</f>
        <v>155</v>
      </c>
      <c r="B160" s="36" t="s">
        <v>107</v>
      </c>
      <c r="C160" s="36" t="s">
        <v>350</v>
      </c>
      <c r="D160" s="36" t="s">
        <v>351</v>
      </c>
      <c r="E160" s="36" t="s">
        <v>318</v>
      </c>
      <c r="F160" s="37" t="n">
        <v>42461</v>
      </c>
      <c r="G160" s="38" t="str">
        <f aca="false">IF(C160="","",IF(TRIM(SUBSTITUTE(SUBSTITUTE(SUBSTITUTE(SUBSTITUTE(SUBSTITUTE(SUBSTITUTE(SUBSTITUTE(SUBSTITUTE(SUBSTITUTE(SUBSTITUTE(SUBSTITUTE(LOWER(TRIM(D160)),"ё","е"),"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категории",""))="инженер",IF(AND(ISNUMBER(SEARCH("техническ",E160)),ISNUMBER(SEARCH("контрол",E160))),"инженер отк",IF(ISNUMBER(SEARCH("диспетч",E160)),"инженер пдо",TRIM(SUBSTITUTE(SUBSTITUTE(SUBSTITUTE(SUBSTITUTE(SUBSTITUTE(SUBSTITUTE(SUBSTITUTE(SUBSTITUTE(SUBSTITUTE(SUBSTITUTE(SUBSTITUTE(LOWER(TRIM(D160)),"ё","е"),"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инженер",IF(ISNUMBER(SEARCH("диспетч",E160)),"ведущий инженер пдо",TRIM(SUBSTITUTE(SUBSTITUTE(SUBSTITUTE(SUBSTITUTE(SUBSTITUTE(SUBSTITUTE(SUBSTITUTE(SUBSTITUTE(SUBSTITUTE(SUBSTITUTE(SUBSTITUTE(LOWER(TRIM(D160)),"ё","е"),"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отк",TRIM(SUBSTITUTE(SUBSTITUTE(SUBSTITUTE(SUBSTITUTE(SUBSTITUTE(SUBSTITUTE(SUBSTITUTE(SUBSTITUTE(SUBSTITUTE(SUBSTITUTE(SUBSTITUTE(LOWER(TRIM(D160)),"ё","е")," -","-"),"- ","-")," 2 разряда","")," 3 разряда","")," 4 разряда","")," 5 разряда","")," 6 разряда","")," 1 категории","")," 2 категории","")," 3 категории",""))))))</f>
        <v>сборщик стеклопластиковых изделий</v>
      </c>
      <c r="H160" s="35" t="n">
        <f aca="false">IF(C160="","",IF(AND(G160="мастер участка",ISNUMBER(SEARCH("РЭО",E160))),29,IFERROR(INDEX(Соответствие!$B$2:$B$100,MATCH(G160,Соответствие!$A$2:$A$100,0)),"?")))</f>
        <v>26</v>
      </c>
      <c r="I160" s="39" t="str">
        <f aca="false">IF(C160="","",IFERROR(INDEX(Перечень!$C$6:$C$52,MATCH(H160,Перечень!$A$6:$A$52,0)),""))</f>
        <v>п.1.37.1, п.3.1.8.3, п.4.3.1, п.4.4, п.5.1, п.15</v>
      </c>
      <c r="J160" s="35" t="n">
        <f aca="false">IF(C160="","",IFERROR(INDEX(Перечень!$D$6:$D$52,MATCH(H160,Перечень!$A$6:$A$52,0)),12))</f>
        <v>12</v>
      </c>
      <c r="K160" s="40"/>
      <c r="L160" s="40"/>
      <c r="M160" s="37" t="str">
        <f aca="false">IF(AND(K160="",L160=""),"",EDATE(MAX(K160,L160),J160))</f>
        <v/>
      </c>
      <c r="N160" s="41" t="str">
        <f aca="false">IF(C160="","",IFERROR(INDEX(Перечень!$F$6:$F$52,MATCH(H160,Перечень!$A$6:$A$52,0)),""))</f>
        <v>Нет</v>
      </c>
      <c r="O160" s="40"/>
      <c r="P160" s="37" t="str">
        <f aca="false">IF(O160="","",EDATE(O160,60))</f>
        <v/>
      </c>
      <c r="Q160" s="41" t="str">
        <f aca="false">IF(AND(K160&lt;&gt;"",F160&lt;&gt;"",K160&gt;F160),"Да","")</f>
        <v/>
      </c>
      <c r="R160" s="41" t="str">
        <f aca="true">IF(C160="","",IF(M160="","Нет сведений",IF(M160&lt;TODAY(),"Просрочен",IF(M160-TODAY()&lt;=30,"Истекает","В срок"))))</f>
        <v>Нет сведений</v>
      </c>
      <c r="S160" s="41" t="str">
        <f aca="false">IF(AND(N160="Да",O160=""),"Не пройдено","")</f>
        <v/>
      </c>
    </row>
    <row r="161" customFormat="false" ht="14.25" hidden="false" customHeight="false" outlineLevel="0" collapsed="false">
      <c r="A161" s="35" t="n">
        <f aca="false">IF(C161="","",ROW()-5)</f>
        <v>156</v>
      </c>
      <c r="B161" s="36" t="s">
        <v>107</v>
      </c>
      <c r="C161" s="36" t="s">
        <v>352</v>
      </c>
      <c r="D161" s="36" t="s">
        <v>348</v>
      </c>
      <c r="E161" s="36" t="s">
        <v>318</v>
      </c>
      <c r="F161" s="37" t="n">
        <v>43132</v>
      </c>
      <c r="G161" s="38" t="str">
        <f aca="false">IF(C161="","",IF(TRIM(SUBSTITUTE(SUBSTITUTE(SUBSTITUTE(SUBSTITUTE(SUBSTITUTE(SUBSTITUTE(SUBSTITUTE(SUBSTITUTE(SUBSTITUTE(SUBSTITUTE(SUBSTITUTE(LOWER(TRIM(D161)),"ё","е"),"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категории",""))="инженер",IF(AND(ISNUMBER(SEARCH("техническ",E161)),ISNUMBER(SEARCH("контрол",E161))),"инженер отк",IF(ISNUMBER(SEARCH("диспетч",E161)),"инженер пдо",TRIM(SUBSTITUTE(SUBSTITUTE(SUBSTITUTE(SUBSTITUTE(SUBSTITUTE(SUBSTITUTE(SUBSTITUTE(SUBSTITUTE(SUBSTITUTE(SUBSTITUTE(SUBSTITUTE(LOWER(TRIM(D161)),"ё","е"),"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инженер",IF(ISNUMBER(SEARCH("диспетч",E161)),"ведущий инженер пдо",TRIM(SUBSTITUTE(SUBSTITUTE(SUBSTITUTE(SUBSTITUTE(SUBSTITUTE(SUBSTITUTE(SUBSTITUTE(SUBSTITUTE(SUBSTITUTE(SUBSTITUTE(SUBSTITUTE(LOWER(TRIM(D161)),"ё","е"),"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отк",TRIM(SUBSTITUTE(SUBSTITUTE(SUBSTITUTE(SUBSTITUTE(SUBSTITUTE(SUBSTITUTE(SUBSTITUTE(SUBSTITUTE(SUBSTITUTE(SUBSTITUTE(SUBSTITUTE(LOWER(TRIM(D161)),"ё","е")," -","-"),"- ","-")," 2 разряда","")," 3 разряда","")," 4 разряда","")," 5 разряда","")," 6 разряда","")," 1 категории","")," 2 категории","")," 3 категории",""))))))</f>
        <v>бригадир</v>
      </c>
      <c r="H161" s="35" t="n">
        <f aca="false">IF(C161="","",IF(AND(G161="мастер участка",ISNUMBER(SEARCH("РЭО",E161))),29,IFERROR(INDEX(Соответствие!$B$2:$B$100,MATCH(G161,Соответствие!$A$2:$A$100,0)),"?")))</f>
        <v>47</v>
      </c>
      <c r="I161" s="39" t="str">
        <f aca="false">IF(C161="","",IFERROR(INDEX(Перечень!$C$6:$C$52,MATCH(H161,Перечень!$A$6:$A$52,0)),""))</f>
        <v>п.4.4, п.5.1, п.5.2</v>
      </c>
      <c r="J161" s="35" t="n">
        <f aca="false">IF(C161="","",IFERROR(INDEX(Перечень!$D$6:$D$52,MATCH(H161,Перечень!$A$6:$A$52,0)),12))</f>
        <v>12</v>
      </c>
      <c r="K161" s="40"/>
      <c r="L161" s="40"/>
      <c r="M161" s="37" t="str">
        <f aca="false">IF(AND(K161="",L161=""),"",EDATE(MAX(K161,L161),J161))</f>
        <v/>
      </c>
      <c r="N161" s="41" t="str">
        <f aca="false">IF(C161="","",IFERROR(INDEX(Перечень!$F$6:$F$52,MATCH(H161,Перечень!$A$6:$A$52,0)),""))</f>
        <v>-</v>
      </c>
      <c r="O161" s="40"/>
      <c r="P161" s="37" t="str">
        <f aca="false">IF(O161="","",EDATE(O161,60))</f>
        <v/>
      </c>
      <c r="Q161" s="41" t="str">
        <f aca="false">IF(AND(K161&lt;&gt;"",F161&lt;&gt;"",K161&gt;F161),"Да","")</f>
        <v/>
      </c>
      <c r="R161" s="41" t="str">
        <f aca="true">IF(C161="","",IF(M161="","Нет сведений",IF(M161&lt;TODAY(),"Просрочен",IF(M161-TODAY()&lt;=30,"Истекает","В срок"))))</f>
        <v>Нет сведений</v>
      </c>
      <c r="S161" s="41" t="str">
        <f aca="false">IF(AND(N161="Да",O161=""),"Не пройдено","")</f>
        <v/>
      </c>
    </row>
    <row r="162" customFormat="false" ht="14.25" hidden="false" customHeight="false" outlineLevel="0" collapsed="false">
      <c r="A162" s="35" t="n">
        <f aca="false">IF(C162="","",ROW()-5)</f>
        <v>157</v>
      </c>
      <c r="B162" s="36" t="s">
        <v>107</v>
      </c>
      <c r="C162" s="36" t="s">
        <v>353</v>
      </c>
      <c r="D162" s="36" t="s">
        <v>354</v>
      </c>
      <c r="E162" s="36" t="s">
        <v>318</v>
      </c>
      <c r="F162" s="37" t="n">
        <v>46237</v>
      </c>
      <c r="G162" s="38" t="str">
        <f aca="false">IF(C162="","",IF(TRIM(SUBSTITUTE(SUBSTITUTE(SUBSTITUTE(SUBSTITUTE(SUBSTITUTE(SUBSTITUTE(SUBSTITUTE(SUBSTITUTE(SUBSTITUTE(SUBSTITUTE(SUBSTITUTE(LOWER(TRIM(D162)),"ё","е"),"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категории",""))="инженер",IF(AND(ISNUMBER(SEARCH("техническ",E162)),ISNUMBER(SEARCH("контрол",E162))),"инженер отк",IF(ISNUMBER(SEARCH("диспетч",E162)),"инженер пдо",TRIM(SUBSTITUTE(SUBSTITUTE(SUBSTITUTE(SUBSTITUTE(SUBSTITUTE(SUBSTITUTE(SUBSTITUTE(SUBSTITUTE(SUBSTITUTE(SUBSTITUTE(SUBSTITUTE(LOWER(TRIM(D162)),"ё","е"),"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инженер",IF(ISNUMBER(SEARCH("диспетч",E162)),"ведущий инженер пдо",TRIM(SUBSTITUTE(SUBSTITUTE(SUBSTITUTE(SUBSTITUTE(SUBSTITUTE(SUBSTITUTE(SUBSTITUTE(SUBSTITUTE(SUBSTITUTE(SUBSTITUTE(SUBSTITUTE(LOWER(TRIM(D162)),"ё","е"),"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отк",TRIM(SUBSTITUTE(SUBSTITUTE(SUBSTITUTE(SUBSTITUTE(SUBSTITUTE(SUBSTITUTE(SUBSTITUTE(SUBSTITUTE(SUBSTITUTE(SUBSTITUTE(SUBSTITUTE(LOWER(TRIM(D162)),"ё","е")," -","-"),"- ","-")," 2 разряда","")," 3 разряда","")," 4 разряда","")," 5 разряда","")," 6 разряда","")," 1 категории","")," 2 категории","")," 3 категории",""))))))</f>
        <v>сборщик стеклопластиковых изделий</v>
      </c>
      <c r="H162" s="35" t="n">
        <f aca="false">IF(C162="","",IF(AND(G162="мастер участка",ISNUMBER(SEARCH("РЭО",E162))),29,IFERROR(INDEX(Соответствие!$B$2:$B$100,MATCH(G162,Соответствие!$A$2:$A$100,0)),"?")))</f>
        <v>26</v>
      </c>
      <c r="I162" s="39" t="str">
        <f aca="false">IF(C162="","",IFERROR(INDEX(Перечень!$C$6:$C$52,MATCH(H162,Перечень!$A$6:$A$52,0)),""))</f>
        <v>п.1.37.1, п.3.1.8.3, п.4.3.1, п.4.4, п.5.1, п.15</v>
      </c>
      <c r="J162" s="35" t="n">
        <f aca="false">IF(C162="","",IFERROR(INDEX(Перечень!$D$6:$D$52,MATCH(H162,Перечень!$A$6:$A$52,0)),12))</f>
        <v>12</v>
      </c>
      <c r="K162" s="40"/>
      <c r="L162" s="40"/>
      <c r="M162" s="37" t="str">
        <f aca="false">IF(AND(K162="",L162=""),"",EDATE(MAX(K162,L162),J162))</f>
        <v/>
      </c>
      <c r="N162" s="41" t="str">
        <f aca="false">IF(C162="","",IFERROR(INDEX(Перечень!$F$6:$F$52,MATCH(H162,Перечень!$A$6:$A$52,0)),""))</f>
        <v>Нет</v>
      </c>
      <c r="O162" s="40"/>
      <c r="P162" s="37" t="str">
        <f aca="false">IF(O162="","",EDATE(O162,60))</f>
        <v/>
      </c>
      <c r="Q162" s="41" t="str">
        <f aca="false">IF(AND(K162&lt;&gt;"",F162&lt;&gt;"",K162&gt;F162),"Да","")</f>
        <v/>
      </c>
      <c r="R162" s="41" t="str">
        <f aca="true">IF(C162="","",IF(M162="","Нет сведений",IF(M162&lt;TODAY(),"Просрочен",IF(M162-TODAY()&lt;=30,"Истекает","В срок"))))</f>
        <v>Нет сведений</v>
      </c>
      <c r="S162" s="41" t="str">
        <f aca="false">IF(AND(N162="Да",O162=""),"Не пройдено","")</f>
        <v/>
      </c>
    </row>
    <row r="163" customFormat="false" ht="14.25" hidden="false" customHeight="false" outlineLevel="0" collapsed="false">
      <c r="A163" s="35" t="n">
        <f aca="false">IF(C163="","",ROW()-5)</f>
        <v>158</v>
      </c>
      <c r="B163" s="36" t="s">
        <v>107</v>
      </c>
      <c r="C163" s="36" t="s">
        <v>355</v>
      </c>
      <c r="D163" s="36" t="s">
        <v>354</v>
      </c>
      <c r="E163" s="36" t="s">
        <v>318</v>
      </c>
      <c r="F163" s="37" t="n">
        <v>45812</v>
      </c>
      <c r="G163" s="38" t="str">
        <f aca="false">IF(C163="","",IF(TRIM(SUBSTITUTE(SUBSTITUTE(SUBSTITUTE(SUBSTITUTE(SUBSTITUTE(SUBSTITUTE(SUBSTITUTE(SUBSTITUTE(SUBSTITUTE(SUBSTITUTE(SUBSTITUTE(LOWER(TRIM(D163)),"ё","е"),"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категории",""))="инженер",IF(AND(ISNUMBER(SEARCH("техническ",E163)),ISNUMBER(SEARCH("контрол",E163))),"инженер отк",IF(ISNUMBER(SEARCH("диспетч",E163)),"инженер пдо",TRIM(SUBSTITUTE(SUBSTITUTE(SUBSTITUTE(SUBSTITUTE(SUBSTITUTE(SUBSTITUTE(SUBSTITUTE(SUBSTITUTE(SUBSTITUTE(SUBSTITUTE(SUBSTITUTE(LOWER(TRIM(D163)),"ё","е"),"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инженер",IF(ISNUMBER(SEARCH("диспетч",E163)),"ведущий инженер пдо",TRIM(SUBSTITUTE(SUBSTITUTE(SUBSTITUTE(SUBSTITUTE(SUBSTITUTE(SUBSTITUTE(SUBSTITUTE(SUBSTITUTE(SUBSTITUTE(SUBSTITUTE(SUBSTITUTE(LOWER(TRIM(D163)),"ё","е"),"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отк",TRIM(SUBSTITUTE(SUBSTITUTE(SUBSTITUTE(SUBSTITUTE(SUBSTITUTE(SUBSTITUTE(SUBSTITUTE(SUBSTITUTE(SUBSTITUTE(SUBSTITUTE(SUBSTITUTE(LOWER(TRIM(D163)),"ё","е")," -","-"),"- ","-")," 2 разряда","")," 3 разряда","")," 4 разряда","")," 5 разряда","")," 6 разряда","")," 1 категории","")," 2 категории","")," 3 категории",""))))))</f>
        <v>сборщик стеклопластиковых изделий</v>
      </c>
      <c r="H163" s="35" t="n">
        <f aca="false">IF(C163="","",IF(AND(G163="мастер участка",ISNUMBER(SEARCH("РЭО",E163))),29,IFERROR(INDEX(Соответствие!$B$2:$B$100,MATCH(G163,Соответствие!$A$2:$A$100,0)),"?")))</f>
        <v>26</v>
      </c>
      <c r="I163" s="39" t="str">
        <f aca="false">IF(C163="","",IFERROR(INDEX(Перечень!$C$6:$C$52,MATCH(H163,Перечень!$A$6:$A$52,0)),""))</f>
        <v>п.1.37.1, п.3.1.8.3, п.4.3.1, п.4.4, п.5.1, п.15</v>
      </c>
      <c r="J163" s="35" t="n">
        <f aca="false">IF(C163="","",IFERROR(INDEX(Перечень!$D$6:$D$52,MATCH(H163,Перечень!$A$6:$A$52,0)),12))</f>
        <v>12</v>
      </c>
      <c r="K163" s="40" t="n">
        <v>45803</v>
      </c>
      <c r="L163" s="40"/>
      <c r="M163" s="37" t="n">
        <f aca="false">IF(AND(K163="",L163=""),"",EDATE(MAX(K163,L163),J163))</f>
        <v>46168</v>
      </c>
      <c r="N163" s="41" t="str">
        <f aca="false">IF(C163="","",IFERROR(INDEX(Перечень!$F$6:$F$52,MATCH(H163,Перечень!$A$6:$A$52,0)),""))</f>
        <v>Нет</v>
      </c>
      <c r="O163" s="40"/>
      <c r="P163" s="37" t="str">
        <f aca="false">IF(O163="","",EDATE(O163,60))</f>
        <v/>
      </c>
      <c r="Q163" s="41" t="str">
        <f aca="false">IF(AND(K163&lt;&gt;"",F163&lt;&gt;"",K163&gt;F163),"Да","")</f>
        <v/>
      </c>
      <c r="R163" s="41" t="str">
        <f aca="true">IF(C163="","",IF(M163="","Нет сведений",IF(M163&lt;TODAY(),"Просрочен",IF(M163-TODAY()&lt;=30,"Истекает","В срок"))))</f>
        <v>Просрочен</v>
      </c>
      <c r="S163" s="41" t="str">
        <f aca="false">IF(AND(N163="Да",O163=""),"Не пройдено","")</f>
        <v/>
      </c>
    </row>
    <row r="164" customFormat="false" ht="14.25" hidden="false" customHeight="false" outlineLevel="0" collapsed="false">
      <c r="A164" s="35" t="n">
        <f aca="false">IF(C164="","",ROW()-5)</f>
        <v>159</v>
      </c>
      <c r="B164" s="36" t="s">
        <v>107</v>
      </c>
      <c r="C164" s="36" t="s">
        <v>356</v>
      </c>
      <c r="D164" s="36" t="s">
        <v>357</v>
      </c>
      <c r="E164" s="36" t="s">
        <v>318</v>
      </c>
      <c r="F164" s="37" t="n">
        <v>45593</v>
      </c>
      <c r="G164" s="38" t="str">
        <f aca="false">IF(C164="","",IF(TRIM(SUBSTITUTE(SUBSTITUTE(SUBSTITUTE(SUBSTITUTE(SUBSTITUTE(SUBSTITUTE(SUBSTITUTE(SUBSTITUTE(SUBSTITUTE(SUBSTITUTE(SUBSTITUTE(LOWER(TRIM(D164)),"ё","е"),"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категории",""))="инженер",IF(AND(ISNUMBER(SEARCH("техническ",E164)),ISNUMBER(SEARCH("контрол",E164))),"инженер отк",IF(ISNUMBER(SEARCH("диспетч",E164)),"инженер пдо",TRIM(SUBSTITUTE(SUBSTITUTE(SUBSTITUTE(SUBSTITUTE(SUBSTITUTE(SUBSTITUTE(SUBSTITUTE(SUBSTITUTE(SUBSTITUTE(SUBSTITUTE(SUBSTITUTE(LOWER(TRIM(D164)),"ё","е"),"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инженер",IF(ISNUMBER(SEARCH("диспетч",E164)),"ведущий инженер пдо",TRIM(SUBSTITUTE(SUBSTITUTE(SUBSTITUTE(SUBSTITUTE(SUBSTITUTE(SUBSTITUTE(SUBSTITUTE(SUBSTITUTE(SUBSTITUTE(SUBSTITUTE(SUBSTITUTE(LOWER(TRIM(D164)),"ё","е"),"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отк",TRIM(SUBSTITUTE(SUBSTITUTE(SUBSTITUTE(SUBSTITUTE(SUBSTITUTE(SUBSTITUTE(SUBSTITUTE(SUBSTITUTE(SUBSTITUTE(SUBSTITUTE(SUBSTITUTE(LOWER(TRIM(D164)),"ё","е")," -","-"),"- ","-")," 2 разряда","")," 3 разряда","")," 4 разряда","")," 5 разряда","")," 6 разряда","")," 1 категории","")," 2 категории","")," 3 категории",""))))))</f>
        <v>сборщик стеклопластиковых изделий</v>
      </c>
      <c r="H164" s="35" t="n">
        <f aca="false">IF(C164="","",IF(AND(G164="мастер участка",ISNUMBER(SEARCH("РЭО",E164))),29,IFERROR(INDEX(Соответствие!$B$2:$B$100,MATCH(G164,Соответствие!$A$2:$A$100,0)),"?")))</f>
        <v>26</v>
      </c>
      <c r="I164" s="39" t="str">
        <f aca="false">IF(C164="","",IFERROR(INDEX(Перечень!$C$6:$C$52,MATCH(H164,Перечень!$A$6:$A$52,0)),""))</f>
        <v>п.1.37.1, п.3.1.8.3, п.4.3.1, п.4.4, п.5.1, п.15</v>
      </c>
      <c r="J164" s="35" t="n">
        <f aca="false">IF(C164="","",IFERROR(INDEX(Перечень!$D$6:$D$52,MATCH(H164,Перечень!$A$6:$A$52,0)),12))</f>
        <v>12</v>
      </c>
      <c r="K164" s="40"/>
      <c r="L164" s="40"/>
      <c r="M164" s="37" t="str">
        <f aca="false">IF(AND(K164="",L164=""),"",EDATE(MAX(K164,L164),J164))</f>
        <v/>
      </c>
      <c r="N164" s="41" t="str">
        <f aca="false">IF(C164="","",IFERROR(INDEX(Перечень!$F$6:$F$52,MATCH(H164,Перечень!$A$6:$A$52,0)),""))</f>
        <v>Нет</v>
      </c>
      <c r="O164" s="40"/>
      <c r="P164" s="37" t="str">
        <f aca="false">IF(O164="","",EDATE(O164,60))</f>
        <v/>
      </c>
      <c r="Q164" s="41" t="str">
        <f aca="false">IF(AND(K164&lt;&gt;"",F164&lt;&gt;"",K164&gt;F164),"Да","")</f>
        <v/>
      </c>
      <c r="R164" s="41" t="str">
        <f aca="true">IF(C164="","",IF(M164="","Нет сведений",IF(M164&lt;TODAY(),"Просрочен",IF(M164-TODAY()&lt;=30,"Истекает","В срок"))))</f>
        <v>Нет сведений</v>
      </c>
      <c r="S164" s="41" t="str">
        <f aca="false">IF(AND(N164="Да",O164=""),"Не пройдено","")</f>
        <v/>
      </c>
    </row>
    <row r="165" customFormat="false" ht="14.25" hidden="false" customHeight="false" outlineLevel="0" collapsed="false">
      <c r="A165" s="35" t="n">
        <f aca="false">IF(C165="","",ROW()-5)</f>
        <v>160</v>
      </c>
      <c r="B165" s="36" t="s">
        <v>107</v>
      </c>
      <c r="C165" s="36" t="s">
        <v>358</v>
      </c>
      <c r="D165" s="36" t="s">
        <v>357</v>
      </c>
      <c r="E165" s="36" t="s">
        <v>318</v>
      </c>
      <c r="F165" s="37" t="n">
        <v>44636</v>
      </c>
      <c r="G165" s="38" t="str">
        <f aca="false">IF(C165="","",IF(TRIM(SUBSTITUTE(SUBSTITUTE(SUBSTITUTE(SUBSTITUTE(SUBSTITUTE(SUBSTITUTE(SUBSTITUTE(SUBSTITUTE(SUBSTITUTE(SUBSTITUTE(SUBSTITUTE(LOWER(TRIM(D165)),"ё","е"),"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категории",""))="инженер",IF(AND(ISNUMBER(SEARCH("техническ",E165)),ISNUMBER(SEARCH("контрол",E165))),"инженер отк",IF(ISNUMBER(SEARCH("диспетч",E165)),"инженер пдо",TRIM(SUBSTITUTE(SUBSTITUTE(SUBSTITUTE(SUBSTITUTE(SUBSTITUTE(SUBSTITUTE(SUBSTITUTE(SUBSTITUTE(SUBSTITUTE(SUBSTITUTE(SUBSTITUTE(LOWER(TRIM(D165)),"ё","е"),"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инженер",IF(ISNUMBER(SEARCH("диспетч",E165)),"ведущий инженер пдо",TRIM(SUBSTITUTE(SUBSTITUTE(SUBSTITUTE(SUBSTITUTE(SUBSTITUTE(SUBSTITUTE(SUBSTITUTE(SUBSTITUTE(SUBSTITUTE(SUBSTITUTE(SUBSTITUTE(LOWER(TRIM(D165)),"ё","е"),"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отк",TRIM(SUBSTITUTE(SUBSTITUTE(SUBSTITUTE(SUBSTITUTE(SUBSTITUTE(SUBSTITUTE(SUBSTITUTE(SUBSTITUTE(SUBSTITUTE(SUBSTITUTE(SUBSTITUTE(LOWER(TRIM(D165)),"ё","е")," -","-"),"- ","-")," 2 разряда","")," 3 разряда","")," 4 разряда","")," 5 разряда","")," 6 разряда","")," 1 категории","")," 2 категории","")," 3 категории",""))))))</f>
        <v>сборщик стеклопластиковых изделий</v>
      </c>
      <c r="H165" s="35" t="n">
        <f aca="false">IF(C165="","",IF(AND(G165="мастер участка",ISNUMBER(SEARCH("РЭО",E165))),29,IFERROR(INDEX(Соответствие!$B$2:$B$100,MATCH(G165,Соответствие!$A$2:$A$100,0)),"?")))</f>
        <v>26</v>
      </c>
      <c r="I165" s="39" t="str">
        <f aca="false">IF(C165="","",IFERROR(INDEX(Перечень!$C$6:$C$52,MATCH(H165,Перечень!$A$6:$A$52,0)),""))</f>
        <v>п.1.37.1, п.3.1.8.3, п.4.3.1, п.4.4, п.5.1, п.15</v>
      </c>
      <c r="J165" s="35" t="n">
        <f aca="false">IF(C165="","",IFERROR(INDEX(Перечень!$D$6:$D$52,MATCH(H165,Перечень!$A$6:$A$52,0)),12))</f>
        <v>12</v>
      </c>
      <c r="K165" s="40"/>
      <c r="L165" s="40"/>
      <c r="M165" s="37" t="str">
        <f aca="false">IF(AND(K165="",L165=""),"",EDATE(MAX(K165,L165),J165))</f>
        <v/>
      </c>
      <c r="N165" s="41" t="str">
        <f aca="false">IF(C165="","",IFERROR(INDEX(Перечень!$F$6:$F$52,MATCH(H165,Перечень!$A$6:$A$52,0)),""))</f>
        <v>Нет</v>
      </c>
      <c r="O165" s="40"/>
      <c r="P165" s="37" t="str">
        <f aca="false">IF(O165="","",EDATE(O165,60))</f>
        <v/>
      </c>
      <c r="Q165" s="41" t="str">
        <f aca="false">IF(AND(K165&lt;&gt;"",F165&lt;&gt;"",K165&gt;F165),"Да","")</f>
        <v/>
      </c>
      <c r="R165" s="41" t="str">
        <f aca="true">IF(C165="","",IF(M165="","Нет сведений",IF(M165&lt;TODAY(),"Просрочен",IF(M165-TODAY()&lt;=30,"Истекает","В срок"))))</f>
        <v>Нет сведений</v>
      </c>
      <c r="S165" s="41" t="str">
        <f aca="false">IF(AND(N165="Да",O165=""),"Не пройдено","")</f>
        <v/>
      </c>
    </row>
    <row r="166" customFormat="false" ht="14.25" hidden="false" customHeight="false" outlineLevel="0" collapsed="false">
      <c r="A166" s="35" t="n">
        <f aca="false">IF(C166="","",ROW()-5)</f>
        <v>161</v>
      </c>
      <c r="B166" s="36" t="s">
        <v>107</v>
      </c>
      <c r="C166" s="36" t="s">
        <v>359</v>
      </c>
      <c r="D166" s="36" t="s">
        <v>360</v>
      </c>
      <c r="E166" s="36" t="s">
        <v>318</v>
      </c>
      <c r="F166" s="37" t="n">
        <v>41295</v>
      </c>
      <c r="G166" s="38" t="str">
        <f aca="false">IF(C166="","",IF(TRIM(SUBSTITUTE(SUBSTITUTE(SUBSTITUTE(SUBSTITUTE(SUBSTITUTE(SUBSTITUTE(SUBSTITUTE(SUBSTITUTE(SUBSTITUTE(SUBSTITUTE(SUBSTITUTE(LOWER(TRIM(D166)),"ё","е"),"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категории",""))="инженер",IF(AND(ISNUMBER(SEARCH("техническ",E166)),ISNUMBER(SEARCH("контрол",E166))),"инженер отк",IF(ISNUMBER(SEARCH("диспетч",E166)),"инженер пдо",TRIM(SUBSTITUTE(SUBSTITUTE(SUBSTITUTE(SUBSTITUTE(SUBSTITUTE(SUBSTITUTE(SUBSTITUTE(SUBSTITUTE(SUBSTITUTE(SUBSTITUTE(SUBSTITUTE(LOWER(TRIM(D166)),"ё","е"),"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инженер",IF(ISNUMBER(SEARCH("диспетч",E166)),"ведущий инженер пдо",TRIM(SUBSTITUTE(SUBSTITUTE(SUBSTITUTE(SUBSTITUTE(SUBSTITUTE(SUBSTITUTE(SUBSTITUTE(SUBSTITUTE(SUBSTITUTE(SUBSTITUTE(SUBSTITUTE(LOWER(TRIM(D166)),"ё","е"),"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отк",TRIM(SUBSTITUTE(SUBSTITUTE(SUBSTITUTE(SUBSTITUTE(SUBSTITUTE(SUBSTITUTE(SUBSTITUTE(SUBSTITUTE(SUBSTITUTE(SUBSTITUTE(SUBSTITUTE(LOWER(TRIM(D166)),"ё","е")," -","-"),"- ","-")," 2 разряда","")," 3 разряда","")," 4 разряда","")," 5 разряда","")," 6 разряда","")," 1 категории","")," 2 категории","")," 3 категории",""))))))</f>
        <v>облицовщик деталей мебели</v>
      </c>
      <c r="H166" s="35" t="n">
        <f aca="false">IF(C166="","",IF(AND(G166="мастер участка",ISNUMBER(SEARCH("РЭО",E166))),29,IFERROR(INDEX(Соответствие!$B$2:$B$100,MATCH(G166,Соответствие!$A$2:$A$100,0)),"?")))</f>
        <v>23</v>
      </c>
      <c r="I166" s="39" t="str">
        <f aca="false">IF(C166="","",IFERROR(INDEX(Перечень!$C$6:$C$52,MATCH(H166,Перечень!$A$6:$A$52,0)),""))</f>
        <v>п.1.49.2, п.1.49.14, п.4.3.1, п.4.3.2, п.4.4, п.5.1, п.15</v>
      </c>
      <c r="J166" s="35" t="n">
        <f aca="false">IF(C166="","",IFERROR(INDEX(Перечень!$D$6:$D$52,MATCH(H166,Перечень!$A$6:$A$52,0)),12))</f>
        <v>12</v>
      </c>
      <c r="K166" s="40"/>
      <c r="L166" s="40"/>
      <c r="M166" s="37" t="str">
        <f aca="false">IF(AND(K166="",L166=""),"",EDATE(MAX(K166,L166),J166))</f>
        <v/>
      </c>
      <c r="N166" s="41" t="str">
        <f aca="false">IF(C166="","",IFERROR(INDEX(Перечень!$F$6:$F$52,MATCH(H166,Перечень!$A$6:$A$52,0)),""))</f>
        <v>-</v>
      </c>
      <c r="O166" s="40"/>
      <c r="P166" s="37" t="str">
        <f aca="false">IF(O166="","",EDATE(O166,60))</f>
        <v/>
      </c>
      <c r="Q166" s="41" t="str">
        <f aca="false">IF(AND(K166&lt;&gt;"",F166&lt;&gt;"",K166&gt;F166),"Да","")</f>
        <v/>
      </c>
      <c r="R166" s="41" t="str">
        <f aca="true">IF(C166="","",IF(M166="","Нет сведений",IF(M166&lt;TODAY(),"Просрочен",IF(M166-TODAY()&lt;=30,"Истекает","В срок"))))</f>
        <v>Нет сведений</v>
      </c>
      <c r="S166" s="41" t="str">
        <f aca="false">IF(AND(N166="Да",O166=""),"Не пройдено","")</f>
        <v/>
      </c>
    </row>
    <row r="167" customFormat="false" ht="14.25" hidden="false" customHeight="false" outlineLevel="0" collapsed="false">
      <c r="A167" s="35" t="n">
        <f aca="false">IF(C167="","",ROW()-5)</f>
        <v>162</v>
      </c>
      <c r="B167" s="36" t="s">
        <v>107</v>
      </c>
      <c r="C167" s="36" t="s">
        <v>361</v>
      </c>
      <c r="D167" s="36" t="s">
        <v>360</v>
      </c>
      <c r="E167" s="36" t="s">
        <v>318</v>
      </c>
      <c r="F167" s="37" t="n">
        <v>45623</v>
      </c>
      <c r="G167" s="38" t="str">
        <f aca="false">IF(C167="","",IF(TRIM(SUBSTITUTE(SUBSTITUTE(SUBSTITUTE(SUBSTITUTE(SUBSTITUTE(SUBSTITUTE(SUBSTITUTE(SUBSTITUTE(SUBSTITUTE(SUBSTITUTE(SUBSTITUTE(LOWER(TRIM(D167)),"ё","е"),"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категории",""))="инженер",IF(AND(ISNUMBER(SEARCH("техническ",E167)),ISNUMBER(SEARCH("контрол",E167))),"инженер отк",IF(ISNUMBER(SEARCH("диспетч",E167)),"инженер пдо",TRIM(SUBSTITUTE(SUBSTITUTE(SUBSTITUTE(SUBSTITUTE(SUBSTITUTE(SUBSTITUTE(SUBSTITUTE(SUBSTITUTE(SUBSTITUTE(SUBSTITUTE(SUBSTITUTE(LOWER(TRIM(D167)),"ё","е"),"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инженер",IF(ISNUMBER(SEARCH("диспетч",E167)),"ведущий инженер пдо",TRIM(SUBSTITUTE(SUBSTITUTE(SUBSTITUTE(SUBSTITUTE(SUBSTITUTE(SUBSTITUTE(SUBSTITUTE(SUBSTITUTE(SUBSTITUTE(SUBSTITUTE(SUBSTITUTE(LOWER(TRIM(D167)),"ё","е"),"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отк",TRIM(SUBSTITUTE(SUBSTITUTE(SUBSTITUTE(SUBSTITUTE(SUBSTITUTE(SUBSTITUTE(SUBSTITUTE(SUBSTITUTE(SUBSTITUTE(SUBSTITUTE(SUBSTITUTE(LOWER(TRIM(D167)),"ё","е")," -","-"),"- ","-")," 2 разряда","")," 3 разряда","")," 4 разряда","")," 5 разряда","")," 6 разряда","")," 1 категории","")," 2 категории","")," 3 категории",""))))))</f>
        <v>облицовщик деталей мебели</v>
      </c>
      <c r="H167" s="35" t="n">
        <f aca="false">IF(C167="","",IF(AND(G167="мастер участка",ISNUMBER(SEARCH("РЭО",E167))),29,IFERROR(INDEX(Соответствие!$B$2:$B$100,MATCH(G167,Соответствие!$A$2:$A$100,0)),"?")))</f>
        <v>23</v>
      </c>
      <c r="I167" s="39" t="str">
        <f aca="false">IF(C167="","",IFERROR(INDEX(Перечень!$C$6:$C$52,MATCH(H167,Перечень!$A$6:$A$52,0)),""))</f>
        <v>п.1.49.2, п.1.49.14, п.4.3.1, п.4.3.2, п.4.4, п.5.1, п.15</v>
      </c>
      <c r="J167" s="35" t="n">
        <f aca="false">IF(C167="","",IFERROR(INDEX(Перечень!$D$6:$D$52,MATCH(H167,Перечень!$A$6:$A$52,0)),12))</f>
        <v>12</v>
      </c>
      <c r="K167" s="40"/>
      <c r="L167" s="40"/>
      <c r="M167" s="37" t="str">
        <f aca="false">IF(AND(K167="",L167=""),"",EDATE(MAX(K167,L167),J167))</f>
        <v/>
      </c>
      <c r="N167" s="41" t="str">
        <f aca="false">IF(C167="","",IFERROR(INDEX(Перечень!$F$6:$F$52,MATCH(H167,Перечень!$A$6:$A$52,0)),""))</f>
        <v>-</v>
      </c>
      <c r="O167" s="40"/>
      <c r="P167" s="37" t="str">
        <f aca="false">IF(O167="","",EDATE(O167,60))</f>
        <v/>
      </c>
      <c r="Q167" s="41" t="str">
        <f aca="false">IF(AND(K167&lt;&gt;"",F167&lt;&gt;"",K167&gt;F167),"Да","")</f>
        <v/>
      </c>
      <c r="R167" s="41" t="str">
        <f aca="true">IF(C167="","",IF(M167="","Нет сведений",IF(M167&lt;TODAY(),"Просрочен",IF(M167-TODAY()&lt;=30,"Истекает","В срок"))))</f>
        <v>Нет сведений</v>
      </c>
      <c r="S167" s="41" t="str">
        <f aca="false">IF(AND(N167="Да",O167=""),"Не пройдено","")</f>
        <v/>
      </c>
    </row>
    <row r="168" customFormat="false" ht="14.25" hidden="false" customHeight="false" outlineLevel="0" collapsed="false">
      <c r="A168" s="35" t="n">
        <f aca="false">IF(C168="","",ROW()-5)</f>
        <v>163</v>
      </c>
      <c r="B168" s="36" t="s">
        <v>107</v>
      </c>
      <c r="C168" s="36" t="s">
        <v>362</v>
      </c>
      <c r="D168" s="36" t="s">
        <v>284</v>
      </c>
      <c r="E168" s="36" t="s">
        <v>318</v>
      </c>
      <c r="F168" s="37" t="n">
        <v>45125</v>
      </c>
      <c r="G168" s="38" t="str">
        <f aca="false">IF(C168="","",IF(TRIM(SUBSTITUTE(SUBSTITUTE(SUBSTITUTE(SUBSTITUTE(SUBSTITUTE(SUBSTITUTE(SUBSTITUTE(SUBSTITUTE(SUBSTITUTE(SUBSTITUTE(SUBSTITUTE(LOWER(TRIM(D168)),"ё","е"),"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категории",""))="инженер",IF(AND(ISNUMBER(SEARCH("техническ",E168)),ISNUMBER(SEARCH("контрол",E168))),"инженер отк",IF(ISNUMBER(SEARCH("диспетч",E168)),"инженер пдо",TRIM(SUBSTITUTE(SUBSTITUTE(SUBSTITUTE(SUBSTITUTE(SUBSTITUTE(SUBSTITUTE(SUBSTITUTE(SUBSTITUTE(SUBSTITUTE(SUBSTITUTE(SUBSTITUTE(LOWER(TRIM(D168)),"ё","е"),"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инженер",IF(ISNUMBER(SEARCH("диспетч",E168)),"ведущий инженер пдо",TRIM(SUBSTITUTE(SUBSTITUTE(SUBSTITUTE(SUBSTITUTE(SUBSTITUTE(SUBSTITUTE(SUBSTITUTE(SUBSTITUTE(SUBSTITUTE(SUBSTITUTE(SUBSTITUTE(LOWER(TRIM(D168)),"ё","е"),"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отк",TRIM(SUBSTITUTE(SUBSTITUTE(SUBSTITUTE(SUBSTITUTE(SUBSTITUTE(SUBSTITUTE(SUBSTITUTE(SUBSTITUTE(SUBSTITUTE(SUBSTITUTE(SUBSTITUTE(LOWER(TRIM(D168)),"ё","е")," -","-"),"- ","-")," 2 разряда","")," 3 разряда","")," 4 разряда","")," 5 разряда","")," 6 разряда","")," 1 категории","")," 2 категории","")," 3 категории",""))))))</f>
        <v>оператор-наладчик станков с чпу</v>
      </c>
      <c r="H168" s="35" t="n">
        <f aca="false">IF(C168="","",IF(AND(G168="мастер участка",ISNUMBER(SEARCH("РЭО",E168))),29,IFERROR(INDEX(Соответствие!$B$2:$B$100,MATCH(G168,Соответствие!$A$2:$A$100,0)),"?")))</f>
        <v>25</v>
      </c>
      <c r="I168" s="39" t="str">
        <f aca="false">IF(C168="","",IFERROR(INDEX(Перечень!$C$6:$C$52,MATCH(H168,Перечень!$A$6:$A$52,0)),""))</f>
        <v>п.4.3.1, п.4.3.2, п.4.4, п.5.1, п.5.2, п.15</v>
      </c>
      <c r="J168" s="35" t="n">
        <f aca="false">IF(C168="","",IFERROR(INDEX(Перечень!$D$6:$D$52,MATCH(H168,Перечень!$A$6:$A$52,0)),12))</f>
        <v>12</v>
      </c>
      <c r="K168" s="40"/>
      <c r="L168" s="40"/>
      <c r="M168" s="37" t="str">
        <f aca="false">IF(AND(K168="",L168=""),"",EDATE(MAX(K168,L168),J168))</f>
        <v/>
      </c>
      <c r="N168" s="41" t="str">
        <f aca="false">IF(C168="","",IFERROR(INDEX(Перечень!$F$6:$F$52,MATCH(H168,Перечень!$A$6:$A$52,0)),""))</f>
        <v>-</v>
      </c>
      <c r="O168" s="40"/>
      <c r="P168" s="37" t="str">
        <f aca="false">IF(O168="","",EDATE(O168,60))</f>
        <v/>
      </c>
      <c r="Q168" s="41" t="str">
        <f aca="false">IF(AND(K168&lt;&gt;"",F168&lt;&gt;"",K168&gt;F168),"Да","")</f>
        <v/>
      </c>
      <c r="R168" s="41" t="str">
        <f aca="true">IF(C168="","",IF(M168="","Нет сведений",IF(M168&lt;TODAY(),"Просрочен",IF(M168-TODAY()&lt;=30,"Истекает","В срок"))))</f>
        <v>Нет сведений</v>
      </c>
      <c r="S168" s="41" t="str">
        <f aca="false">IF(AND(N168="Да",O168=""),"Не пройдено","")</f>
        <v/>
      </c>
    </row>
    <row r="169" customFormat="false" ht="14.25" hidden="false" customHeight="false" outlineLevel="0" collapsed="false">
      <c r="A169" s="35" t="n">
        <f aca="false">IF(C169="","",ROW()-5)</f>
        <v>164</v>
      </c>
      <c r="B169" s="36" t="s">
        <v>107</v>
      </c>
      <c r="C169" s="36" t="s">
        <v>363</v>
      </c>
      <c r="D169" s="36" t="s">
        <v>364</v>
      </c>
      <c r="E169" s="36" t="s">
        <v>318</v>
      </c>
      <c r="F169" s="37" t="n">
        <v>45999</v>
      </c>
      <c r="G169" s="38" t="str">
        <f aca="false">IF(C169="","",IF(TRIM(SUBSTITUTE(SUBSTITUTE(SUBSTITUTE(SUBSTITUTE(SUBSTITUTE(SUBSTITUTE(SUBSTITUTE(SUBSTITUTE(SUBSTITUTE(SUBSTITUTE(SUBSTITUTE(LOWER(TRIM(D169)),"ё","е"),"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категории",""))="инженер",IF(AND(ISNUMBER(SEARCH("техническ",E169)),ISNUMBER(SEARCH("контрол",E169))),"инженер отк",IF(ISNUMBER(SEARCH("диспетч",E169)),"инженер пдо",TRIM(SUBSTITUTE(SUBSTITUTE(SUBSTITUTE(SUBSTITUTE(SUBSTITUTE(SUBSTITUTE(SUBSTITUTE(SUBSTITUTE(SUBSTITUTE(SUBSTITUTE(SUBSTITUTE(LOWER(TRIM(D169)),"ё","е"),"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категории","")))),IF(TRIM(SUBSTITUTE(SUBSTITUTE(SUBSTITUTE(SUBSTITUTE(SUBSTITUTE(SUBSTITUTE(SUBSTITUTE(SUBSTITUTE(SUBSTITUTE(SUBSTITUTE(SUBSTITUTE(LOWER(TRIM(D169)),"ё","е"),"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инженер",IF(ISNUMBER(SEARCH("диспетч",E169)),"ведущий инженер пдо",TRIM(SUBSTITUTE(SUBSTITUTE(SUBSTITUTE(SUBSTITUTE(SUBSTITUTE(SUBSTITUTE(SUBSTITUTE(SUBSTITUTE(SUBSTITUTE(SUBSTITUTE(SUBSTITUTE(LOWER(TRIM(D169)),"ё","е"),"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категории",""))),IF(TRIM(SUBSTITUTE(SUBSTITUTE(SUBSTITUTE(SUBSTITUTE(SUBSTITUTE(SUBSTITUTE(SUBSTITUTE(SUBSTITUTE(SUBSTITUTE(SUBSTITUTE(SUBSTITUTE(LOWER(TRIM(D169)),"ё","е"),"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отк",TRIM(SUBSTITUTE(SUBSTITUTE(SUBSTITUTE(SUBSTITUTE(SUBSTITUTE(SUBSTITUTE(SUBSTITUTE(SUBSTITUTE(SUBSTITUTE(SUBSTITUTE(SUBSTITUTE(LOWER(TRIM(D169)),"ё","е")," -","-"),"- ","-")," 2 разряда","")," 3 разряда","")," 4 разряда","")," 5 разряда","")," 6 разряда","")," 1 категории","")," 2 категории","")," 3 категории",""))))))</f>
        <v>сборщик стеклопластиковых изделий</v>
      </c>
      <c r="H169" s="35" t="n">
        <f aca="false">IF(C169="","",IF(AND(G169="мастер участка",ISNUMBER(SEARCH("РЭО",E169))),29,IFERROR(INDEX(Соответствие!$B$2:$B$100,MATCH(G169,Соответствие!$A$2:$A$100,0)),"?")))</f>
        <v>26</v>
      </c>
      <c r="I169" s="39" t="str">
        <f aca="false">IF(C169="","",IFERROR(INDEX(Перечень!$C$6:$C$52,MATCH(H169,Перечень!$A$6:$A$52,0)),""))</f>
        <v>п.1.37.1, п.3.1.8.3, п.4.3.1, п.4.4, п.5.1, п.15</v>
      </c>
      <c r="J169" s="35" t="n">
        <f aca="false">IF(C169="","",IFERROR(INDEX(Перечень!$D$6:$D$52,MATCH(H169,Перечень!$A$6:$A$52,0)),12))</f>
        <v>12</v>
      </c>
      <c r="K169" s="40"/>
      <c r="L169" s="40"/>
      <c r="M169" s="37" t="str">
        <f aca="false">IF(AND(K169="",L169=""),"",EDATE(MAX(K169,L169),J169))</f>
        <v/>
      </c>
      <c r="N169" s="41" t="str">
        <f aca="false">IF(C169="","",IFERROR(INDEX(Перечень!$F$6:$F$52,MATCH(H169,Перечень!$A$6:$A$52,0)),""))</f>
        <v>Нет</v>
      </c>
      <c r="O169" s="40"/>
      <c r="P169" s="37" t="str">
        <f aca="false">IF(O169="","",EDATE(O169,60))</f>
        <v/>
      </c>
      <c r="Q169" s="41" t="str">
        <f aca="false">IF(AND(K169&lt;&gt;"",F169&lt;&gt;"",K169&gt;F169),"Да","")</f>
        <v/>
      </c>
      <c r="R169" s="41" t="str">
        <f aca="true">IF(C169="","",IF(M169="","Нет сведений",IF(M169&lt;TODAY(),"Просрочен",IF(M169-TODAY()&lt;=30,"Истекает","В срок"))))</f>
        <v>Нет сведений</v>
      </c>
      <c r="S169" s="41" t="str">
        <f aca="false">IF(AND(N169="Да",O169=""),"Не пройдено","")</f>
        <v/>
      </c>
    </row>
    <row r="170" customFormat="false" ht="14.25" hidden="false" customHeight="false" outlineLevel="0" collapsed="false">
      <c r="A170" s="35" t="n">
        <f aca="false">IF(C170="","",ROW()-5)</f>
        <v>165</v>
      </c>
      <c r="B170" s="36" t="s">
        <v>107</v>
      </c>
      <c r="C170" s="36" t="s">
        <v>365</v>
      </c>
      <c r="D170" s="36" t="s">
        <v>366</v>
      </c>
      <c r="E170" s="36" t="s">
        <v>318</v>
      </c>
      <c r="F170" s="37" t="n">
        <v>45719</v>
      </c>
      <c r="G170" s="38" t="str">
        <f aca="false">IF(C170="","",IF(TRIM(SUBSTITUTE(SUBSTITUTE(SUBSTITUTE(SUBSTITUTE(SUBSTITUTE(SUBSTITUTE(SUBSTITUTE(SUBSTITUTE(SUBSTITUTE(SUBSTITUTE(SUBSTITUTE(LOWER(TRIM(D170)),"ё","е"),"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категории",""))="инженер",IF(AND(ISNUMBER(SEARCH("техническ",E170)),ISNUMBER(SEARCH("контрол",E170))),"инженер отк",IF(ISNUMBER(SEARCH("диспетч",E170)),"инженер пдо",TRIM(SUBSTITUTE(SUBSTITUTE(SUBSTITUTE(SUBSTITUTE(SUBSTITUTE(SUBSTITUTE(SUBSTITUTE(SUBSTITUTE(SUBSTITUTE(SUBSTITUTE(SUBSTITUTE(LOWER(TRIM(D170)),"ё","е"),"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инженер",IF(ISNUMBER(SEARCH("диспетч",E170)),"ведущий инженер пдо",TRIM(SUBSTITUTE(SUBSTITUTE(SUBSTITUTE(SUBSTITUTE(SUBSTITUTE(SUBSTITUTE(SUBSTITUTE(SUBSTITUTE(SUBSTITUTE(SUBSTITUTE(SUBSTITUTE(LOWER(TRIM(D170)),"ё","е"),"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отк",TRIM(SUBSTITUTE(SUBSTITUTE(SUBSTITUTE(SUBSTITUTE(SUBSTITUTE(SUBSTITUTE(SUBSTITUTE(SUBSTITUTE(SUBSTITUTE(SUBSTITUTE(SUBSTITUTE(LOWER(TRIM(D170)),"ё","е")," -","-"),"- ","-")," 2 разряда","")," 3 разряда","")," 4 разряда","")," 5 разряда","")," 6 разряда","")," 1 категории","")," 2 категории","")," 3 категории",""))))))</f>
        <v>облицовщик деталей мебели</v>
      </c>
      <c r="H170" s="35" t="n">
        <f aca="false">IF(C170="","",IF(AND(G170="мастер участка",ISNUMBER(SEARCH("РЭО",E170))),29,IFERROR(INDEX(Соответствие!$B$2:$B$100,MATCH(G170,Соответствие!$A$2:$A$100,0)),"?")))</f>
        <v>23</v>
      </c>
      <c r="I170" s="39" t="str">
        <f aca="false">IF(C170="","",IFERROR(INDEX(Перечень!$C$6:$C$52,MATCH(H170,Перечень!$A$6:$A$52,0)),""))</f>
        <v>п.1.49.2, п.1.49.14, п.4.3.1, п.4.3.2, п.4.4, п.5.1, п.15</v>
      </c>
      <c r="J170" s="35" t="n">
        <f aca="false">IF(C170="","",IFERROR(INDEX(Перечень!$D$6:$D$52,MATCH(H170,Перечень!$A$6:$A$52,0)),12))</f>
        <v>12</v>
      </c>
      <c r="K170" s="40"/>
      <c r="L170" s="40"/>
      <c r="M170" s="37" t="str">
        <f aca="false">IF(AND(K170="",L170=""),"",EDATE(MAX(K170,L170),J170))</f>
        <v/>
      </c>
      <c r="N170" s="41" t="str">
        <f aca="false">IF(C170="","",IFERROR(INDEX(Перечень!$F$6:$F$52,MATCH(H170,Перечень!$A$6:$A$52,0)),""))</f>
        <v>-</v>
      </c>
      <c r="O170" s="40"/>
      <c r="P170" s="37" t="str">
        <f aca="false">IF(O170="","",EDATE(O170,60))</f>
        <v/>
      </c>
      <c r="Q170" s="41" t="str">
        <f aca="false">IF(AND(K170&lt;&gt;"",F170&lt;&gt;"",K170&gt;F170),"Да","")</f>
        <v/>
      </c>
      <c r="R170" s="41" t="str">
        <f aca="true">IF(C170="","",IF(M170="","Нет сведений",IF(M170&lt;TODAY(),"Просрочен",IF(M170-TODAY()&lt;=30,"Истекает","В срок"))))</f>
        <v>Нет сведений</v>
      </c>
      <c r="S170" s="41" t="str">
        <f aca="false">IF(AND(N170="Да",O170=""),"Не пройдено","")</f>
        <v/>
      </c>
    </row>
    <row r="171" customFormat="false" ht="14.25" hidden="false" customHeight="false" outlineLevel="0" collapsed="false">
      <c r="A171" s="35" t="n">
        <f aca="false">IF(C171="","",ROW()-5)</f>
        <v>166</v>
      </c>
      <c r="B171" s="36" t="s">
        <v>107</v>
      </c>
      <c r="C171" s="36" t="s">
        <v>367</v>
      </c>
      <c r="D171" s="36" t="s">
        <v>364</v>
      </c>
      <c r="E171" s="36" t="s">
        <v>318</v>
      </c>
      <c r="F171" s="37" t="n">
        <v>46036</v>
      </c>
      <c r="G171" s="38" t="str">
        <f aca="false">IF(C171="","",IF(TRIM(SUBSTITUTE(SUBSTITUTE(SUBSTITUTE(SUBSTITUTE(SUBSTITUTE(SUBSTITUTE(SUBSTITUTE(SUBSTITUTE(SUBSTITUTE(SUBSTITUTE(SUBSTITUTE(LOWER(TRIM(D171)),"ё","е"),"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категории",""))="инженер",IF(AND(ISNUMBER(SEARCH("техническ",E171)),ISNUMBER(SEARCH("контрол",E171))),"инженер отк",IF(ISNUMBER(SEARCH("диспетч",E171)),"инженер пдо",TRIM(SUBSTITUTE(SUBSTITUTE(SUBSTITUTE(SUBSTITUTE(SUBSTITUTE(SUBSTITUTE(SUBSTITUTE(SUBSTITUTE(SUBSTITUTE(SUBSTITUTE(SUBSTITUTE(LOWER(TRIM(D171)),"ё","е"),"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инженер",IF(ISNUMBER(SEARCH("диспетч",E171)),"ведущий инженер пдо",TRIM(SUBSTITUTE(SUBSTITUTE(SUBSTITUTE(SUBSTITUTE(SUBSTITUTE(SUBSTITUTE(SUBSTITUTE(SUBSTITUTE(SUBSTITUTE(SUBSTITUTE(SUBSTITUTE(LOWER(TRIM(D171)),"ё","е"),"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отк",TRIM(SUBSTITUTE(SUBSTITUTE(SUBSTITUTE(SUBSTITUTE(SUBSTITUTE(SUBSTITUTE(SUBSTITUTE(SUBSTITUTE(SUBSTITUTE(SUBSTITUTE(SUBSTITUTE(LOWER(TRIM(D171)),"ё","е")," -","-"),"- ","-")," 2 разряда","")," 3 разряда","")," 4 разряда","")," 5 разряда","")," 6 разряда","")," 1 категории","")," 2 категории","")," 3 категории",""))))))</f>
        <v>сборщик стеклопластиковых изделий</v>
      </c>
      <c r="H171" s="35" t="n">
        <f aca="false">IF(C171="","",IF(AND(G171="мастер участка",ISNUMBER(SEARCH("РЭО",E171))),29,IFERROR(INDEX(Соответствие!$B$2:$B$100,MATCH(G171,Соответствие!$A$2:$A$100,0)),"?")))</f>
        <v>26</v>
      </c>
      <c r="I171" s="39" t="str">
        <f aca="false">IF(C171="","",IFERROR(INDEX(Перечень!$C$6:$C$52,MATCH(H171,Перечень!$A$6:$A$52,0)),""))</f>
        <v>п.1.37.1, п.3.1.8.3, п.4.3.1, п.4.4, п.5.1, п.15</v>
      </c>
      <c r="J171" s="35" t="n">
        <f aca="false">IF(C171="","",IFERROR(INDEX(Перечень!$D$6:$D$52,MATCH(H171,Перечень!$A$6:$A$52,0)),12))</f>
        <v>12</v>
      </c>
      <c r="K171" s="40"/>
      <c r="L171" s="40"/>
      <c r="M171" s="37" t="str">
        <f aca="false">IF(AND(K171="",L171=""),"",EDATE(MAX(K171,L171),J171))</f>
        <v/>
      </c>
      <c r="N171" s="41" t="str">
        <f aca="false">IF(C171="","",IFERROR(INDEX(Перечень!$F$6:$F$52,MATCH(H171,Перечень!$A$6:$A$52,0)),""))</f>
        <v>Нет</v>
      </c>
      <c r="O171" s="40"/>
      <c r="P171" s="37" t="str">
        <f aca="false">IF(O171="","",EDATE(O171,60))</f>
        <v/>
      </c>
      <c r="Q171" s="41" t="str">
        <f aca="false">IF(AND(K171&lt;&gt;"",F171&lt;&gt;"",K171&gt;F171),"Да","")</f>
        <v/>
      </c>
      <c r="R171" s="41" t="str">
        <f aca="true">IF(C171="","",IF(M171="","Нет сведений",IF(M171&lt;TODAY(),"Просрочен",IF(M171-TODAY()&lt;=30,"Истекает","В срок"))))</f>
        <v>Нет сведений</v>
      </c>
      <c r="S171" s="41" t="str">
        <f aca="false">IF(AND(N171="Да",O171=""),"Не пройдено","")</f>
        <v/>
      </c>
    </row>
    <row r="172" customFormat="false" ht="14.25" hidden="false" customHeight="false" outlineLevel="0" collapsed="false">
      <c r="A172" s="35" t="n">
        <f aca="false">IF(C172="","",ROW()-5)</f>
        <v>167</v>
      </c>
      <c r="B172" s="36" t="s">
        <v>107</v>
      </c>
      <c r="C172" s="36" t="s">
        <v>368</v>
      </c>
      <c r="D172" s="36" t="s">
        <v>364</v>
      </c>
      <c r="E172" s="36" t="s">
        <v>318</v>
      </c>
      <c r="F172" s="37" t="n">
        <v>46051</v>
      </c>
      <c r="G172" s="38" t="str">
        <f aca="false">IF(C172="","",IF(TRIM(SUBSTITUTE(SUBSTITUTE(SUBSTITUTE(SUBSTITUTE(SUBSTITUTE(SUBSTITUTE(SUBSTITUTE(SUBSTITUTE(SUBSTITUTE(SUBSTITUTE(SUBSTITUTE(LOWER(TRIM(D172)),"ё","е"),"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категории",""))="инженер",IF(AND(ISNUMBER(SEARCH("техническ",E172)),ISNUMBER(SEARCH("контрол",E172))),"инженер отк",IF(ISNUMBER(SEARCH("диспетч",E172)),"инженер пдо",TRIM(SUBSTITUTE(SUBSTITUTE(SUBSTITUTE(SUBSTITUTE(SUBSTITUTE(SUBSTITUTE(SUBSTITUTE(SUBSTITUTE(SUBSTITUTE(SUBSTITUTE(SUBSTITUTE(LOWER(TRIM(D172)),"ё","е"),"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инженер",IF(ISNUMBER(SEARCH("диспетч",E172)),"ведущий инженер пдо",TRIM(SUBSTITUTE(SUBSTITUTE(SUBSTITUTE(SUBSTITUTE(SUBSTITUTE(SUBSTITUTE(SUBSTITUTE(SUBSTITUTE(SUBSTITUTE(SUBSTITUTE(SUBSTITUTE(LOWER(TRIM(D172)),"ё","е"),"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отк",TRIM(SUBSTITUTE(SUBSTITUTE(SUBSTITUTE(SUBSTITUTE(SUBSTITUTE(SUBSTITUTE(SUBSTITUTE(SUBSTITUTE(SUBSTITUTE(SUBSTITUTE(SUBSTITUTE(LOWER(TRIM(D172)),"ё","е")," -","-"),"- ","-")," 2 разряда","")," 3 разряда","")," 4 разряда","")," 5 разряда","")," 6 разряда","")," 1 категории","")," 2 категории","")," 3 категории",""))))))</f>
        <v>сборщик стеклопластиковых изделий</v>
      </c>
      <c r="H172" s="35" t="n">
        <f aca="false">IF(C172="","",IF(AND(G172="мастер участка",ISNUMBER(SEARCH("РЭО",E172))),29,IFERROR(INDEX(Соответствие!$B$2:$B$100,MATCH(G172,Соответствие!$A$2:$A$100,0)),"?")))</f>
        <v>26</v>
      </c>
      <c r="I172" s="39" t="str">
        <f aca="false">IF(C172="","",IFERROR(INDEX(Перечень!$C$6:$C$52,MATCH(H172,Перечень!$A$6:$A$52,0)),""))</f>
        <v>п.1.37.1, п.3.1.8.3, п.4.3.1, п.4.4, п.5.1, п.15</v>
      </c>
      <c r="J172" s="35" t="n">
        <f aca="false">IF(C172="","",IFERROR(INDEX(Перечень!$D$6:$D$52,MATCH(H172,Перечень!$A$6:$A$52,0)),12))</f>
        <v>12</v>
      </c>
      <c r="K172" s="40"/>
      <c r="L172" s="40"/>
      <c r="M172" s="37" t="str">
        <f aca="false">IF(AND(K172="",L172=""),"",EDATE(MAX(K172,L172),J172))</f>
        <v/>
      </c>
      <c r="N172" s="41" t="str">
        <f aca="false">IF(C172="","",IFERROR(INDEX(Перечень!$F$6:$F$52,MATCH(H172,Перечень!$A$6:$A$52,0)),""))</f>
        <v>Нет</v>
      </c>
      <c r="O172" s="40"/>
      <c r="P172" s="37" t="str">
        <f aca="false">IF(O172="","",EDATE(O172,60))</f>
        <v/>
      </c>
      <c r="Q172" s="41" t="str">
        <f aca="false">IF(AND(K172&lt;&gt;"",F172&lt;&gt;"",K172&gt;F172),"Да","")</f>
        <v/>
      </c>
      <c r="R172" s="41" t="str">
        <f aca="true">IF(C172="","",IF(M172="","Нет сведений",IF(M172&lt;TODAY(),"Просрочен",IF(M172-TODAY()&lt;=30,"Истекает","В срок"))))</f>
        <v>Нет сведений</v>
      </c>
      <c r="S172" s="41" t="str">
        <f aca="false">IF(AND(N172="Да",O172=""),"Не пройдено","")</f>
        <v/>
      </c>
    </row>
    <row r="173" customFormat="false" ht="14.25" hidden="false" customHeight="false" outlineLevel="0" collapsed="false">
      <c r="A173" s="35" t="n">
        <f aca="false">IF(C173="","",ROW()-5)</f>
        <v>168</v>
      </c>
      <c r="B173" s="36" t="s">
        <v>107</v>
      </c>
      <c r="C173" s="36" t="s">
        <v>369</v>
      </c>
      <c r="D173" s="36" t="s">
        <v>370</v>
      </c>
      <c r="E173" s="36" t="s">
        <v>318</v>
      </c>
      <c r="F173" s="37" t="n">
        <v>46181</v>
      </c>
      <c r="G173" s="38" t="str">
        <f aca="false">IF(C173="","",IF(TRIM(SUBSTITUTE(SUBSTITUTE(SUBSTITUTE(SUBSTITUTE(SUBSTITUTE(SUBSTITUTE(SUBSTITUTE(SUBSTITUTE(SUBSTITUTE(SUBSTITUTE(SUBSTITUTE(LOWER(TRIM(D173)),"ё","е"),"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категории",""))="инженер",IF(AND(ISNUMBER(SEARCH("техническ",E173)),ISNUMBER(SEARCH("контрол",E173))),"инженер отк",IF(ISNUMBER(SEARCH("диспетч",E173)),"инженер пдо",TRIM(SUBSTITUTE(SUBSTITUTE(SUBSTITUTE(SUBSTITUTE(SUBSTITUTE(SUBSTITUTE(SUBSTITUTE(SUBSTITUTE(SUBSTITUTE(SUBSTITUTE(SUBSTITUTE(LOWER(TRIM(D173)),"ё","е"),"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инженер",IF(ISNUMBER(SEARCH("диспетч",E173)),"ведущий инженер пдо",TRIM(SUBSTITUTE(SUBSTITUTE(SUBSTITUTE(SUBSTITUTE(SUBSTITUTE(SUBSTITUTE(SUBSTITUTE(SUBSTITUTE(SUBSTITUTE(SUBSTITUTE(SUBSTITUTE(LOWER(TRIM(D173)),"ё","е"),"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отк",TRIM(SUBSTITUTE(SUBSTITUTE(SUBSTITUTE(SUBSTITUTE(SUBSTITUTE(SUBSTITUTE(SUBSTITUTE(SUBSTITUTE(SUBSTITUTE(SUBSTITUTE(SUBSTITUTE(LOWER(TRIM(D173)),"ё","е"),"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173" s="35" t="n">
        <f aca="false">IF(C173="","",IF(AND(G173="мастер участка",ISNUMBER(SEARCH("РЭО",E173))),29,IFERROR(INDEX(Соответствие!$B$2:$B$100,MATCH(G173,Соответствие!$A$2:$A$100,0)),"?")))</f>
        <v>21</v>
      </c>
      <c r="I173" s="39" t="str">
        <f aca="false">IF(C173="","",IFERROR(INDEX(Перечень!$C$6:$C$52,MATCH(H173,Перечень!$A$6:$A$52,0)),""))</f>
        <v>п.1.49.2, п.1.49.14, п.4.3.1, п.4.3.2, п.4.4, п.5.1, п.15</v>
      </c>
      <c r="J173" s="35" t="n">
        <f aca="false">IF(C173="","",IFERROR(INDEX(Перечень!$D$6:$D$52,MATCH(H173,Перечень!$A$6:$A$52,0)),12))</f>
        <v>12</v>
      </c>
      <c r="K173" s="40" t="n">
        <v>46171</v>
      </c>
      <c r="L173" s="40"/>
      <c r="M173" s="37" t="n">
        <f aca="false">IF(AND(K173="",L173=""),"",EDATE(MAX(K173,L173),J173))</f>
        <v>46536</v>
      </c>
      <c r="N173" s="41" t="str">
        <f aca="false">IF(C173="","",IFERROR(INDEX(Перечень!$F$6:$F$52,MATCH(H173,Перечень!$A$6:$A$52,0)),""))</f>
        <v>-</v>
      </c>
      <c r="O173" s="40"/>
      <c r="P173" s="37" t="str">
        <f aca="false">IF(O173="","",EDATE(O173,60))</f>
        <v/>
      </c>
      <c r="Q173" s="41" t="str">
        <f aca="false">IF(AND(K173&lt;&gt;"",F173&lt;&gt;"",K173&gt;F173),"Да","")</f>
        <v/>
      </c>
      <c r="R173" s="41" t="str">
        <f aca="true">IF(C173="","",IF(M173="","Нет сведений",IF(M173&lt;TODAY(),"Просрочен",IF(M173-TODAY()&lt;=30,"Истекает","В срок"))))</f>
        <v>В срок</v>
      </c>
      <c r="S173" s="41" t="str">
        <f aca="false">IF(AND(N173="Да",O173=""),"Не пройдено","")</f>
        <v/>
      </c>
    </row>
    <row r="174" customFormat="false" ht="14.25" hidden="false" customHeight="false" outlineLevel="0" collapsed="false">
      <c r="A174" s="35" t="n">
        <f aca="false">IF(C174="","",ROW()-5)</f>
        <v>169</v>
      </c>
      <c r="B174" s="36" t="s">
        <v>107</v>
      </c>
      <c r="C174" s="36" t="s">
        <v>371</v>
      </c>
      <c r="D174" s="36" t="s">
        <v>241</v>
      </c>
      <c r="E174" s="36" t="s">
        <v>372</v>
      </c>
      <c r="F174" s="37" t="n">
        <v>39734</v>
      </c>
      <c r="G174" s="38" t="str">
        <f aca="false">IF(C174="","",IF(TRIM(SUBSTITUTE(SUBSTITUTE(SUBSTITUTE(SUBSTITUTE(SUBSTITUTE(SUBSTITUTE(SUBSTITUTE(SUBSTITUTE(SUBSTITUTE(SUBSTITUTE(SUBSTITUTE(LOWER(TRIM(D174)),"ё","е"),"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категории",""))="инженер",IF(AND(ISNUMBER(SEARCH("техническ",E174)),ISNUMBER(SEARCH("контрол",E174))),"инженер отк",IF(ISNUMBER(SEARCH("диспетч",E174)),"инженер пдо",TRIM(SUBSTITUTE(SUBSTITUTE(SUBSTITUTE(SUBSTITUTE(SUBSTITUTE(SUBSTITUTE(SUBSTITUTE(SUBSTITUTE(SUBSTITUTE(SUBSTITUTE(SUBSTITUTE(LOWER(TRIM(D174)),"ё","е"),"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инженер",IF(ISNUMBER(SEARCH("диспетч",E174)),"ведущий инженер пдо",TRIM(SUBSTITUTE(SUBSTITUTE(SUBSTITUTE(SUBSTITUTE(SUBSTITUTE(SUBSTITUTE(SUBSTITUTE(SUBSTITUTE(SUBSTITUTE(SUBSTITUTE(SUBSTITUTE(LOWER(TRIM(D174)),"ё","е"),"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отк",TRIM(SUBSTITUTE(SUBSTITUTE(SUBSTITUTE(SUBSTITUTE(SUBSTITUTE(SUBSTITUTE(SUBSTITUTE(SUBSTITUTE(SUBSTITUTE(SUBSTITUTE(SUBSTITUTE(LOWER(TRIM(D174)),"ё","е")," -","-"),"- ","-")," 2 разряда","")," 3 разряда","")," 4 разряда","")," 5 разряда","")," 6 разряда","")," 1 категории","")," 2 категории","")," 3 категории",""))))))</f>
        <v>мастер участка</v>
      </c>
      <c r="H174" s="35" t="n">
        <f aca="false">IF(C174="","",IF(AND(G174="мастер участка",ISNUMBER(SEARCH("РЭО",E174))),29,IFERROR(INDEX(Соответствие!$B$2:$B$100,MATCH(G174,Соответствие!$A$2:$A$100,0)),"?")))</f>
        <v>18</v>
      </c>
      <c r="I174" s="39" t="str">
        <f aca="false">IF(C174="","",IFERROR(INDEX(Перечень!$C$6:$C$52,MATCH(H174,Перечень!$A$6:$A$52,0)),""))</f>
        <v>п.4.4, п.5.2</v>
      </c>
      <c r="J174" s="35" t="n">
        <f aca="false">IF(C174="","",IFERROR(INDEX(Перечень!$D$6:$D$52,MATCH(H174,Перечень!$A$6:$A$52,0)),12))</f>
        <v>12</v>
      </c>
      <c r="K174" s="40"/>
      <c r="L174" s="40"/>
      <c r="M174" s="37" t="str">
        <f aca="false">IF(AND(K174="",L174=""),"",EDATE(MAX(K174,L174),J174))</f>
        <v/>
      </c>
      <c r="N174" s="41" t="str">
        <f aca="false">IF(C174="","",IFERROR(INDEX(Перечень!$F$6:$F$52,MATCH(H174,Перечень!$A$6:$A$52,0)),""))</f>
        <v>-</v>
      </c>
      <c r="O174" s="40"/>
      <c r="P174" s="37" t="str">
        <f aca="false">IF(O174="","",EDATE(O174,60))</f>
        <v/>
      </c>
      <c r="Q174" s="41" t="str">
        <f aca="false">IF(AND(K174&lt;&gt;"",F174&lt;&gt;"",K174&gt;F174),"Да","")</f>
        <v/>
      </c>
      <c r="R174" s="41" t="str">
        <f aca="true">IF(C174="","",IF(M174="","Нет сведений",IF(M174&lt;TODAY(),"Просрочен",IF(M174-TODAY()&lt;=30,"Истекает","В срок"))))</f>
        <v>Нет сведений</v>
      </c>
      <c r="S174" s="41" t="str">
        <f aca="false">IF(AND(N174="Да",O174=""),"Не пройдено","")</f>
        <v/>
      </c>
    </row>
    <row r="175" customFormat="false" ht="14.25" hidden="false" customHeight="false" outlineLevel="0" collapsed="false">
      <c r="A175" s="35" t="n">
        <f aca="false">IF(C175="","",ROW()-5)</f>
        <v>170</v>
      </c>
      <c r="B175" s="36" t="s">
        <v>107</v>
      </c>
      <c r="C175" s="36" t="s">
        <v>373</v>
      </c>
      <c r="D175" s="36" t="s">
        <v>348</v>
      </c>
      <c r="E175" s="36" t="s">
        <v>372</v>
      </c>
      <c r="F175" s="37" t="n">
        <v>42443</v>
      </c>
      <c r="G175" s="38" t="str">
        <f aca="false">IF(C175="","",IF(TRIM(SUBSTITUTE(SUBSTITUTE(SUBSTITUTE(SUBSTITUTE(SUBSTITUTE(SUBSTITUTE(SUBSTITUTE(SUBSTITUTE(SUBSTITUTE(SUBSTITUTE(SUBSTITUTE(LOWER(TRIM(D175)),"ё","е"),"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категории",""))="инженер",IF(AND(ISNUMBER(SEARCH("техническ",E175)),ISNUMBER(SEARCH("контрол",E175))),"инженер отк",IF(ISNUMBER(SEARCH("диспетч",E175)),"инженер пдо",TRIM(SUBSTITUTE(SUBSTITUTE(SUBSTITUTE(SUBSTITUTE(SUBSTITUTE(SUBSTITUTE(SUBSTITUTE(SUBSTITUTE(SUBSTITUTE(SUBSTITUTE(SUBSTITUTE(LOWER(TRIM(D175)),"ё","е"),"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инженер",IF(ISNUMBER(SEARCH("диспетч",E175)),"ведущий инженер пдо",TRIM(SUBSTITUTE(SUBSTITUTE(SUBSTITUTE(SUBSTITUTE(SUBSTITUTE(SUBSTITUTE(SUBSTITUTE(SUBSTITUTE(SUBSTITUTE(SUBSTITUTE(SUBSTITUTE(LOWER(TRIM(D175)),"ё","е"),"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отк",TRIM(SUBSTITUTE(SUBSTITUTE(SUBSTITUTE(SUBSTITUTE(SUBSTITUTE(SUBSTITUTE(SUBSTITUTE(SUBSTITUTE(SUBSTITUTE(SUBSTITUTE(SUBSTITUTE(LOWER(TRIM(D175)),"ё","е")," -","-"),"- ","-")," 2 разряда","")," 3 разряда","")," 4 разряда","")," 5 разряда","")," 6 разряда","")," 1 категории","")," 2 категории","")," 3 категории",""))))))</f>
        <v>бригадир</v>
      </c>
      <c r="H175" s="35" t="n">
        <f aca="false">IF(C175="","",IF(AND(G175="мастер участка",ISNUMBER(SEARCH("РЭО",E175))),29,IFERROR(INDEX(Соответствие!$B$2:$B$100,MATCH(G175,Соответствие!$A$2:$A$100,0)),"?")))</f>
        <v>47</v>
      </c>
      <c r="I175" s="39" t="str">
        <f aca="false">IF(C175="","",IFERROR(INDEX(Перечень!$C$6:$C$52,MATCH(H175,Перечень!$A$6:$A$52,0)),""))</f>
        <v>п.4.4, п.5.1, п.5.2</v>
      </c>
      <c r="J175" s="35" t="n">
        <f aca="false">IF(C175="","",IFERROR(INDEX(Перечень!$D$6:$D$52,MATCH(H175,Перечень!$A$6:$A$52,0)),12))</f>
        <v>12</v>
      </c>
      <c r="K175" s="40"/>
      <c r="L175" s="40"/>
      <c r="M175" s="37" t="str">
        <f aca="false">IF(AND(K175="",L175=""),"",EDATE(MAX(K175,L175),J175))</f>
        <v/>
      </c>
      <c r="N175" s="41" t="str">
        <f aca="false">IF(C175="","",IFERROR(INDEX(Перечень!$F$6:$F$52,MATCH(H175,Перечень!$A$6:$A$52,0)),""))</f>
        <v>-</v>
      </c>
      <c r="O175" s="40"/>
      <c r="P175" s="37" t="str">
        <f aca="false">IF(O175="","",EDATE(O175,60))</f>
        <v/>
      </c>
      <c r="Q175" s="41" t="str">
        <f aca="false">IF(AND(K175&lt;&gt;"",F175&lt;&gt;"",K175&gt;F175),"Да","")</f>
        <v/>
      </c>
      <c r="R175" s="41" t="str">
        <f aca="true">IF(C175="","",IF(M175="","Нет сведений",IF(M175&lt;TODAY(),"Просрочен",IF(M175-TODAY()&lt;=30,"Истекает","В срок"))))</f>
        <v>Нет сведений</v>
      </c>
      <c r="S175" s="41" t="str">
        <f aca="false">IF(AND(N175="Да",O175=""),"Не пройдено","")</f>
        <v/>
      </c>
    </row>
    <row r="176" customFormat="false" ht="14.25" hidden="false" customHeight="false" outlineLevel="0" collapsed="false">
      <c r="A176" s="35" t="n">
        <f aca="false">IF(C176="","",ROW()-5)</f>
        <v>171</v>
      </c>
      <c r="B176" s="36" t="s">
        <v>107</v>
      </c>
      <c r="C176" s="36" t="s">
        <v>374</v>
      </c>
      <c r="D176" s="36" t="s">
        <v>348</v>
      </c>
      <c r="E176" s="36" t="s">
        <v>372</v>
      </c>
      <c r="F176" s="37" t="n">
        <v>42382</v>
      </c>
      <c r="G176" s="38" t="str">
        <f aca="false">IF(C176="","",IF(TRIM(SUBSTITUTE(SUBSTITUTE(SUBSTITUTE(SUBSTITUTE(SUBSTITUTE(SUBSTITUTE(SUBSTITUTE(SUBSTITUTE(SUBSTITUTE(SUBSTITUTE(SUBSTITUTE(LOWER(TRIM(D176)),"ё","е"),"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категории",""))="инженер",IF(AND(ISNUMBER(SEARCH("техническ",E176)),ISNUMBER(SEARCH("контрол",E176))),"инженер отк",IF(ISNUMBER(SEARCH("диспетч",E176)),"инженер пдо",TRIM(SUBSTITUTE(SUBSTITUTE(SUBSTITUTE(SUBSTITUTE(SUBSTITUTE(SUBSTITUTE(SUBSTITUTE(SUBSTITUTE(SUBSTITUTE(SUBSTITUTE(SUBSTITUTE(LOWER(TRIM(D176)),"ё","е"),"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инженер",IF(ISNUMBER(SEARCH("диспетч",E176)),"ведущий инженер пдо",TRIM(SUBSTITUTE(SUBSTITUTE(SUBSTITUTE(SUBSTITUTE(SUBSTITUTE(SUBSTITUTE(SUBSTITUTE(SUBSTITUTE(SUBSTITUTE(SUBSTITUTE(SUBSTITUTE(LOWER(TRIM(D176)),"ё","е"),"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отк",TRIM(SUBSTITUTE(SUBSTITUTE(SUBSTITUTE(SUBSTITUTE(SUBSTITUTE(SUBSTITUTE(SUBSTITUTE(SUBSTITUTE(SUBSTITUTE(SUBSTITUTE(SUBSTITUTE(LOWER(TRIM(D176)),"ё","е")," -","-"),"- ","-")," 2 разряда","")," 3 разряда","")," 4 разряда","")," 5 разряда","")," 6 разряда","")," 1 категории","")," 2 категории","")," 3 категории",""))))))</f>
        <v>бригадир</v>
      </c>
      <c r="H176" s="35" t="n">
        <f aca="false">IF(C176="","",IF(AND(G176="мастер участка",ISNUMBER(SEARCH("РЭО",E176))),29,IFERROR(INDEX(Соответствие!$B$2:$B$100,MATCH(G176,Соответствие!$A$2:$A$100,0)),"?")))</f>
        <v>47</v>
      </c>
      <c r="I176" s="39" t="str">
        <f aca="false">IF(C176="","",IFERROR(INDEX(Перечень!$C$6:$C$52,MATCH(H176,Перечень!$A$6:$A$52,0)),""))</f>
        <v>п.4.4, п.5.1, п.5.2</v>
      </c>
      <c r="J176" s="35" t="n">
        <f aca="false">IF(C176="","",IFERROR(INDEX(Перечень!$D$6:$D$52,MATCH(H176,Перечень!$A$6:$A$52,0)),12))</f>
        <v>12</v>
      </c>
      <c r="K176" s="40"/>
      <c r="L176" s="40"/>
      <c r="M176" s="37" t="str">
        <f aca="false">IF(AND(K176="",L176=""),"",EDATE(MAX(K176,L176),J176))</f>
        <v/>
      </c>
      <c r="N176" s="41" t="str">
        <f aca="false">IF(C176="","",IFERROR(INDEX(Перечень!$F$6:$F$52,MATCH(H176,Перечень!$A$6:$A$52,0)),""))</f>
        <v>-</v>
      </c>
      <c r="O176" s="40"/>
      <c r="P176" s="37" t="str">
        <f aca="false">IF(O176="","",EDATE(O176,60))</f>
        <v/>
      </c>
      <c r="Q176" s="41" t="str">
        <f aca="false">IF(AND(K176&lt;&gt;"",F176&lt;&gt;"",K176&gt;F176),"Да","")</f>
        <v/>
      </c>
      <c r="R176" s="41" t="str">
        <f aca="true">IF(C176="","",IF(M176="","Нет сведений",IF(M176&lt;TODAY(),"Просрочен",IF(M176-TODAY()&lt;=30,"Истекает","В срок"))))</f>
        <v>Нет сведений</v>
      </c>
      <c r="S176" s="41" t="str">
        <f aca="false">IF(AND(N176="Да",O176=""),"Не пройдено","")</f>
        <v/>
      </c>
    </row>
    <row r="177" customFormat="false" ht="14.25" hidden="false" customHeight="false" outlineLevel="0" collapsed="false">
      <c r="A177" s="35" t="n">
        <f aca="false">IF(C177="","",ROW()-5)</f>
        <v>172</v>
      </c>
      <c r="B177" s="36" t="s">
        <v>107</v>
      </c>
      <c r="C177" s="36" t="s">
        <v>375</v>
      </c>
      <c r="D177" s="36" t="s">
        <v>376</v>
      </c>
      <c r="E177" s="36" t="s">
        <v>372</v>
      </c>
      <c r="F177" s="37" t="n">
        <v>37683</v>
      </c>
      <c r="G177" s="38" t="str">
        <f aca="false">IF(C177="","",IF(TRIM(SUBSTITUTE(SUBSTITUTE(SUBSTITUTE(SUBSTITUTE(SUBSTITUTE(SUBSTITUTE(SUBSTITUTE(SUBSTITUTE(SUBSTITUTE(SUBSTITUTE(SUBSTITUTE(LOWER(TRIM(D177)),"ё","е"),"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категории",""))="инженер",IF(AND(ISNUMBER(SEARCH("техническ",E177)),ISNUMBER(SEARCH("контрол",E177))),"инженер отк",IF(ISNUMBER(SEARCH("диспетч",E177)),"инженер пдо",TRIM(SUBSTITUTE(SUBSTITUTE(SUBSTITUTE(SUBSTITUTE(SUBSTITUTE(SUBSTITUTE(SUBSTITUTE(SUBSTITUTE(SUBSTITUTE(SUBSTITUTE(SUBSTITUTE(LOWER(TRIM(D177)),"ё","е"),"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инженер",IF(ISNUMBER(SEARCH("диспетч",E177)),"ведущий инженер пдо",TRIM(SUBSTITUTE(SUBSTITUTE(SUBSTITUTE(SUBSTITUTE(SUBSTITUTE(SUBSTITUTE(SUBSTITUTE(SUBSTITUTE(SUBSTITUTE(SUBSTITUTE(SUBSTITUTE(LOWER(TRIM(D177)),"ё","е"),"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отк",TRIM(SUBSTITUTE(SUBSTITUTE(SUBSTITUTE(SUBSTITUTE(SUBSTITUTE(SUBSTITUTE(SUBSTITUTE(SUBSTITUTE(SUBSTITUTE(SUBSTITUTE(SUBSTITUTE(LOWER(TRIM(D177)),"ё","е")," -","-"),"- ","-")," 2 разряда","")," 3 разряда","")," 4 разряда","")," 5 разряда","")," 6 разряда","")," 1 категории","")," 2 категории","")," 3 категории",""))))))</f>
        <v>облицовщик деталей мебели</v>
      </c>
      <c r="H177" s="35" t="n">
        <f aca="false">IF(C177="","",IF(AND(G177="мастер участка",ISNUMBER(SEARCH("РЭО",E177))),29,IFERROR(INDEX(Соответствие!$B$2:$B$100,MATCH(G177,Соответствие!$A$2:$A$100,0)),"?")))</f>
        <v>23</v>
      </c>
      <c r="I177" s="39" t="str">
        <f aca="false">IF(C177="","",IFERROR(INDEX(Перечень!$C$6:$C$52,MATCH(H177,Перечень!$A$6:$A$52,0)),""))</f>
        <v>п.1.49.2, п.1.49.14, п.4.3.1, п.4.3.2, п.4.4, п.5.1, п.15</v>
      </c>
      <c r="J177" s="35" t="n">
        <f aca="false">IF(C177="","",IFERROR(INDEX(Перечень!$D$6:$D$52,MATCH(H177,Перечень!$A$6:$A$52,0)),12))</f>
        <v>12</v>
      </c>
      <c r="K177" s="40"/>
      <c r="L177" s="40"/>
      <c r="M177" s="37" t="str">
        <f aca="false">IF(AND(K177="",L177=""),"",EDATE(MAX(K177,L177),J177))</f>
        <v/>
      </c>
      <c r="N177" s="41" t="str">
        <f aca="false">IF(C177="","",IFERROR(INDEX(Перечень!$F$6:$F$52,MATCH(H177,Перечень!$A$6:$A$52,0)),""))</f>
        <v>-</v>
      </c>
      <c r="O177" s="40"/>
      <c r="P177" s="37" t="str">
        <f aca="false">IF(O177="","",EDATE(O177,60))</f>
        <v/>
      </c>
      <c r="Q177" s="41" t="str">
        <f aca="false">IF(AND(K177&lt;&gt;"",F177&lt;&gt;"",K177&gt;F177),"Да","")</f>
        <v/>
      </c>
      <c r="R177" s="41" t="str">
        <f aca="true">IF(C177="","",IF(M177="","Нет сведений",IF(M177&lt;TODAY(),"Просрочен",IF(M177-TODAY()&lt;=30,"Истекает","В срок"))))</f>
        <v>Нет сведений</v>
      </c>
      <c r="S177" s="41" t="str">
        <f aca="false">IF(AND(N177="Да",O177=""),"Не пройдено","")</f>
        <v/>
      </c>
    </row>
    <row r="178" customFormat="false" ht="14.25" hidden="false" customHeight="false" outlineLevel="0" collapsed="false">
      <c r="A178" s="35" t="n">
        <f aca="false">IF(C178="","",ROW()-5)</f>
        <v>173</v>
      </c>
      <c r="B178" s="36" t="s">
        <v>107</v>
      </c>
      <c r="C178" s="36" t="s">
        <v>377</v>
      </c>
      <c r="D178" s="36" t="s">
        <v>376</v>
      </c>
      <c r="E178" s="36" t="s">
        <v>372</v>
      </c>
      <c r="F178" s="37" t="n">
        <v>39824</v>
      </c>
      <c r="G178" s="38" t="str">
        <f aca="false">IF(C178="","",IF(TRIM(SUBSTITUTE(SUBSTITUTE(SUBSTITUTE(SUBSTITUTE(SUBSTITUTE(SUBSTITUTE(SUBSTITUTE(SUBSTITUTE(SUBSTITUTE(SUBSTITUTE(SUBSTITUTE(LOWER(TRIM(D178)),"ё","е"),"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категории",""))="инженер",IF(AND(ISNUMBER(SEARCH("техническ",E178)),ISNUMBER(SEARCH("контрол",E178))),"инженер отк",IF(ISNUMBER(SEARCH("диспетч",E178)),"инженер пдо",TRIM(SUBSTITUTE(SUBSTITUTE(SUBSTITUTE(SUBSTITUTE(SUBSTITUTE(SUBSTITUTE(SUBSTITUTE(SUBSTITUTE(SUBSTITUTE(SUBSTITUTE(SUBSTITUTE(LOWER(TRIM(D178)),"ё","е"),"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инженер",IF(ISNUMBER(SEARCH("диспетч",E178)),"ведущий инженер пдо",TRIM(SUBSTITUTE(SUBSTITUTE(SUBSTITUTE(SUBSTITUTE(SUBSTITUTE(SUBSTITUTE(SUBSTITUTE(SUBSTITUTE(SUBSTITUTE(SUBSTITUTE(SUBSTITUTE(LOWER(TRIM(D178)),"ё","е"),"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отк",TRIM(SUBSTITUTE(SUBSTITUTE(SUBSTITUTE(SUBSTITUTE(SUBSTITUTE(SUBSTITUTE(SUBSTITUTE(SUBSTITUTE(SUBSTITUTE(SUBSTITUTE(SUBSTITUTE(LOWER(TRIM(D178)),"ё","е")," -","-"),"- ","-")," 2 разряда","")," 3 разряда","")," 4 разряда","")," 5 разряда","")," 6 разряда","")," 1 категории","")," 2 категории","")," 3 категории",""))))))</f>
        <v>облицовщик деталей мебели</v>
      </c>
      <c r="H178" s="35" t="n">
        <f aca="false">IF(C178="","",IF(AND(G178="мастер участка",ISNUMBER(SEARCH("РЭО",E178))),29,IFERROR(INDEX(Соответствие!$B$2:$B$100,MATCH(G178,Соответствие!$A$2:$A$100,0)),"?")))</f>
        <v>23</v>
      </c>
      <c r="I178" s="39" t="str">
        <f aca="false">IF(C178="","",IFERROR(INDEX(Перечень!$C$6:$C$52,MATCH(H178,Перечень!$A$6:$A$52,0)),""))</f>
        <v>п.1.49.2, п.1.49.14, п.4.3.1, п.4.3.2, п.4.4, п.5.1, п.15</v>
      </c>
      <c r="J178" s="35" t="n">
        <f aca="false">IF(C178="","",IFERROR(INDEX(Перечень!$D$6:$D$52,MATCH(H178,Перечень!$A$6:$A$52,0)),12))</f>
        <v>12</v>
      </c>
      <c r="K178" s="40"/>
      <c r="L178" s="40"/>
      <c r="M178" s="37" t="str">
        <f aca="false">IF(AND(K178="",L178=""),"",EDATE(MAX(K178,L178),J178))</f>
        <v/>
      </c>
      <c r="N178" s="41" t="str">
        <f aca="false">IF(C178="","",IFERROR(INDEX(Перечень!$F$6:$F$52,MATCH(H178,Перечень!$A$6:$A$52,0)),""))</f>
        <v>-</v>
      </c>
      <c r="O178" s="40"/>
      <c r="P178" s="37" t="str">
        <f aca="false">IF(O178="","",EDATE(O178,60))</f>
        <v/>
      </c>
      <c r="Q178" s="41" t="str">
        <f aca="false">IF(AND(K178&lt;&gt;"",F178&lt;&gt;"",K178&gt;F178),"Да","")</f>
        <v/>
      </c>
      <c r="R178" s="41" t="str">
        <f aca="true">IF(C178="","",IF(M178="","Нет сведений",IF(M178&lt;TODAY(),"Просрочен",IF(M178-TODAY()&lt;=30,"Истекает","В срок"))))</f>
        <v>Нет сведений</v>
      </c>
      <c r="S178" s="41" t="str">
        <f aca="false">IF(AND(N178="Да",O178=""),"Не пройдено","")</f>
        <v/>
      </c>
    </row>
    <row r="179" customFormat="false" ht="14.25" hidden="false" customHeight="false" outlineLevel="0" collapsed="false">
      <c r="A179" s="35" t="n">
        <f aca="false">IF(C179="","",ROW()-5)</f>
        <v>174</v>
      </c>
      <c r="B179" s="36" t="s">
        <v>107</v>
      </c>
      <c r="C179" s="36" t="s">
        <v>378</v>
      </c>
      <c r="D179" s="36" t="s">
        <v>379</v>
      </c>
      <c r="E179" s="36" t="s">
        <v>372</v>
      </c>
      <c r="F179" s="37" t="n">
        <v>42495</v>
      </c>
      <c r="G179" s="38" t="str">
        <f aca="false">IF(C179="","",IF(TRIM(SUBSTITUTE(SUBSTITUTE(SUBSTITUTE(SUBSTITUTE(SUBSTITUTE(SUBSTITUTE(SUBSTITUTE(SUBSTITUTE(SUBSTITUTE(SUBSTITUTE(SUBSTITUTE(LOWER(TRIM(D179)),"ё","е"),"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категории",""))="инженер",IF(AND(ISNUMBER(SEARCH("техническ",E179)),ISNUMBER(SEARCH("контрол",E179))),"инженер отк",IF(ISNUMBER(SEARCH("диспетч",E179)),"инженер пдо",TRIM(SUBSTITUTE(SUBSTITUTE(SUBSTITUTE(SUBSTITUTE(SUBSTITUTE(SUBSTITUTE(SUBSTITUTE(SUBSTITUTE(SUBSTITUTE(SUBSTITUTE(SUBSTITUTE(LOWER(TRIM(D179)),"ё","е"),"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категории","")))),IF(TRIM(SUBSTITUTE(SUBSTITUTE(SUBSTITUTE(SUBSTITUTE(SUBSTITUTE(SUBSTITUTE(SUBSTITUTE(SUBSTITUTE(SUBSTITUTE(SUBSTITUTE(SUBSTITUTE(LOWER(TRIM(D179)),"ё","е"),"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инженер",IF(ISNUMBER(SEARCH("диспетч",E179)),"ведущий инженер пдо",TRIM(SUBSTITUTE(SUBSTITUTE(SUBSTITUTE(SUBSTITUTE(SUBSTITUTE(SUBSTITUTE(SUBSTITUTE(SUBSTITUTE(SUBSTITUTE(SUBSTITUTE(SUBSTITUTE(LOWER(TRIM(D179)),"ё","е"),"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категории",""))),IF(TRIM(SUBSTITUTE(SUBSTITUTE(SUBSTITUTE(SUBSTITUTE(SUBSTITUTE(SUBSTITUTE(SUBSTITUTE(SUBSTITUTE(SUBSTITUTE(SUBSTITUTE(SUBSTITUTE(LOWER(TRIM(D179)),"ё","е"),"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отк",TRIM(SUBSTITUTE(SUBSTITUTE(SUBSTITUTE(SUBSTITUTE(SUBSTITUTE(SUBSTITUTE(SUBSTITUTE(SUBSTITUTE(SUBSTITUTE(SUBSTITUTE(SUBSTITUTE(LOWER(TRIM(D179)),"ё","е")," -","-"),"- ","-")," 2 разряда","")," 3 разряда","")," 4 разряда","")," 5 разряда","")," 6 разряда","")," 1 категории","")," 2 категории","")," 3 категории",""))))))</f>
        <v>техник</v>
      </c>
      <c r="H179" s="35" t="n">
        <f aca="false">IF(C179="","",IF(AND(G179="мастер участка",ISNUMBER(SEARCH("РЭО",E179))),29,IFERROR(INDEX(Соответствие!$B$2:$B$100,MATCH(G179,Соответствие!$A$2:$A$100,0)),"?")))</f>
        <v>36</v>
      </c>
      <c r="I179" s="39" t="str">
        <f aca="false">IF(C179="","",IFERROR(INDEX(Перечень!$C$6:$C$52,MATCH(H179,Перечень!$A$6:$A$52,0)),""))</f>
        <v>п.1.14.2, п.1.36, п.1.37.1, п.1.45.1, п.1.45.2, п.1.50, п.4.3.1, п.4.4, п.5.1, п.17</v>
      </c>
      <c r="J179" s="35" t="n">
        <f aca="false">IF(C179="","",IFERROR(INDEX(Перечень!$D$6:$D$52,MATCH(H179,Перечень!$A$6:$A$52,0)),12))</f>
        <v>12</v>
      </c>
      <c r="K179" s="40"/>
      <c r="L179" s="40"/>
      <c r="M179" s="37" t="str">
        <f aca="false">IF(AND(K179="",L179=""),"",EDATE(MAX(K179,L179),J179))</f>
        <v/>
      </c>
      <c r="N179" s="41" t="str">
        <f aca="false">IF(C179="","",IFERROR(INDEX(Перечень!$F$6:$F$52,MATCH(H179,Перечень!$A$6:$A$52,0)),""))</f>
        <v>-</v>
      </c>
      <c r="O179" s="40"/>
      <c r="P179" s="37" t="str">
        <f aca="false">IF(O179="","",EDATE(O179,60))</f>
        <v/>
      </c>
      <c r="Q179" s="41" t="str">
        <f aca="false">IF(AND(K179&lt;&gt;"",F179&lt;&gt;"",K179&gt;F179),"Да","")</f>
        <v/>
      </c>
      <c r="R179" s="41" t="str">
        <f aca="true">IF(C179="","",IF(M179="","Нет сведений",IF(M179&lt;TODAY(),"Просрочен",IF(M179-TODAY()&lt;=30,"Истекает","В срок"))))</f>
        <v>Нет сведений</v>
      </c>
      <c r="S179" s="41" t="str">
        <f aca="false">IF(AND(N179="Да",O179=""),"Не пройдено","")</f>
        <v/>
      </c>
    </row>
    <row r="180" customFormat="false" ht="14.25" hidden="false" customHeight="false" outlineLevel="0" collapsed="false">
      <c r="A180" s="35" t="n">
        <f aca="false">IF(C180="","",ROW()-5)</f>
        <v>175</v>
      </c>
      <c r="B180" s="36" t="s">
        <v>107</v>
      </c>
      <c r="C180" s="36" t="s">
        <v>380</v>
      </c>
      <c r="D180" s="36" t="s">
        <v>381</v>
      </c>
      <c r="E180" s="36" t="s">
        <v>372</v>
      </c>
      <c r="F180" s="37" t="n">
        <v>45428</v>
      </c>
      <c r="G180" s="38" t="str">
        <f aca="false">IF(C180="","",IF(TRIM(SUBSTITUTE(SUBSTITUTE(SUBSTITUTE(SUBSTITUTE(SUBSTITUTE(SUBSTITUTE(SUBSTITUTE(SUBSTITUTE(SUBSTITUTE(SUBSTITUTE(SUBSTITUTE(LOWER(TRIM(D180)),"ё","е"),"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категории",""))="инженер",IF(AND(ISNUMBER(SEARCH("техническ",E180)),ISNUMBER(SEARCH("контрол",E180))),"инженер отк",IF(ISNUMBER(SEARCH("диспетч",E180)),"инженер пдо",TRIM(SUBSTITUTE(SUBSTITUTE(SUBSTITUTE(SUBSTITUTE(SUBSTITUTE(SUBSTITUTE(SUBSTITUTE(SUBSTITUTE(SUBSTITUTE(SUBSTITUTE(SUBSTITUTE(LOWER(TRIM(D180)),"ё","е"),"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инженер",IF(ISNUMBER(SEARCH("диспетч",E180)),"ведущий инженер пдо",TRIM(SUBSTITUTE(SUBSTITUTE(SUBSTITUTE(SUBSTITUTE(SUBSTITUTE(SUBSTITUTE(SUBSTITUTE(SUBSTITUTE(SUBSTITUTE(SUBSTITUTE(SUBSTITUTE(LOWER(TRIM(D180)),"ё","е"),"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отк",TRIM(SUBSTITUTE(SUBSTITUTE(SUBSTITUTE(SUBSTITUTE(SUBSTITUTE(SUBSTITUTE(SUBSTITUTE(SUBSTITUTE(SUBSTITUTE(SUBSTITUTE(SUBSTITUTE(LOWER(TRIM(D180)),"ё","е")," -","-"),"- ","-")," 2 разряда","")," 3 разряда","")," 4 разряда","")," 5 разряда","")," 6 разряда","")," 1 категории","")," 2 категории","")," 3 категории",""))))))</f>
        <v>маляр</v>
      </c>
      <c r="H180" s="35" t="n">
        <f aca="false">IF(C180="","",IF(AND(G180="мастер участка",ISNUMBER(SEARCH("РЭО",E180))),29,IFERROR(INDEX(Соответствие!$B$2:$B$100,MATCH(G180,Соответствие!$A$2:$A$100,0)),"?")))</f>
        <v>36</v>
      </c>
      <c r="I180" s="39" t="str">
        <f aca="false">IF(C180="","",IFERROR(INDEX(Перечень!$C$6:$C$52,MATCH(H180,Перечень!$A$6:$A$52,0)),""))</f>
        <v>п.1.14.2, п.1.36, п.1.37.1, п.1.45.1, п.1.45.2, п.1.50, п.4.3.1, п.4.4, п.5.1, п.17</v>
      </c>
      <c r="J180" s="35" t="n">
        <f aca="false">IF(C180="","",IFERROR(INDEX(Перечень!$D$6:$D$52,MATCH(H180,Перечень!$A$6:$A$52,0)),12))</f>
        <v>12</v>
      </c>
      <c r="K180" s="40"/>
      <c r="L180" s="40"/>
      <c r="M180" s="37" t="str">
        <f aca="false">IF(AND(K180="",L180=""),"",EDATE(MAX(K180,L180),J180))</f>
        <v/>
      </c>
      <c r="N180" s="41" t="str">
        <f aca="false">IF(C180="","",IFERROR(INDEX(Перечень!$F$6:$F$52,MATCH(H180,Перечень!$A$6:$A$52,0)),""))</f>
        <v>-</v>
      </c>
      <c r="O180" s="40"/>
      <c r="P180" s="37" t="str">
        <f aca="false">IF(O180="","",EDATE(O180,60))</f>
        <v/>
      </c>
      <c r="Q180" s="41" t="str">
        <f aca="false">IF(AND(K180&lt;&gt;"",F180&lt;&gt;"",K180&gt;F180),"Да","")</f>
        <v/>
      </c>
      <c r="R180" s="41" t="str">
        <f aca="true">IF(C180="","",IF(M180="","Нет сведений",IF(M180&lt;TODAY(),"Просрочен",IF(M180-TODAY()&lt;=30,"Истекает","В срок"))))</f>
        <v>Нет сведений</v>
      </c>
      <c r="S180" s="41" t="str">
        <f aca="false">IF(AND(N180="Да",O180=""),"Не пройдено","")</f>
        <v/>
      </c>
    </row>
    <row r="181" customFormat="false" ht="14.25" hidden="false" customHeight="false" outlineLevel="0" collapsed="false">
      <c r="A181" s="35" t="n">
        <f aca="false">IF(C181="","",ROW()-5)</f>
        <v>176</v>
      </c>
      <c r="B181" s="36" t="s">
        <v>107</v>
      </c>
      <c r="C181" s="36" t="s">
        <v>382</v>
      </c>
      <c r="D181" s="36" t="s">
        <v>360</v>
      </c>
      <c r="E181" s="36" t="s">
        <v>372</v>
      </c>
      <c r="F181" s="37" t="n">
        <v>44706</v>
      </c>
      <c r="G181" s="38" t="str">
        <f aca="false">IF(C181="","",IF(TRIM(SUBSTITUTE(SUBSTITUTE(SUBSTITUTE(SUBSTITUTE(SUBSTITUTE(SUBSTITUTE(SUBSTITUTE(SUBSTITUTE(SUBSTITUTE(SUBSTITUTE(SUBSTITUTE(LOWER(TRIM(D181)),"ё","е"),"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категории",""))="инженер",IF(AND(ISNUMBER(SEARCH("техническ",E181)),ISNUMBER(SEARCH("контрол",E181))),"инженер отк",IF(ISNUMBER(SEARCH("диспетч",E181)),"инженер пдо",TRIM(SUBSTITUTE(SUBSTITUTE(SUBSTITUTE(SUBSTITUTE(SUBSTITUTE(SUBSTITUTE(SUBSTITUTE(SUBSTITUTE(SUBSTITUTE(SUBSTITUTE(SUBSTITUTE(LOWER(TRIM(D181)),"ё","е"),"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инженер",IF(ISNUMBER(SEARCH("диспетч",E181)),"ведущий инженер пдо",TRIM(SUBSTITUTE(SUBSTITUTE(SUBSTITUTE(SUBSTITUTE(SUBSTITUTE(SUBSTITUTE(SUBSTITUTE(SUBSTITUTE(SUBSTITUTE(SUBSTITUTE(SUBSTITUTE(LOWER(TRIM(D181)),"ё","е"),"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отк",TRIM(SUBSTITUTE(SUBSTITUTE(SUBSTITUTE(SUBSTITUTE(SUBSTITUTE(SUBSTITUTE(SUBSTITUTE(SUBSTITUTE(SUBSTITUTE(SUBSTITUTE(SUBSTITUTE(LOWER(TRIM(D181)),"ё","е")," -","-"),"- ","-")," 2 разряда","")," 3 разряда","")," 4 разряда","")," 5 разряда","")," 6 разряда","")," 1 категории","")," 2 категории","")," 3 категории",""))))))</f>
        <v>облицовщик деталей мебели</v>
      </c>
      <c r="H181" s="35" t="n">
        <f aca="false">IF(C181="","",IF(AND(G181="мастер участка",ISNUMBER(SEARCH("РЭО",E181))),29,IFERROR(INDEX(Соответствие!$B$2:$B$100,MATCH(G181,Соответствие!$A$2:$A$100,0)),"?")))</f>
        <v>23</v>
      </c>
      <c r="I181" s="39" t="str">
        <f aca="false">IF(C181="","",IFERROR(INDEX(Перечень!$C$6:$C$52,MATCH(H181,Перечень!$A$6:$A$52,0)),""))</f>
        <v>п.1.49.2, п.1.49.14, п.4.3.1, п.4.3.2, п.4.4, п.5.1, п.15</v>
      </c>
      <c r="J181" s="35" t="n">
        <f aca="false">IF(C181="","",IFERROR(INDEX(Перечень!$D$6:$D$52,MATCH(H181,Перечень!$A$6:$A$52,0)),12))</f>
        <v>12</v>
      </c>
      <c r="K181" s="40"/>
      <c r="L181" s="40"/>
      <c r="M181" s="37" t="str">
        <f aca="false">IF(AND(K181="",L181=""),"",EDATE(MAX(K181,L181),J181))</f>
        <v/>
      </c>
      <c r="N181" s="41" t="str">
        <f aca="false">IF(C181="","",IFERROR(INDEX(Перечень!$F$6:$F$52,MATCH(H181,Перечень!$A$6:$A$52,0)),""))</f>
        <v>-</v>
      </c>
      <c r="O181" s="40"/>
      <c r="P181" s="37" t="str">
        <f aca="false">IF(O181="","",EDATE(O181,60))</f>
        <v/>
      </c>
      <c r="Q181" s="41" t="str">
        <f aca="false">IF(AND(K181&lt;&gt;"",F181&lt;&gt;"",K181&gt;F181),"Да","")</f>
        <v/>
      </c>
      <c r="R181" s="41" t="str">
        <f aca="true">IF(C181="","",IF(M181="","Нет сведений",IF(M181&lt;TODAY(),"Просрочен",IF(M181-TODAY()&lt;=30,"Истекает","В срок"))))</f>
        <v>Нет сведений</v>
      </c>
      <c r="S181" s="41" t="str">
        <f aca="false">IF(AND(N181="Да",O181=""),"Не пройдено","")</f>
        <v/>
      </c>
    </row>
    <row r="182" customFormat="false" ht="14.25" hidden="false" customHeight="false" outlineLevel="0" collapsed="false">
      <c r="A182" s="35" t="n">
        <f aca="false">IF(C182="","",ROW()-5)</f>
        <v>177</v>
      </c>
      <c r="B182" s="36" t="s">
        <v>107</v>
      </c>
      <c r="C182" s="36" t="s">
        <v>383</v>
      </c>
      <c r="D182" s="36" t="s">
        <v>384</v>
      </c>
      <c r="E182" s="36" t="s">
        <v>372</v>
      </c>
      <c r="F182" s="37" t="n">
        <v>45952</v>
      </c>
      <c r="G182" s="38" t="str">
        <f aca="false">IF(C182="","",IF(TRIM(SUBSTITUTE(SUBSTITUTE(SUBSTITUTE(SUBSTITUTE(SUBSTITUTE(SUBSTITUTE(SUBSTITUTE(SUBSTITUTE(SUBSTITUTE(SUBSTITUTE(SUBSTITUTE(LOWER(TRIM(D182)),"ё","е"),"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категории",""))="инженер",IF(AND(ISNUMBER(SEARCH("техническ",E182)),ISNUMBER(SEARCH("контрол",E182))),"инженер отк",IF(ISNUMBER(SEARCH("диспетч",E182)),"инженер пдо",TRIM(SUBSTITUTE(SUBSTITUTE(SUBSTITUTE(SUBSTITUTE(SUBSTITUTE(SUBSTITUTE(SUBSTITUTE(SUBSTITUTE(SUBSTITUTE(SUBSTITUTE(SUBSTITUTE(LOWER(TRIM(D182)),"ё","е"),"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инженер",IF(ISNUMBER(SEARCH("диспетч",E182)),"ведущий инженер пдо",TRIM(SUBSTITUTE(SUBSTITUTE(SUBSTITUTE(SUBSTITUTE(SUBSTITUTE(SUBSTITUTE(SUBSTITUTE(SUBSTITUTE(SUBSTITUTE(SUBSTITUTE(SUBSTITUTE(LOWER(TRIM(D182)),"ё","е"),"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отк",TRIM(SUBSTITUTE(SUBSTITUTE(SUBSTITUTE(SUBSTITUTE(SUBSTITUTE(SUBSTITUTE(SUBSTITUTE(SUBSTITUTE(SUBSTITUTE(SUBSTITUTE(SUBSTITUTE(LOWER(TRIM(D182)),"ё","е")," -","-"),"- ","-")," 2 разряда","")," 3 разряда","")," 4 разряда","")," 5 разряда","")," 6 разряда","")," 1 категории","")," 2 категории","")," 3 категории",""))))))</f>
        <v>маляр</v>
      </c>
      <c r="H182" s="35" t="n">
        <f aca="false">IF(C182="","",IF(AND(G182="мастер участка",ISNUMBER(SEARCH("РЭО",E182))),29,IFERROR(INDEX(Соответствие!$B$2:$B$100,MATCH(G182,Соответствие!$A$2:$A$100,0)),"?")))</f>
        <v>36</v>
      </c>
      <c r="I182" s="39" t="str">
        <f aca="false">IF(C182="","",IFERROR(INDEX(Перечень!$C$6:$C$52,MATCH(H182,Перечень!$A$6:$A$52,0)),""))</f>
        <v>п.1.14.2, п.1.36, п.1.37.1, п.1.45.1, п.1.45.2, п.1.50, п.4.3.1, п.4.4, п.5.1, п.17</v>
      </c>
      <c r="J182" s="35" t="n">
        <f aca="false">IF(C182="","",IFERROR(INDEX(Перечень!$D$6:$D$52,MATCH(H182,Перечень!$A$6:$A$52,0)),12))</f>
        <v>12</v>
      </c>
      <c r="K182" s="40" t="n">
        <v>45945</v>
      </c>
      <c r="L182" s="40"/>
      <c r="M182" s="37" t="n">
        <f aca="false">IF(AND(K182="",L182=""),"",EDATE(MAX(K182,L182),J182))</f>
        <v>46310</v>
      </c>
      <c r="N182" s="41" t="str">
        <f aca="false">IF(C182="","",IFERROR(INDEX(Перечень!$F$6:$F$52,MATCH(H182,Перечень!$A$6:$A$52,0)),""))</f>
        <v>-</v>
      </c>
      <c r="O182" s="40"/>
      <c r="P182" s="37" t="str">
        <f aca="false">IF(O182="","",EDATE(O182,60))</f>
        <v/>
      </c>
      <c r="Q182" s="41" t="str">
        <f aca="false">IF(AND(K182&lt;&gt;"",F182&lt;&gt;"",K182&gt;F182),"Да","")</f>
        <v/>
      </c>
      <c r="R182" s="41" t="str">
        <f aca="true">IF(C182="","",IF(M182="","Нет сведений",IF(M182&lt;TODAY(),"Просрочен",IF(M182-TODAY()&lt;=30,"Истекает","В срок"))))</f>
        <v>Просрочен</v>
      </c>
      <c r="S182" s="41" t="str">
        <f aca="false">IF(AND(N182="Да",O182=""),"Не пройдено","")</f>
        <v/>
      </c>
    </row>
    <row r="183" customFormat="false" ht="14.25" hidden="false" customHeight="false" outlineLevel="0" collapsed="false">
      <c r="A183" s="35" t="n">
        <f aca="false">IF(C183="","",ROW()-5)</f>
        <v>178</v>
      </c>
      <c r="B183" s="36" t="s">
        <v>107</v>
      </c>
      <c r="C183" s="36" t="s">
        <v>385</v>
      </c>
      <c r="D183" s="36" t="s">
        <v>384</v>
      </c>
      <c r="E183" s="36" t="s">
        <v>372</v>
      </c>
      <c r="F183" s="37" t="n">
        <v>45831</v>
      </c>
      <c r="G183" s="38" t="str">
        <f aca="false">IF(C183="","",IF(TRIM(SUBSTITUTE(SUBSTITUTE(SUBSTITUTE(SUBSTITUTE(SUBSTITUTE(SUBSTITUTE(SUBSTITUTE(SUBSTITUTE(SUBSTITUTE(SUBSTITUTE(SUBSTITUTE(LOWER(TRIM(D183)),"ё","е"),"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категории",""))="инженер",IF(AND(ISNUMBER(SEARCH("техническ",E183)),ISNUMBER(SEARCH("контрол",E183))),"инженер отк",IF(ISNUMBER(SEARCH("диспетч",E183)),"инженер пдо",TRIM(SUBSTITUTE(SUBSTITUTE(SUBSTITUTE(SUBSTITUTE(SUBSTITUTE(SUBSTITUTE(SUBSTITUTE(SUBSTITUTE(SUBSTITUTE(SUBSTITUTE(SUBSTITUTE(LOWER(TRIM(D183)),"ё","е"),"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инженер",IF(ISNUMBER(SEARCH("диспетч",E183)),"ведущий инженер пдо",TRIM(SUBSTITUTE(SUBSTITUTE(SUBSTITUTE(SUBSTITUTE(SUBSTITUTE(SUBSTITUTE(SUBSTITUTE(SUBSTITUTE(SUBSTITUTE(SUBSTITUTE(SUBSTITUTE(LOWER(TRIM(D183)),"ё","е"),"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отк",TRIM(SUBSTITUTE(SUBSTITUTE(SUBSTITUTE(SUBSTITUTE(SUBSTITUTE(SUBSTITUTE(SUBSTITUTE(SUBSTITUTE(SUBSTITUTE(SUBSTITUTE(SUBSTITUTE(LOWER(TRIM(D183)),"ё","е")," -","-"),"- ","-")," 2 разряда","")," 3 разряда","")," 4 разряда","")," 5 разряда","")," 6 разряда","")," 1 категории","")," 2 категории","")," 3 категории",""))))))</f>
        <v>маляр</v>
      </c>
      <c r="H183" s="35" t="n">
        <f aca="false">IF(C183="","",IF(AND(G183="мастер участка",ISNUMBER(SEARCH("РЭО",E183))),29,IFERROR(INDEX(Соответствие!$B$2:$B$100,MATCH(G183,Соответствие!$A$2:$A$100,0)),"?")))</f>
        <v>36</v>
      </c>
      <c r="I183" s="39" t="str">
        <f aca="false">IF(C183="","",IFERROR(INDEX(Перечень!$C$6:$C$52,MATCH(H183,Перечень!$A$6:$A$52,0)),""))</f>
        <v>п.1.14.2, п.1.36, п.1.37.1, п.1.45.1, п.1.45.2, п.1.50, п.4.3.1, п.4.4, п.5.1, п.17</v>
      </c>
      <c r="J183" s="35" t="n">
        <f aca="false">IF(C183="","",IFERROR(INDEX(Перечень!$D$6:$D$52,MATCH(H183,Перечень!$A$6:$A$52,0)),12))</f>
        <v>12</v>
      </c>
      <c r="K183" s="40"/>
      <c r="L183" s="40"/>
      <c r="M183" s="37" t="str">
        <f aca="false">IF(AND(K183="",L183=""),"",EDATE(MAX(K183,L183),J183))</f>
        <v/>
      </c>
      <c r="N183" s="41" t="str">
        <f aca="false">IF(C183="","",IFERROR(INDEX(Перечень!$F$6:$F$52,MATCH(H183,Перечень!$A$6:$A$52,0)),""))</f>
        <v>-</v>
      </c>
      <c r="O183" s="40"/>
      <c r="P183" s="37" t="str">
        <f aca="false">IF(O183="","",EDATE(O183,60))</f>
        <v/>
      </c>
      <c r="Q183" s="41" t="str">
        <f aca="false">IF(AND(K183&lt;&gt;"",F183&lt;&gt;"",K183&gt;F183),"Да","")</f>
        <v/>
      </c>
      <c r="R183" s="41" t="str">
        <f aca="true">IF(C183="","",IF(M183="","Нет сведений",IF(M183&lt;TODAY(),"Просрочен",IF(M183-TODAY()&lt;=30,"Истекает","В срок"))))</f>
        <v>Нет сведений</v>
      </c>
      <c r="S183" s="41" t="str">
        <f aca="false">IF(AND(N183="Да",O183=""),"Не пройдено","")</f>
        <v/>
      </c>
    </row>
    <row r="184" customFormat="false" ht="14.25" hidden="false" customHeight="false" outlineLevel="0" collapsed="false">
      <c r="A184" s="35" t="n">
        <f aca="false">IF(C184="","",ROW()-5)</f>
        <v>179</v>
      </c>
      <c r="B184" s="36" t="s">
        <v>107</v>
      </c>
      <c r="C184" s="36" t="s">
        <v>386</v>
      </c>
      <c r="D184" s="36" t="s">
        <v>387</v>
      </c>
      <c r="E184" s="36" t="s">
        <v>372</v>
      </c>
      <c r="F184" s="37" t="n">
        <v>46080</v>
      </c>
      <c r="G184" s="38" t="str">
        <f aca="false">IF(C184="","",IF(TRIM(SUBSTITUTE(SUBSTITUTE(SUBSTITUTE(SUBSTITUTE(SUBSTITUTE(SUBSTITUTE(SUBSTITUTE(SUBSTITUTE(SUBSTITUTE(SUBSTITUTE(SUBSTITUTE(LOWER(TRIM(D184)),"ё","е"),"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категории",""))="инженер",IF(AND(ISNUMBER(SEARCH("техническ",E184)),ISNUMBER(SEARCH("контрол",E184))),"инженер отк",IF(ISNUMBER(SEARCH("диспетч",E184)),"инженер пдо",TRIM(SUBSTITUTE(SUBSTITUTE(SUBSTITUTE(SUBSTITUTE(SUBSTITUTE(SUBSTITUTE(SUBSTITUTE(SUBSTITUTE(SUBSTITUTE(SUBSTITUTE(SUBSTITUTE(LOWER(TRIM(D184)),"ё","е"),"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инженер",IF(ISNUMBER(SEARCH("диспетч",E184)),"ведущий инженер пдо",TRIM(SUBSTITUTE(SUBSTITUTE(SUBSTITUTE(SUBSTITUTE(SUBSTITUTE(SUBSTITUTE(SUBSTITUTE(SUBSTITUTE(SUBSTITUTE(SUBSTITUTE(SUBSTITUTE(LOWER(TRIM(D184)),"ё","е"),"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отк",TRIM(SUBSTITUTE(SUBSTITUTE(SUBSTITUTE(SUBSTITUTE(SUBSTITUTE(SUBSTITUTE(SUBSTITUTE(SUBSTITUTE(SUBSTITUTE(SUBSTITUTE(SUBSTITUTE(LOWER(TRIM(D184)),"ё","е")," -","-"),"- ","-")," 2 разряда","")," 3 разряда","")," 4 разряда","")," 5 разряда","")," 6 разряда","")," 1 категории","")," 2 категории","")," 3 категории",""))))))</f>
        <v>техник</v>
      </c>
      <c r="H184" s="35" t="n">
        <f aca="false">IF(C184="","",IF(AND(G184="мастер участка",ISNUMBER(SEARCH("РЭО",E184))),29,IFERROR(INDEX(Соответствие!$B$2:$B$100,MATCH(G184,Соответствие!$A$2:$A$100,0)),"?")))</f>
        <v>36</v>
      </c>
      <c r="I184" s="39" t="str">
        <f aca="false">IF(C184="","",IFERROR(INDEX(Перечень!$C$6:$C$52,MATCH(H184,Перечень!$A$6:$A$52,0)),""))</f>
        <v>п.1.14.2, п.1.36, п.1.37.1, п.1.45.1, п.1.45.2, п.1.50, п.4.3.1, п.4.4, п.5.1, п.17</v>
      </c>
      <c r="J184" s="35" t="n">
        <f aca="false">IF(C184="","",IFERROR(INDEX(Перечень!$D$6:$D$52,MATCH(H184,Перечень!$A$6:$A$52,0)),12))</f>
        <v>12</v>
      </c>
      <c r="K184" s="40"/>
      <c r="L184" s="40"/>
      <c r="M184" s="37" t="str">
        <f aca="false">IF(AND(K184="",L184=""),"",EDATE(MAX(K184,L184),J184))</f>
        <v/>
      </c>
      <c r="N184" s="41" t="str">
        <f aca="false">IF(C184="","",IFERROR(INDEX(Перечень!$F$6:$F$52,MATCH(H184,Перечень!$A$6:$A$52,0)),""))</f>
        <v>-</v>
      </c>
      <c r="O184" s="40"/>
      <c r="P184" s="37" t="str">
        <f aca="false">IF(O184="","",EDATE(O184,60))</f>
        <v/>
      </c>
      <c r="Q184" s="41" t="str">
        <f aca="false">IF(AND(K184&lt;&gt;"",F184&lt;&gt;"",K184&gt;F184),"Да","")</f>
        <v/>
      </c>
      <c r="R184" s="41" t="str">
        <f aca="true">IF(C184="","",IF(M184="","Нет сведений",IF(M184&lt;TODAY(),"Просрочен",IF(M184-TODAY()&lt;=30,"Истекает","В срок"))))</f>
        <v>Нет сведений</v>
      </c>
      <c r="S184" s="41" t="str">
        <f aca="false">IF(AND(N184="Да",O184=""),"Не пройдено","")</f>
        <v/>
      </c>
    </row>
    <row r="185" customFormat="false" ht="14.25" hidden="false" customHeight="false" outlineLevel="0" collapsed="false">
      <c r="A185" s="35" t="n">
        <f aca="false">IF(C185="","",ROW()-5)</f>
        <v>180</v>
      </c>
      <c r="B185" s="36" t="s">
        <v>107</v>
      </c>
      <c r="C185" s="36" t="s">
        <v>388</v>
      </c>
      <c r="D185" s="36" t="s">
        <v>379</v>
      </c>
      <c r="E185" s="36" t="s">
        <v>372</v>
      </c>
      <c r="F185" s="37" t="n">
        <v>40819</v>
      </c>
      <c r="G185" s="38" t="str">
        <f aca="false">IF(C185="","",IF(TRIM(SUBSTITUTE(SUBSTITUTE(SUBSTITUTE(SUBSTITUTE(SUBSTITUTE(SUBSTITUTE(SUBSTITUTE(SUBSTITUTE(SUBSTITUTE(SUBSTITUTE(SUBSTITUTE(LOWER(TRIM(D185)),"ё","е"),"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категории",""))="инженер",IF(AND(ISNUMBER(SEARCH("техническ",E185)),ISNUMBER(SEARCH("контрол",E185))),"инженер отк",IF(ISNUMBER(SEARCH("диспетч",E185)),"инженер пдо",TRIM(SUBSTITUTE(SUBSTITUTE(SUBSTITUTE(SUBSTITUTE(SUBSTITUTE(SUBSTITUTE(SUBSTITUTE(SUBSTITUTE(SUBSTITUTE(SUBSTITUTE(SUBSTITUTE(LOWER(TRIM(D185)),"ё","е"),"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инженер",IF(ISNUMBER(SEARCH("диспетч",E185)),"ведущий инженер пдо",TRIM(SUBSTITUTE(SUBSTITUTE(SUBSTITUTE(SUBSTITUTE(SUBSTITUTE(SUBSTITUTE(SUBSTITUTE(SUBSTITUTE(SUBSTITUTE(SUBSTITUTE(SUBSTITUTE(LOWER(TRIM(D185)),"ё","е"),"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отк",TRIM(SUBSTITUTE(SUBSTITUTE(SUBSTITUTE(SUBSTITUTE(SUBSTITUTE(SUBSTITUTE(SUBSTITUTE(SUBSTITUTE(SUBSTITUTE(SUBSTITUTE(SUBSTITUTE(LOWER(TRIM(D185)),"ё","е")," -","-"),"- ","-")," 2 разряда","")," 3 разряда","")," 4 разряда","")," 5 разряда","")," 6 разряда","")," 1 категории","")," 2 категории","")," 3 категории",""))))))</f>
        <v>техник</v>
      </c>
      <c r="H185" s="35" t="n">
        <f aca="false">IF(C185="","",IF(AND(G185="мастер участка",ISNUMBER(SEARCH("РЭО",E185))),29,IFERROR(INDEX(Соответствие!$B$2:$B$100,MATCH(G185,Соответствие!$A$2:$A$100,0)),"?")))</f>
        <v>36</v>
      </c>
      <c r="I185" s="39" t="str">
        <f aca="false">IF(C185="","",IFERROR(INDEX(Перечень!$C$6:$C$52,MATCH(H185,Перечень!$A$6:$A$52,0)),""))</f>
        <v>п.1.14.2, п.1.36, п.1.37.1, п.1.45.1, п.1.45.2, п.1.50, п.4.3.1, п.4.4, п.5.1, п.17</v>
      </c>
      <c r="J185" s="35" t="n">
        <f aca="false">IF(C185="","",IFERROR(INDEX(Перечень!$D$6:$D$52,MATCH(H185,Перечень!$A$6:$A$52,0)),12))</f>
        <v>12</v>
      </c>
      <c r="K185" s="40"/>
      <c r="L185" s="40"/>
      <c r="M185" s="37" t="str">
        <f aca="false">IF(AND(K185="",L185=""),"",EDATE(MAX(K185,L185),J185))</f>
        <v/>
      </c>
      <c r="N185" s="41" t="str">
        <f aca="false">IF(C185="","",IFERROR(INDEX(Перечень!$F$6:$F$52,MATCH(H185,Перечень!$A$6:$A$52,0)),""))</f>
        <v>-</v>
      </c>
      <c r="O185" s="40"/>
      <c r="P185" s="37" t="str">
        <f aca="false">IF(O185="","",EDATE(O185,60))</f>
        <v/>
      </c>
      <c r="Q185" s="41" t="str">
        <f aca="false">IF(AND(K185&lt;&gt;"",F185&lt;&gt;"",K185&gt;F185),"Да","")</f>
        <v/>
      </c>
      <c r="R185" s="41" t="str">
        <f aca="true">IF(C185="","",IF(M185="","Нет сведений",IF(M185&lt;TODAY(),"Просрочен",IF(M185-TODAY()&lt;=30,"Истекает","В срок"))))</f>
        <v>Нет сведений</v>
      </c>
      <c r="S185" s="41" t="str">
        <f aca="false">IF(AND(N185="Да",O185=""),"Не пройдено","")</f>
        <v/>
      </c>
    </row>
    <row r="186" customFormat="false" ht="14.25" hidden="false" customHeight="false" outlineLevel="0" collapsed="false">
      <c r="A186" s="35" t="n">
        <f aca="false">IF(C186="","",ROW()-5)</f>
        <v>181</v>
      </c>
      <c r="B186" s="36" t="s">
        <v>107</v>
      </c>
      <c r="C186" s="36" t="s">
        <v>389</v>
      </c>
      <c r="D186" s="36" t="s">
        <v>379</v>
      </c>
      <c r="E186" s="36" t="s">
        <v>372</v>
      </c>
      <c r="F186" s="37" t="n">
        <v>39420</v>
      </c>
      <c r="G186" s="38" t="str">
        <f aca="false">IF(C186="","",IF(TRIM(SUBSTITUTE(SUBSTITUTE(SUBSTITUTE(SUBSTITUTE(SUBSTITUTE(SUBSTITUTE(SUBSTITUTE(SUBSTITUTE(SUBSTITUTE(SUBSTITUTE(SUBSTITUTE(LOWER(TRIM(D186)),"ё","е"),"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категории",""))="инженер",IF(AND(ISNUMBER(SEARCH("техническ",E186)),ISNUMBER(SEARCH("контрол",E186))),"инженер отк",IF(ISNUMBER(SEARCH("диспетч",E186)),"инженер пдо",TRIM(SUBSTITUTE(SUBSTITUTE(SUBSTITUTE(SUBSTITUTE(SUBSTITUTE(SUBSTITUTE(SUBSTITUTE(SUBSTITUTE(SUBSTITUTE(SUBSTITUTE(SUBSTITUTE(LOWER(TRIM(D186)),"ё","е"),"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инженер",IF(ISNUMBER(SEARCH("диспетч",E186)),"ведущий инженер пдо",TRIM(SUBSTITUTE(SUBSTITUTE(SUBSTITUTE(SUBSTITUTE(SUBSTITUTE(SUBSTITUTE(SUBSTITUTE(SUBSTITUTE(SUBSTITUTE(SUBSTITUTE(SUBSTITUTE(LOWER(TRIM(D186)),"ё","е"),"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отк",TRIM(SUBSTITUTE(SUBSTITUTE(SUBSTITUTE(SUBSTITUTE(SUBSTITUTE(SUBSTITUTE(SUBSTITUTE(SUBSTITUTE(SUBSTITUTE(SUBSTITUTE(SUBSTITUTE(LOWER(TRIM(D186)),"ё","е")," -","-"),"- ","-")," 2 разряда","")," 3 разряда","")," 4 разряда","")," 5 разряда","")," 6 разряда","")," 1 категории","")," 2 категории","")," 3 категории",""))))))</f>
        <v>техник</v>
      </c>
      <c r="H186" s="35" t="n">
        <f aca="false">IF(C186="","",IF(AND(G186="мастер участка",ISNUMBER(SEARCH("РЭО",E186))),29,IFERROR(INDEX(Соответствие!$B$2:$B$100,MATCH(G186,Соответствие!$A$2:$A$100,0)),"?")))</f>
        <v>36</v>
      </c>
      <c r="I186" s="39" t="str">
        <f aca="false">IF(C186="","",IFERROR(INDEX(Перечень!$C$6:$C$52,MATCH(H186,Перечень!$A$6:$A$52,0)),""))</f>
        <v>п.1.14.2, п.1.36, п.1.37.1, п.1.45.1, п.1.45.2, п.1.50, п.4.3.1, п.4.4, п.5.1, п.17</v>
      </c>
      <c r="J186" s="35" t="n">
        <f aca="false">IF(C186="","",IFERROR(INDEX(Перечень!$D$6:$D$52,MATCH(H186,Перечень!$A$6:$A$52,0)),12))</f>
        <v>12</v>
      </c>
      <c r="K186" s="40"/>
      <c r="L186" s="40"/>
      <c r="M186" s="37" t="str">
        <f aca="false">IF(AND(K186="",L186=""),"",EDATE(MAX(K186,L186),J186))</f>
        <v/>
      </c>
      <c r="N186" s="41" t="str">
        <f aca="false">IF(C186="","",IFERROR(INDEX(Перечень!$F$6:$F$52,MATCH(H186,Перечень!$A$6:$A$52,0)),""))</f>
        <v>-</v>
      </c>
      <c r="O186" s="40"/>
      <c r="P186" s="37" t="str">
        <f aca="false">IF(O186="","",EDATE(O186,60))</f>
        <v/>
      </c>
      <c r="Q186" s="41" t="str">
        <f aca="false">IF(AND(K186&lt;&gt;"",F186&lt;&gt;"",K186&gt;F186),"Да","")</f>
        <v/>
      </c>
      <c r="R186" s="41" t="str">
        <f aca="true">IF(C186="","",IF(M186="","Нет сведений",IF(M186&lt;TODAY(),"Просрочен",IF(M186-TODAY()&lt;=30,"Истекает","В срок"))))</f>
        <v>Нет сведений</v>
      </c>
      <c r="S186" s="41" t="str">
        <f aca="false">IF(AND(N186="Да",O186=""),"Не пройдено","")</f>
        <v/>
      </c>
    </row>
    <row r="187" customFormat="false" ht="14.25" hidden="false" customHeight="false" outlineLevel="0" collapsed="false">
      <c r="A187" s="35" t="n">
        <f aca="false">IF(C187="","",ROW()-5)</f>
        <v>182</v>
      </c>
      <c r="B187" s="36" t="s">
        <v>107</v>
      </c>
      <c r="C187" s="36" t="s">
        <v>390</v>
      </c>
      <c r="D187" s="36" t="s">
        <v>379</v>
      </c>
      <c r="E187" s="36" t="s">
        <v>372</v>
      </c>
      <c r="F187" s="37" t="n">
        <v>44482</v>
      </c>
      <c r="G187" s="38" t="str">
        <f aca="false">IF(C187="","",IF(TRIM(SUBSTITUTE(SUBSTITUTE(SUBSTITUTE(SUBSTITUTE(SUBSTITUTE(SUBSTITUTE(SUBSTITUTE(SUBSTITUTE(SUBSTITUTE(SUBSTITUTE(SUBSTITUTE(LOWER(TRIM(D187)),"ё","е"),"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категории",""))="инженер",IF(AND(ISNUMBER(SEARCH("техническ",E187)),ISNUMBER(SEARCH("контрол",E187))),"инженер отк",IF(ISNUMBER(SEARCH("диспетч",E187)),"инженер пдо",TRIM(SUBSTITUTE(SUBSTITUTE(SUBSTITUTE(SUBSTITUTE(SUBSTITUTE(SUBSTITUTE(SUBSTITUTE(SUBSTITUTE(SUBSTITUTE(SUBSTITUTE(SUBSTITUTE(LOWER(TRIM(D187)),"ё","е"),"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инженер",IF(ISNUMBER(SEARCH("диспетч",E187)),"ведущий инженер пдо",TRIM(SUBSTITUTE(SUBSTITUTE(SUBSTITUTE(SUBSTITUTE(SUBSTITUTE(SUBSTITUTE(SUBSTITUTE(SUBSTITUTE(SUBSTITUTE(SUBSTITUTE(SUBSTITUTE(LOWER(TRIM(D187)),"ё","е"),"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отк",TRIM(SUBSTITUTE(SUBSTITUTE(SUBSTITUTE(SUBSTITUTE(SUBSTITUTE(SUBSTITUTE(SUBSTITUTE(SUBSTITUTE(SUBSTITUTE(SUBSTITUTE(SUBSTITUTE(LOWER(TRIM(D187)),"ё","е")," -","-"),"- ","-")," 2 разряда","")," 3 разряда","")," 4 разряда","")," 5 разряда","")," 6 разряда","")," 1 категории","")," 2 категории","")," 3 категории",""))))))</f>
        <v>техник</v>
      </c>
      <c r="H187" s="35" t="n">
        <f aca="false">IF(C187="","",IF(AND(G187="мастер участка",ISNUMBER(SEARCH("РЭО",E187))),29,IFERROR(INDEX(Соответствие!$B$2:$B$100,MATCH(G187,Соответствие!$A$2:$A$100,0)),"?")))</f>
        <v>36</v>
      </c>
      <c r="I187" s="39" t="str">
        <f aca="false">IF(C187="","",IFERROR(INDEX(Перечень!$C$6:$C$52,MATCH(H187,Перечень!$A$6:$A$52,0)),""))</f>
        <v>п.1.14.2, п.1.36, п.1.37.1, п.1.45.1, п.1.45.2, п.1.50, п.4.3.1, п.4.4, п.5.1, п.17</v>
      </c>
      <c r="J187" s="35" t="n">
        <f aca="false">IF(C187="","",IFERROR(INDEX(Перечень!$D$6:$D$52,MATCH(H187,Перечень!$A$6:$A$52,0)),12))</f>
        <v>12</v>
      </c>
      <c r="K187" s="40"/>
      <c r="L187" s="40"/>
      <c r="M187" s="37" t="str">
        <f aca="false">IF(AND(K187="",L187=""),"",EDATE(MAX(K187,L187),J187))</f>
        <v/>
      </c>
      <c r="N187" s="41" t="str">
        <f aca="false">IF(C187="","",IFERROR(INDEX(Перечень!$F$6:$F$52,MATCH(H187,Перечень!$A$6:$A$52,0)),""))</f>
        <v>-</v>
      </c>
      <c r="O187" s="40"/>
      <c r="P187" s="37" t="str">
        <f aca="false">IF(O187="","",EDATE(O187,60))</f>
        <v/>
      </c>
      <c r="Q187" s="41" t="str">
        <f aca="false">IF(AND(K187&lt;&gt;"",F187&lt;&gt;"",K187&gt;F187),"Да","")</f>
        <v/>
      </c>
      <c r="R187" s="41" t="str">
        <f aca="true">IF(C187="","",IF(M187="","Нет сведений",IF(M187&lt;TODAY(),"Просрочен",IF(M187-TODAY()&lt;=30,"Истекает","В срок"))))</f>
        <v>Нет сведений</v>
      </c>
      <c r="S187" s="41" t="str">
        <f aca="false">IF(AND(N187="Да",O187=""),"Не пройдено","")</f>
        <v/>
      </c>
    </row>
    <row r="188" customFormat="false" ht="14.25" hidden="false" customHeight="false" outlineLevel="0" collapsed="false">
      <c r="A188" s="35" t="n">
        <f aca="false">IF(C188="","",ROW()-5)</f>
        <v>183</v>
      </c>
      <c r="B188" s="36" t="s">
        <v>107</v>
      </c>
      <c r="C188" s="36" t="s">
        <v>391</v>
      </c>
      <c r="D188" s="36" t="s">
        <v>392</v>
      </c>
      <c r="E188" s="36" t="s">
        <v>372</v>
      </c>
      <c r="F188" s="37" t="n">
        <v>45754</v>
      </c>
      <c r="G188" s="38" t="str">
        <f aca="false">IF(C188="","",IF(TRIM(SUBSTITUTE(SUBSTITUTE(SUBSTITUTE(SUBSTITUTE(SUBSTITUTE(SUBSTITUTE(SUBSTITUTE(SUBSTITUTE(SUBSTITUTE(SUBSTITUTE(SUBSTITUTE(LOWER(TRIM(D188)),"ё","е"),"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категории",""))="инженер",IF(AND(ISNUMBER(SEARCH("техническ",E188)),ISNUMBER(SEARCH("контрол",E188))),"инженер отк",IF(ISNUMBER(SEARCH("диспетч",E188)),"инженер пдо",TRIM(SUBSTITUTE(SUBSTITUTE(SUBSTITUTE(SUBSTITUTE(SUBSTITUTE(SUBSTITUTE(SUBSTITUTE(SUBSTITUTE(SUBSTITUTE(SUBSTITUTE(SUBSTITUTE(LOWER(TRIM(D188)),"ё","е"),"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инженер",IF(ISNUMBER(SEARCH("диспетч",E188)),"ведущий инженер пдо",TRIM(SUBSTITUTE(SUBSTITUTE(SUBSTITUTE(SUBSTITUTE(SUBSTITUTE(SUBSTITUTE(SUBSTITUTE(SUBSTITUTE(SUBSTITUTE(SUBSTITUTE(SUBSTITUTE(LOWER(TRIM(D188)),"ё","е"),"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отк",TRIM(SUBSTITUTE(SUBSTITUTE(SUBSTITUTE(SUBSTITUTE(SUBSTITUTE(SUBSTITUTE(SUBSTITUTE(SUBSTITUTE(SUBSTITUTE(SUBSTITUTE(SUBSTITUTE(LOWER(TRIM(D188)),"ё","е")," -","-"),"- ","-")," 2 разряда","")," 3 разряда","")," 4 разряда","")," 5 разряда","")," 6 разряда","")," 1 категории","")," 2 категории","")," 3 категории",""))))))</f>
        <v>техник</v>
      </c>
      <c r="H188" s="35" t="n">
        <f aca="false">IF(C188="","",IF(AND(G188="мастер участка",ISNUMBER(SEARCH("РЭО",E188))),29,IFERROR(INDEX(Соответствие!$B$2:$B$100,MATCH(G188,Соответствие!$A$2:$A$100,0)),"?")))</f>
        <v>36</v>
      </c>
      <c r="I188" s="39" t="str">
        <f aca="false">IF(C188="","",IFERROR(INDEX(Перечень!$C$6:$C$52,MATCH(H188,Перечень!$A$6:$A$52,0)),""))</f>
        <v>п.1.14.2, п.1.36, п.1.37.1, п.1.45.1, п.1.45.2, п.1.50, п.4.3.1, п.4.4, п.5.1, п.17</v>
      </c>
      <c r="J188" s="35" t="n">
        <f aca="false">IF(C188="","",IFERROR(INDEX(Перечень!$D$6:$D$52,MATCH(H188,Перечень!$A$6:$A$52,0)),12))</f>
        <v>12</v>
      </c>
      <c r="K188" s="40"/>
      <c r="L188" s="40"/>
      <c r="M188" s="37" t="str">
        <f aca="false">IF(AND(K188="",L188=""),"",EDATE(MAX(K188,L188),J188))</f>
        <v/>
      </c>
      <c r="N188" s="41" t="str">
        <f aca="false">IF(C188="","",IFERROR(INDEX(Перечень!$F$6:$F$52,MATCH(H188,Перечень!$A$6:$A$52,0)),""))</f>
        <v>-</v>
      </c>
      <c r="O188" s="40"/>
      <c r="P188" s="37" t="str">
        <f aca="false">IF(O188="","",EDATE(O188,60))</f>
        <v/>
      </c>
      <c r="Q188" s="41" t="str">
        <f aca="false">IF(AND(K188&lt;&gt;"",F188&lt;&gt;"",K188&gt;F188),"Да","")</f>
        <v/>
      </c>
      <c r="R188" s="41" t="str">
        <f aca="true">IF(C188="","",IF(M188="","Нет сведений",IF(M188&lt;TODAY(),"Просрочен",IF(M188-TODAY()&lt;=30,"Истекает","В срок"))))</f>
        <v>Нет сведений</v>
      </c>
      <c r="S188" s="41" t="str">
        <f aca="false">IF(AND(N188="Да",O188=""),"Не пройдено","")</f>
        <v/>
      </c>
    </row>
    <row r="189" customFormat="false" ht="14.25" hidden="false" customHeight="false" outlineLevel="0" collapsed="false">
      <c r="A189" s="35" t="n">
        <f aca="false">IF(C189="","",ROW()-5)</f>
        <v>184</v>
      </c>
      <c r="B189" s="36" t="s">
        <v>107</v>
      </c>
      <c r="C189" s="36" t="s">
        <v>393</v>
      </c>
      <c r="D189" s="36" t="s">
        <v>392</v>
      </c>
      <c r="E189" s="36" t="s">
        <v>372</v>
      </c>
      <c r="F189" s="37" t="n">
        <v>46136</v>
      </c>
      <c r="G189" s="38" t="str">
        <f aca="false">IF(C189="","",IF(TRIM(SUBSTITUTE(SUBSTITUTE(SUBSTITUTE(SUBSTITUTE(SUBSTITUTE(SUBSTITUTE(SUBSTITUTE(SUBSTITUTE(SUBSTITUTE(SUBSTITUTE(SUBSTITUTE(LOWER(TRIM(D189)),"ё","е"),"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категории",""))="инженер",IF(AND(ISNUMBER(SEARCH("техническ",E189)),ISNUMBER(SEARCH("контрол",E189))),"инженер отк",IF(ISNUMBER(SEARCH("диспетч",E189)),"инженер пдо",TRIM(SUBSTITUTE(SUBSTITUTE(SUBSTITUTE(SUBSTITUTE(SUBSTITUTE(SUBSTITUTE(SUBSTITUTE(SUBSTITUTE(SUBSTITUTE(SUBSTITUTE(SUBSTITUTE(LOWER(TRIM(D189)),"ё","е"),"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категории","")))),IF(TRIM(SUBSTITUTE(SUBSTITUTE(SUBSTITUTE(SUBSTITUTE(SUBSTITUTE(SUBSTITUTE(SUBSTITUTE(SUBSTITUTE(SUBSTITUTE(SUBSTITUTE(SUBSTITUTE(LOWER(TRIM(D189)),"ё","е"),"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инженер",IF(ISNUMBER(SEARCH("диспетч",E189)),"ведущий инженер пдо",TRIM(SUBSTITUTE(SUBSTITUTE(SUBSTITUTE(SUBSTITUTE(SUBSTITUTE(SUBSTITUTE(SUBSTITUTE(SUBSTITUTE(SUBSTITUTE(SUBSTITUTE(SUBSTITUTE(LOWER(TRIM(D189)),"ё","е"),"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категории",""))),IF(TRIM(SUBSTITUTE(SUBSTITUTE(SUBSTITUTE(SUBSTITUTE(SUBSTITUTE(SUBSTITUTE(SUBSTITUTE(SUBSTITUTE(SUBSTITUTE(SUBSTITUTE(SUBSTITUTE(LOWER(TRIM(D189)),"ё","е"),"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отк",TRIM(SUBSTITUTE(SUBSTITUTE(SUBSTITUTE(SUBSTITUTE(SUBSTITUTE(SUBSTITUTE(SUBSTITUTE(SUBSTITUTE(SUBSTITUTE(SUBSTITUTE(SUBSTITUTE(LOWER(TRIM(D189)),"ё","е")," -","-"),"- ","-")," 2 разряда","")," 3 разряда","")," 4 разряда","")," 5 разряда","")," 6 разряда","")," 1 категории","")," 2 категории","")," 3 категории",""))))))</f>
        <v>техник</v>
      </c>
      <c r="H189" s="35" t="n">
        <f aca="false">IF(C189="","",IF(AND(G189="мастер участка",ISNUMBER(SEARCH("РЭО",E189))),29,IFERROR(INDEX(Соответствие!$B$2:$B$100,MATCH(G189,Соответствие!$A$2:$A$100,0)),"?")))</f>
        <v>36</v>
      </c>
      <c r="I189" s="39" t="str">
        <f aca="false">IF(C189="","",IFERROR(INDEX(Перечень!$C$6:$C$52,MATCH(H189,Перечень!$A$6:$A$52,0)),""))</f>
        <v>п.1.14.2, п.1.36, п.1.37.1, п.1.45.1, п.1.45.2, п.1.50, п.4.3.1, п.4.4, п.5.1, п.17</v>
      </c>
      <c r="J189" s="35" t="n">
        <f aca="false">IF(C189="","",IFERROR(INDEX(Перечень!$D$6:$D$52,MATCH(H189,Перечень!$A$6:$A$52,0)),12))</f>
        <v>12</v>
      </c>
      <c r="K189" s="40"/>
      <c r="L189" s="40"/>
      <c r="M189" s="37" t="str">
        <f aca="false">IF(AND(K189="",L189=""),"",EDATE(MAX(K189,L189),J189))</f>
        <v/>
      </c>
      <c r="N189" s="41" t="str">
        <f aca="false">IF(C189="","",IFERROR(INDEX(Перечень!$F$6:$F$52,MATCH(H189,Перечень!$A$6:$A$52,0)),""))</f>
        <v>-</v>
      </c>
      <c r="O189" s="40"/>
      <c r="P189" s="37" t="str">
        <f aca="false">IF(O189="","",EDATE(O189,60))</f>
        <v/>
      </c>
      <c r="Q189" s="41" t="str">
        <f aca="false">IF(AND(K189&lt;&gt;"",F189&lt;&gt;"",K189&gt;F189),"Да","")</f>
        <v/>
      </c>
      <c r="R189" s="41" t="str">
        <f aca="true">IF(C189="","",IF(M189="","Нет сведений",IF(M189&lt;TODAY(),"Просрочен",IF(M189-TODAY()&lt;=30,"Истекает","В срок"))))</f>
        <v>Нет сведений</v>
      </c>
      <c r="S189" s="41" t="str">
        <f aca="false">IF(AND(N189="Да",O189=""),"Не пройдено","")</f>
        <v/>
      </c>
    </row>
    <row r="190" customFormat="false" ht="14.25" hidden="false" customHeight="false" outlineLevel="0" collapsed="false">
      <c r="A190" s="35" t="n">
        <f aca="false">IF(C190="","",ROW()-5)</f>
        <v>185</v>
      </c>
      <c r="B190" s="36" t="s">
        <v>107</v>
      </c>
      <c r="C190" s="36" t="s">
        <v>394</v>
      </c>
      <c r="D190" s="36" t="s">
        <v>395</v>
      </c>
      <c r="E190" s="36" t="s">
        <v>372</v>
      </c>
      <c r="F190" s="37" t="n">
        <v>46162</v>
      </c>
      <c r="G190" s="38" t="str">
        <f aca="false">IF(C190="","",IF(TRIM(SUBSTITUTE(SUBSTITUTE(SUBSTITUTE(SUBSTITUTE(SUBSTITUTE(SUBSTITUTE(SUBSTITUTE(SUBSTITUTE(SUBSTITUTE(SUBSTITUTE(SUBSTITUTE(LOWER(TRIM(D190)),"ё","е"),"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категории",""))="инженер",IF(AND(ISNUMBER(SEARCH("техническ",E190)),ISNUMBER(SEARCH("контрол",E190))),"инженер отк",IF(ISNUMBER(SEARCH("диспетч",E190)),"инженер пдо",TRIM(SUBSTITUTE(SUBSTITUTE(SUBSTITUTE(SUBSTITUTE(SUBSTITUTE(SUBSTITUTE(SUBSTITUTE(SUBSTITUTE(SUBSTITUTE(SUBSTITUTE(SUBSTITUTE(LOWER(TRIM(D190)),"ё","е"),"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инженер",IF(ISNUMBER(SEARCH("диспетч",E190)),"ведущий инженер пдо",TRIM(SUBSTITUTE(SUBSTITUTE(SUBSTITUTE(SUBSTITUTE(SUBSTITUTE(SUBSTITUTE(SUBSTITUTE(SUBSTITUTE(SUBSTITUTE(SUBSTITUTE(SUBSTITUTE(LOWER(TRIM(D190)),"ё","е"),"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отк",TRIM(SUBSTITUTE(SUBSTITUTE(SUBSTITUTE(SUBSTITUTE(SUBSTITUTE(SUBSTITUTE(SUBSTITUTE(SUBSTITUTE(SUBSTITUTE(SUBSTITUTE(SUBSTITUTE(LOWER(TRIM(D190)),"ё","е")," -","-"),"- ","-")," 2 разряда","")," 3 разряда","")," 4 разряда","")," 5 разряда","")," 6 разряда","")," 1 категории","")," 2 категории","")," 3 категории",""))))))</f>
        <v>техник</v>
      </c>
      <c r="H190" s="35" t="n">
        <f aca="false">IF(C190="","",IF(AND(G190="мастер участка",ISNUMBER(SEARCH("РЭО",E190))),29,IFERROR(INDEX(Соответствие!$B$2:$B$100,MATCH(G190,Соответствие!$A$2:$A$100,0)),"?")))</f>
        <v>36</v>
      </c>
      <c r="I190" s="39" t="str">
        <f aca="false">IF(C190="","",IFERROR(INDEX(Перечень!$C$6:$C$52,MATCH(H190,Перечень!$A$6:$A$52,0)),""))</f>
        <v>п.1.14.2, п.1.36, п.1.37.1, п.1.45.1, п.1.45.2, п.1.50, п.4.3.1, п.4.4, п.5.1, п.17</v>
      </c>
      <c r="J190" s="35" t="n">
        <f aca="false">IF(C190="","",IFERROR(INDEX(Перечень!$D$6:$D$52,MATCH(H190,Перечень!$A$6:$A$52,0)),12))</f>
        <v>12</v>
      </c>
      <c r="K190" s="40" t="n">
        <v>46157</v>
      </c>
      <c r="L190" s="40"/>
      <c r="M190" s="37" t="n">
        <f aca="false">IF(AND(K190="",L190=""),"",EDATE(MAX(K190,L190),J190))</f>
        <v>46522</v>
      </c>
      <c r="N190" s="41" t="str">
        <f aca="false">IF(C190="","",IFERROR(INDEX(Перечень!$F$6:$F$52,MATCH(H190,Перечень!$A$6:$A$52,0)),""))</f>
        <v>-</v>
      </c>
      <c r="O190" s="40"/>
      <c r="P190" s="37" t="str">
        <f aca="false">IF(O190="","",EDATE(O190,60))</f>
        <v/>
      </c>
      <c r="Q190" s="41" t="str">
        <f aca="false">IF(AND(K190&lt;&gt;"",F190&lt;&gt;"",K190&gt;F190),"Да","")</f>
        <v/>
      </c>
      <c r="R190" s="41" t="str">
        <f aca="true">IF(C190="","",IF(M190="","Нет сведений",IF(M190&lt;TODAY(),"Просрочен",IF(M190-TODAY()&lt;=30,"Истекает","В срок"))))</f>
        <v>В срок</v>
      </c>
      <c r="S190" s="41" t="str">
        <f aca="false">IF(AND(N190="Да",O190=""),"Не пройдено","")</f>
        <v/>
      </c>
    </row>
    <row r="191" customFormat="false" ht="14.25" hidden="false" customHeight="false" outlineLevel="0" collapsed="false">
      <c r="A191" s="35" t="n">
        <f aca="false">IF(C191="","",ROW()-5)</f>
        <v>186</v>
      </c>
      <c r="B191" s="36" t="s">
        <v>107</v>
      </c>
      <c r="C191" s="36" t="s">
        <v>396</v>
      </c>
      <c r="D191" s="36" t="s">
        <v>395</v>
      </c>
      <c r="E191" s="36" t="s">
        <v>372</v>
      </c>
      <c r="F191" s="37" t="n">
        <v>45972</v>
      </c>
      <c r="G191" s="38" t="str">
        <f aca="false">IF(C191="","",IF(TRIM(SUBSTITUTE(SUBSTITUTE(SUBSTITUTE(SUBSTITUTE(SUBSTITUTE(SUBSTITUTE(SUBSTITUTE(SUBSTITUTE(SUBSTITUTE(SUBSTITUTE(SUBSTITUTE(LOWER(TRIM(D191)),"ё","е"),"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категории",""))="инженер",IF(AND(ISNUMBER(SEARCH("техническ",E191)),ISNUMBER(SEARCH("контрол",E191))),"инженер отк",IF(ISNUMBER(SEARCH("диспетч",E191)),"инженер пдо",TRIM(SUBSTITUTE(SUBSTITUTE(SUBSTITUTE(SUBSTITUTE(SUBSTITUTE(SUBSTITUTE(SUBSTITUTE(SUBSTITUTE(SUBSTITUTE(SUBSTITUTE(SUBSTITUTE(LOWER(TRIM(D191)),"ё","е"),"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инженер",IF(ISNUMBER(SEARCH("диспетч",E191)),"ведущий инженер пдо",TRIM(SUBSTITUTE(SUBSTITUTE(SUBSTITUTE(SUBSTITUTE(SUBSTITUTE(SUBSTITUTE(SUBSTITUTE(SUBSTITUTE(SUBSTITUTE(SUBSTITUTE(SUBSTITUTE(LOWER(TRIM(D191)),"ё","е"),"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отк",TRIM(SUBSTITUTE(SUBSTITUTE(SUBSTITUTE(SUBSTITUTE(SUBSTITUTE(SUBSTITUTE(SUBSTITUTE(SUBSTITUTE(SUBSTITUTE(SUBSTITUTE(SUBSTITUTE(LOWER(TRIM(D191)),"ё","е")," -","-"),"- ","-")," 2 разряда","")," 3 разряда","")," 4 разряда","")," 5 разряда","")," 6 разряда","")," 1 категории","")," 2 категории","")," 3 категории",""))))))</f>
        <v>техник</v>
      </c>
      <c r="H191" s="35" t="n">
        <f aca="false">IF(C191="","",IF(AND(G191="мастер участка",ISNUMBER(SEARCH("РЭО",E191))),29,IFERROR(INDEX(Соответствие!$B$2:$B$100,MATCH(G191,Соответствие!$A$2:$A$100,0)),"?")))</f>
        <v>36</v>
      </c>
      <c r="I191" s="39" t="str">
        <f aca="false">IF(C191="","",IFERROR(INDEX(Перечень!$C$6:$C$52,MATCH(H191,Перечень!$A$6:$A$52,0)),""))</f>
        <v>п.1.14.2, п.1.36, п.1.37.1, п.1.45.1, п.1.45.2, п.1.50, п.4.3.1, п.4.4, п.5.1, п.17</v>
      </c>
      <c r="J191" s="35" t="n">
        <f aca="false">IF(C191="","",IFERROR(INDEX(Перечень!$D$6:$D$52,MATCH(H191,Перечень!$A$6:$A$52,0)),12))</f>
        <v>12</v>
      </c>
      <c r="K191" s="40"/>
      <c r="L191" s="40"/>
      <c r="M191" s="37" t="str">
        <f aca="false">IF(AND(K191="",L191=""),"",EDATE(MAX(K191,L191),J191))</f>
        <v/>
      </c>
      <c r="N191" s="41" t="str">
        <f aca="false">IF(C191="","",IFERROR(INDEX(Перечень!$F$6:$F$52,MATCH(H191,Перечень!$A$6:$A$52,0)),""))</f>
        <v>-</v>
      </c>
      <c r="O191" s="40"/>
      <c r="P191" s="37" t="str">
        <f aca="false">IF(O191="","",EDATE(O191,60))</f>
        <v/>
      </c>
      <c r="Q191" s="41" t="str">
        <f aca="false">IF(AND(K191&lt;&gt;"",F191&lt;&gt;"",K191&gt;F191),"Да","")</f>
        <v/>
      </c>
      <c r="R191" s="41" t="str">
        <f aca="true">IF(C191="","",IF(M191="","Нет сведений",IF(M191&lt;TODAY(),"Просрочен",IF(M191-TODAY()&lt;=30,"Истекает","В срок"))))</f>
        <v>Нет сведений</v>
      </c>
      <c r="S191" s="41" t="str">
        <f aca="false">IF(AND(N191="Да",O191=""),"Не пройдено","")</f>
        <v/>
      </c>
    </row>
    <row r="192" customFormat="false" ht="14.25" hidden="false" customHeight="false" outlineLevel="0" collapsed="false">
      <c r="A192" s="35" t="n">
        <f aca="false">IF(C192="","",ROW()-5)</f>
        <v>187</v>
      </c>
      <c r="B192" s="36" t="s">
        <v>107</v>
      </c>
      <c r="C192" s="36" t="s">
        <v>397</v>
      </c>
      <c r="D192" s="36" t="s">
        <v>395</v>
      </c>
      <c r="E192" s="36" t="s">
        <v>372</v>
      </c>
      <c r="F192" s="37" t="n">
        <v>46230</v>
      </c>
      <c r="G192" s="38" t="str">
        <f aca="false">IF(C192="","",IF(TRIM(SUBSTITUTE(SUBSTITUTE(SUBSTITUTE(SUBSTITUTE(SUBSTITUTE(SUBSTITUTE(SUBSTITUTE(SUBSTITUTE(SUBSTITUTE(SUBSTITUTE(SUBSTITUTE(LOWER(TRIM(D192)),"ё","е"),"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категории",""))="инженер",IF(AND(ISNUMBER(SEARCH("техническ",E192)),ISNUMBER(SEARCH("контрол",E192))),"инженер отк",IF(ISNUMBER(SEARCH("диспетч",E192)),"инженер пдо",TRIM(SUBSTITUTE(SUBSTITUTE(SUBSTITUTE(SUBSTITUTE(SUBSTITUTE(SUBSTITUTE(SUBSTITUTE(SUBSTITUTE(SUBSTITUTE(SUBSTITUTE(SUBSTITUTE(LOWER(TRIM(D192)),"ё","е"),"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инженер",IF(ISNUMBER(SEARCH("диспетч",E192)),"ведущий инженер пдо",TRIM(SUBSTITUTE(SUBSTITUTE(SUBSTITUTE(SUBSTITUTE(SUBSTITUTE(SUBSTITUTE(SUBSTITUTE(SUBSTITUTE(SUBSTITUTE(SUBSTITUTE(SUBSTITUTE(LOWER(TRIM(D192)),"ё","е"),"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отк",TRIM(SUBSTITUTE(SUBSTITUTE(SUBSTITUTE(SUBSTITUTE(SUBSTITUTE(SUBSTITUTE(SUBSTITUTE(SUBSTITUTE(SUBSTITUTE(SUBSTITUTE(SUBSTITUTE(LOWER(TRIM(D192)),"ё","е")," -","-"),"- ","-")," 2 разряда","")," 3 разряда","")," 4 разряда","")," 5 разряда","")," 6 разряда","")," 1 категории","")," 2 категории","")," 3 категории",""))))))</f>
        <v>техник</v>
      </c>
      <c r="H192" s="35" t="n">
        <f aca="false">IF(C192="","",IF(AND(G192="мастер участка",ISNUMBER(SEARCH("РЭО",E192))),29,IFERROR(INDEX(Соответствие!$B$2:$B$100,MATCH(G192,Соответствие!$A$2:$A$100,0)),"?")))</f>
        <v>36</v>
      </c>
      <c r="I192" s="39" t="str">
        <f aca="false">IF(C192="","",IFERROR(INDEX(Перечень!$C$6:$C$52,MATCH(H192,Перечень!$A$6:$A$52,0)),""))</f>
        <v>п.1.14.2, п.1.36, п.1.37.1, п.1.45.1, п.1.45.2, п.1.50, п.4.3.1, п.4.4, п.5.1, п.17</v>
      </c>
      <c r="J192" s="35" t="n">
        <f aca="false">IF(C192="","",IFERROR(INDEX(Перечень!$D$6:$D$52,MATCH(H192,Перечень!$A$6:$A$52,0)),12))</f>
        <v>12</v>
      </c>
      <c r="K192" s="40" t="n">
        <v>46220</v>
      </c>
      <c r="L192" s="40"/>
      <c r="M192" s="37" t="n">
        <f aca="false">IF(AND(K192="",L192=""),"",EDATE(MAX(K192,L192),J192))</f>
        <v>46585</v>
      </c>
      <c r="N192" s="41" t="str">
        <f aca="false">IF(C192="","",IFERROR(INDEX(Перечень!$F$6:$F$52,MATCH(H192,Перечень!$A$6:$A$52,0)),""))</f>
        <v>-</v>
      </c>
      <c r="O192" s="40"/>
      <c r="P192" s="37" t="str">
        <f aca="false">IF(O192="","",EDATE(O192,60))</f>
        <v/>
      </c>
      <c r="Q192" s="41" t="str">
        <f aca="false">IF(AND(K192&lt;&gt;"",F192&lt;&gt;"",K192&gt;F192),"Да","")</f>
        <v/>
      </c>
      <c r="R192" s="41" t="str">
        <f aca="true">IF(C192="","",IF(M192="","Нет сведений",IF(M192&lt;TODAY(),"Просрочен",IF(M192-TODAY()&lt;=30,"Истекает","В срок"))))</f>
        <v>В срок</v>
      </c>
      <c r="S192" s="41" t="str">
        <f aca="false">IF(AND(N192="Да",O192=""),"Не пройдено","")</f>
        <v/>
      </c>
    </row>
    <row r="193" customFormat="false" ht="14.25" hidden="false" customHeight="false" outlineLevel="0" collapsed="false">
      <c r="A193" s="35" t="n">
        <f aca="false">IF(C193="","",ROW()-5)</f>
        <v>188</v>
      </c>
      <c r="B193" s="36" t="s">
        <v>107</v>
      </c>
      <c r="C193" s="36" t="s">
        <v>398</v>
      </c>
      <c r="D193" s="36" t="s">
        <v>399</v>
      </c>
      <c r="E193" s="36" t="s">
        <v>372</v>
      </c>
      <c r="F193" s="37" t="n">
        <v>46148</v>
      </c>
      <c r="G193" s="38" t="str">
        <f aca="false">IF(C193="","",IF(TRIM(SUBSTITUTE(SUBSTITUTE(SUBSTITUTE(SUBSTITUTE(SUBSTITUTE(SUBSTITUTE(SUBSTITUTE(SUBSTITUTE(SUBSTITUTE(SUBSTITUTE(SUBSTITUTE(LOWER(TRIM(D193)),"ё","е"),"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категории",""))="инженер",IF(AND(ISNUMBER(SEARCH("техническ",E193)),ISNUMBER(SEARCH("контрол",E193))),"инженер отк",IF(ISNUMBER(SEARCH("диспетч",E193)),"инженер пдо",TRIM(SUBSTITUTE(SUBSTITUTE(SUBSTITUTE(SUBSTITUTE(SUBSTITUTE(SUBSTITUTE(SUBSTITUTE(SUBSTITUTE(SUBSTITUTE(SUBSTITUTE(SUBSTITUTE(LOWER(TRIM(D193)),"ё","е"),"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инженер",IF(ISNUMBER(SEARCH("диспетч",E193)),"ведущий инженер пдо",TRIM(SUBSTITUTE(SUBSTITUTE(SUBSTITUTE(SUBSTITUTE(SUBSTITUTE(SUBSTITUTE(SUBSTITUTE(SUBSTITUTE(SUBSTITUTE(SUBSTITUTE(SUBSTITUTE(LOWER(TRIM(D193)),"ё","е"),"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отк",TRIM(SUBSTITUTE(SUBSTITUTE(SUBSTITUTE(SUBSTITUTE(SUBSTITUTE(SUBSTITUTE(SUBSTITUTE(SUBSTITUTE(SUBSTITUTE(SUBSTITUTE(SUBSTITUTE(LOWER(TRIM(D193)),"ё","е")," -","-"),"- ","-")," 2 разряда","")," 3 разряда","")," 4 разряда","")," 5 разряда","")," 6 разряда","")," 1 категории","")," 2 категории","")," 3 категории",""))))))</f>
        <v>техник</v>
      </c>
      <c r="H193" s="35" t="n">
        <f aca="false">IF(C193="","",IF(AND(G193="мастер участка",ISNUMBER(SEARCH("РЭО",E193))),29,IFERROR(INDEX(Соответствие!$B$2:$B$100,MATCH(G193,Соответствие!$A$2:$A$100,0)),"?")))</f>
        <v>36</v>
      </c>
      <c r="I193" s="39" t="str">
        <f aca="false">IF(C193="","",IFERROR(INDEX(Перечень!$C$6:$C$52,MATCH(H193,Перечень!$A$6:$A$52,0)),""))</f>
        <v>п.1.14.2, п.1.36, п.1.37.1, п.1.45.1, п.1.45.2, п.1.50, п.4.3.1, п.4.4, п.5.1, п.17</v>
      </c>
      <c r="J193" s="35" t="n">
        <f aca="false">IF(C193="","",IFERROR(INDEX(Перечень!$D$6:$D$52,MATCH(H193,Перечень!$A$6:$A$52,0)),12))</f>
        <v>12</v>
      </c>
      <c r="K193" s="40"/>
      <c r="L193" s="40"/>
      <c r="M193" s="37" t="str">
        <f aca="false">IF(AND(K193="",L193=""),"",EDATE(MAX(K193,L193),J193))</f>
        <v/>
      </c>
      <c r="N193" s="41" t="str">
        <f aca="false">IF(C193="","",IFERROR(INDEX(Перечень!$F$6:$F$52,MATCH(H193,Перечень!$A$6:$A$52,0)),""))</f>
        <v>-</v>
      </c>
      <c r="O193" s="40"/>
      <c r="P193" s="37" t="str">
        <f aca="false">IF(O193="","",EDATE(O193,60))</f>
        <v/>
      </c>
      <c r="Q193" s="41" t="str">
        <f aca="false">IF(AND(K193&lt;&gt;"",F193&lt;&gt;"",K193&gt;F193),"Да","")</f>
        <v/>
      </c>
      <c r="R193" s="41" t="str">
        <f aca="true">IF(C193="","",IF(M193="","Нет сведений",IF(M193&lt;TODAY(),"Просрочен",IF(M193-TODAY()&lt;=30,"Истекает","В срок"))))</f>
        <v>Нет сведений</v>
      </c>
      <c r="S193" s="41" t="str">
        <f aca="false">IF(AND(N193="Да",O193=""),"Не пройдено","")</f>
        <v/>
      </c>
    </row>
    <row r="194" customFormat="false" ht="14.25" hidden="false" customHeight="false" outlineLevel="0" collapsed="false">
      <c r="A194" s="35" t="n">
        <f aca="false">IF(C194="","",ROW()-5)</f>
        <v>189</v>
      </c>
      <c r="B194" s="36" t="s">
        <v>107</v>
      </c>
      <c r="C194" s="36" t="s">
        <v>400</v>
      </c>
      <c r="D194" s="36" t="s">
        <v>401</v>
      </c>
      <c r="E194" s="36" t="s">
        <v>402</v>
      </c>
      <c r="F194" s="37" t="n">
        <v>45649</v>
      </c>
      <c r="G194" s="38" t="str">
        <f aca="false">IF(C194="","",IF(TRIM(SUBSTITUTE(SUBSTITUTE(SUBSTITUTE(SUBSTITUTE(SUBSTITUTE(SUBSTITUTE(SUBSTITUTE(SUBSTITUTE(SUBSTITUTE(SUBSTITUTE(SUBSTITUTE(LOWER(TRIM(D194)),"ё","е"),"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категории",""))="инженер",IF(AND(ISNUMBER(SEARCH("техническ",E194)),ISNUMBER(SEARCH("контрол",E194))),"инженер отк",IF(ISNUMBER(SEARCH("диспетч",E194)),"инженер пдо",TRIM(SUBSTITUTE(SUBSTITUTE(SUBSTITUTE(SUBSTITUTE(SUBSTITUTE(SUBSTITUTE(SUBSTITUTE(SUBSTITUTE(SUBSTITUTE(SUBSTITUTE(SUBSTITUTE(LOWER(TRIM(D194)),"ё","е"),"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инженер",IF(ISNUMBER(SEARCH("диспетч",E194)),"ведущий инженер пдо",TRIM(SUBSTITUTE(SUBSTITUTE(SUBSTITUTE(SUBSTITUTE(SUBSTITUTE(SUBSTITUTE(SUBSTITUTE(SUBSTITUTE(SUBSTITUTE(SUBSTITUTE(SUBSTITUTE(LOWER(TRIM(D194)),"ё","е"),"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отк",TRIM(SUBSTITUTE(SUBSTITUTE(SUBSTITUTE(SUBSTITUTE(SUBSTITUTE(SUBSTITUTE(SUBSTITUTE(SUBSTITUTE(SUBSTITUTE(SUBSTITUTE(SUBSTITUTE(LOWER(TRIM(D194)),"ё","е")," -","-"),"- ","-")," 2 разряда","")," 3 разряда","")," 4 разряда","")," 5 разряда","")," 6 разряда","")," 1 категории","")," 2 категории","")," 3 категории",""))))))</f>
        <v>рабочий по комплексному обслуживанию и ремонту зданий</v>
      </c>
      <c r="H194" s="35" t="n">
        <f aca="false">IF(C194="","",IF(AND(G194="мастер участка",ISNUMBER(SEARCH("РЭО",E194))),29,IFERROR(INDEX(Соответствие!$B$2:$B$100,MATCH(G194,Соответствие!$A$2:$A$100,0)),"?")))</f>
        <v>1</v>
      </c>
      <c r="I194" s="39" t="str">
        <f aca="false">IF(C194="","",IFERROR(INDEX(Перечень!$C$6:$C$52,MATCH(H194,Перечень!$A$6:$A$52,0)),""))</f>
        <v>п.4.3.1, п.4.4, п.4.7, п.4.8, п.5.1, п.6.1</v>
      </c>
      <c r="J194" s="35" t="n">
        <f aca="false">IF(C194="","",IFERROR(INDEX(Перечень!$D$6:$D$52,MATCH(H194,Перечень!$A$6:$A$52,0)),12))</f>
        <v>12</v>
      </c>
      <c r="K194" s="40"/>
      <c r="L194" s="40"/>
      <c r="M194" s="37" t="str">
        <f aca="false">IF(AND(K194="",L194=""),"",EDATE(MAX(K194,L194),J194))</f>
        <v/>
      </c>
      <c r="N194" s="41" t="str">
        <f aca="false">IF(C194="","",IFERROR(INDEX(Перечень!$F$6:$F$52,MATCH(H194,Перечень!$A$6:$A$52,0)),""))</f>
        <v>-</v>
      </c>
      <c r="O194" s="40"/>
      <c r="P194" s="37" t="str">
        <f aca="false">IF(O194="","",EDATE(O194,60))</f>
        <v/>
      </c>
      <c r="Q194" s="41" t="str">
        <f aca="false">IF(AND(K194&lt;&gt;"",F194&lt;&gt;"",K194&gt;F194),"Да","")</f>
        <v/>
      </c>
      <c r="R194" s="41" t="str">
        <f aca="true">IF(C194="","",IF(M194="","Нет сведений",IF(M194&lt;TODAY(),"Просрочен",IF(M194-TODAY()&lt;=30,"Истекает","В срок"))))</f>
        <v>Нет сведений</v>
      </c>
      <c r="S194" s="41" t="str">
        <f aca="false">IF(AND(N194="Да",O194=""),"Не пройдено","")</f>
        <v/>
      </c>
    </row>
    <row r="195" customFormat="false" ht="14.25" hidden="false" customHeight="false" outlineLevel="0" collapsed="false">
      <c r="A195" s="35" t="n">
        <f aca="false">IF(C195="","",ROW()-5)</f>
        <v>190</v>
      </c>
      <c r="B195" s="36" t="s">
        <v>107</v>
      </c>
      <c r="C195" s="36" t="s">
        <v>403</v>
      </c>
      <c r="D195" s="36" t="s">
        <v>137</v>
      </c>
      <c r="E195" s="36" t="s">
        <v>142</v>
      </c>
      <c r="F195" s="37" t="n">
        <v>45943</v>
      </c>
      <c r="G195" s="38" t="str">
        <f aca="false">IF(C195="","",IF(TRIM(SUBSTITUTE(SUBSTITUTE(SUBSTITUTE(SUBSTITUTE(SUBSTITUTE(SUBSTITUTE(SUBSTITUTE(SUBSTITUTE(SUBSTITUTE(SUBSTITUTE(SUBSTITUTE(LOWER(TRIM(D195)),"ё","е"),"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категории",""))="инженер",IF(AND(ISNUMBER(SEARCH("техническ",E195)),ISNUMBER(SEARCH("контрол",E195))),"инженер отк",IF(ISNUMBER(SEARCH("диспетч",E195)),"инженер пдо",TRIM(SUBSTITUTE(SUBSTITUTE(SUBSTITUTE(SUBSTITUTE(SUBSTITUTE(SUBSTITUTE(SUBSTITUTE(SUBSTITUTE(SUBSTITUTE(SUBSTITUTE(SUBSTITUTE(LOWER(TRIM(D195)),"ё","е"),"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инженер",IF(ISNUMBER(SEARCH("диспетч",E195)),"ведущий инженер пдо",TRIM(SUBSTITUTE(SUBSTITUTE(SUBSTITUTE(SUBSTITUTE(SUBSTITUTE(SUBSTITUTE(SUBSTITUTE(SUBSTITUTE(SUBSTITUTE(SUBSTITUTE(SUBSTITUTE(LOWER(TRIM(D195)),"ё","е"),"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отк",TRIM(SUBSTITUTE(SUBSTITUTE(SUBSTITUTE(SUBSTITUTE(SUBSTITUTE(SUBSTITUTE(SUBSTITUTE(SUBSTITUTE(SUBSTITUTE(SUBSTITUTE(SUBSTITUTE(LOWER(TRIM(D195)),"ё","е")," -","-"),"- ","-")," 2 разряда","")," 3 разряда","")," 4 разряда","")," 5 разряда","")," 6 разряда","")," 1 категории","")," 2 категории","")," 3 категории",""))))))</f>
        <v>инженер отк</v>
      </c>
      <c r="H195" s="35" t="n">
        <f aca="false">IF(C195="","",IF(AND(G195="мастер участка",ISNUMBER(SEARCH("РЭО",E195))),29,IFERROR(INDEX(Соответствие!$B$2:$B$100,MATCH(G195,Соответствие!$A$2:$A$100,0)),"?")))</f>
        <v>13</v>
      </c>
      <c r="I195" s="39" t="str">
        <f aca="false">IF(C195="","",IFERROR(INDEX(Перечень!$C$6:$C$52,MATCH(H195,Перечень!$A$6:$A$52,0)),""))</f>
        <v>п.4.4, п.5.2</v>
      </c>
      <c r="J195" s="35" t="n">
        <f aca="false">IF(C195="","",IFERROR(INDEX(Перечень!$D$6:$D$52,MATCH(H195,Перечень!$A$6:$A$52,0)),12))</f>
        <v>12</v>
      </c>
      <c r="K195" s="40"/>
      <c r="L195" s="40"/>
      <c r="M195" s="37" t="str">
        <f aca="false">IF(AND(K195="",L195=""),"",EDATE(MAX(K195,L195),J195))</f>
        <v/>
      </c>
      <c r="N195" s="41" t="str">
        <f aca="false">IF(C195="","",IFERROR(INDEX(Перечень!$F$6:$F$52,MATCH(H195,Перечень!$A$6:$A$52,0)),""))</f>
        <v>-</v>
      </c>
      <c r="O195" s="40"/>
      <c r="P195" s="37" t="str">
        <f aca="false">IF(O195="","",EDATE(O195,60))</f>
        <v/>
      </c>
      <c r="Q195" s="41" t="str">
        <f aca="false">IF(AND(K195&lt;&gt;"",F195&lt;&gt;"",K195&gt;F195),"Да","")</f>
        <v/>
      </c>
      <c r="R195" s="41" t="str">
        <f aca="true">IF(C195="","",IF(M195="","Нет сведений",IF(M195&lt;TODAY(),"Просрочен",IF(M195-TODAY()&lt;=30,"Истекает","В срок"))))</f>
        <v>Нет сведений</v>
      </c>
      <c r="S195" s="41" t="str">
        <f aca="false">IF(AND(N195="Да",O195=""),"Не пройдено","")</f>
        <v/>
      </c>
    </row>
    <row r="196" customFormat="false" ht="14.25" hidden="false" customHeight="false" outlineLevel="0" collapsed="false">
      <c r="A196" s="35" t="n">
        <f aca="false">IF(C196="","",ROW()-5)</f>
        <v>191</v>
      </c>
      <c r="B196" s="36" t="s">
        <v>107</v>
      </c>
      <c r="C196" s="36" t="s">
        <v>404</v>
      </c>
      <c r="D196" s="36" t="s">
        <v>146</v>
      </c>
      <c r="E196" s="36" t="s">
        <v>142</v>
      </c>
      <c r="F196" s="37" t="n">
        <v>46077</v>
      </c>
      <c r="G196" s="38" t="str">
        <f aca="false">IF(C196="","",IF(TRIM(SUBSTITUTE(SUBSTITUTE(SUBSTITUTE(SUBSTITUTE(SUBSTITUTE(SUBSTITUTE(SUBSTITUTE(SUBSTITUTE(SUBSTITUTE(SUBSTITUTE(SUBSTITUTE(LOWER(TRIM(D196)),"ё","е"),"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категории",""))="инженер",IF(AND(ISNUMBER(SEARCH("техническ",E196)),ISNUMBER(SEARCH("контрол",E196))),"инженер отк",IF(ISNUMBER(SEARCH("диспетч",E196)),"инженер пдо",TRIM(SUBSTITUTE(SUBSTITUTE(SUBSTITUTE(SUBSTITUTE(SUBSTITUTE(SUBSTITUTE(SUBSTITUTE(SUBSTITUTE(SUBSTITUTE(SUBSTITUTE(SUBSTITUTE(LOWER(TRIM(D196)),"ё","е"),"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инженер",IF(ISNUMBER(SEARCH("диспетч",E196)),"ведущий инженер пдо",TRIM(SUBSTITUTE(SUBSTITUTE(SUBSTITUTE(SUBSTITUTE(SUBSTITUTE(SUBSTITUTE(SUBSTITUTE(SUBSTITUTE(SUBSTITUTE(SUBSTITUTE(SUBSTITUTE(LOWER(TRIM(D196)),"ё","е"),"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отк",TRIM(SUBSTITUTE(SUBSTITUTE(SUBSTITUTE(SUBSTITUTE(SUBSTITUTE(SUBSTITUTE(SUBSTITUTE(SUBSTITUTE(SUBSTITUTE(SUBSTITUTE(SUBSTITUTE(LOWER(TRIM(D196)),"ё","е")," -","-"),"- ","-")," 2 разряда","")," 3 разряда","")," 4 разряда","")," 5 разряда","")," 6 разряда","")," 1 категории","")," 2 категории","")," 3 категории",""))))))</f>
        <v>контролер отк</v>
      </c>
      <c r="H196" s="35" t="n">
        <f aca="false">IF(C196="","",IF(AND(G196="мастер участка",ISNUMBER(SEARCH("РЭО",E196))),29,IFERROR(INDEX(Соответствие!$B$2:$B$100,MATCH(G196,Соответствие!$A$2:$A$100,0)),"?")))</f>
        <v>13</v>
      </c>
      <c r="I196" s="39" t="str">
        <f aca="false">IF(C196="","",IFERROR(INDEX(Перечень!$C$6:$C$52,MATCH(H196,Перечень!$A$6:$A$52,0)),""))</f>
        <v>п.4.4, п.5.2</v>
      </c>
      <c r="J196" s="35" t="n">
        <f aca="false">IF(C196="","",IFERROR(INDEX(Перечень!$D$6:$D$52,MATCH(H196,Перечень!$A$6:$A$52,0)),12))</f>
        <v>12</v>
      </c>
      <c r="K196" s="40"/>
      <c r="L196" s="40"/>
      <c r="M196" s="37" t="str">
        <f aca="false">IF(AND(K196="",L196=""),"",EDATE(MAX(K196,L196),J196))</f>
        <v/>
      </c>
      <c r="N196" s="41" t="str">
        <f aca="false">IF(C196="","",IFERROR(INDEX(Перечень!$F$6:$F$52,MATCH(H196,Перечень!$A$6:$A$52,0)),""))</f>
        <v>-</v>
      </c>
      <c r="O196" s="40"/>
      <c r="P196" s="37" t="str">
        <f aca="false">IF(O196="","",EDATE(O196,60))</f>
        <v/>
      </c>
      <c r="Q196" s="41" t="str">
        <f aca="false">IF(AND(K196&lt;&gt;"",F196&lt;&gt;"",K196&gt;F196),"Да","")</f>
        <v/>
      </c>
      <c r="R196" s="41" t="str">
        <f aca="true">IF(C196="","",IF(M196="","Нет сведений",IF(M196&lt;TODAY(),"Просрочен",IF(M196-TODAY()&lt;=30,"Истекает","В срок"))))</f>
        <v>Нет сведений</v>
      </c>
      <c r="S196" s="41" t="str">
        <f aca="false">IF(AND(N196="Да",O196=""),"Не пройдено","")</f>
        <v/>
      </c>
    </row>
    <row r="197" customFormat="false" ht="14.25" hidden="false" customHeight="false" outlineLevel="0" collapsed="false">
      <c r="A197" s="35" t="n">
        <f aca="false">IF(C197="","",ROW()-5)</f>
        <v>192</v>
      </c>
      <c r="B197" s="36" t="s">
        <v>107</v>
      </c>
      <c r="C197" s="36" t="s">
        <v>405</v>
      </c>
      <c r="D197" s="36" t="s">
        <v>146</v>
      </c>
      <c r="E197" s="36" t="s">
        <v>142</v>
      </c>
      <c r="F197" s="37" t="n">
        <v>46097</v>
      </c>
      <c r="G197" s="38" t="str">
        <f aca="false">IF(C197="","",IF(TRIM(SUBSTITUTE(SUBSTITUTE(SUBSTITUTE(SUBSTITUTE(SUBSTITUTE(SUBSTITUTE(SUBSTITUTE(SUBSTITUTE(SUBSTITUTE(SUBSTITUTE(SUBSTITUTE(LOWER(TRIM(D197)),"ё","е"),"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категории",""))="инженер",IF(AND(ISNUMBER(SEARCH("техническ",E197)),ISNUMBER(SEARCH("контрол",E197))),"инженер отк",IF(ISNUMBER(SEARCH("диспетч",E197)),"инженер пдо",TRIM(SUBSTITUTE(SUBSTITUTE(SUBSTITUTE(SUBSTITUTE(SUBSTITUTE(SUBSTITUTE(SUBSTITUTE(SUBSTITUTE(SUBSTITUTE(SUBSTITUTE(SUBSTITUTE(LOWER(TRIM(D197)),"ё","е"),"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инженер",IF(ISNUMBER(SEARCH("диспетч",E197)),"ведущий инженер пдо",TRIM(SUBSTITUTE(SUBSTITUTE(SUBSTITUTE(SUBSTITUTE(SUBSTITUTE(SUBSTITUTE(SUBSTITUTE(SUBSTITUTE(SUBSTITUTE(SUBSTITUTE(SUBSTITUTE(LOWER(TRIM(D197)),"ё","е"),"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отк",TRIM(SUBSTITUTE(SUBSTITUTE(SUBSTITUTE(SUBSTITUTE(SUBSTITUTE(SUBSTITUTE(SUBSTITUTE(SUBSTITUTE(SUBSTITUTE(SUBSTITUTE(SUBSTITUTE(LOWER(TRIM(D197)),"ё","е")," -","-"),"- ","-")," 2 разряда","")," 3 разряда","")," 4 разряда","")," 5 разряда","")," 6 разряда","")," 1 категории","")," 2 категории","")," 3 категории",""))))))</f>
        <v>контролер отк</v>
      </c>
      <c r="H197" s="35" t="n">
        <f aca="false">IF(C197="","",IF(AND(G197="мастер участка",ISNUMBER(SEARCH("РЭО",E197))),29,IFERROR(INDEX(Соответствие!$B$2:$B$100,MATCH(G197,Соответствие!$A$2:$A$100,0)),"?")))</f>
        <v>13</v>
      </c>
      <c r="I197" s="39" t="str">
        <f aca="false">IF(C197="","",IFERROR(INDEX(Перечень!$C$6:$C$52,MATCH(H197,Перечень!$A$6:$A$52,0)),""))</f>
        <v>п.4.4, п.5.2</v>
      </c>
      <c r="J197" s="35" t="n">
        <f aca="false">IF(C197="","",IFERROR(INDEX(Перечень!$D$6:$D$52,MATCH(H197,Перечень!$A$6:$A$52,0)),12))</f>
        <v>12</v>
      </c>
      <c r="K197" s="40"/>
      <c r="L197" s="40"/>
      <c r="M197" s="37" t="str">
        <f aca="false">IF(AND(K197="",L197=""),"",EDATE(MAX(K197,L197),J197))</f>
        <v/>
      </c>
      <c r="N197" s="41" t="str">
        <f aca="false">IF(C197="","",IFERROR(INDEX(Перечень!$F$6:$F$52,MATCH(H197,Перечень!$A$6:$A$52,0)),""))</f>
        <v>-</v>
      </c>
      <c r="O197" s="40"/>
      <c r="P197" s="37" t="str">
        <f aca="false">IF(O197="","",EDATE(O197,60))</f>
        <v/>
      </c>
      <c r="Q197" s="41" t="str">
        <f aca="false">IF(AND(K197&lt;&gt;"",F197&lt;&gt;"",K197&gt;F197),"Да","")</f>
        <v/>
      </c>
      <c r="R197" s="41" t="str">
        <f aca="true">IF(C197="","",IF(M197="","Нет сведений",IF(M197&lt;TODAY(),"Просрочен",IF(M197-TODAY()&lt;=30,"Истекает","В срок"))))</f>
        <v>Нет сведений</v>
      </c>
      <c r="S197" s="41" t="str">
        <f aca="false">IF(AND(N197="Да",O197=""),"Не пройдено","")</f>
        <v/>
      </c>
    </row>
    <row r="198" customFormat="false" ht="14.25" hidden="false" customHeight="false" outlineLevel="0" collapsed="false">
      <c r="A198" s="35" t="n">
        <f aca="false">IF(C198="","",ROW()-5)</f>
        <v>193</v>
      </c>
      <c r="B198" s="36" t="s">
        <v>107</v>
      </c>
      <c r="C198" s="36" t="s">
        <v>406</v>
      </c>
      <c r="D198" s="36" t="s">
        <v>407</v>
      </c>
      <c r="E198" s="36" t="s">
        <v>402</v>
      </c>
      <c r="F198" s="37" t="n">
        <v>43040</v>
      </c>
      <c r="G198" s="38" t="str">
        <f aca="false">IF(C198="","",IF(TRIM(SUBSTITUTE(SUBSTITUTE(SUBSTITUTE(SUBSTITUTE(SUBSTITUTE(SUBSTITUTE(SUBSTITUTE(SUBSTITUTE(SUBSTITUTE(SUBSTITUTE(SUBSTITUTE(LOWER(TRIM(D198)),"ё","е"),"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категории",""))="инженер",IF(AND(ISNUMBER(SEARCH("техническ",E198)),ISNUMBER(SEARCH("контрол",E198))),"инженер отк",IF(ISNUMBER(SEARCH("диспетч",E198)),"инженер пдо",TRIM(SUBSTITUTE(SUBSTITUTE(SUBSTITUTE(SUBSTITUTE(SUBSTITUTE(SUBSTITUTE(SUBSTITUTE(SUBSTITUTE(SUBSTITUTE(SUBSTITUTE(SUBSTITUTE(LOWER(TRIM(D198)),"ё","е"),"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инженер",IF(ISNUMBER(SEARCH("диспетч",E198)),"ведущий инженер пдо",TRIM(SUBSTITUTE(SUBSTITUTE(SUBSTITUTE(SUBSTITUTE(SUBSTITUTE(SUBSTITUTE(SUBSTITUTE(SUBSTITUTE(SUBSTITUTE(SUBSTITUTE(SUBSTITUTE(LOWER(TRIM(D198)),"ё","е"),"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отк",TRIM(SUBSTITUTE(SUBSTITUTE(SUBSTITUTE(SUBSTITUTE(SUBSTITUTE(SUBSTITUTE(SUBSTITUTE(SUBSTITUTE(SUBSTITUTE(SUBSTITUTE(SUBSTITUTE(LOWER(TRIM(D198)),"ё","е")," -","-"),"- ","-")," 2 разряда","")," 3 разряда","")," 4 разряда","")," 5 разряда","")," 6 разряда","")," 1 категории","")," 2 категории","")," 3 категории",""))))))</f>
        <v>механик</v>
      </c>
      <c r="H198" s="35" t="n">
        <f aca="false">IF(C198="","",IF(AND(G198="мастер участка",ISNUMBER(SEARCH("РЭО",E198))),29,IFERROR(INDEX(Соответствие!$B$2:$B$100,MATCH(G198,Соответствие!$A$2:$A$100,0)),"?")))</f>
        <v>3</v>
      </c>
      <c r="I198" s="39" t="str">
        <f aca="false">IF(C198="","",IFERROR(INDEX(Перечень!$C$6:$C$52,MATCH(H198,Перечень!$A$6:$A$52,0)),""))</f>
        <v>п.1.50, п.4.3.2, п.4.4, п.4.7, п.4.8, п.5.1, п.5.2, п.6.2, п.15</v>
      </c>
      <c r="J198" s="35" t="n">
        <f aca="false">IF(C198="","",IFERROR(INDEX(Перечень!$D$6:$D$52,MATCH(H198,Перечень!$A$6:$A$52,0)),12))</f>
        <v>12</v>
      </c>
      <c r="K198" s="40"/>
      <c r="L198" s="40"/>
      <c r="M198" s="37" t="str">
        <f aca="false">IF(AND(K198="",L198=""),"",EDATE(MAX(K198,L198),J198))</f>
        <v/>
      </c>
      <c r="N198" s="41" t="str">
        <f aca="false">IF(C198="","",IFERROR(INDEX(Перечень!$F$6:$F$52,MATCH(H198,Перечень!$A$6:$A$52,0)),""))</f>
        <v>-</v>
      </c>
      <c r="O198" s="40"/>
      <c r="P198" s="37" t="str">
        <f aca="false">IF(O198="","",EDATE(O198,60))</f>
        <v/>
      </c>
      <c r="Q198" s="41" t="str">
        <f aca="false">IF(AND(K198&lt;&gt;"",F198&lt;&gt;"",K198&gt;F198),"Да","")</f>
        <v/>
      </c>
      <c r="R198" s="41" t="str">
        <f aca="true">IF(C198="","",IF(M198="","Нет сведений",IF(M198&lt;TODAY(),"Просрочен",IF(M198-TODAY()&lt;=30,"Истекает","В срок"))))</f>
        <v>Нет сведений</v>
      </c>
      <c r="S198" s="41" t="str">
        <f aca="false">IF(AND(N198="Да",O198=""),"Не пройдено","")</f>
        <v/>
      </c>
    </row>
    <row r="199" customFormat="false" ht="14.25" hidden="false" customHeight="false" outlineLevel="0" collapsed="false">
      <c r="A199" s="35" t="n">
        <f aca="false">IF(C199="","",ROW()-5)</f>
        <v>194</v>
      </c>
      <c r="B199" s="36" t="s">
        <v>107</v>
      </c>
      <c r="C199" s="36" t="s">
        <v>408</v>
      </c>
      <c r="D199" s="36" t="s">
        <v>401</v>
      </c>
      <c r="E199" s="36" t="s">
        <v>402</v>
      </c>
      <c r="F199" s="37" t="n">
        <v>46080</v>
      </c>
      <c r="G199" s="38" t="str">
        <f aca="false">IF(C199="","",IF(TRIM(SUBSTITUTE(SUBSTITUTE(SUBSTITUTE(SUBSTITUTE(SUBSTITUTE(SUBSTITUTE(SUBSTITUTE(SUBSTITUTE(SUBSTITUTE(SUBSTITUTE(SUBSTITUTE(LOWER(TRIM(D199)),"ё","е"),"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категории",""))="инженер",IF(AND(ISNUMBER(SEARCH("техническ",E199)),ISNUMBER(SEARCH("контрол",E199))),"инженер отк",IF(ISNUMBER(SEARCH("диспетч",E199)),"инженер пдо",TRIM(SUBSTITUTE(SUBSTITUTE(SUBSTITUTE(SUBSTITUTE(SUBSTITUTE(SUBSTITUTE(SUBSTITUTE(SUBSTITUTE(SUBSTITUTE(SUBSTITUTE(SUBSTITUTE(LOWER(TRIM(D199)),"ё","е"),"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категории","")))),IF(TRIM(SUBSTITUTE(SUBSTITUTE(SUBSTITUTE(SUBSTITUTE(SUBSTITUTE(SUBSTITUTE(SUBSTITUTE(SUBSTITUTE(SUBSTITUTE(SUBSTITUTE(SUBSTITUTE(LOWER(TRIM(D199)),"ё","е"),"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инженер",IF(ISNUMBER(SEARCH("диспетч",E199)),"ведущий инженер пдо",TRIM(SUBSTITUTE(SUBSTITUTE(SUBSTITUTE(SUBSTITUTE(SUBSTITUTE(SUBSTITUTE(SUBSTITUTE(SUBSTITUTE(SUBSTITUTE(SUBSTITUTE(SUBSTITUTE(LOWER(TRIM(D199)),"ё","е"),"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категории",""))),IF(TRIM(SUBSTITUTE(SUBSTITUTE(SUBSTITUTE(SUBSTITUTE(SUBSTITUTE(SUBSTITUTE(SUBSTITUTE(SUBSTITUTE(SUBSTITUTE(SUBSTITUTE(SUBSTITUTE(LOWER(TRIM(D199)),"ё","е"),"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отк",TRIM(SUBSTITUTE(SUBSTITUTE(SUBSTITUTE(SUBSTITUTE(SUBSTITUTE(SUBSTITUTE(SUBSTITUTE(SUBSTITUTE(SUBSTITUTE(SUBSTITUTE(SUBSTITUTE(LOWER(TRIM(D199)),"ё","е")," -","-"),"- ","-")," 2 разряда","")," 3 разряда","")," 4 разряда","")," 5 разряда","")," 6 разряда","")," 1 категории","")," 2 категории","")," 3 категории",""))))))</f>
        <v>рабочий по комплексному обслуживанию и ремонту зданий</v>
      </c>
      <c r="H199" s="35" t="n">
        <f aca="false">IF(C199="","",IF(AND(G199="мастер участка",ISNUMBER(SEARCH("РЭО",E199))),29,IFERROR(INDEX(Соответствие!$B$2:$B$100,MATCH(G199,Соответствие!$A$2:$A$100,0)),"?")))</f>
        <v>1</v>
      </c>
      <c r="I199" s="39" t="str">
        <f aca="false">IF(C199="","",IFERROR(INDEX(Перечень!$C$6:$C$52,MATCH(H199,Перечень!$A$6:$A$52,0)),""))</f>
        <v>п.4.3.1, п.4.4, п.4.7, п.4.8, п.5.1, п.6.1</v>
      </c>
      <c r="J199" s="35" t="n">
        <f aca="false">IF(C199="","",IFERROR(INDEX(Перечень!$D$6:$D$52,MATCH(H199,Перечень!$A$6:$A$52,0)),12))</f>
        <v>12</v>
      </c>
      <c r="K199" s="40"/>
      <c r="L199" s="40"/>
      <c r="M199" s="37" t="str">
        <f aca="false">IF(AND(K199="",L199=""),"",EDATE(MAX(K199,L199),J199))</f>
        <v/>
      </c>
      <c r="N199" s="41" t="str">
        <f aca="false">IF(C199="","",IFERROR(INDEX(Перечень!$F$6:$F$52,MATCH(H199,Перечень!$A$6:$A$52,0)),""))</f>
        <v>-</v>
      </c>
      <c r="O199" s="40"/>
      <c r="P199" s="37" t="str">
        <f aca="false">IF(O199="","",EDATE(O199,60))</f>
        <v/>
      </c>
      <c r="Q199" s="41" t="str">
        <f aca="false">IF(AND(K199&lt;&gt;"",F199&lt;&gt;"",K199&gt;F199),"Да","")</f>
        <v/>
      </c>
      <c r="R199" s="41" t="str">
        <f aca="true">IF(C199="","",IF(M199="","Нет сведений",IF(M199&lt;TODAY(),"Просрочен",IF(M199-TODAY()&lt;=30,"Истекает","В срок"))))</f>
        <v>Нет сведений</v>
      </c>
      <c r="S199" s="41" t="str">
        <f aca="false">IF(AND(N199="Да",O199=""),"Не пройдено","")</f>
        <v/>
      </c>
    </row>
    <row r="200" customFormat="false" ht="14.25" hidden="false" customHeight="false" outlineLevel="0" collapsed="false">
      <c r="A200" s="35" t="n">
        <f aca="false">IF(C200="","",ROW()-5)</f>
        <v>195</v>
      </c>
      <c r="B200" s="36" t="s">
        <v>107</v>
      </c>
      <c r="C200" s="36" t="s">
        <v>409</v>
      </c>
      <c r="D200" s="36" t="s">
        <v>401</v>
      </c>
      <c r="E200" s="36" t="s">
        <v>402</v>
      </c>
      <c r="F200" s="37" t="n">
        <v>46111</v>
      </c>
      <c r="G200" s="38" t="str">
        <f aca="false">IF(C200="","",IF(TRIM(SUBSTITUTE(SUBSTITUTE(SUBSTITUTE(SUBSTITUTE(SUBSTITUTE(SUBSTITUTE(SUBSTITUTE(SUBSTITUTE(SUBSTITUTE(SUBSTITUTE(SUBSTITUTE(LOWER(TRIM(D200)),"ё","е"),"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категории",""))="инженер",IF(AND(ISNUMBER(SEARCH("техническ",E200)),ISNUMBER(SEARCH("контрол",E200))),"инженер отк",IF(ISNUMBER(SEARCH("диспетч",E200)),"инженер пдо",TRIM(SUBSTITUTE(SUBSTITUTE(SUBSTITUTE(SUBSTITUTE(SUBSTITUTE(SUBSTITUTE(SUBSTITUTE(SUBSTITUTE(SUBSTITUTE(SUBSTITUTE(SUBSTITUTE(LOWER(TRIM(D200)),"ё","е"),"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инженер",IF(ISNUMBER(SEARCH("диспетч",E200)),"ведущий инженер пдо",TRIM(SUBSTITUTE(SUBSTITUTE(SUBSTITUTE(SUBSTITUTE(SUBSTITUTE(SUBSTITUTE(SUBSTITUTE(SUBSTITUTE(SUBSTITUTE(SUBSTITUTE(SUBSTITUTE(LOWER(TRIM(D200)),"ё","е"),"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отк",TRIM(SUBSTITUTE(SUBSTITUTE(SUBSTITUTE(SUBSTITUTE(SUBSTITUTE(SUBSTITUTE(SUBSTITUTE(SUBSTITUTE(SUBSTITUTE(SUBSTITUTE(SUBSTITUTE(LOWER(TRIM(D200)),"ё","е")," -","-"),"- ","-")," 2 разряда","")," 3 разряда","")," 4 разряда","")," 5 разряда","")," 6 разряда","")," 1 категории","")," 2 категории","")," 3 категории",""))))))</f>
        <v>рабочий по комплексному обслуживанию и ремонту зданий</v>
      </c>
      <c r="H200" s="35" t="n">
        <f aca="false">IF(C200="","",IF(AND(G200="мастер участка",ISNUMBER(SEARCH("РЭО",E200))),29,IFERROR(INDEX(Соответствие!$B$2:$B$100,MATCH(G200,Соответствие!$A$2:$A$100,0)),"?")))</f>
        <v>1</v>
      </c>
      <c r="I200" s="39" t="str">
        <f aca="false">IF(C200="","",IFERROR(INDEX(Перечень!$C$6:$C$52,MATCH(H200,Перечень!$A$6:$A$52,0)),""))</f>
        <v>п.4.3.1, п.4.4, п.4.7, п.4.8, п.5.1, п.6.1</v>
      </c>
      <c r="J200" s="35" t="n">
        <f aca="false">IF(C200="","",IFERROR(INDEX(Перечень!$D$6:$D$52,MATCH(H200,Перечень!$A$6:$A$52,0)),12))</f>
        <v>12</v>
      </c>
      <c r="K200" s="40"/>
      <c r="L200" s="40"/>
      <c r="M200" s="37" t="str">
        <f aca="false">IF(AND(K200="",L200=""),"",EDATE(MAX(K200,L200),J200))</f>
        <v/>
      </c>
      <c r="N200" s="41" t="str">
        <f aca="false">IF(C200="","",IFERROR(INDEX(Перечень!$F$6:$F$52,MATCH(H200,Перечень!$A$6:$A$52,0)),""))</f>
        <v>-</v>
      </c>
      <c r="O200" s="40"/>
      <c r="P200" s="37" t="str">
        <f aca="false">IF(O200="","",EDATE(O200,60))</f>
        <v/>
      </c>
      <c r="Q200" s="41" t="str">
        <f aca="false">IF(AND(K200&lt;&gt;"",F200&lt;&gt;"",K200&gt;F200),"Да","")</f>
        <v/>
      </c>
      <c r="R200" s="41" t="str">
        <f aca="true">IF(C200="","",IF(M200="","Нет сведений",IF(M200&lt;TODAY(),"Просрочен",IF(M200-TODAY()&lt;=30,"Истекает","В срок"))))</f>
        <v>Нет сведений</v>
      </c>
      <c r="S200" s="41" t="str">
        <f aca="false">IF(AND(N200="Да",O200=""),"Не пройдено","")</f>
        <v/>
      </c>
    </row>
    <row r="201" customFormat="false" ht="14.25" hidden="false" customHeight="false" outlineLevel="0" collapsed="false">
      <c r="A201" s="35" t="n">
        <f aca="false">IF(C201="","",ROW()-5)</f>
        <v>196</v>
      </c>
      <c r="B201" s="36" t="s">
        <v>107</v>
      </c>
      <c r="C201" s="36" t="s">
        <v>410</v>
      </c>
      <c r="D201" s="36" t="s">
        <v>411</v>
      </c>
      <c r="E201" s="36" t="s">
        <v>402</v>
      </c>
      <c r="F201" s="37" t="n">
        <v>46064</v>
      </c>
      <c r="G201" s="38" t="str">
        <f aca="false">IF(C201="","",IF(TRIM(SUBSTITUTE(SUBSTITUTE(SUBSTITUTE(SUBSTITUTE(SUBSTITUTE(SUBSTITUTE(SUBSTITUTE(SUBSTITUTE(SUBSTITUTE(SUBSTITUTE(SUBSTITUTE(LOWER(TRIM(D201)),"ё","е"),"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категории",""))="инженер",IF(AND(ISNUMBER(SEARCH("техническ",E201)),ISNUMBER(SEARCH("контрол",E201))),"инженер отк",IF(ISNUMBER(SEARCH("диспетч",E201)),"инженер пдо",TRIM(SUBSTITUTE(SUBSTITUTE(SUBSTITUTE(SUBSTITUTE(SUBSTITUTE(SUBSTITUTE(SUBSTITUTE(SUBSTITUTE(SUBSTITUTE(SUBSTITUTE(SUBSTITUTE(LOWER(TRIM(D201)),"ё","е"),"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инженер",IF(ISNUMBER(SEARCH("диспетч",E201)),"ведущий инженер пдо",TRIM(SUBSTITUTE(SUBSTITUTE(SUBSTITUTE(SUBSTITUTE(SUBSTITUTE(SUBSTITUTE(SUBSTITUTE(SUBSTITUTE(SUBSTITUTE(SUBSTITUTE(SUBSTITUTE(LOWER(TRIM(D201)),"ё","е"),"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отк",TRIM(SUBSTITUTE(SUBSTITUTE(SUBSTITUTE(SUBSTITUTE(SUBSTITUTE(SUBSTITUTE(SUBSTITUTE(SUBSTITUTE(SUBSTITUTE(SUBSTITUTE(SUBSTITUTE(LOWER(TRIM(D201)),"ё","е")," -","-"),"- ","-")," 2 разряда","")," 3 разряда","")," 4 разряда","")," 5 разряда","")," 6 разряда","")," 1 категории","")," 2 категории","")," 3 категории",""))))))</f>
        <v>разнорабочий</v>
      </c>
      <c r="H201" s="35" t="n">
        <f aca="false">IF(C201="","",IF(AND(G201="мастер участка",ISNUMBER(SEARCH("РЭО",E201))),29,IFERROR(INDEX(Соответствие!$B$2:$B$100,MATCH(G201,Соответствие!$A$2:$A$100,0)),"?")))</f>
        <v>7</v>
      </c>
      <c r="I201" s="39" t="str">
        <f aca="false">IF(C201="","",IFERROR(INDEX(Перечень!$C$6:$C$52,MATCH(H201,Перечень!$A$6:$A$52,0)),""))</f>
        <v>п.4.3.1, п.4.4, п.4.7, п.4.8, п.5.1, п.6.1</v>
      </c>
      <c r="J201" s="35" t="n">
        <f aca="false">IF(C201="","",IFERROR(INDEX(Перечень!$D$6:$D$52,MATCH(H201,Перечень!$A$6:$A$52,0)),12))</f>
        <v>12</v>
      </c>
      <c r="K201" s="40"/>
      <c r="L201" s="40"/>
      <c r="M201" s="37" t="str">
        <f aca="false">IF(AND(K201="",L201=""),"",EDATE(MAX(K201,L201),J201))</f>
        <v/>
      </c>
      <c r="N201" s="41" t="str">
        <f aca="false">IF(C201="","",IFERROR(INDEX(Перечень!$F$6:$F$52,MATCH(H201,Перечень!$A$6:$A$52,0)),""))</f>
        <v>-</v>
      </c>
      <c r="O201" s="40"/>
      <c r="P201" s="37" t="str">
        <f aca="false">IF(O201="","",EDATE(O201,60))</f>
        <v/>
      </c>
      <c r="Q201" s="41" t="str">
        <f aca="false">IF(AND(K201&lt;&gt;"",F201&lt;&gt;"",K201&gt;F201),"Да","")</f>
        <v/>
      </c>
      <c r="R201" s="41" t="str">
        <f aca="true">IF(C201="","",IF(M201="","Нет сведений",IF(M201&lt;TODAY(),"Просрочен",IF(M201-TODAY()&lt;=30,"Истекает","В срок"))))</f>
        <v>Нет сведений</v>
      </c>
      <c r="S201" s="41" t="str">
        <f aca="false">IF(AND(N201="Да",O201=""),"Не пройдено","")</f>
        <v/>
      </c>
    </row>
    <row r="202" customFormat="false" ht="14.25" hidden="false" customHeight="false" outlineLevel="0" collapsed="false">
      <c r="A202" s="35" t="n">
        <f aca="false">IF(C202="","",ROW()-5)</f>
        <v>197</v>
      </c>
      <c r="B202" s="36" t="s">
        <v>107</v>
      </c>
      <c r="C202" s="36" t="s">
        <v>412</v>
      </c>
      <c r="D202" s="36" t="s">
        <v>411</v>
      </c>
      <c r="E202" s="36" t="s">
        <v>402</v>
      </c>
      <c r="F202" s="37" t="n">
        <v>46049</v>
      </c>
      <c r="G202" s="38" t="str">
        <f aca="false">IF(C202="","",IF(TRIM(SUBSTITUTE(SUBSTITUTE(SUBSTITUTE(SUBSTITUTE(SUBSTITUTE(SUBSTITUTE(SUBSTITUTE(SUBSTITUTE(SUBSTITUTE(SUBSTITUTE(SUBSTITUTE(LOWER(TRIM(D202)),"ё","е"),"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категории",""))="инженер",IF(AND(ISNUMBER(SEARCH("техническ",E202)),ISNUMBER(SEARCH("контрол",E202))),"инженер отк",IF(ISNUMBER(SEARCH("диспетч",E202)),"инженер пдо",TRIM(SUBSTITUTE(SUBSTITUTE(SUBSTITUTE(SUBSTITUTE(SUBSTITUTE(SUBSTITUTE(SUBSTITUTE(SUBSTITUTE(SUBSTITUTE(SUBSTITUTE(SUBSTITUTE(LOWER(TRIM(D202)),"ё","е"),"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инженер",IF(ISNUMBER(SEARCH("диспетч",E202)),"ведущий инженер пдо",TRIM(SUBSTITUTE(SUBSTITUTE(SUBSTITUTE(SUBSTITUTE(SUBSTITUTE(SUBSTITUTE(SUBSTITUTE(SUBSTITUTE(SUBSTITUTE(SUBSTITUTE(SUBSTITUTE(LOWER(TRIM(D202)),"ё","е"),"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отк",TRIM(SUBSTITUTE(SUBSTITUTE(SUBSTITUTE(SUBSTITUTE(SUBSTITUTE(SUBSTITUTE(SUBSTITUTE(SUBSTITUTE(SUBSTITUTE(SUBSTITUTE(SUBSTITUTE(LOWER(TRIM(D202)),"ё","е")," -","-"),"- ","-")," 2 разряда","")," 3 разряда","")," 4 разряда","")," 5 разряда","")," 6 разряда","")," 1 категории","")," 2 категории","")," 3 категории",""))))))</f>
        <v>разнорабочий</v>
      </c>
      <c r="H202" s="35" t="n">
        <f aca="false">IF(C202="","",IF(AND(G202="мастер участка",ISNUMBER(SEARCH("РЭО",E202))),29,IFERROR(INDEX(Соответствие!$B$2:$B$100,MATCH(G202,Соответствие!$A$2:$A$100,0)),"?")))</f>
        <v>7</v>
      </c>
      <c r="I202" s="39" t="str">
        <f aca="false">IF(C202="","",IFERROR(INDEX(Перечень!$C$6:$C$52,MATCH(H202,Перечень!$A$6:$A$52,0)),""))</f>
        <v>п.4.3.1, п.4.4, п.4.7, п.4.8, п.5.1, п.6.1</v>
      </c>
      <c r="J202" s="35" t="n">
        <f aca="false">IF(C202="","",IFERROR(INDEX(Перечень!$D$6:$D$52,MATCH(H202,Перечень!$A$6:$A$52,0)),12))</f>
        <v>12</v>
      </c>
      <c r="K202" s="40"/>
      <c r="L202" s="40"/>
      <c r="M202" s="37" t="str">
        <f aca="false">IF(AND(K202="",L202=""),"",EDATE(MAX(K202,L202),J202))</f>
        <v/>
      </c>
      <c r="N202" s="41" t="str">
        <f aca="false">IF(C202="","",IFERROR(INDEX(Перечень!$F$6:$F$52,MATCH(H202,Перечень!$A$6:$A$52,0)),""))</f>
        <v>-</v>
      </c>
      <c r="O202" s="40"/>
      <c r="P202" s="37" t="str">
        <f aca="false">IF(O202="","",EDATE(O202,60))</f>
        <v/>
      </c>
      <c r="Q202" s="41" t="str">
        <f aca="false">IF(AND(K202&lt;&gt;"",F202&lt;&gt;"",K202&gt;F202),"Да","")</f>
        <v/>
      </c>
      <c r="R202" s="41" t="str">
        <f aca="true">IF(C202="","",IF(M202="","Нет сведений",IF(M202&lt;TODAY(),"Просрочен",IF(M202-TODAY()&lt;=30,"Истекает","В срок"))))</f>
        <v>Нет сведений</v>
      </c>
      <c r="S202" s="41" t="str">
        <f aca="false">IF(AND(N202="Да",O202=""),"Не пройдено","")</f>
        <v/>
      </c>
    </row>
    <row r="203" customFormat="false" ht="14.25" hidden="false" customHeight="false" outlineLevel="0" collapsed="false">
      <c r="A203" s="35" t="n">
        <f aca="false">IF(C203="","",ROW()-5)</f>
        <v>198</v>
      </c>
      <c r="B203" s="36" t="s">
        <v>107</v>
      </c>
      <c r="C203" s="36" t="s">
        <v>413</v>
      </c>
      <c r="D203" s="36" t="s">
        <v>414</v>
      </c>
      <c r="E203" s="36" t="s">
        <v>402</v>
      </c>
      <c r="F203" s="37" t="n">
        <v>45748</v>
      </c>
      <c r="G203" s="38" t="str">
        <f aca="false">IF(C203="","",IF(TRIM(SUBSTITUTE(SUBSTITUTE(SUBSTITUTE(SUBSTITUTE(SUBSTITUTE(SUBSTITUTE(SUBSTITUTE(SUBSTITUTE(SUBSTITUTE(SUBSTITUTE(SUBSTITUTE(LOWER(TRIM(D203)),"ё","е"),"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категории",""))="инженер",IF(AND(ISNUMBER(SEARCH("техническ",E203)),ISNUMBER(SEARCH("контрол",E203))),"инженер отк",IF(ISNUMBER(SEARCH("диспетч",E203)),"инженер пдо",TRIM(SUBSTITUTE(SUBSTITUTE(SUBSTITUTE(SUBSTITUTE(SUBSTITUTE(SUBSTITUTE(SUBSTITUTE(SUBSTITUTE(SUBSTITUTE(SUBSTITUTE(SUBSTITUTE(LOWER(TRIM(D203)),"ё","е"),"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инженер",IF(ISNUMBER(SEARCH("диспетч",E203)),"ведущий инженер пдо",TRIM(SUBSTITUTE(SUBSTITUTE(SUBSTITUTE(SUBSTITUTE(SUBSTITUTE(SUBSTITUTE(SUBSTITUTE(SUBSTITUTE(SUBSTITUTE(SUBSTITUTE(SUBSTITUTE(LOWER(TRIM(D203)),"ё","е"),"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отк",TRIM(SUBSTITUTE(SUBSTITUTE(SUBSTITUTE(SUBSTITUTE(SUBSTITUTE(SUBSTITUTE(SUBSTITUTE(SUBSTITUTE(SUBSTITUTE(SUBSTITUTE(SUBSTITUTE(LOWER(TRIM(D203)),"ё","е")," -","-"),"- ","-")," 2 разряда","")," 3 разряда","")," 4 разряда","")," 5 разряда","")," 6 разряда","")," 1 категории","")," 2 категории","")," 3 категории",""))))))</f>
        <v>главный энергетик</v>
      </c>
      <c r="H203" s="35" t="n">
        <f aca="false">IF(C203="","",IF(AND(G203="мастер участка",ISNUMBER(SEARCH("РЭО",E203))),29,IFERROR(INDEX(Соответствие!$B$2:$B$100,MATCH(G203,Соответствие!$A$2:$A$100,0)),"?")))</f>
        <v>5</v>
      </c>
      <c r="I203" s="39" t="str">
        <f aca="false">IF(C203="","",IFERROR(INDEX(Перечень!$C$6:$C$52,MATCH(H203,Перечень!$A$6:$A$52,0)),""))</f>
        <v>п.4.4, п.5.2, п.6.2</v>
      </c>
      <c r="J203" s="35" t="n">
        <f aca="false">IF(C203="","",IFERROR(INDEX(Перечень!$D$6:$D$52,MATCH(H203,Перечень!$A$6:$A$52,0)),12))</f>
        <v>12</v>
      </c>
      <c r="K203" s="40"/>
      <c r="L203" s="40"/>
      <c r="M203" s="37" t="str">
        <f aca="false">IF(AND(K203="",L203=""),"",EDATE(MAX(K203,L203),J203))</f>
        <v/>
      </c>
      <c r="N203" s="41" t="str">
        <f aca="false">IF(C203="","",IFERROR(INDEX(Перечень!$F$6:$F$52,MATCH(H203,Перечень!$A$6:$A$52,0)),""))</f>
        <v>Да</v>
      </c>
      <c r="O203" s="40"/>
      <c r="P203" s="37" t="str">
        <f aca="false">IF(O203="","",EDATE(O203,60))</f>
        <v/>
      </c>
      <c r="Q203" s="41" t="str">
        <f aca="false">IF(AND(K203&lt;&gt;"",F203&lt;&gt;"",K203&gt;F203),"Да","")</f>
        <v/>
      </c>
      <c r="R203" s="41" t="str">
        <f aca="true">IF(C203="","",IF(M203="","Нет сведений",IF(M203&lt;TODAY(),"Просрочен",IF(M203-TODAY()&lt;=30,"Истекает","В срок"))))</f>
        <v>Нет сведений</v>
      </c>
      <c r="S203" s="41" t="str">
        <f aca="false">IF(AND(N203="Да",O203=""),"Не пройдено","")</f>
        <v>Не пройдено</v>
      </c>
    </row>
    <row r="204" customFormat="false" ht="14.25" hidden="false" customHeight="false" outlineLevel="0" collapsed="false">
      <c r="A204" s="35" t="n">
        <f aca="false">IF(C204="","",ROW()-5)</f>
        <v>199</v>
      </c>
      <c r="B204" s="36" t="s">
        <v>107</v>
      </c>
      <c r="C204" s="36" t="s">
        <v>415</v>
      </c>
      <c r="D204" s="36" t="s">
        <v>416</v>
      </c>
      <c r="E204" s="36" t="s">
        <v>402</v>
      </c>
      <c r="F204" s="37" t="n">
        <v>46091</v>
      </c>
      <c r="G204" s="38" t="str">
        <f aca="false">IF(C204="","",IF(TRIM(SUBSTITUTE(SUBSTITUTE(SUBSTITUTE(SUBSTITUTE(SUBSTITUTE(SUBSTITUTE(SUBSTITUTE(SUBSTITUTE(SUBSTITUTE(SUBSTITUTE(SUBSTITUTE(LOWER(TRIM(D204)),"ё","е"),"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категории",""))="инженер",IF(AND(ISNUMBER(SEARCH("техническ",E204)),ISNUMBER(SEARCH("контрол",E204))),"инженер отк",IF(ISNUMBER(SEARCH("диспетч",E204)),"инженер пдо",TRIM(SUBSTITUTE(SUBSTITUTE(SUBSTITUTE(SUBSTITUTE(SUBSTITUTE(SUBSTITUTE(SUBSTITUTE(SUBSTITUTE(SUBSTITUTE(SUBSTITUTE(SUBSTITUTE(LOWER(TRIM(D204)),"ё","е"),"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инженер",IF(ISNUMBER(SEARCH("диспетч",E204)),"ведущий инженер пдо",TRIM(SUBSTITUTE(SUBSTITUTE(SUBSTITUTE(SUBSTITUTE(SUBSTITUTE(SUBSTITUTE(SUBSTITUTE(SUBSTITUTE(SUBSTITUTE(SUBSTITUTE(SUBSTITUTE(LOWER(TRIM(D204)),"ё","е"),"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отк",TRIM(SUBSTITUTE(SUBSTITUTE(SUBSTITUTE(SUBSTITUTE(SUBSTITUTE(SUBSTITUTE(SUBSTITUTE(SUBSTITUTE(SUBSTITUTE(SUBSTITUTE(SUBSTITUTE(LOWER(TRIM(D204)),"ё","е")," -","-"),"- ","-")," 2 разряда","")," 3 разряда","")," 4 разряда","")," 5 разряда","")," 6 разряда","")," 1 категории","")," 2 категории","")," 3 категории",""))))))</f>
        <v>главный механик</v>
      </c>
      <c r="H204" s="35" t="n">
        <f aca="false">IF(C204="","",IF(AND(G204="мастер участка",ISNUMBER(SEARCH("РЭО",E204))),29,IFERROR(INDEX(Соответствие!$B$2:$B$100,MATCH(G204,Соответствие!$A$2:$A$100,0)),"?")))</f>
        <v>6</v>
      </c>
      <c r="I204" s="39" t="str">
        <f aca="false">IF(C204="","",IFERROR(INDEX(Перечень!$C$6:$C$52,MATCH(H204,Перечень!$A$6:$A$52,0)),""))</f>
        <v>п.4.4, п.5.2, п.6.2</v>
      </c>
      <c r="J204" s="35" t="n">
        <f aca="false">IF(C204="","",IFERROR(INDEX(Перечень!$D$6:$D$52,MATCH(H204,Перечень!$A$6:$A$52,0)),12))</f>
        <v>12</v>
      </c>
      <c r="K204" s="40"/>
      <c r="L204" s="40"/>
      <c r="M204" s="37" t="str">
        <f aca="false">IF(AND(K204="",L204=""),"",EDATE(MAX(K204,L204),J204))</f>
        <v/>
      </c>
      <c r="N204" s="41" t="str">
        <f aca="false">IF(C204="","",IFERROR(INDEX(Перечень!$F$6:$F$52,MATCH(H204,Перечень!$A$6:$A$52,0)),""))</f>
        <v>Нет</v>
      </c>
      <c r="O204" s="40"/>
      <c r="P204" s="37" t="str">
        <f aca="false">IF(O204="","",EDATE(O204,60))</f>
        <v/>
      </c>
      <c r="Q204" s="41" t="str">
        <f aca="false">IF(AND(K204&lt;&gt;"",F204&lt;&gt;"",K204&gt;F204),"Да","")</f>
        <v/>
      </c>
      <c r="R204" s="41" t="str">
        <f aca="true">IF(C204="","",IF(M204="","Нет сведений",IF(M204&lt;TODAY(),"Просрочен",IF(M204-TODAY()&lt;=30,"Истекает","В срок"))))</f>
        <v>Нет сведений</v>
      </c>
      <c r="S204" s="41" t="str">
        <f aca="false">IF(AND(N204="Да",O204=""),"Не пройдено","")</f>
        <v/>
      </c>
    </row>
    <row r="205" customFormat="false" ht="14.25" hidden="false" customHeight="false" outlineLevel="0" collapsed="false">
      <c r="A205" s="35" t="n">
        <f aca="false">IF(C205="","",ROW()-5)</f>
        <v>200</v>
      </c>
      <c r="B205" s="36" t="s">
        <v>107</v>
      </c>
      <c r="C205" s="36" t="s">
        <v>417</v>
      </c>
      <c r="D205" s="36" t="s">
        <v>418</v>
      </c>
      <c r="E205" s="36" t="s">
        <v>402</v>
      </c>
      <c r="F205" s="37" t="n">
        <v>44621</v>
      </c>
      <c r="G205" s="38" t="str">
        <f aca="false">IF(C205="","",IF(TRIM(SUBSTITUTE(SUBSTITUTE(SUBSTITUTE(SUBSTITUTE(SUBSTITUTE(SUBSTITUTE(SUBSTITUTE(SUBSTITUTE(SUBSTITUTE(SUBSTITUTE(SUBSTITUTE(LOWER(TRIM(D205)),"ё","е"),"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категории",""))="инженер",IF(AND(ISNUMBER(SEARCH("техническ",E205)),ISNUMBER(SEARCH("контрол",E205))),"инженер отк",IF(ISNUMBER(SEARCH("диспетч",E205)),"инженер пдо",TRIM(SUBSTITUTE(SUBSTITUTE(SUBSTITUTE(SUBSTITUTE(SUBSTITUTE(SUBSTITUTE(SUBSTITUTE(SUBSTITUTE(SUBSTITUTE(SUBSTITUTE(SUBSTITUTE(LOWER(TRIM(D205)),"ё","е"),"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инженер",IF(ISNUMBER(SEARCH("диспетч",E205)),"ведущий инженер пдо",TRIM(SUBSTITUTE(SUBSTITUTE(SUBSTITUTE(SUBSTITUTE(SUBSTITUTE(SUBSTITUTE(SUBSTITUTE(SUBSTITUTE(SUBSTITUTE(SUBSTITUTE(SUBSTITUTE(LOWER(TRIM(D205)),"ё","е"),"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отк",TRIM(SUBSTITUTE(SUBSTITUTE(SUBSTITUTE(SUBSTITUTE(SUBSTITUTE(SUBSTITUTE(SUBSTITUTE(SUBSTITUTE(SUBSTITUTE(SUBSTITUTE(SUBSTITUTE(LOWER(TRIM(D205)),"ё","е"),"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электромонтер по ремонту и обслуживанию электрооборудования</v>
      </c>
      <c r="H205" s="35" t="n">
        <f aca="false">IF(C205="","",IF(AND(G205="мастер участка",ISNUMBER(SEARCH("РЭО",E205))),29,IFERROR(INDEX(Соответствие!$B$2:$B$100,MATCH(G205,Соответствие!$A$2:$A$100,0)),"?")))</f>
        <v>2</v>
      </c>
      <c r="I205" s="39" t="str">
        <f aca="false">IF(C205="","",IFERROR(INDEX(Перечень!$C$6:$C$52,MATCH(H205,Перечень!$A$6:$A$52,0)),""))</f>
        <v>п.4.2.3, п.4.3.1, п.4.3.2, п.4.4, п.5.1, п.5.2, п.6.2, п.9</v>
      </c>
      <c r="J205" s="35" t="n">
        <f aca="false">IF(C205="","",IFERROR(INDEX(Перечень!$D$6:$D$52,MATCH(H205,Перечень!$A$6:$A$52,0)),12))</f>
        <v>12</v>
      </c>
      <c r="K205" s="40"/>
      <c r="L205" s="40"/>
      <c r="M205" s="37" t="str">
        <f aca="false">IF(AND(K205="",L205=""),"",EDATE(MAX(K205,L205),J205))</f>
        <v/>
      </c>
      <c r="N205" s="41" t="str">
        <f aca="false">IF(C205="","",IFERROR(INDEX(Перечень!$F$6:$F$52,MATCH(H205,Перечень!$A$6:$A$52,0)),""))</f>
        <v>Да</v>
      </c>
      <c r="O205" s="40"/>
      <c r="P205" s="37" t="str">
        <f aca="false">IF(O205="","",EDATE(O205,60))</f>
        <v/>
      </c>
      <c r="Q205" s="41" t="str">
        <f aca="false">IF(AND(K205&lt;&gt;"",F205&lt;&gt;"",K205&gt;F205),"Да","")</f>
        <v/>
      </c>
      <c r="R205" s="41" t="str">
        <f aca="true">IF(C205="","",IF(M205="","Нет сведений",IF(M205&lt;TODAY(),"Просрочен",IF(M205-TODAY()&lt;=30,"Истекает","В срок"))))</f>
        <v>Нет сведений</v>
      </c>
      <c r="S205" s="41" t="str">
        <f aca="false">IF(AND(N205="Да",O205=""),"Не пройдено","")</f>
        <v>Не пройдено</v>
      </c>
    </row>
    <row r="206" customFormat="false" ht="14.25" hidden="false" customHeight="false" outlineLevel="0" collapsed="false">
      <c r="A206" s="35" t="n">
        <f aca="false">IF(C206="","",ROW()-5)</f>
        <v>201</v>
      </c>
      <c r="B206" s="36" t="s">
        <v>107</v>
      </c>
      <c r="C206" s="36" t="s">
        <v>419</v>
      </c>
      <c r="D206" s="36" t="s">
        <v>418</v>
      </c>
      <c r="E206" s="36" t="s">
        <v>402</v>
      </c>
      <c r="F206" s="37" t="n">
        <v>46084</v>
      </c>
      <c r="G206" s="38" t="str">
        <f aca="false">IF(C206="","",IF(TRIM(SUBSTITUTE(SUBSTITUTE(SUBSTITUTE(SUBSTITUTE(SUBSTITUTE(SUBSTITUTE(SUBSTITUTE(SUBSTITUTE(SUBSTITUTE(SUBSTITUTE(SUBSTITUTE(LOWER(TRIM(D206)),"ё","е"),"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категории",""))="инженер",IF(AND(ISNUMBER(SEARCH("техническ",E206)),ISNUMBER(SEARCH("контрол",E206))),"инженер отк",IF(ISNUMBER(SEARCH("диспетч",E206)),"инженер пдо",TRIM(SUBSTITUTE(SUBSTITUTE(SUBSTITUTE(SUBSTITUTE(SUBSTITUTE(SUBSTITUTE(SUBSTITUTE(SUBSTITUTE(SUBSTITUTE(SUBSTITUTE(SUBSTITUTE(LOWER(TRIM(D206)),"ё","е"),"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инженер",IF(ISNUMBER(SEARCH("диспетч",E206)),"ведущий инженер пдо",TRIM(SUBSTITUTE(SUBSTITUTE(SUBSTITUTE(SUBSTITUTE(SUBSTITUTE(SUBSTITUTE(SUBSTITUTE(SUBSTITUTE(SUBSTITUTE(SUBSTITUTE(SUBSTITUTE(LOWER(TRIM(D206)),"ё","е"),"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отк",TRIM(SUBSTITUTE(SUBSTITUTE(SUBSTITUTE(SUBSTITUTE(SUBSTITUTE(SUBSTITUTE(SUBSTITUTE(SUBSTITUTE(SUBSTITUTE(SUBSTITUTE(SUBSTITUTE(LOWER(TRIM(D206)),"ё","е"),"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электромонтер по ремонту и обслуживанию электрооборудования</v>
      </c>
      <c r="H206" s="35" t="n">
        <f aca="false">IF(C206="","",IF(AND(G206="мастер участка",ISNUMBER(SEARCH("РЭО",E206))),29,IFERROR(INDEX(Соответствие!$B$2:$B$100,MATCH(G206,Соответствие!$A$2:$A$100,0)),"?")))</f>
        <v>2</v>
      </c>
      <c r="I206" s="39" t="str">
        <f aca="false">IF(C206="","",IFERROR(INDEX(Перечень!$C$6:$C$52,MATCH(H206,Перечень!$A$6:$A$52,0)),""))</f>
        <v>п.4.2.3, п.4.3.1, п.4.3.2, п.4.4, п.5.1, п.5.2, п.6.2, п.9</v>
      </c>
      <c r="J206" s="35" t="n">
        <f aca="false">IF(C206="","",IFERROR(INDEX(Перечень!$D$6:$D$52,MATCH(H206,Перечень!$A$6:$A$52,0)),12))</f>
        <v>12</v>
      </c>
      <c r="K206" s="40"/>
      <c r="L206" s="40"/>
      <c r="M206" s="37" t="str">
        <f aca="false">IF(AND(K206="",L206=""),"",EDATE(MAX(K206,L206),J206))</f>
        <v/>
      </c>
      <c r="N206" s="41" t="str">
        <f aca="false">IF(C206="","",IFERROR(INDEX(Перечень!$F$6:$F$52,MATCH(H206,Перечень!$A$6:$A$52,0)),""))</f>
        <v>Да</v>
      </c>
      <c r="O206" s="40"/>
      <c r="P206" s="37" t="str">
        <f aca="false">IF(O206="","",EDATE(O206,60))</f>
        <v/>
      </c>
      <c r="Q206" s="41" t="str">
        <f aca="false">IF(AND(K206&lt;&gt;"",F206&lt;&gt;"",K206&gt;F206),"Да","")</f>
        <v/>
      </c>
      <c r="R206" s="41" t="str">
        <f aca="true">IF(C206="","",IF(M206="","Нет сведений",IF(M206&lt;TODAY(),"Просрочен",IF(M206-TODAY()&lt;=30,"Истекает","В срок"))))</f>
        <v>Нет сведений</v>
      </c>
      <c r="S206" s="41" t="str">
        <f aca="false">IF(AND(N206="Да",O206=""),"Не пройдено","")</f>
        <v>Не пройдено</v>
      </c>
    </row>
    <row r="207" customFormat="false" ht="14.25" hidden="false" customHeight="false" outlineLevel="0" collapsed="false">
      <c r="A207" s="35" t="n">
        <f aca="false">IF(C207="","",ROW()-5)</f>
        <v>202</v>
      </c>
      <c r="B207" s="36" t="s">
        <v>107</v>
      </c>
      <c r="C207" s="36" t="s">
        <v>420</v>
      </c>
      <c r="D207" s="36" t="s">
        <v>421</v>
      </c>
      <c r="E207" s="36" t="s">
        <v>402</v>
      </c>
      <c r="F207" s="37" t="n">
        <v>45596</v>
      </c>
      <c r="G207" s="38" t="str">
        <f aca="false">IF(C207="","",IF(TRIM(SUBSTITUTE(SUBSTITUTE(SUBSTITUTE(SUBSTITUTE(SUBSTITUTE(SUBSTITUTE(SUBSTITUTE(SUBSTITUTE(SUBSTITUTE(SUBSTITUTE(SUBSTITUTE(LOWER(TRIM(D207)),"ё","е"),"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категории",""))="инженер",IF(AND(ISNUMBER(SEARCH("техническ",E207)),ISNUMBER(SEARCH("контрол",E207))),"инженер отк",IF(ISNUMBER(SEARCH("диспетч",E207)),"инженер пдо",TRIM(SUBSTITUTE(SUBSTITUTE(SUBSTITUTE(SUBSTITUTE(SUBSTITUTE(SUBSTITUTE(SUBSTITUTE(SUBSTITUTE(SUBSTITUTE(SUBSTITUTE(SUBSTITUTE(LOWER(TRIM(D207)),"ё","е"),"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инженер",IF(ISNUMBER(SEARCH("диспетч",E207)),"ведущий инженер пдо",TRIM(SUBSTITUTE(SUBSTITUTE(SUBSTITUTE(SUBSTITUTE(SUBSTITUTE(SUBSTITUTE(SUBSTITUTE(SUBSTITUTE(SUBSTITUTE(SUBSTITUTE(SUBSTITUTE(LOWER(TRIM(D207)),"ё","е"),"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отк",TRIM(SUBSTITUTE(SUBSTITUTE(SUBSTITUTE(SUBSTITUTE(SUBSTITUTE(SUBSTITUTE(SUBSTITUTE(SUBSTITUTE(SUBSTITUTE(SUBSTITUTE(SUBSTITUTE(LOWER(TRIM(D207)),"ё","е")," -","-"),"- ","-")," 2 разряда","")," 3 разряда","")," 4 разряда","")," 5 разряда","")," 6 разряда","")," 1 категории","")," 2 категории","")," 3 категории",""))))))</f>
        <v>инженер по эксплуатации зданий и сооружений</v>
      </c>
      <c r="H207" s="35" t="n">
        <f aca="false">IF(C207="","",IF(AND(G207="мастер участка",ISNUMBER(SEARCH("РЭО",E207))),29,IFERROR(INDEX(Соответствие!$B$2:$B$100,MATCH(G207,Соответствие!$A$2:$A$100,0)),"?")))</f>
        <v>4</v>
      </c>
      <c r="I207" s="39" t="str">
        <f aca="false">IF(C207="","",IFERROR(INDEX(Перечень!$C$6:$C$52,MATCH(H207,Перечень!$A$6:$A$52,0)),""))</f>
        <v>п.4.3.1, п.4.4, п.5.1, п.5.2, п.6.2</v>
      </c>
      <c r="J207" s="35" t="n">
        <f aca="false">IF(C207="","",IFERROR(INDEX(Перечень!$D$6:$D$52,MATCH(H207,Перечень!$A$6:$A$52,0)),12))</f>
        <v>12</v>
      </c>
      <c r="K207" s="40"/>
      <c r="L207" s="40"/>
      <c r="M207" s="37" t="str">
        <f aca="false">IF(AND(K207="",L207=""),"",EDATE(MAX(K207,L207),J207))</f>
        <v/>
      </c>
      <c r="N207" s="41" t="str">
        <f aca="false">IF(C207="","",IFERROR(INDEX(Перечень!$F$6:$F$52,MATCH(H207,Перечень!$A$6:$A$52,0)),""))</f>
        <v>-</v>
      </c>
      <c r="O207" s="40"/>
      <c r="P207" s="37" t="str">
        <f aca="false">IF(O207="","",EDATE(O207,60))</f>
        <v/>
      </c>
      <c r="Q207" s="41" t="str">
        <f aca="false">IF(AND(K207&lt;&gt;"",F207&lt;&gt;"",K207&gt;F207),"Да","")</f>
        <v/>
      </c>
      <c r="R207" s="41" t="str">
        <f aca="true">IF(C207="","",IF(M207="","Нет сведений",IF(M207&lt;TODAY(),"Просрочен",IF(M207-TODAY()&lt;=30,"Истекает","В срок"))))</f>
        <v>Нет сведений</v>
      </c>
      <c r="S207" s="41" t="str">
        <f aca="false">IF(AND(N207="Да",O207=""),"Не пройдено","")</f>
        <v/>
      </c>
    </row>
    <row r="208" customFormat="false" ht="14.25" hidden="false" customHeight="false" outlineLevel="0" collapsed="false">
      <c r="A208" s="35" t="n">
        <f aca="false">IF(C208="","",ROW()-5)</f>
        <v>203</v>
      </c>
      <c r="B208" s="36" t="s">
        <v>107</v>
      </c>
      <c r="C208" s="36" t="s">
        <v>422</v>
      </c>
      <c r="D208" s="36" t="s">
        <v>423</v>
      </c>
      <c r="E208" s="36" t="s">
        <v>402</v>
      </c>
      <c r="F208" s="37" t="n">
        <v>46036</v>
      </c>
      <c r="G208" s="38" t="str">
        <f aca="false">IF(C208="","",IF(TRIM(SUBSTITUTE(SUBSTITUTE(SUBSTITUTE(SUBSTITUTE(SUBSTITUTE(SUBSTITUTE(SUBSTITUTE(SUBSTITUTE(SUBSTITUTE(SUBSTITUTE(SUBSTITUTE(LOWER(TRIM(D208)),"ё","е"),"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категории",""))="инженер",IF(AND(ISNUMBER(SEARCH("техническ",E208)),ISNUMBER(SEARCH("контрол",E208))),"инженер отк",IF(ISNUMBER(SEARCH("диспетч",E208)),"инженер пдо",TRIM(SUBSTITUTE(SUBSTITUTE(SUBSTITUTE(SUBSTITUTE(SUBSTITUTE(SUBSTITUTE(SUBSTITUTE(SUBSTITUTE(SUBSTITUTE(SUBSTITUTE(SUBSTITUTE(LOWER(TRIM(D208)),"ё","е"),"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инженер",IF(ISNUMBER(SEARCH("диспетч",E208)),"ведущий инженер пдо",TRIM(SUBSTITUTE(SUBSTITUTE(SUBSTITUTE(SUBSTITUTE(SUBSTITUTE(SUBSTITUTE(SUBSTITUTE(SUBSTITUTE(SUBSTITUTE(SUBSTITUTE(SUBSTITUTE(LOWER(TRIM(D208)),"ё","е"),"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отк",TRIM(SUBSTITUTE(SUBSTITUTE(SUBSTITUTE(SUBSTITUTE(SUBSTITUTE(SUBSTITUTE(SUBSTITUTE(SUBSTITUTE(SUBSTITUTE(SUBSTITUTE(SUBSTITUTE(LOWER(TRIM(D208)),"ё","е"),"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электромонтер по ремонту и обслуживанию электрооборудования</v>
      </c>
      <c r="H208" s="35" t="n">
        <f aca="false">IF(C208="","",IF(AND(G208="мастер участка",ISNUMBER(SEARCH("РЭО",E208))),29,IFERROR(INDEX(Соответствие!$B$2:$B$100,MATCH(G208,Соответствие!$A$2:$A$100,0)),"?")))</f>
        <v>2</v>
      </c>
      <c r="I208" s="39" t="str">
        <f aca="false">IF(C208="","",IFERROR(INDEX(Перечень!$C$6:$C$52,MATCH(H208,Перечень!$A$6:$A$52,0)),""))</f>
        <v>п.4.2.3, п.4.3.1, п.4.3.2, п.4.4, п.5.1, п.5.2, п.6.2, п.9</v>
      </c>
      <c r="J208" s="35" t="n">
        <f aca="false">IF(C208="","",IFERROR(INDEX(Перечень!$D$6:$D$52,MATCH(H208,Перечень!$A$6:$A$52,0)),12))</f>
        <v>12</v>
      </c>
      <c r="K208" s="40"/>
      <c r="L208" s="40"/>
      <c r="M208" s="37" t="str">
        <f aca="false">IF(AND(K208="",L208=""),"",EDATE(MAX(K208,L208),J208))</f>
        <v/>
      </c>
      <c r="N208" s="41" t="str">
        <f aca="false">IF(C208="","",IFERROR(INDEX(Перечень!$F$6:$F$52,MATCH(H208,Перечень!$A$6:$A$52,0)),""))</f>
        <v>Да</v>
      </c>
      <c r="O208" s="40"/>
      <c r="P208" s="37" t="str">
        <f aca="false">IF(O208="","",EDATE(O208,60))</f>
        <v/>
      </c>
      <c r="Q208" s="41" t="str">
        <f aca="false">IF(AND(K208&lt;&gt;"",F208&lt;&gt;"",K208&gt;F208),"Да","")</f>
        <v/>
      </c>
      <c r="R208" s="41" t="str">
        <f aca="true">IF(C208="","",IF(M208="","Нет сведений",IF(M208&lt;TODAY(),"Просрочен",IF(M208-TODAY()&lt;=30,"Истекает","В срок"))))</f>
        <v>Нет сведений</v>
      </c>
      <c r="S208" s="41" t="str">
        <f aca="false">IF(AND(N208="Да",O208=""),"Не пройдено","")</f>
        <v>Не пройдено</v>
      </c>
    </row>
    <row r="209" customFormat="false" ht="14.25" hidden="false" customHeight="false" outlineLevel="0" collapsed="false">
      <c r="A209" s="35" t="n">
        <f aca="false">IF(C209="","",ROW()-5)</f>
        <v>204</v>
      </c>
      <c r="B209" s="36" t="s">
        <v>107</v>
      </c>
      <c r="C209" s="36" t="s">
        <v>424</v>
      </c>
      <c r="D209" s="36" t="s">
        <v>425</v>
      </c>
      <c r="E209" s="36" t="s">
        <v>402</v>
      </c>
      <c r="F209" s="37" t="n">
        <v>42388</v>
      </c>
      <c r="G209" s="38" t="str">
        <f aca="false">IF(C209="","",IF(TRIM(SUBSTITUTE(SUBSTITUTE(SUBSTITUTE(SUBSTITUTE(SUBSTITUTE(SUBSTITUTE(SUBSTITUTE(SUBSTITUTE(SUBSTITUTE(SUBSTITUTE(SUBSTITUTE(LOWER(TRIM(D209)),"ё","е"),"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категории",""))="инженер",IF(AND(ISNUMBER(SEARCH("техническ",E209)),ISNUMBER(SEARCH("контрол",E209))),"инженер отк",IF(ISNUMBER(SEARCH("диспетч",E209)),"инженер пдо",TRIM(SUBSTITUTE(SUBSTITUTE(SUBSTITUTE(SUBSTITUTE(SUBSTITUTE(SUBSTITUTE(SUBSTITUTE(SUBSTITUTE(SUBSTITUTE(SUBSTITUTE(SUBSTITUTE(LOWER(TRIM(D209)),"ё","е"),"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категории","")))),IF(TRIM(SUBSTITUTE(SUBSTITUTE(SUBSTITUTE(SUBSTITUTE(SUBSTITUTE(SUBSTITUTE(SUBSTITUTE(SUBSTITUTE(SUBSTITUTE(SUBSTITUTE(SUBSTITUTE(LOWER(TRIM(D209)),"ё","е"),"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инженер",IF(ISNUMBER(SEARCH("диспетч",E209)),"ведущий инженер пдо",TRIM(SUBSTITUTE(SUBSTITUTE(SUBSTITUTE(SUBSTITUTE(SUBSTITUTE(SUBSTITUTE(SUBSTITUTE(SUBSTITUTE(SUBSTITUTE(SUBSTITUTE(SUBSTITUTE(LOWER(TRIM(D209)),"ё","е"),"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категории",""))),IF(TRIM(SUBSTITUTE(SUBSTITUTE(SUBSTITUTE(SUBSTITUTE(SUBSTITUTE(SUBSTITUTE(SUBSTITUTE(SUBSTITUTE(SUBSTITUTE(SUBSTITUTE(SUBSTITUTE(LOWER(TRIM(D209)),"ё","е"),"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отк",TRIM(SUBSTITUTE(SUBSTITUTE(SUBSTITUTE(SUBSTITUTE(SUBSTITUTE(SUBSTITUTE(SUBSTITUTE(SUBSTITUTE(SUBSTITUTE(SUBSTITUTE(SUBSTITUTE(LOWER(TRIM(D209)),"ё","е")," -","-"),"- ","-")," 2 разряда","")," 3 разряда","")," 4 разряда","")," 5 разряда","")," 6 разряда","")," 1 категории","")," 2 категории","")," 3 категории",""))))))</f>
        <v>механик-наладчик</v>
      </c>
      <c r="H209" s="35" t="n">
        <f aca="false">IF(C209="","",IF(AND(G209="мастер участка",ISNUMBER(SEARCH("РЭО",E209))),29,IFERROR(INDEX(Соответствие!$B$2:$B$100,MATCH(G209,Соответствие!$A$2:$A$100,0)),"?")))</f>
        <v>11</v>
      </c>
      <c r="I209" s="39" t="str">
        <f aca="false">IF(C209="","",IFERROR(INDEX(Перечень!$C$6:$C$52,MATCH(H209,Перечень!$A$6:$A$52,0)),""))</f>
        <v>п.4.3.1, п.4.3.2, п.4.4, п.4.6, п.5.1, п.6.2</v>
      </c>
      <c r="J209" s="35" t="n">
        <f aca="false">IF(C209="","",IFERROR(INDEX(Перечень!$D$6:$D$52,MATCH(H209,Перечень!$A$6:$A$52,0)),12))</f>
        <v>12</v>
      </c>
      <c r="K209" s="40"/>
      <c r="L209" s="40"/>
      <c r="M209" s="37" t="str">
        <f aca="false">IF(AND(K209="",L209=""),"",EDATE(MAX(K209,L209),J209))</f>
        <v/>
      </c>
      <c r="N209" s="41" t="str">
        <f aca="false">IF(C209="","",IFERROR(INDEX(Перечень!$F$6:$F$52,MATCH(H209,Перечень!$A$6:$A$52,0)),""))</f>
        <v>-</v>
      </c>
      <c r="O209" s="40"/>
      <c r="P209" s="37" t="str">
        <f aca="false">IF(O209="","",EDATE(O209,60))</f>
        <v/>
      </c>
      <c r="Q209" s="41" t="str">
        <f aca="false">IF(AND(K209&lt;&gt;"",F209&lt;&gt;"",K209&gt;F209),"Да","")</f>
        <v/>
      </c>
      <c r="R209" s="41" t="str">
        <f aca="true">IF(C209="","",IF(M209="","Нет сведений",IF(M209&lt;TODAY(),"Просрочен",IF(M209-TODAY()&lt;=30,"Истекает","В срок"))))</f>
        <v>Нет сведений</v>
      </c>
      <c r="S209" s="41" t="str">
        <f aca="false">IF(AND(N209="Да",O209=""),"Не пройдено","")</f>
        <v/>
      </c>
    </row>
    <row r="210" customFormat="false" ht="14.25" hidden="false" customHeight="false" outlineLevel="0" collapsed="false">
      <c r="A210" s="35" t="n">
        <f aca="false">IF(C210="","",ROW()-5)</f>
        <v>205</v>
      </c>
      <c r="B210" s="36" t="s">
        <v>107</v>
      </c>
      <c r="C210" s="36" t="s">
        <v>426</v>
      </c>
      <c r="D210" s="36" t="s">
        <v>427</v>
      </c>
      <c r="E210" s="36" t="s">
        <v>402</v>
      </c>
      <c r="F210" s="37" t="n">
        <v>45817</v>
      </c>
      <c r="G210" s="38" t="str">
        <f aca="false">IF(C210="","",IF(TRIM(SUBSTITUTE(SUBSTITUTE(SUBSTITUTE(SUBSTITUTE(SUBSTITUTE(SUBSTITUTE(SUBSTITUTE(SUBSTITUTE(SUBSTITUTE(SUBSTITUTE(SUBSTITUTE(LOWER(TRIM(D210)),"ё","е"),"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категории",""))="инженер",IF(AND(ISNUMBER(SEARCH("техническ",E210)),ISNUMBER(SEARCH("контрол",E210))),"инженер отк",IF(ISNUMBER(SEARCH("диспетч",E210)),"инженер пдо",TRIM(SUBSTITUTE(SUBSTITUTE(SUBSTITUTE(SUBSTITUTE(SUBSTITUTE(SUBSTITUTE(SUBSTITUTE(SUBSTITUTE(SUBSTITUTE(SUBSTITUTE(SUBSTITUTE(LOWER(TRIM(D210)),"ё","е"),"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инженер",IF(ISNUMBER(SEARCH("диспетч",E210)),"ведущий инженер пдо",TRIM(SUBSTITUTE(SUBSTITUTE(SUBSTITUTE(SUBSTITUTE(SUBSTITUTE(SUBSTITUTE(SUBSTITUTE(SUBSTITUTE(SUBSTITUTE(SUBSTITUTE(SUBSTITUTE(LOWER(TRIM(D210)),"ё","е"),"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отк",TRIM(SUBSTITUTE(SUBSTITUTE(SUBSTITUTE(SUBSTITUTE(SUBSTITUTE(SUBSTITUTE(SUBSTITUTE(SUBSTITUTE(SUBSTITUTE(SUBSTITUTE(SUBSTITUTE(LOWER(TRIM(D210)),"ё","е")," -","-"),"- ","-")," 2 разряда","")," 3 разряда","")," 4 разряда","")," 5 разряда","")," 6 разряда","")," 1 категории","")," 2 категории","")," 3 категории",""))))))</f>
        <v>инженер-электрик</v>
      </c>
      <c r="H210" s="35" t="n">
        <f aca="false">IF(C210="","",IF(AND(G210="мастер участка",ISNUMBER(SEARCH("РЭО",E210))),29,IFERROR(INDEX(Соответствие!$B$2:$B$100,MATCH(G210,Соответствие!$A$2:$A$100,0)),"?")))</f>
        <v>2</v>
      </c>
      <c r="I210" s="39" t="str">
        <f aca="false">IF(C210="","",IFERROR(INDEX(Перечень!$C$6:$C$52,MATCH(H210,Перечень!$A$6:$A$52,0)),""))</f>
        <v>п.4.2.3, п.4.3.1, п.4.3.2, п.4.4, п.5.1, п.5.2, п.6.2, п.9</v>
      </c>
      <c r="J210" s="35" t="n">
        <f aca="false">IF(C210="","",IFERROR(INDEX(Перечень!$D$6:$D$52,MATCH(H210,Перечень!$A$6:$A$52,0)),12))</f>
        <v>12</v>
      </c>
      <c r="K210" s="40"/>
      <c r="L210" s="40"/>
      <c r="M210" s="37" t="str">
        <f aca="false">IF(AND(K210="",L210=""),"",EDATE(MAX(K210,L210),J210))</f>
        <v/>
      </c>
      <c r="N210" s="41" t="str">
        <f aca="false">IF(C210="","",IFERROR(INDEX(Перечень!$F$6:$F$52,MATCH(H210,Перечень!$A$6:$A$52,0)),""))</f>
        <v>Да</v>
      </c>
      <c r="O210" s="40"/>
      <c r="P210" s="37" t="str">
        <f aca="false">IF(O210="","",EDATE(O210,60))</f>
        <v/>
      </c>
      <c r="Q210" s="41" t="str">
        <f aca="false">IF(AND(K210&lt;&gt;"",F210&lt;&gt;"",K210&gt;F210),"Да","")</f>
        <v/>
      </c>
      <c r="R210" s="41" t="str">
        <f aca="true">IF(C210="","",IF(M210="","Нет сведений",IF(M210&lt;TODAY(),"Просрочен",IF(M210-TODAY()&lt;=30,"Истекает","В срок"))))</f>
        <v>Нет сведений</v>
      </c>
      <c r="S210" s="41" t="str">
        <f aca="false">IF(AND(N210="Да",O210=""),"Не пройдено","")</f>
        <v>Не пройдено</v>
      </c>
    </row>
    <row r="211" customFormat="false" ht="14.25" hidden="false" customHeight="false" outlineLevel="0" collapsed="false">
      <c r="A211" s="35" t="n">
        <f aca="false">IF(C211="","",ROW()-5)</f>
        <v>206</v>
      </c>
      <c r="B211" s="36" t="s">
        <v>107</v>
      </c>
      <c r="C211" s="36" t="s">
        <v>428</v>
      </c>
      <c r="D211" s="36" t="s">
        <v>429</v>
      </c>
      <c r="E211" s="36" t="s">
        <v>402</v>
      </c>
      <c r="F211" s="37" t="n">
        <v>46309</v>
      </c>
      <c r="G211" s="38" t="str">
        <f aca="false">IF(C211="","",IF(TRIM(SUBSTITUTE(SUBSTITUTE(SUBSTITUTE(SUBSTITUTE(SUBSTITUTE(SUBSTITUTE(SUBSTITUTE(SUBSTITUTE(SUBSTITUTE(SUBSTITUTE(SUBSTITUTE(LOWER(TRIM(D211)),"ё","е"),"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категории",""))="инженер",IF(AND(ISNUMBER(SEARCH("техническ",E211)),ISNUMBER(SEARCH("контрол",E211))),"инженер отк",IF(ISNUMBER(SEARCH("диспетч",E211)),"инженер пдо",TRIM(SUBSTITUTE(SUBSTITUTE(SUBSTITUTE(SUBSTITUTE(SUBSTITUTE(SUBSTITUTE(SUBSTITUTE(SUBSTITUTE(SUBSTITUTE(SUBSTITUTE(SUBSTITUTE(LOWER(TRIM(D211)),"ё","е"),"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инженер",IF(ISNUMBER(SEARCH("диспетч",E211)),"ведущий инженер пдо",TRIM(SUBSTITUTE(SUBSTITUTE(SUBSTITUTE(SUBSTITUTE(SUBSTITUTE(SUBSTITUTE(SUBSTITUTE(SUBSTITUTE(SUBSTITUTE(SUBSTITUTE(SUBSTITUTE(LOWER(TRIM(D211)),"ё","е"),"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отк",TRIM(SUBSTITUTE(SUBSTITUTE(SUBSTITUTE(SUBSTITUTE(SUBSTITUTE(SUBSTITUTE(SUBSTITUTE(SUBSTITUTE(SUBSTITUTE(SUBSTITUTE(SUBSTITUTE(LOWER(TRIM(D211)),"ё","е")," -","-"),"- ","-")," 2 разряда","")," 3 разряда","")," 4 разряда","")," 5 разряда","")," 6 разряда","")," 1 категории","")," 2 категории","")," 3 категории",""))))))</f>
        <v>слесарь-ремонтник</v>
      </c>
      <c r="H211" s="35" t="n">
        <f aca="false">IF(C211="","",IF(AND(G211="мастер участка",ISNUMBER(SEARCH("РЭО",E211))),29,IFERROR(INDEX(Соответствие!$B$2:$B$100,MATCH(G211,Соответствие!$A$2:$A$100,0)),"?")))</f>
        <v>8</v>
      </c>
      <c r="I211" s="39" t="str">
        <f aca="false">IF(C211="","",IFERROR(INDEX(Перечень!$C$6:$C$52,MATCH(H211,Перечень!$A$6:$A$52,0)),""))</f>
        <v>п.4.3.1, п.4.4, п.5.1, п.6.2, п.15</v>
      </c>
      <c r="J211" s="35" t="n">
        <f aca="false">IF(C211="","",IFERROR(INDEX(Перечень!$D$6:$D$52,MATCH(H211,Перечень!$A$6:$A$52,0)),12))</f>
        <v>12</v>
      </c>
      <c r="K211" s="40" t="n">
        <v>46296</v>
      </c>
      <c r="L211" s="40"/>
      <c r="M211" s="37" t="n">
        <f aca="false">IF(AND(K211="",L211=""),"",EDATE(MAX(K211,L211),J211))</f>
        <v>46661</v>
      </c>
      <c r="N211" s="41" t="str">
        <f aca="false">IF(C211="","",IFERROR(INDEX(Перечень!$F$6:$F$52,MATCH(H211,Перечень!$A$6:$A$52,0)),""))</f>
        <v>-</v>
      </c>
      <c r="O211" s="40"/>
      <c r="P211" s="37" t="str">
        <f aca="false">IF(O211="","",EDATE(O211,60))</f>
        <v/>
      </c>
      <c r="Q211" s="41" t="str">
        <f aca="false">IF(AND(K211&lt;&gt;"",F211&lt;&gt;"",K211&gt;F211),"Да","")</f>
        <v/>
      </c>
      <c r="R211" s="41" t="str">
        <f aca="true">IF(C211="","",IF(M211="","Нет сведений",IF(M211&lt;TODAY(),"Просрочен",IF(M211-TODAY()&lt;=30,"Истекает","В срок"))))</f>
        <v>В срок</v>
      </c>
      <c r="S211" s="41" t="str">
        <f aca="false">IF(AND(N211="Да",O211=""),"Не пройдено","")</f>
        <v/>
      </c>
    </row>
    <row r="212" customFormat="false" ht="14.25" hidden="false" customHeight="false" outlineLevel="0" collapsed="false">
      <c r="A212" s="35" t="n">
        <f aca="false">IF(C212="","",ROW()-5)</f>
        <v>207</v>
      </c>
      <c r="B212" s="36" t="s">
        <v>107</v>
      </c>
      <c r="C212" s="36" t="s">
        <v>430</v>
      </c>
      <c r="D212" s="36" t="s">
        <v>431</v>
      </c>
      <c r="E212" s="36" t="s">
        <v>432</v>
      </c>
      <c r="F212" s="37" t="n">
        <v>45698</v>
      </c>
      <c r="G212" s="38" t="str">
        <f aca="false">IF(C212="","",IF(TRIM(SUBSTITUTE(SUBSTITUTE(SUBSTITUTE(SUBSTITUTE(SUBSTITUTE(SUBSTITUTE(SUBSTITUTE(SUBSTITUTE(SUBSTITUTE(SUBSTITUTE(SUBSTITUTE(LOWER(TRIM(D212)),"ё","е"),"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категории",""))="инженер",IF(AND(ISNUMBER(SEARCH("техническ",E212)),ISNUMBER(SEARCH("контрол",E212))),"инженер отк",IF(ISNUMBER(SEARCH("диспетч",E212)),"инженер пдо",TRIM(SUBSTITUTE(SUBSTITUTE(SUBSTITUTE(SUBSTITUTE(SUBSTITUTE(SUBSTITUTE(SUBSTITUTE(SUBSTITUTE(SUBSTITUTE(SUBSTITUTE(SUBSTITUTE(LOWER(TRIM(D212)),"ё","е"),"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инженер",IF(ISNUMBER(SEARCH("диспетч",E212)),"ведущий инженер пдо",TRIM(SUBSTITUTE(SUBSTITUTE(SUBSTITUTE(SUBSTITUTE(SUBSTITUTE(SUBSTITUTE(SUBSTITUTE(SUBSTITUTE(SUBSTITUTE(SUBSTITUTE(SUBSTITUTE(LOWER(TRIM(D212)),"ё","е"),"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отк",TRIM(SUBSTITUTE(SUBSTITUTE(SUBSTITUTE(SUBSTITUTE(SUBSTITUTE(SUBSTITUTE(SUBSTITUTE(SUBSTITUTE(SUBSTITUTE(SUBSTITUTE(SUBSTITUTE(LOWER(TRIM(D212)),"ё","е")," -","-"),"- ","-")," 2 разряда","")," 3 разряда","")," 4 разряда","")," 5 разряда","")," 6 разряда","")," 1 категории","")," 2 категории","")," 3 категории",""))))))</f>
        <v>специалист</v>
      </c>
      <c r="H212" s="35" t="n">
        <f aca="false">IF(C212="","",IF(AND(G212="мастер участка",ISNUMBER(SEARCH("РЭО",E212))),29,IFERROR(INDEX(Соответствие!$B$2:$B$100,MATCH(G212,Соответствие!$A$2:$A$100,0)),"?")))</f>
        <v>12</v>
      </c>
      <c r="I212" s="39" t="str">
        <f aca="false">IF(C212="","",IFERROR(INDEX(Перечень!$C$6:$C$52,MATCH(H212,Перечень!$A$6:$A$52,0)),""))</f>
        <v>п.4.4, п.5.2</v>
      </c>
      <c r="J212" s="35" t="n">
        <f aca="false">IF(C212="","",IFERROR(INDEX(Перечень!$D$6:$D$52,MATCH(H212,Перечень!$A$6:$A$52,0)),12))</f>
        <v>12</v>
      </c>
      <c r="K212" s="40"/>
      <c r="L212" s="40"/>
      <c r="M212" s="37" t="str">
        <f aca="false">IF(AND(K212="",L212=""),"",EDATE(MAX(K212,L212),J212))</f>
        <v/>
      </c>
      <c r="N212" s="41" t="str">
        <f aca="false">IF(C212="","",IFERROR(INDEX(Перечень!$F$6:$F$52,MATCH(H212,Перечень!$A$6:$A$52,0)),""))</f>
        <v>-</v>
      </c>
      <c r="O212" s="40"/>
      <c r="P212" s="37" t="str">
        <f aca="false">IF(O212="","",EDATE(O212,60))</f>
        <v/>
      </c>
      <c r="Q212" s="41" t="str">
        <f aca="false">IF(AND(K212&lt;&gt;"",F212&lt;&gt;"",K212&gt;F212),"Да","")</f>
        <v/>
      </c>
      <c r="R212" s="41" t="str">
        <f aca="true">IF(C212="","",IF(M212="","Нет сведений",IF(M212&lt;TODAY(),"Просрочен",IF(M212-TODAY()&lt;=30,"Истекает","В срок"))))</f>
        <v>Нет сведений</v>
      </c>
      <c r="S212" s="41" t="str">
        <f aca="false">IF(AND(N212="Да",O212=""),"Не пройдено","")</f>
        <v/>
      </c>
    </row>
    <row r="213" customFormat="false" ht="14.25" hidden="false" customHeight="false" outlineLevel="0" collapsed="false">
      <c r="A213" s="35" t="n">
        <f aca="false">IF(C213="","",ROW()-5)</f>
        <v>208</v>
      </c>
      <c r="B213" s="36" t="s">
        <v>107</v>
      </c>
      <c r="C213" s="36" t="s">
        <v>433</v>
      </c>
      <c r="D213" s="36" t="s">
        <v>434</v>
      </c>
      <c r="E213" s="36" t="s">
        <v>432</v>
      </c>
      <c r="F213" s="37" t="n">
        <v>45098</v>
      </c>
      <c r="G213" s="38" t="str">
        <f aca="false">IF(C213="","",IF(TRIM(SUBSTITUTE(SUBSTITUTE(SUBSTITUTE(SUBSTITUTE(SUBSTITUTE(SUBSTITUTE(SUBSTITUTE(SUBSTITUTE(SUBSTITUTE(SUBSTITUTE(SUBSTITUTE(LOWER(TRIM(D213)),"ё","е"),"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категории",""))="инженер",IF(AND(ISNUMBER(SEARCH("техническ",E213)),ISNUMBER(SEARCH("контрол",E213))),"инженер отк",IF(ISNUMBER(SEARCH("диспетч",E213)),"инженер пдо",TRIM(SUBSTITUTE(SUBSTITUTE(SUBSTITUTE(SUBSTITUTE(SUBSTITUTE(SUBSTITUTE(SUBSTITUTE(SUBSTITUTE(SUBSTITUTE(SUBSTITUTE(SUBSTITUTE(LOWER(TRIM(D213)),"ё","е"),"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инженер",IF(ISNUMBER(SEARCH("диспетч",E213)),"ведущий инженер пдо",TRIM(SUBSTITUTE(SUBSTITUTE(SUBSTITUTE(SUBSTITUTE(SUBSTITUTE(SUBSTITUTE(SUBSTITUTE(SUBSTITUTE(SUBSTITUTE(SUBSTITUTE(SUBSTITUTE(LOWER(TRIM(D213)),"ё","е"),"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отк",TRIM(SUBSTITUTE(SUBSTITUTE(SUBSTITUTE(SUBSTITUTE(SUBSTITUTE(SUBSTITUTE(SUBSTITUTE(SUBSTITUTE(SUBSTITUTE(SUBSTITUTE(SUBSTITUTE(LOWER(TRIM(D213)),"ё","е")," -","-"),"- ","-")," 2 разряда","")," 3 разряда","")," 4 разряда","")," 5 разряда","")," 6 разряда","")," 1 категории","")," 2 категории","")," 3 категории",""))))))</f>
        <v>уборщик производственных и служебных помещений</v>
      </c>
      <c r="H213" s="35" t="n">
        <f aca="false">IF(C213="","",IF(AND(G213="мастер участка",ISNUMBER(SEARCH("РЭО",E213))),29,IFERROR(INDEX(Соответствие!$B$2:$B$100,MATCH(G213,Соответствие!$A$2:$A$100,0)),"?")))</f>
        <v>10</v>
      </c>
      <c r="I213" s="39" t="str">
        <f aca="false">IF(C213="","",IFERROR(INDEX(Перечень!$C$6:$C$52,MATCH(H213,Перечень!$A$6:$A$52,0)),""))</f>
        <v>п.1.48, п.4.4, п.5.1</v>
      </c>
      <c r="J213" s="35" t="n">
        <f aca="false">IF(C213="","",IFERROR(INDEX(Перечень!$D$6:$D$52,MATCH(H213,Перечень!$A$6:$A$52,0)),12))</f>
        <v>12</v>
      </c>
      <c r="K213" s="40"/>
      <c r="L213" s="40"/>
      <c r="M213" s="37" t="str">
        <f aca="false">IF(AND(K213="",L213=""),"",EDATE(MAX(K213,L213),J213))</f>
        <v/>
      </c>
      <c r="N213" s="41" t="str">
        <f aca="false">IF(C213="","",IFERROR(INDEX(Перечень!$F$6:$F$52,MATCH(H213,Перечень!$A$6:$A$52,0)),""))</f>
        <v>-</v>
      </c>
      <c r="O213" s="40"/>
      <c r="P213" s="37" t="str">
        <f aca="false">IF(O213="","",EDATE(O213,60))</f>
        <v/>
      </c>
      <c r="Q213" s="41" t="str">
        <f aca="false">IF(AND(K213&lt;&gt;"",F213&lt;&gt;"",K213&gt;F213),"Да","")</f>
        <v/>
      </c>
      <c r="R213" s="41" t="str">
        <f aca="true">IF(C213="","",IF(M213="","Нет сведений",IF(M213&lt;TODAY(),"Просрочен",IF(M213-TODAY()&lt;=30,"Истекает","В срок"))))</f>
        <v>Нет сведений</v>
      </c>
      <c r="S213" s="41" t="str">
        <f aca="false">IF(AND(N213="Да",O213=""),"Не пройдено","")</f>
        <v/>
      </c>
    </row>
    <row r="214" customFormat="false" ht="14.25" hidden="false" customHeight="false" outlineLevel="0" collapsed="false">
      <c r="A214" s="35" t="n">
        <f aca="false">IF(C214="","",ROW()-5)</f>
        <v>209</v>
      </c>
      <c r="B214" s="36" t="s">
        <v>107</v>
      </c>
      <c r="C214" s="36" t="s">
        <v>435</v>
      </c>
      <c r="D214" s="36" t="s">
        <v>434</v>
      </c>
      <c r="E214" s="36" t="s">
        <v>432</v>
      </c>
      <c r="F214" s="37" t="n">
        <v>42849</v>
      </c>
      <c r="G214" s="38" t="str">
        <f aca="false">IF(C214="","",IF(TRIM(SUBSTITUTE(SUBSTITUTE(SUBSTITUTE(SUBSTITUTE(SUBSTITUTE(SUBSTITUTE(SUBSTITUTE(SUBSTITUTE(SUBSTITUTE(SUBSTITUTE(SUBSTITUTE(LOWER(TRIM(D214)),"ё","е"),"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категории",""))="инженер",IF(AND(ISNUMBER(SEARCH("техническ",E214)),ISNUMBER(SEARCH("контрол",E214))),"инженер отк",IF(ISNUMBER(SEARCH("диспетч",E214)),"инженер пдо",TRIM(SUBSTITUTE(SUBSTITUTE(SUBSTITUTE(SUBSTITUTE(SUBSTITUTE(SUBSTITUTE(SUBSTITUTE(SUBSTITUTE(SUBSTITUTE(SUBSTITUTE(SUBSTITUTE(LOWER(TRIM(D214)),"ё","е"),"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инженер",IF(ISNUMBER(SEARCH("диспетч",E214)),"ведущий инженер пдо",TRIM(SUBSTITUTE(SUBSTITUTE(SUBSTITUTE(SUBSTITUTE(SUBSTITUTE(SUBSTITUTE(SUBSTITUTE(SUBSTITUTE(SUBSTITUTE(SUBSTITUTE(SUBSTITUTE(LOWER(TRIM(D214)),"ё","е"),"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отк",TRIM(SUBSTITUTE(SUBSTITUTE(SUBSTITUTE(SUBSTITUTE(SUBSTITUTE(SUBSTITUTE(SUBSTITUTE(SUBSTITUTE(SUBSTITUTE(SUBSTITUTE(SUBSTITUTE(LOWER(TRIM(D214)),"ё","е")," -","-"),"- ","-")," 2 разряда","")," 3 разряда","")," 4 разряда","")," 5 разряда","")," 6 разряда","")," 1 категории","")," 2 категории","")," 3 категории",""))))))</f>
        <v>уборщик производственных и служебных помещений</v>
      </c>
      <c r="H214" s="35" t="n">
        <f aca="false">IF(C214="","",IF(AND(G214="мастер участка",ISNUMBER(SEARCH("РЭО",E214))),29,IFERROR(INDEX(Соответствие!$B$2:$B$100,MATCH(G214,Соответствие!$A$2:$A$100,0)),"?")))</f>
        <v>10</v>
      </c>
      <c r="I214" s="39" t="str">
        <f aca="false">IF(C214="","",IFERROR(INDEX(Перечень!$C$6:$C$52,MATCH(H214,Перечень!$A$6:$A$52,0)),""))</f>
        <v>п.1.48, п.4.4, п.5.1</v>
      </c>
      <c r="J214" s="35" t="n">
        <f aca="false">IF(C214="","",IFERROR(INDEX(Перечень!$D$6:$D$52,MATCH(H214,Перечень!$A$6:$A$52,0)),12))</f>
        <v>12</v>
      </c>
      <c r="K214" s="40"/>
      <c r="L214" s="40"/>
      <c r="M214" s="37" t="str">
        <f aca="false">IF(AND(K214="",L214=""),"",EDATE(MAX(K214,L214),J214))</f>
        <v/>
      </c>
      <c r="N214" s="41" t="str">
        <f aca="false">IF(C214="","",IFERROR(INDEX(Перечень!$F$6:$F$52,MATCH(H214,Перечень!$A$6:$A$52,0)),""))</f>
        <v>-</v>
      </c>
      <c r="O214" s="40"/>
      <c r="P214" s="37" t="str">
        <f aca="false">IF(O214="","",EDATE(O214,60))</f>
        <v/>
      </c>
      <c r="Q214" s="41" t="str">
        <f aca="false">IF(AND(K214&lt;&gt;"",F214&lt;&gt;"",K214&gt;F214),"Да","")</f>
        <v/>
      </c>
      <c r="R214" s="41" t="str">
        <f aca="true">IF(C214="","",IF(M214="","Нет сведений",IF(M214&lt;TODAY(),"Просрочен",IF(M214-TODAY()&lt;=30,"Истекает","В срок"))))</f>
        <v>Нет сведений</v>
      </c>
      <c r="S214" s="41" t="str">
        <f aca="false">IF(AND(N214="Да",O214=""),"Не пройдено","")</f>
        <v/>
      </c>
    </row>
    <row r="215" customFormat="false" ht="14.25" hidden="false" customHeight="false" outlineLevel="0" collapsed="false">
      <c r="A215" s="35" t="n">
        <f aca="false">IF(C215="","",ROW()-5)</f>
        <v>210</v>
      </c>
      <c r="B215" s="36" t="s">
        <v>107</v>
      </c>
      <c r="C215" s="36" t="s">
        <v>436</v>
      </c>
      <c r="D215" s="36" t="s">
        <v>434</v>
      </c>
      <c r="E215" s="36" t="s">
        <v>432</v>
      </c>
      <c r="F215" s="37" t="n">
        <v>46086</v>
      </c>
      <c r="G215" s="38" t="str">
        <f aca="false">IF(C215="","",IF(TRIM(SUBSTITUTE(SUBSTITUTE(SUBSTITUTE(SUBSTITUTE(SUBSTITUTE(SUBSTITUTE(SUBSTITUTE(SUBSTITUTE(SUBSTITUTE(SUBSTITUTE(SUBSTITUTE(LOWER(TRIM(D215)),"ё","е"),"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категории",""))="инженер",IF(AND(ISNUMBER(SEARCH("техническ",E215)),ISNUMBER(SEARCH("контрол",E215))),"инженер отк",IF(ISNUMBER(SEARCH("диспетч",E215)),"инженер пдо",TRIM(SUBSTITUTE(SUBSTITUTE(SUBSTITUTE(SUBSTITUTE(SUBSTITUTE(SUBSTITUTE(SUBSTITUTE(SUBSTITUTE(SUBSTITUTE(SUBSTITUTE(SUBSTITUTE(LOWER(TRIM(D215)),"ё","е"),"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инженер",IF(ISNUMBER(SEARCH("диспетч",E215)),"ведущий инженер пдо",TRIM(SUBSTITUTE(SUBSTITUTE(SUBSTITUTE(SUBSTITUTE(SUBSTITUTE(SUBSTITUTE(SUBSTITUTE(SUBSTITUTE(SUBSTITUTE(SUBSTITUTE(SUBSTITUTE(LOWER(TRIM(D215)),"ё","е"),"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отк",TRIM(SUBSTITUTE(SUBSTITUTE(SUBSTITUTE(SUBSTITUTE(SUBSTITUTE(SUBSTITUTE(SUBSTITUTE(SUBSTITUTE(SUBSTITUTE(SUBSTITUTE(SUBSTITUTE(LOWER(TRIM(D215)),"ё","е")," -","-"),"- ","-")," 2 разряда","")," 3 разряда","")," 4 разряда","")," 5 разряда","")," 6 разряда","")," 1 категории","")," 2 категории","")," 3 категории",""))))))</f>
        <v>уборщик производственных и служебных помещений</v>
      </c>
      <c r="H215" s="35" t="n">
        <f aca="false">IF(C215="","",IF(AND(G215="мастер участка",ISNUMBER(SEARCH("РЭО",E215))),29,IFERROR(INDEX(Соответствие!$B$2:$B$100,MATCH(G215,Соответствие!$A$2:$A$100,0)),"?")))</f>
        <v>10</v>
      </c>
      <c r="I215" s="39" t="str">
        <f aca="false">IF(C215="","",IFERROR(INDEX(Перечень!$C$6:$C$52,MATCH(H215,Перечень!$A$6:$A$52,0)),""))</f>
        <v>п.1.48, п.4.4, п.5.1</v>
      </c>
      <c r="J215" s="35" t="n">
        <f aca="false">IF(C215="","",IFERROR(INDEX(Перечень!$D$6:$D$52,MATCH(H215,Перечень!$A$6:$A$52,0)),12))</f>
        <v>12</v>
      </c>
      <c r="K215" s="40"/>
      <c r="L215" s="40"/>
      <c r="M215" s="37" t="str">
        <f aca="false">IF(AND(K215="",L215=""),"",EDATE(MAX(K215,L215),J215))</f>
        <v/>
      </c>
      <c r="N215" s="41" t="str">
        <f aca="false">IF(C215="","",IFERROR(INDEX(Перечень!$F$6:$F$52,MATCH(H215,Перечень!$A$6:$A$52,0)),""))</f>
        <v>-</v>
      </c>
      <c r="O215" s="40"/>
      <c r="P215" s="37" t="str">
        <f aca="false">IF(O215="","",EDATE(O215,60))</f>
        <v/>
      </c>
      <c r="Q215" s="41" t="str">
        <f aca="false">IF(AND(K215&lt;&gt;"",F215&lt;&gt;"",K215&gt;F215),"Да","")</f>
        <v/>
      </c>
      <c r="R215" s="41" t="str">
        <f aca="true">IF(C215="","",IF(M215="","Нет сведений",IF(M215&lt;TODAY(),"Просрочен",IF(M215-TODAY()&lt;=30,"Истекает","В срок"))))</f>
        <v>Нет сведений</v>
      </c>
      <c r="S215" s="41" t="str">
        <f aca="false">IF(AND(N215="Да",O215=""),"Не пройдено","")</f>
        <v/>
      </c>
    </row>
    <row r="216" customFormat="false" ht="14.25" hidden="false" customHeight="false" outlineLevel="0" collapsed="false">
      <c r="A216" s="35" t="n">
        <f aca="false">IF(C216="","",ROW()-5)</f>
        <v>211</v>
      </c>
      <c r="B216" s="36" t="s">
        <v>107</v>
      </c>
      <c r="C216" s="36" t="s">
        <v>437</v>
      </c>
      <c r="D216" s="36" t="s">
        <v>434</v>
      </c>
      <c r="E216" s="36" t="s">
        <v>432</v>
      </c>
      <c r="F216" s="37" t="n">
        <v>45978</v>
      </c>
      <c r="G216" s="38" t="str">
        <f aca="false">IF(C216="","",IF(TRIM(SUBSTITUTE(SUBSTITUTE(SUBSTITUTE(SUBSTITUTE(SUBSTITUTE(SUBSTITUTE(SUBSTITUTE(SUBSTITUTE(SUBSTITUTE(SUBSTITUTE(SUBSTITUTE(LOWER(TRIM(D216)),"ё","е"),"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категории",""))="инженер",IF(AND(ISNUMBER(SEARCH("техническ",E216)),ISNUMBER(SEARCH("контрол",E216))),"инженер отк",IF(ISNUMBER(SEARCH("диспетч",E216)),"инженер пдо",TRIM(SUBSTITUTE(SUBSTITUTE(SUBSTITUTE(SUBSTITUTE(SUBSTITUTE(SUBSTITUTE(SUBSTITUTE(SUBSTITUTE(SUBSTITUTE(SUBSTITUTE(SUBSTITUTE(LOWER(TRIM(D216)),"ё","е"),"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инженер",IF(ISNUMBER(SEARCH("диспетч",E216)),"ведущий инженер пдо",TRIM(SUBSTITUTE(SUBSTITUTE(SUBSTITUTE(SUBSTITUTE(SUBSTITUTE(SUBSTITUTE(SUBSTITUTE(SUBSTITUTE(SUBSTITUTE(SUBSTITUTE(SUBSTITUTE(LOWER(TRIM(D216)),"ё","е"),"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отк",TRIM(SUBSTITUTE(SUBSTITUTE(SUBSTITUTE(SUBSTITUTE(SUBSTITUTE(SUBSTITUTE(SUBSTITUTE(SUBSTITUTE(SUBSTITUTE(SUBSTITUTE(SUBSTITUTE(LOWER(TRIM(D216)),"ё","е")," -","-"),"- ","-")," 2 разряда","")," 3 разряда","")," 4 разряда","")," 5 разряда","")," 6 разряда","")," 1 категории","")," 2 категории","")," 3 категории",""))))))</f>
        <v>уборщик производственных и служебных помещений</v>
      </c>
      <c r="H216" s="35" t="n">
        <f aca="false">IF(C216="","",IF(AND(G216="мастер участка",ISNUMBER(SEARCH("РЭО",E216))),29,IFERROR(INDEX(Соответствие!$B$2:$B$100,MATCH(G216,Соответствие!$A$2:$A$100,0)),"?")))</f>
        <v>10</v>
      </c>
      <c r="I216" s="39" t="str">
        <f aca="false">IF(C216="","",IFERROR(INDEX(Перечень!$C$6:$C$52,MATCH(H216,Перечень!$A$6:$A$52,0)),""))</f>
        <v>п.1.48, п.4.4, п.5.1</v>
      </c>
      <c r="J216" s="35" t="n">
        <f aca="false">IF(C216="","",IFERROR(INDEX(Перечень!$D$6:$D$52,MATCH(H216,Перечень!$A$6:$A$52,0)),12))</f>
        <v>12</v>
      </c>
      <c r="K216" s="40"/>
      <c r="L216" s="40"/>
      <c r="M216" s="37" t="str">
        <f aca="false">IF(AND(K216="",L216=""),"",EDATE(MAX(K216,L216),J216))</f>
        <v/>
      </c>
      <c r="N216" s="41" t="str">
        <f aca="false">IF(C216="","",IFERROR(INDEX(Перечень!$F$6:$F$52,MATCH(H216,Перечень!$A$6:$A$52,0)),""))</f>
        <v>-</v>
      </c>
      <c r="O216" s="40"/>
      <c r="P216" s="37" t="str">
        <f aca="false">IF(O216="","",EDATE(O216,60))</f>
        <v/>
      </c>
      <c r="Q216" s="41" t="str">
        <f aca="false">IF(AND(K216&lt;&gt;"",F216&lt;&gt;"",K216&gt;F216),"Да","")</f>
        <v/>
      </c>
      <c r="R216" s="41" t="str">
        <f aca="true">IF(C216="","",IF(M216="","Нет сведений",IF(M216&lt;TODAY(),"Просрочен",IF(M216-TODAY()&lt;=30,"Истекает","В срок"))))</f>
        <v>Нет сведений</v>
      </c>
      <c r="S216" s="41" t="str">
        <f aca="false">IF(AND(N216="Да",O216=""),"Не пройдено","")</f>
        <v/>
      </c>
    </row>
    <row r="217" customFormat="false" ht="14.25" hidden="false" customHeight="false" outlineLevel="0" collapsed="false">
      <c r="A217" s="35" t="n">
        <f aca="false">IF(C217="","",ROW()-5)</f>
        <v>212</v>
      </c>
      <c r="B217" s="36" t="s">
        <v>107</v>
      </c>
      <c r="C217" s="36" t="s">
        <v>438</v>
      </c>
      <c r="D217" s="36" t="s">
        <v>434</v>
      </c>
      <c r="E217" s="36" t="s">
        <v>432</v>
      </c>
      <c r="F217" s="37" t="n">
        <v>45936</v>
      </c>
      <c r="G217" s="38" t="str">
        <f aca="false">IF(C217="","",IF(TRIM(SUBSTITUTE(SUBSTITUTE(SUBSTITUTE(SUBSTITUTE(SUBSTITUTE(SUBSTITUTE(SUBSTITUTE(SUBSTITUTE(SUBSTITUTE(SUBSTITUTE(SUBSTITUTE(LOWER(TRIM(D217)),"ё","е"),"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категории",""))="инженер",IF(AND(ISNUMBER(SEARCH("техническ",E217)),ISNUMBER(SEARCH("контрол",E217))),"инженер отк",IF(ISNUMBER(SEARCH("диспетч",E217)),"инженер пдо",TRIM(SUBSTITUTE(SUBSTITUTE(SUBSTITUTE(SUBSTITUTE(SUBSTITUTE(SUBSTITUTE(SUBSTITUTE(SUBSTITUTE(SUBSTITUTE(SUBSTITUTE(SUBSTITUTE(LOWER(TRIM(D217)),"ё","е"),"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инженер",IF(ISNUMBER(SEARCH("диспетч",E217)),"ведущий инженер пдо",TRIM(SUBSTITUTE(SUBSTITUTE(SUBSTITUTE(SUBSTITUTE(SUBSTITUTE(SUBSTITUTE(SUBSTITUTE(SUBSTITUTE(SUBSTITUTE(SUBSTITUTE(SUBSTITUTE(LOWER(TRIM(D217)),"ё","е"),"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отк",TRIM(SUBSTITUTE(SUBSTITUTE(SUBSTITUTE(SUBSTITUTE(SUBSTITUTE(SUBSTITUTE(SUBSTITUTE(SUBSTITUTE(SUBSTITUTE(SUBSTITUTE(SUBSTITUTE(LOWER(TRIM(D217)),"ё","е")," -","-"),"- ","-")," 2 разряда","")," 3 разряда","")," 4 разряда","")," 5 разряда","")," 6 разряда","")," 1 категории","")," 2 категории","")," 3 категории",""))))))</f>
        <v>уборщик производственных и служебных помещений</v>
      </c>
      <c r="H217" s="35" t="n">
        <f aca="false">IF(C217="","",IF(AND(G217="мастер участка",ISNUMBER(SEARCH("РЭО",E217))),29,IFERROR(INDEX(Соответствие!$B$2:$B$100,MATCH(G217,Соответствие!$A$2:$A$100,0)),"?")))</f>
        <v>10</v>
      </c>
      <c r="I217" s="39" t="str">
        <f aca="false">IF(C217="","",IFERROR(INDEX(Перечень!$C$6:$C$52,MATCH(H217,Перечень!$A$6:$A$52,0)),""))</f>
        <v>п.1.48, п.4.4, п.5.1</v>
      </c>
      <c r="J217" s="35" t="n">
        <f aca="false">IF(C217="","",IFERROR(INDEX(Перечень!$D$6:$D$52,MATCH(H217,Перечень!$A$6:$A$52,0)),12))</f>
        <v>12</v>
      </c>
      <c r="K217" s="40"/>
      <c r="L217" s="40"/>
      <c r="M217" s="37" t="str">
        <f aca="false">IF(AND(K217="",L217=""),"",EDATE(MAX(K217,L217),J217))</f>
        <v/>
      </c>
      <c r="N217" s="41" t="str">
        <f aca="false">IF(C217="","",IFERROR(INDEX(Перечень!$F$6:$F$52,MATCH(H217,Перечень!$A$6:$A$52,0)),""))</f>
        <v>-</v>
      </c>
      <c r="O217" s="40"/>
      <c r="P217" s="37" t="str">
        <f aca="false">IF(O217="","",EDATE(O217,60))</f>
        <v/>
      </c>
      <c r="Q217" s="41" t="str">
        <f aca="false">IF(AND(K217&lt;&gt;"",F217&lt;&gt;"",K217&gt;F217),"Да","")</f>
        <v/>
      </c>
      <c r="R217" s="41" t="str">
        <f aca="true">IF(C217="","",IF(M217="","Нет сведений",IF(M217&lt;TODAY(),"Просрочен",IF(M217-TODAY()&lt;=30,"Истекает","В срок"))))</f>
        <v>Нет сведений</v>
      </c>
      <c r="S217" s="41" t="str">
        <f aca="false">IF(AND(N217="Да",O217=""),"Не пройдено","")</f>
        <v/>
      </c>
    </row>
    <row r="218" customFormat="false" ht="14.25" hidden="false" customHeight="false" outlineLevel="0" collapsed="false">
      <c r="A218" s="35" t="n">
        <f aca="false">IF(C218="","",ROW()-5)</f>
        <v>213</v>
      </c>
      <c r="B218" s="36" t="s">
        <v>107</v>
      </c>
      <c r="C218" s="36" t="s">
        <v>439</v>
      </c>
      <c r="D218" s="36" t="s">
        <v>434</v>
      </c>
      <c r="E218" s="36" t="s">
        <v>432</v>
      </c>
      <c r="F218" s="37" t="n">
        <v>45930</v>
      </c>
      <c r="G218" s="38" t="str">
        <f aca="false">IF(C218="","",IF(TRIM(SUBSTITUTE(SUBSTITUTE(SUBSTITUTE(SUBSTITUTE(SUBSTITUTE(SUBSTITUTE(SUBSTITUTE(SUBSTITUTE(SUBSTITUTE(SUBSTITUTE(SUBSTITUTE(LOWER(TRIM(D218)),"ё","е"),"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категории",""))="инженер",IF(AND(ISNUMBER(SEARCH("техническ",E218)),ISNUMBER(SEARCH("контрол",E218))),"инженер отк",IF(ISNUMBER(SEARCH("диспетч",E218)),"инженер пдо",TRIM(SUBSTITUTE(SUBSTITUTE(SUBSTITUTE(SUBSTITUTE(SUBSTITUTE(SUBSTITUTE(SUBSTITUTE(SUBSTITUTE(SUBSTITUTE(SUBSTITUTE(SUBSTITUTE(LOWER(TRIM(D218)),"ё","е"),"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инженер",IF(ISNUMBER(SEARCH("диспетч",E218)),"ведущий инженер пдо",TRIM(SUBSTITUTE(SUBSTITUTE(SUBSTITUTE(SUBSTITUTE(SUBSTITUTE(SUBSTITUTE(SUBSTITUTE(SUBSTITUTE(SUBSTITUTE(SUBSTITUTE(SUBSTITUTE(LOWER(TRIM(D218)),"ё","е"),"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отк",TRIM(SUBSTITUTE(SUBSTITUTE(SUBSTITUTE(SUBSTITUTE(SUBSTITUTE(SUBSTITUTE(SUBSTITUTE(SUBSTITUTE(SUBSTITUTE(SUBSTITUTE(SUBSTITUTE(LOWER(TRIM(D218)),"ё","е")," -","-"),"- ","-")," 2 разряда","")," 3 разряда","")," 4 разряда","")," 5 разряда","")," 6 разряда","")," 1 категории","")," 2 категории","")," 3 категории",""))))))</f>
        <v>уборщик производственных и служебных помещений</v>
      </c>
      <c r="H218" s="35" t="n">
        <f aca="false">IF(C218="","",IF(AND(G218="мастер участка",ISNUMBER(SEARCH("РЭО",E218))),29,IFERROR(INDEX(Соответствие!$B$2:$B$100,MATCH(G218,Соответствие!$A$2:$A$100,0)),"?")))</f>
        <v>10</v>
      </c>
      <c r="I218" s="39" t="str">
        <f aca="false">IF(C218="","",IFERROR(INDEX(Перечень!$C$6:$C$52,MATCH(H218,Перечень!$A$6:$A$52,0)),""))</f>
        <v>п.1.48, п.4.4, п.5.1</v>
      </c>
      <c r="J218" s="35" t="n">
        <f aca="false">IF(C218="","",IFERROR(INDEX(Перечень!$D$6:$D$52,MATCH(H218,Перечень!$A$6:$A$52,0)),12))</f>
        <v>12</v>
      </c>
      <c r="K218" s="40"/>
      <c r="L218" s="40"/>
      <c r="M218" s="37" t="str">
        <f aca="false">IF(AND(K218="",L218=""),"",EDATE(MAX(K218,L218),J218))</f>
        <v/>
      </c>
      <c r="N218" s="41" t="str">
        <f aca="false">IF(C218="","",IFERROR(INDEX(Перечень!$F$6:$F$52,MATCH(H218,Перечень!$A$6:$A$52,0)),""))</f>
        <v>-</v>
      </c>
      <c r="O218" s="40"/>
      <c r="P218" s="37" t="str">
        <f aca="false">IF(O218="","",EDATE(O218,60))</f>
        <v/>
      </c>
      <c r="Q218" s="41" t="str">
        <f aca="false">IF(AND(K218&lt;&gt;"",F218&lt;&gt;"",K218&gt;F218),"Да","")</f>
        <v/>
      </c>
      <c r="R218" s="41" t="str">
        <f aca="true">IF(C218="","",IF(M218="","Нет сведений",IF(M218&lt;TODAY(),"Просрочен",IF(M218-TODAY()&lt;=30,"Истекает","В срок"))))</f>
        <v>Нет сведений</v>
      </c>
      <c r="S218" s="41" t="str">
        <f aca="false">IF(AND(N218="Да",O218=""),"Не пройдено","")</f>
        <v/>
      </c>
    </row>
    <row r="219" customFormat="false" ht="14.25" hidden="false" customHeight="false" outlineLevel="0" collapsed="false">
      <c r="A219" s="35" t="n">
        <f aca="false">IF(C219="","",ROW()-5)</f>
        <v>214</v>
      </c>
      <c r="B219" s="36" t="s">
        <v>107</v>
      </c>
      <c r="C219" s="36" t="s">
        <v>440</v>
      </c>
      <c r="D219" s="36" t="s">
        <v>441</v>
      </c>
      <c r="E219" s="36" t="s">
        <v>442</v>
      </c>
      <c r="F219" s="37" t="n">
        <v>45545</v>
      </c>
      <c r="G219" s="38" t="str">
        <f aca="false">IF(C219="","",IF(TRIM(SUBSTITUTE(SUBSTITUTE(SUBSTITUTE(SUBSTITUTE(SUBSTITUTE(SUBSTITUTE(SUBSTITUTE(SUBSTITUTE(SUBSTITUTE(SUBSTITUTE(SUBSTITUTE(LOWER(TRIM(D219)),"ё","е"),"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категории",""))="инженер",IF(AND(ISNUMBER(SEARCH("техническ",E219)),ISNUMBER(SEARCH("контрол",E219))),"инженер отк",IF(ISNUMBER(SEARCH("диспетч",E219)),"инженер пдо",TRIM(SUBSTITUTE(SUBSTITUTE(SUBSTITUTE(SUBSTITUTE(SUBSTITUTE(SUBSTITUTE(SUBSTITUTE(SUBSTITUTE(SUBSTITUTE(SUBSTITUTE(SUBSTITUTE(LOWER(TRIM(D219)),"ё","е"),"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категории","")))),IF(TRIM(SUBSTITUTE(SUBSTITUTE(SUBSTITUTE(SUBSTITUTE(SUBSTITUTE(SUBSTITUTE(SUBSTITUTE(SUBSTITUTE(SUBSTITUTE(SUBSTITUTE(SUBSTITUTE(LOWER(TRIM(D219)),"ё","е"),"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инженер",IF(ISNUMBER(SEARCH("диспетч",E219)),"ведущий инженер пдо",TRIM(SUBSTITUTE(SUBSTITUTE(SUBSTITUTE(SUBSTITUTE(SUBSTITUTE(SUBSTITUTE(SUBSTITUTE(SUBSTITUTE(SUBSTITUTE(SUBSTITUTE(SUBSTITUTE(LOWER(TRIM(D219)),"ё","е"),"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категории",""))),IF(TRIM(SUBSTITUTE(SUBSTITUTE(SUBSTITUTE(SUBSTITUTE(SUBSTITUTE(SUBSTITUTE(SUBSTITUTE(SUBSTITUTE(SUBSTITUTE(SUBSTITUTE(SUBSTITUTE(LOWER(TRIM(D219)),"ё","е"),"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отк",TRIM(SUBSTITUTE(SUBSTITUTE(SUBSTITUTE(SUBSTITUTE(SUBSTITUTE(SUBSTITUTE(SUBSTITUTE(SUBSTITUTE(SUBSTITUTE(SUBSTITUTE(SUBSTITUTE(LOWER(TRIM(D219)),"ё","е")," -","-"),"- ","-")," 2 разряда","")," 3 разряда","")," 4 разряда","")," 5 разряда","")," 6 разряда","")," 1 категории","")," 2 категории","")," 3 категории",""))))))</f>
        <v>контролер кпп</v>
      </c>
      <c r="H219" s="35" t="n">
        <f aca="false">IF(C219="","",IF(AND(G219="мастер участка",ISNUMBER(SEARCH("РЭО",E219))),29,IFERROR(INDEX(Соответствие!$B$2:$B$100,MATCH(G219,Соответствие!$A$2:$A$100,0)),"?")))</f>
        <v>45</v>
      </c>
      <c r="I219" s="39" t="str">
        <f aca="false">IF(C219="","",IFERROR(INDEX(Перечень!$C$6:$C$52,MATCH(H219,Перечень!$A$6:$A$52,0)),""))</f>
        <v>п.4.7, п.4.8, п.5.1, п.5.2</v>
      </c>
      <c r="J219" s="35" t="n">
        <f aca="false">IF(C219="","",IFERROR(INDEX(Перечень!$D$6:$D$52,MATCH(H219,Перечень!$A$6:$A$52,0)),12))</f>
        <v>12</v>
      </c>
      <c r="K219" s="40"/>
      <c r="L219" s="40"/>
      <c r="M219" s="37" t="str">
        <f aca="false">IF(AND(K219="",L219=""),"",EDATE(MAX(K219,L219),J219))</f>
        <v/>
      </c>
      <c r="N219" s="41" t="str">
        <f aca="false">IF(C219="","",IFERROR(INDEX(Перечень!$F$6:$F$52,MATCH(H219,Перечень!$A$6:$A$52,0)),""))</f>
        <v>Нет</v>
      </c>
      <c r="O219" s="40"/>
      <c r="P219" s="37" t="str">
        <f aca="false">IF(O219="","",EDATE(O219,60))</f>
        <v/>
      </c>
      <c r="Q219" s="41" t="str">
        <f aca="false">IF(AND(K219&lt;&gt;"",F219&lt;&gt;"",K219&gt;F219),"Да","")</f>
        <v/>
      </c>
      <c r="R219" s="41" t="str">
        <f aca="true">IF(C219="","",IF(M219="","Нет сведений",IF(M219&lt;TODAY(),"Просрочен",IF(M219-TODAY()&lt;=30,"Истекает","В срок"))))</f>
        <v>Нет сведений</v>
      </c>
      <c r="S219" s="41" t="str">
        <f aca="false">IF(AND(N219="Да",O219=""),"Не пройдено","")</f>
        <v/>
      </c>
    </row>
    <row r="220" customFormat="false" ht="14.25" hidden="false" customHeight="false" outlineLevel="0" collapsed="false">
      <c r="A220" s="35" t="n">
        <f aca="false">IF(C220="","",ROW()-5)</f>
        <v>215</v>
      </c>
      <c r="B220" s="36" t="s">
        <v>107</v>
      </c>
      <c r="C220" s="36" t="s">
        <v>443</v>
      </c>
      <c r="D220" s="36" t="s">
        <v>441</v>
      </c>
      <c r="E220" s="36" t="s">
        <v>442</v>
      </c>
      <c r="F220" s="37" t="n">
        <v>42919</v>
      </c>
      <c r="G220" s="38" t="str">
        <f aca="false">IF(C220="","",IF(TRIM(SUBSTITUTE(SUBSTITUTE(SUBSTITUTE(SUBSTITUTE(SUBSTITUTE(SUBSTITUTE(SUBSTITUTE(SUBSTITUTE(SUBSTITUTE(SUBSTITUTE(SUBSTITUTE(LOWER(TRIM(D220)),"ё","е"),"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категории",""))="инженер",IF(AND(ISNUMBER(SEARCH("техническ",E220)),ISNUMBER(SEARCH("контрол",E220))),"инженер отк",IF(ISNUMBER(SEARCH("диспетч",E220)),"инженер пдо",TRIM(SUBSTITUTE(SUBSTITUTE(SUBSTITUTE(SUBSTITUTE(SUBSTITUTE(SUBSTITUTE(SUBSTITUTE(SUBSTITUTE(SUBSTITUTE(SUBSTITUTE(SUBSTITUTE(LOWER(TRIM(D220)),"ё","е"),"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инженер",IF(ISNUMBER(SEARCH("диспетч",E220)),"ведущий инженер пдо",TRIM(SUBSTITUTE(SUBSTITUTE(SUBSTITUTE(SUBSTITUTE(SUBSTITUTE(SUBSTITUTE(SUBSTITUTE(SUBSTITUTE(SUBSTITUTE(SUBSTITUTE(SUBSTITUTE(LOWER(TRIM(D220)),"ё","е"),"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отк",TRIM(SUBSTITUTE(SUBSTITUTE(SUBSTITUTE(SUBSTITUTE(SUBSTITUTE(SUBSTITUTE(SUBSTITUTE(SUBSTITUTE(SUBSTITUTE(SUBSTITUTE(SUBSTITUTE(LOWER(TRIM(D220)),"ё","е")," -","-"),"- ","-")," 2 разряда","")," 3 разряда","")," 4 разряда","")," 5 разряда","")," 6 разряда","")," 1 категории","")," 2 категории","")," 3 категории",""))))))</f>
        <v>контролер кпп</v>
      </c>
      <c r="H220" s="35" t="n">
        <f aca="false">IF(C220="","",IF(AND(G220="мастер участка",ISNUMBER(SEARCH("РЭО",E220))),29,IFERROR(INDEX(Соответствие!$B$2:$B$100,MATCH(G220,Соответствие!$A$2:$A$100,0)),"?")))</f>
        <v>45</v>
      </c>
      <c r="I220" s="39" t="str">
        <f aca="false">IF(C220="","",IFERROR(INDEX(Перечень!$C$6:$C$52,MATCH(H220,Перечень!$A$6:$A$52,0)),""))</f>
        <v>п.4.7, п.4.8, п.5.1, п.5.2</v>
      </c>
      <c r="J220" s="35" t="n">
        <f aca="false">IF(C220="","",IFERROR(INDEX(Перечень!$D$6:$D$52,MATCH(H220,Перечень!$A$6:$A$52,0)),12))</f>
        <v>12</v>
      </c>
      <c r="K220" s="40"/>
      <c r="L220" s="40"/>
      <c r="M220" s="37" t="str">
        <f aca="false">IF(AND(K220="",L220=""),"",EDATE(MAX(K220,L220),J220))</f>
        <v/>
      </c>
      <c r="N220" s="41" t="str">
        <f aca="false">IF(C220="","",IFERROR(INDEX(Перечень!$F$6:$F$52,MATCH(H220,Перечень!$A$6:$A$52,0)),""))</f>
        <v>Нет</v>
      </c>
      <c r="O220" s="40"/>
      <c r="P220" s="37" t="str">
        <f aca="false">IF(O220="","",EDATE(O220,60))</f>
        <v/>
      </c>
      <c r="Q220" s="41" t="str">
        <f aca="false">IF(AND(K220&lt;&gt;"",F220&lt;&gt;"",K220&gt;F220),"Да","")</f>
        <v/>
      </c>
      <c r="R220" s="41" t="str">
        <f aca="true">IF(C220="","",IF(M220="","Нет сведений",IF(M220&lt;TODAY(),"Просрочен",IF(M220-TODAY()&lt;=30,"Истекает","В срок"))))</f>
        <v>Нет сведений</v>
      </c>
      <c r="S220" s="41" t="str">
        <f aca="false">IF(AND(N220="Да",O220=""),"Не пройдено","")</f>
        <v/>
      </c>
    </row>
    <row r="221" customFormat="false" ht="14.25" hidden="false" customHeight="false" outlineLevel="0" collapsed="false">
      <c r="A221" s="35" t="n">
        <f aca="false">IF(C221="","",ROW()-5)</f>
        <v>216</v>
      </c>
      <c r="B221" s="36" t="s">
        <v>107</v>
      </c>
      <c r="C221" s="36" t="s">
        <v>444</v>
      </c>
      <c r="D221" s="36" t="s">
        <v>441</v>
      </c>
      <c r="E221" s="36" t="s">
        <v>442</v>
      </c>
      <c r="F221" s="37" t="n">
        <v>42919</v>
      </c>
      <c r="G221" s="38" t="str">
        <f aca="false">IF(C221="","",IF(TRIM(SUBSTITUTE(SUBSTITUTE(SUBSTITUTE(SUBSTITUTE(SUBSTITUTE(SUBSTITUTE(SUBSTITUTE(SUBSTITUTE(SUBSTITUTE(SUBSTITUTE(SUBSTITUTE(LOWER(TRIM(D221)),"ё","е"),"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категории",""))="инженер",IF(AND(ISNUMBER(SEARCH("техническ",E221)),ISNUMBER(SEARCH("контрол",E221))),"инженер отк",IF(ISNUMBER(SEARCH("диспетч",E221)),"инженер пдо",TRIM(SUBSTITUTE(SUBSTITUTE(SUBSTITUTE(SUBSTITUTE(SUBSTITUTE(SUBSTITUTE(SUBSTITUTE(SUBSTITUTE(SUBSTITUTE(SUBSTITUTE(SUBSTITUTE(LOWER(TRIM(D221)),"ё","е"),"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инженер",IF(ISNUMBER(SEARCH("диспетч",E221)),"ведущий инженер пдо",TRIM(SUBSTITUTE(SUBSTITUTE(SUBSTITUTE(SUBSTITUTE(SUBSTITUTE(SUBSTITUTE(SUBSTITUTE(SUBSTITUTE(SUBSTITUTE(SUBSTITUTE(SUBSTITUTE(LOWER(TRIM(D221)),"ё","е"),"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отк",TRIM(SUBSTITUTE(SUBSTITUTE(SUBSTITUTE(SUBSTITUTE(SUBSTITUTE(SUBSTITUTE(SUBSTITUTE(SUBSTITUTE(SUBSTITUTE(SUBSTITUTE(SUBSTITUTE(LOWER(TRIM(D221)),"ё","е")," -","-"),"- ","-")," 2 разряда","")," 3 разряда","")," 4 разряда","")," 5 разряда","")," 6 разряда","")," 1 категории","")," 2 категории","")," 3 категории",""))))))</f>
        <v>контролер кпп</v>
      </c>
      <c r="H221" s="35" t="n">
        <f aca="false">IF(C221="","",IF(AND(G221="мастер участка",ISNUMBER(SEARCH("РЭО",E221))),29,IFERROR(INDEX(Соответствие!$B$2:$B$100,MATCH(G221,Соответствие!$A$2:$A$100,0)),"?")))</f>
        <v>45</v>
      </c>
      <c r="I221" s="39" t="str">
        <f aca="false">IF(C221="","",IFERROR(INDEX(Перечень!$C$6:$C$52,MATCH(H221,Перечень!$A$6:$A$52,0)),""))</f>
        <v>п.4.7, п.4.8, п.5.1, п.5.2</v>
      </c>
      <c r="J221" s="35" t="n">
        <f aca="false">IF(C221="","",IFERROR(INDEX(Перечень!$D$6:$D$52,MATCH(H221,Перечень!$A$6:$A$52,0)),12))</f>
        <v>12</v>
      </c>
      <c r="K221" s="40"/>
      <c r="L221" s="40"/>
      <c r="M221" s="37" t="str">
        <f aca="false">IF(AND(K221="",L221=""),"",EDATE(MAX(K221,L221),J221))</f>
        <v/>
      </c>
      <c r="N221" s="41" t="str">
        <f aca="false">IF(C221="","",IFERROR(INDEX(Перечень!$F$6:$F$52,MATCH(H221,Перечень!$A$6:$A$52,0)),""))</f>
        <v>Нет</v>
      </c>
      <c r="O221" s="40"/>
      <c r="P221" s="37" t="str">
        <f aca="false">IF(O221="","",EDATE(O221,60))</f>
        <v/>
      </c>
      <c r="Q221" s="41" t="str">
        <f aca="false">IF(AND(K221&lt;&gt;"",F221&lt;&gt;"",K221&gt;F221),"Да","")</f>
        <v/>
      </c>
      <c r="R221" s="41" t="str">
        <f aca="true">IF(C221="","",IF(M221="","Нет сведений",IF(M221&lt;TODAY(),"Просрочен",IF(M221-TODAY()&lt;=30,"Истекает","В срок"))))</f>
        <v>Нет сведений</v>
      </c>
      <c r="S221" s="41" t="str">
        <f aca="false">IF(AND(N221="Да",O221=""),"Не пройдено","")</f>
        <v/>
      </c>
    </row>
    <row r="222" customFormat="false" ht="14.25" hidden="false" customHeight="false" outlineLevel="0" collapsed="false">
      <c r="A222" s="35" t="n">
        <f aca="false">IF(C222="","",ROW()-5)</f>
        <v>217</v>
      </c>
      <c r="B222" s="36" t="s">
        <v>107</v>
      </c>
      <c r="C222" s="36" t="s">
        <v>445</v>
      </c>
      <c r="D222" s="36" t="s">
        <v>441</v>
      </c>
      <c r="E222" s="36" t="s">
        <v>442</v>
      </c>
      <c r="F222" s="37" t="n">
        <v>45398</v>
      </c>
      <c r="G222" s="38" t="str">
        <f aca="false">IF(C222="","",IF(TRIM(SUBSTITUTE(SUBSTITUTE(SUBSTITUTE(SUBSTITUTE(SUBSTITUTE(SUBSTITUTE(SUBSTITUTE(SUBSTITUTE(SUBSTITUTE(SUBSTITUTE(SUBSTITUTE(LOWER(TRIM(D222)),"ё","е"),"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категории",""))="инженер",IF(AND(ISNUMBER(SEARCH("техническ",E222)),ISNUMBER(SEARCH("контрол",E222))),"инженер отк",IF(ISNUMBER(SEARCH("диспетч",E222)),"инженер пдо",TRIM(SUBSTITUTE(SUBSTITUTE(SUBSTITUTE(SUBSTITUTE(SUBSTITUTE(SUBSTITUTE(SUBSTITUTE(SUBSTITUTE(SUBSTITUTE(SUBSTITUTE(SUBSTITUTE(LOWER(TRIM(D222)),"ё","е"),"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инженер",IF(ISNUMBER(SEARCH("диспетч",E222)),"ведущий инженер пдо",TRIM(SUBSTITUTE(SUBSTITUTE(SUBSTITUTE(SUBSTITUTE(SUBSTITUTE(SUBSTITUTE(SUBSTITUTE(SUBSTITUTE(SUBSTITUTE(SUBSTITUTE(SUBSTITUTE(LOWER(TRIM(D222)),"ё","е"),"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отк",TRIM(SUBSTITUTE(SUBSTITUTE(SUBSTITUTE(SUBSTITUTE(SUBSTITUTE(SUBSTITUTE(SUBSTITUTE(SUBSTITUTE(SUBSTITUTE(SUBSTITUTE(SUBSTITUTE(LOWER(TRIM(D222)),"ё","е")," -","-"),"- ","-")," 2 разряда","")," 3 разряда","")," 4 разряда","")," 5 разряда","")," 6 разряда","")," 1 категории","")," 2 категории","")," 3 категории",""))))))</f>
        <v>контролер кпп</v>
      </c>
      <c r="H222" s="35" t="n">
        <f aca="false">IF(C222="","",IF(AND(G222="мастер участка",ISNUMBER(SEARCH("РЭО",E222))),29,IFERROR(INDEX(Соответствие!$B$2:$B$100,MATCH(G222,Соответствие!$A$2:$A$100,0)),"?")))</f>
        <v>45</v>
      </c>
      <c r="I222" s="39" t="str">
        <f aca="false">IF(C222="","",IFERROR(INDEX(Перечень!$C$6:$C$52,MATCH(H222,Перечень!$A$6:$A$52,0)),""))</f>
        <v>п.4.7, п.4.8, п.5.1, п.5.2</v>
      </c>
      <c r="J222" s="35" t="n">
        <f aca="false">IF(C222="","",IFERROR(INDEX(Перечень!$D$6:$D$52,MATCH(H222,Перечень!$A$6:$A$52,0)),12))</f>
        <v>12</v>
      </c>
      <c r="K222" s="40"/>
      <c r="L222" s="40"/>
      <c r="M222" s="37" t="str">
        <f aca="false">IF(AND(K222="",L222=""),"",EDATE(MAX(K222,L222),J222))</f>
        <v/>
      </c>
      <c r="N222" s="41" t="str">
        <f aca="false">IF(C222="","",IFERROR(INDEX(Перечень!$F$6:$F$52,MATCH(H222,Перечень!$A$6:$A$52,0)),""))</f>
        <v>Нет</v>
      </c>
      <c r="O222" s="40"/>
      <c r="P222" s="37" t="str">
        <f aca="false">IF(O222="","",EDATE(O222,60))</f>
        <v/>
      </c>
      <c r="Q222" s="41" t="str">
        <f aca="false">IF(AND(K222&lt;&gt;"",F222&lt;&gt;"",K222&gt;F222),"Да","")</f>
        <v/>
      </c>
      <c r="R222" s="41" t="str">
        <f aca="true">IF(C222="","",IF(M222="","Нет сведений",IF(M222&lt;TODAY(),"Просрочен",IF(M222-TODAY()&lt;=30,"Истекает","В срок"))))</f>
        <v>Нет сведений</v>
      </c>
      <c r="S222" s="41" t="str">
        <f aca="false">IF(AND(N222="Да",O222=""),"Не пройдено","")</f>
        <v/>
      </c>
    </row>
    <row r="223" customFormat="false" ht="14.25" hidden="false" customHeight="false" outlineLevel="0" collapsed="false">
      <c r="A223" s="35" t="n">
        <f aca="false">IF(C223="","",ROW()-5)</f>
        <v>218</v>
      </c>
      <c r="B223" s="36" t="s">
        <v>107</v>
      </c>
      <c r="C223" s="36" t="s">
        <v>446</v>
      </c>
      <c r="D223" s="36" t="s">
        <v>441</v>
      </c>
      <c r="E223" s="36" t="s">
        <v>442</v>
      </c>
      <c r="F223" s="37" t="n">
        <v>42919</v>
      </c>
      <c r="G223" s="38" t="str">
        <f aca="false">IF(C223="","",IF(TRIM(SUBSTITUTE(SUBSTITUTE(SUBSTITUTE(SUBSTITUTE(SUBSTITUTE(SUBSTITUTE(SUBSTITUTE(SUBSTITUTE(SUBSTITUTE(SUBSTITUTE(SUBSTITUTE(LOWER(TRIM(D223)),"ё","е"),"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категории",""))="инженер",IF(AND(ISNUMBER(SEARCH("техническ",E223)),ISNUMBER(SEARCH("контрол",E223))),"инженер отк",IF(ISNUMBER(SEARCH("диспетч",E223)),"инженер пдо",TRIM(SUBSTITUTE(SUBSTITUTE(SUBSTITUTE(SUBSTITUTE(SUBSTITUTE(SUBSTITUTE(SUBSTITUTE(SUBSTITUTE(SUBSTITUTE(SUBSTITUTE(SUBSTITUTE(LOWER(TRIM(D223)),"ё","е"),"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инженер",IF(ISNUMBER(SEARCH("диспетч",E223)),"ведущий инженер пдо",TRIM(SUBSTITUTE(SUBSTITUTE(SUBSTITUTE(SUBSTITUTE(SUBSTITUTE(SUBSTITUTE(SUBSTITUTE(SUBSTITUTE(SUBSTITUTE(SUBSTITUTE(SUBSTITUTE(LOWER(TRIM(D223)),"ё","е"),"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отк",TRIM(SUBSTITUTE(SUBSTITUTE(SUBSTITUTE(SUBSTITUTE(SUBSTITUTE(SUBSTITUTE(SUBSTITUTE(SUBSTITUTE(SUBSTITUTE(SUBSTITUTE(SUBSTITUTE(LOWER(TRIM(D223)),"ё","е")," -","-"),"- ","-")," 2 разряда","")," 3 разряда","")," 4 разряда","")," 5 разряда","")," 6 разряда","")," 1 категории","")," 2 категории","")," 3 категории",""))))))</f>
        <v>контролер кпп</v>
      </c>
      <c r="H223" s="35" t="n">
        <f aca="false">IF(C223="","",IF(AND(G223="мастер участка",ISNUMBER(SEARCH("РЭО",E223))),29,IFERROR(INDEX(Соответствие!$B$2:$B$100,MATCH(G223,Соответствие!$A$2:$A$100,0)),"?")))</f>
        <v>45</v>
      </c>
      <c r="I223" s="39" t="str">
        <f aca="false">IF(C223="","",IFERROR(INDEX(Перечень!$C$6:$C$52,MATCH(H223,Перечень!$A$6:$A$52,0)),""))</f>
        <v>п.4.7, п.4.8, п.5.1, п.5.2</v>
      </c>
      <c r="J223" s="35" t="n">
        <f aca="false">IF(C223="","",IFERROR(INDEX(Перечень!$D$6:$D$52,MATCH(H223,Перечень!$A$6:$A$52,0)),12))</f>
        <v>12</v>
      </c>
      <c r="K223" s="40"/>
      <c r="L223" s="40"/>
      <c r="M223" s="37" t="str">
        <f aca="false">IF(AND(K223="",L223=""),"",EDATE(MAX(K223,L223),J223))</f>
        <v/>
      </c>
      <c r="N223" s="41" t="str">
        <f aca="false">IF(C223="","",IFERROR(INDEX(Перечень!$F$6:$F$52,MATCH(H223,Перечень!$A$6:$A$52,0)),""))</f>
        <v>Нет</v>
      </c>
      <c r="O223" s="40"/>
      <c r="P223" s="37" t="str">
        <f aca="false">IF(O223="","",EDATE(O223,60))</f>
        <v/>
      </c>
      <c r="Q223" s="41" t="str">
        <f aca="false">IF(AND(K223&lt;&gt;"",F223&lt;&gt;"",K223&gt;F223),"Да","")</f>
        <v/>
      </c>
      <c r="R223" s="41" t="str">
        <f aca="true">IF(C223="","",IF(M223="","Нет сведений",IF(M223&lt;TODAY(),"Просрочен",IF(M223-TODAY()&lt;=30,"Истекает","В срок"))))</f>
        <v>Нет сведений</v>
      </c>
      <c r="S223" s="41" t="str">
        <f aca="false">IF(AND(N223="Да",O223=""),"Не пройдено","")</f>
        <v/>
      </c>
    </row>
    <row r="224" customFormat="false" ht="14.25" hidden="false" customHeight="false" outlineLevel="0" collapsed="false">
      <c r="A224" s="35" t="n">
        <f aca="false">IF(C224="","",ROW()-5)</f>
        <v>219</v>
      </c>
      <c r="B224" s="36" t="s">
        <v>107</v>
      </c>
      <c r="C224" s="36" t="s">
        <v>447</v>
      </c>
      <c r="D224" s="36" t="s">
        <v>441</v>
      </c>
      <c r="E224" s="36" t="s">
        <v>442</v>
      </c>
      <c r="F224" s="37" t="n">
        <v>42919</v>
      </c>
      <c r="G224" s="38" t="str">
        <f aca="false">IF(C224="","",IF(TRIM(SUBSTITUTE(SUBSTITUTE(SUBSTITUTE(SUBSTITUTE(SUBSTITUTE(SUBSTITUTE(SUBSTITUTE(SUBSTITUTE(SUBSTITUTE(SUBSTITUTE(SUBSTITUTE(LOWER(TRIM(D224)),"ё","е"),"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категории",""))="инженер",IF(AND(ISNUMBER(SEARCH("техническ",E224)),ISNUMBER(SEARCH("контрол",E224))),"инженер отк",IF(ISNUMBER(SEARCH("диспетч",E224)),"инженер пдо",TRIM(SUBSTITUTE(SUBSTITUTE(SUBSTITUTE(SUBSTITUTE(SUBSTITUTE(SUBSTITUTE(SUBSTITUTE(SUBSTITUTE(SUBSTITUTE(SUBSTITUTE(SUBSTITUTE(LOWER(TRIM(D224)),"ё","е"),"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инженер",IF(ISNUMBER(SEARCH("диспетч",E224)),"ведущий инженер пдо",TRIM(SUBSTITUTE(SUBSTITUTE(SUBSTITUTE(SUBSTITUTE(SUBSTITUTE(SUBSTITUTE(SUBSTITUTE(SUBSTITUTE(SUBSTITUTE(SUBSTITUTE(SUBSTITUTE(LOWER(TRIM(D224)),"ё","е"),"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отк",TRIM(SUBSTITUTE(SUBSTITUTE(SUBSTITUTE(SUBSTITUTE(SUBSTITUTE(SUBSTITUTE(SUBSTITUTE(SUBSTITUTE(SUBSTITUTE(SUBSTITUTE(SUBSTITUTE(LOWER(TRIM(D224)),"ё","е")," -","-"),"- ","-")," 2 разряда","")," 3 разряда","")," 4 разряда","")," 5 разряда","")," 6 разряда","")," 1 категории","")," 2 категории","")," 3 категории",""))))))</f>
        <v>контролер кпп</v>
      </c>
      <c r="H224" s="35" t="n">
        <f aca="false">IF(C224="","",IF(AND(G224="мастер участка",ISNUMBER(SEARCH("РЭО",E224))),29,IFERROR(INDEX(Соответствие!$B$2:$B$100,MATCH(G224,Соответствие!$A$2:$A$100,0)),"?")))</f>
        <v>45</v>
      </c>
      <c r="I224" s="39" t="str">
        <f aca="false">IF(C224="","",IFERROR(INDEX(Перечень!$C$6:$C$52,MATCH(H224,Перечень!$A$6:$A$52,0)),""))</f>
        <v>п.4.7, п.4.8, п.5.1, п.5.2</v>
      </c>
      <c r="J224" s="35" t="n">
        <f aca="false">IF(C224="","",IFERROR(INDEX(Перечень!$D$6:$D$52,MATCH(H224,Перечень!$A$6:$A$52,0)),12))</f>
        <v>12</v>
      </c>
      <c r="K224" s="40"/>
      <c r="L224" s="40"/>
      <c r="M224" s="37" t="str">
        <f aca="false">IF(AND(K224="",L224=""),"",EDATE(MAX(K224,L224),J224))</f>
        <v/>
      </c>
      <c r="N224" s="41" t="str">
        <f aca="false">IF(C224="","",IFERROR(INDEX(Перечень!$F$6:$F$52,MATCH(H224,Перечень!$A$6:$A$52,0)),""))</f>
        <v>Нет</v>
      </c>
      <c r="O224" s="40"/>
      <c r="P224" s="37" t="str">
        <f aca="false">IF(O224="","",EDATE(O224,60))</f>
        <v/>
      </c>
      <c r="Q224" s="41" t="str">
        <f aca="false">IF(AND(K224&lt;&gt;"",F224&lt;&gt;"",K224&gt;F224),"Да","")</f>
        <v/>
      </c>
      <c r="R224" s="41" t="str">
        <f aca="true">IF(C224="","",IF(M224="","Нет сведений",IF(M224&lt;TODAY(),"Просрочен",IF(M224-TODAY()&lt;=30,"Истекает","В срок"))))</f>
        <v>Нет сведений</v>
      </c>
      <c r="S224" s="41" t="str">
        <f aca="false">IF(AND(N224="Да",O224=""),"Не пройдено","")</f>
        <v/>
      </c>
    </row>
    <row r="225" customFormat="false" ht="14.25" hidden="false" customHeight="false" outlineLevel="0" collapsed="false">
      <c r="A225" s="35" t="n">
        <f aca="false">IF(C225="","",ROW()-5)</f>
        <v>220</v>
      </c>
      <c r="B225" s="36" t="s">
        <v>107</v>
      </c>
      <c r="C225" s="36" t="s">
        <v>448</v>
      </c>
      <c r="D225" s="36" t="s">
        <v>441</v>
      </c>
      <c r="E225" s="36" t="s">
        <v>442</v>
      </c>
      <c r="F225" s="37" t="n">
        <v>42919</v>
      </c>
      <c r="G225" s="38" t="str">
        <f aca="false">IF(C225="","",IF(TRIM(SUBSTITUTE(SUBSTITUTE(SUBSTITUTE(SUBSTITUTE(SUBSTITUTE(SUBSTITUTE(SUBSTITUTE(SUBSTITUTE(SUBSTITUTE(SUBSTITUTE(SUBSTITUTE(LOWER(TRIM(D225)),"ё","е"),"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категории",""))="инженер",IF(AND(ISNUMBER(SEARCH("техническ",E225)),ISNUMBER(SEARCH("контрол",E225))),"инженер отк",IF(ISNUMBER(SEARCH("диспетч",E225)),"инженер пдо",TRIM(SUBSTITUTE(SUBSTITUTE(SUBSTITUTE(SUBSTITUTE(SUBSTITUTE(SUBSTITUTE(SUBSTITUTE(SUBSTITUTE(SUBSTITUTE(SUBSTITUTE(SUBSTITUTE(LOWER(TRIM(D225)),"ё","е"),"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инженер",IF(ISNUMBER(SEARCH("диспетч",E225)),"ведущий инженер пдо",TRIM(SUBSTITUTE(SUBSTITUTE(SUBSTITUTE(SUBSTITUTE(SUBSTITUTE(SUBSTITUTE(SUBSTITUTE(SUBSTITUTE(SUBSTITUTE(SUBSTITUTE(SUBSTITUTE(LOWER(TRIM(D225)),"ё","е"),"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отк",TRIM(SUBSTITUTE(SUBSTITUTE(SUBSTITUTE(SUBSTITUTE(SUBSTITUTE(SUBSTITUTE(SUBSTITUTE(SUBSTITUTE(SUBSTITUTE(SUBSTITUTE(SUBSTITUTE(LOWER(TRIM(D225)),"ё","е")," -","-"),"- ","-")," 2 разряда","")," 3 разряда","")," 4 разряда","")," 5 разряда","")," 6 разряда","")," 1 категории","")," 2 категории","")," 3 категории",""))))))</f>
        <v>контролер кпп</v>
      </c>
      <c r="H225" s="35" t="n">
        <f aca="false">IF(C225="","",IF(AND(G225="мастер участка",ISNUMBER(SEARCH("РЭО",E225))),29,IFERROR(INDEX(Соответствие!$B$2:$B$100,MATCH(G225,Соответствие!$A$2:$A$100,0)),"?")))</f>
        <v>45</v>
      </c>
      <c r="I225" s="39" t="str">
        <f aca="false">IF(C225="","",IFERROR(INDEX(Перечень!$C$6:$C$52,MATCH(H225,Перечень!$A$6:$A$52,0)),""))</f>
        <v>п.4.7, п.4.8, п.5.1, п.5.2</v>
      </c>
      <c r="J225" s="35" t="n">
        <f aca="false">IF(C225="","",IFERROR(INDEX(Перечень!$D$6:$D$52,MATCH(H225,Перечень!$A$6:$A$52,0)),12))</f>
        <v>12</v>
      </c>
      <c r="K225" s="40"/>
      <c r="L225" s="40"/>
      <c r="M225" s="37" t="str">
        <f aca="false">IF(AND(K225="",L225=""),"",EDATE(MAX(K225,L225),J225))</f>
        <v/>
      </c>
      <c r="N225" s="41" t="str">
        <f aca="false">IF(C225="","",IFERROR(INDEX(Перечень!$F$6:$F$52,MATCH(H225,Перечень!$A$6:$A$52,0)),""))</f>
        <v>Нет</v>
      </c>
      <c r="O225" s="40"/>
      <c r="P225" s="37" t="str">
        <f aca="false">IF(O225="","",EDATE(O225,60))</f>
        <v/>
      </c>
      <c r="Q225" s="41" t="str">
        <f aca="false">IF(AND(K225&lt;&gt;"",F225&lt;&gt;"",K225&gt;F225),"Да","")</f>
        <v/>
      </c>
      <c r="R225" s="41" t="str">
        <f aca="true">IF(C225="","",IF(M225="","Нет сведений",IF(M225&lt;TODAY(),"Просрочен",IF(M225-TODAY()&lt;=30,"Истекает","В срок"))))</f>
        <v>Нет сведений</v>
      </c>
      <c r="S225" s="41" t="str">
        <f aca="false">IF(AND(N225="Да",O225=""),"Не пройдено","")</f>
        <v/>
      </c>
    </row>
    <row r="226" customFormat="false" ht="14.25" hidden="false" customHeight="false" outlineLevel="0" collapsed="false">
      <c r="A226" s="35" t="n">
        <f aca="false">IF(C226="","",ROW()-5)</f>
        <v>221</v>
      </c>
      <c r="B226" s="36" t="s">
        <v>107</v>
      </c>
      <c r="C226" s="36" t="s">
        <v>449</v>
      </c>
      <c r="D226" s="36" t="s">
        <v>450</v>
      </c>
      <c r="E226" s="36" t="s">
        <v>442</v>
      </c>
      <c r="F226" s="37" t="n">
        <v>42919</v>
      </c>
      <c r="G226" s="38" t="str">
        <f aca="false">IF(C226="","",IF(TRIM(SUBSTITUTE(SUBSTITUTE(SUBSTITUTE(SUBSTITUTE(SUBSTITUTE(SUBSTITUTE(SUBSTITUTE(SUBSTITUTE(SUBSTITUTE(SUBSTITUTE(SUBSTITUTE(LOWER(TRIM(D226)),"ё","е"),"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категории",""))="инженер",IF(AND(ISNUMBER(SEARCH("техническ",E226)),ISNUMBER(SEARCH("контрол",E226))),"инженер отк",IF(ISNUMBER(SEARCH("диспетч",E226)),"инженер пдо",TRIM(SUBSTITUTE(SUBSTITUTE(SUBSTITUTE(SUBSTITUTE(SUBSTITUTE(SUBSTITUTE(SUBSTITUTE(SUBSTITUTE(SUBSTITUTE(SUBSTITUTE(SUBSTITUTE(LOWER(TRIM(D226)),"ё","е"),"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инженер",IF(ISNUMBER(SEARCH("диспетч",E226)),"ведущий инженер пдо",TRIM(SUBSTITUTE(SUBSTITUTE(SUBSTITUTE(SUBSTITUTE(SUBSTITUTE(SUBSTITUTE(SUBSTITUTE(SUBSTITUTE(SUBSTITUTE(SUBSTITUTE(SUBSTITUTE(LOWER(TRIM(D226)),"ё","е"),"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отк",TRIM(SUBSTITUTE(SUBSTITUTE(SUBSTITUTE(SUBSTITUTE(SUBSTITUTE(SUBSTITUTE(SUBSTITUTE(SUBSTITUTE(SUBSTITUTE(SUBSTITUTE(SUBSTITUTE(LOWER(TRIM(D226)),"ё","е")," -","-"),"- ","-")," 2 разряда","")," 3 разряда","")," 4 разряда","")," 5 разряда","")," 6 разряда","")," 1 категории","")," 2 категории","")," 3 категории",""))))))</f>
        <v>контролер кпп-старший смены</v>
      </c>
      <c r="H226" s="35" t="n">
        <f aca="false">IF(C226="","",IF(AND(G226="мастер участка",ISNUMBER(SEARCH("РЭО",E226))),29,IFERROR(INDEX(Соответствие!$B$2:$B$100,MATCH(G226,Соответствие!$A$2:$A$100,0)),"?")))</f>
        <v>45</v>
      </c>
      <c r="I226" s="39" t="str">
        <f aca="false">IF(C226="","",IFERROR(INDEX(Перечень!$C$6:$C$52,MATCH(H226,Перечень!$A$6:$A$52,0)),""))</f>
        <v>п.4.7, п.4.8, п.5.1, п.5.2</v>
      </c>
      <c r="J226" s="35" t="n">
        <f aca="false">IF(C226="","",IFERROR(INDEX(Перечень!$D$6:$D$52,MATCH(H226,Перечень!$A$6:$A$52,0)),12))</f>
        <v>12</v>
      </c>
      <c r="K226" s="40"/>
      <c r="L226" s="40"/>
      <c r="M226" s="37" t="str">
        <f aca="false">IF(AND(K226="",L226=""),"",EDATE(MAX(K226,L226),J226))</f>
        <v/>
      </c>
      <c r="N226" s="41" t="str">
        <f aca="false">IF(C226="","",IFERROR(INDEX(Перечень!$F$6:$F$52,MATCH(H226,Перечень!$A$6:$A$52,0)),""))</f>
        <v>Нет</v>
      </c>
      <c r="O226" s="40"/>
      <c r="P226" s="37" t="str">
        <f aca="false">IF(O226="","",EDATE(O226,60))</f>
        <v/>
      </c>
      <c r="Q226" s="41" t="str">
        <f aca="false">IF(AND(K226&lt;&gt;"",F226&lt;&gt;"",K226&gt;F226),"Да","")</f>
        <v/>
      </c>
      <c r="R226" s="41" t="str">
        <f aca="true">IF(C226="","",IF(M226="","Нет сведений",IF(M226&lt;TODAY(),"Просрочен",IF(M226-TODAY()&lt;=30,"Истекает","В срок"))))</f>
        <v>Нет сведений</v>
      </c>
      <c r="S226" s="41" t="str">
        <f aca="false">IF(AND(N226="Да",O226=""),"Не пройдено","")</f>
        <v/>
      </c>
    </row>
    <row r="227" customFormat="false" ht="14.25" hidden="false" customHeight="false" outlineLevel="0" collapsed="false">
      <c r="A227" s="35" t="n">
        <f aca="false">IF(C227="","",ROW()-5)</f>
        <v>222</v>
      </c>
      <c r="B227" s="36" t="s">
        <v>107</v>
      </c>
      <c r="C227" s="36" t="s">
        <v>451</v>
      </c>
      <c r="D227" s="36" t="s">
        <v>452</v>
      </c>
      <c r="E227" s="36" t="s">
        <v>442</v>
      </c>
      <c r="F227" s="37" t="n">
        <v>45756</v>
      </c>
      <c r="G227" s="38" t="str">
        <f aca="false">IF(C227="","",IF(TRIM(SUBSTITUTE(SUBSTITUTE(SUBSTITUTE(SUBSTITUTE(SUBSTITUTE(SUBSTITUTE(SUBSTITUTE(SUBSTITUTE(SUBSTITUTE(SUBSTITUTE(SUBSTITUTE(LOWER(TRIM(D227)),"ё","е"),"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категории",""))="инженер",IF(AND(ISNUMBER(SEARCH("техническ",E227)),ISNUMBER(SEARCH("контрол",E227))),"инженер отк",IF(ISNUMBER(SEARCH("диспетч",E227)),"инженер пдо",TRIM(SUBSTITUTE(SUBSTITUTE(SUBSTITUTE(SUBSTITUTE(SUBSTITUTE(SUBSTITUTE(SUBSTITUTE(SUBSTITUTE(SUBSTITUTE(SUBSTITUTE(SUBSTITUTE(LOWER(TRIM(D227)),"ё","е"),"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инженер",IF(ISNUMBER(SEARCH("диспетч",E227)),"ведущий инженер пдо",TRIM(SUBSTITUTE(SUBSTITUTE(SUBSTITUTE(SUBSTITUTE(SUBSTITUTE(SUBSTITUTE(SUBSTITUTE(SUBSTITUTE(SUBSTITUTE(SUBSTITUTE(SUBSTITUTE(LOWER(TRIM(D227)),"ё","е"),"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отк",TRIM(SUBSTITUTE(SUBSTITUTE(SUBSTITUTE(SUBSTITUTE(SUBSTITUTE(SUBSTITUTE(SUBSTITUTE(SUBSTITUTE(SUBSTITUTE(SUBSTITUTE(SUBSTITUTE(LOWER(TRIM(D227)),"ё","е")," -","-"),"- ","-")," 2 разряда","")," 3 разряда","")," 4 разряда","")," 5 разряда","")," 6 разряда","")," 1 категории","")," 2 категории","")," 3 категории",""))))))</f>
        <v>старший охраны объекта</v>
      </c>
      <c r="H227" s="35" t="n">
        <f aca="false">IF(C227="","",IF(AND(G227="мастер участка",ISNUMBER(SEARCH("РЭО",E227))),29,IFERROR(INDEX(Соответствие!$B$2:$B$100,MATCH(G227,Соответствие!$A$2:$A$100,0)),"?")))</f>
        <v>45</v>
      </c>
      <c r="I227" s="39" t="str">
        <f aca="false">IF(C227="","",IFERROR(INDEX(Перечень!$C$6:$C$52,MATCH(H227,Перечень!$A$6:$A$52,0)),""))</f>
        <v>п.4.7, п.4.8, п.5.1, п.5.2</v>
      </c>
      <c r="J227" s="35" t="n">
        <f aca="false">IF(C227="","",IFERROR(INDEX(Перечень!$D$6:$D$52,MATCH(H227,Перечень!$A$6:$A$52,0)),12))</f>
        <v>12</v>
      </c>
      <c r="K227" s="40"/>
      <c r="L227" s="40"/>
      <c r="M227" s="37" t="str">
        <f aca="false">IF(AND(K227="",L227=""),"",EDATE(MAX(K227,L227),J227))</f>
        <v/>
      </c>
      <c r="N227" s="41" t="str">
        <f aca="false">IF(C227="","",IFERROR(INDEX(Перечень!$F$6:$F$52,MATCH(H227,Перечень!$A$6:$A$52,0)),""))</f>
        <v>Нет</v>
      </c>
      <c r="O227" s="40"/>
      <c r="P227" s="37" t="str">
        <f aca="false">IF(O227="","",EDATE(O227,60))</f>
        <v/>
      </c>
      <c r="Q227" s="41" t="str">
        <f aca="false">IF(AND(K227&lt;&gt;"",F227&lt;&gt;"",K227&gt;F227),"Да","")</f>
        <v/>
      </c>
      <c r="R227" s="41" t="str">
        <f aca="true">IF(C227="","",IF(M227="","Нет сведений",IF(M227&lt;TODAY(),"Просрочен",IF(M227-TODAY()&lt;=30,"Истекает","В срок"))))</f>
        <v>Нет сведений</v>
      </c>
      <c r="S227" s="41" t="str">
        <f aca="false">IF(AND(N227="Да",O227=""),"Не пройдено","")</f>
        <v/>
      </c>
    </row>
    <row r="228" customFormat="false" ht="14.25" hidden="false" customHeight="false" outlineLevel="0" collapsed="false">
      <c r="A228" s="35" t="n">
        <f aca="false">IF(C228="","",ROW()-5)</f>
        <v>223</v>
      </c>
      <c r="B228" s="36" t="s">
        <v>107</v>
      </c>
      <c r="C228" s="36" t="s">
        <v>453</v>
      </c>
      <c r="D228" s="36" t="s">
        <v>454</v>
      </c>
      <c r="E228" s="36" t="s">
        <v>251</v>
      </c>
      <c r="F228" s="37" t="n">
        <v>40560</v>
      </c>
      <c r="G228" s="38" t="str">
        <f aca="false">IF(C228="","",IF(TRIM(SUBSTITUTE(SUBSTITUTE(SUBSTITUTE(SUBSTITUTE(SUBSTITUTE(SUBSTITUTE(SUBSTITUTE(SUBSTITUTE(SUBSTITUTE(SUBSTITUTE(SUBSTITUTE(LOWER(TRIM(D228)),"ё","е"),"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категории",""))="инженер",IF(AND(ISNUMBER(SEARCH("техническ",E228)),ISNUMBER(SEARCH("контрол",E228))),"инженер отк",IF(ISNUMBER(SEARCH("диспетч",E228)),"инженер пдо",TRIM(SUBSTITUTE(SUBSTITUTE(SUBSTITUTE(SUBSTITUTE(SUBSTITUTE(SUBSTITUTE(SUBSTITUTE(SUBSTITUTE(SUBSTITUTE(SUBSTITUTE(SUBSTITUTE(LOWER(TRIM(D228)),"ё","е"),"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инженер",IF(ISNUMBER(SEARCH("диспетч",E228)),"ведущий инженер пдо",TRIM(SUBSTITUTE(SUBSTITUTE(SUBSTITUTE(SUBSTITUTE(SUBSTITUTE(SUBSTITUTE(SUBSTITUTE(SUBSTITUTE(SUBSTITUTE(SUBSTITUTE(SUBSTITUTE(LOWER(TRIM(D228)),"ё","е"),"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отк",TRIM(SUBSTITUTE(SUBSTITUTE(SUBSTITUTE(SUBSTITUTE(SUBSTITUTE(SUBSTITUTE(SUBSTITUTE(SUBSTITUTE(SUBSTITUTE(SUBSTITUTE(SUBSTITUTE(LOWER(TRIM(D228)),"ё","е")," -","-"),"- ","-")," 2 разряда","")," 3 разряда","")," 4 разряда","")," 5 разряда","")," 6 разряда","")," 1 категории","")," 2 категории","")," 3 категории",""))))))</f>
        <v>старший кладовщик</v>
      </c>
      <c r="H228" s="35" t="n">
        <f aca="false">IF(C228="","",IF(AND(G228="мастер участка",ISNUMBER(SEARCH("РЭО",E228))),29,IFERROR(INDEX(Соответствие!$B$2:$B$100,MATCH(G228,Соответствие!$A$2:$A$100,0)),"?")))</f>
        <v>14</v>
      </c>
      <c r="I228" s="39" t="str">
        <f aca="false">IF(C228="","",IFERROR(INDEX(Перечень!$C$6:$C$52,MATCH(H228,Перечень!$A$6:$A$52,0)),""))</f>
        <v>п.4.4, п.5.1, п.6.2</v>
      </c>
      <c r="J228" s="35" t="n">
        <f aca="false">IF(C228="","",IFERROR(INDEX(Перечень!$D$6:$D$52,MATCH(H228,Перечень!$A$6:$A$52,0)),12))</f>
        <v>12</v>
      </c>
      <c r="K228" s="40"/>
      <c r="L228" s="40"/>
      <c r="M228" s="37" t="str">
        <f aca="false">IF(AND(K228="",L228=""),"",EDATE(MAX(K228,L228),J228))</f>
        <v/>
      </c>
      <c r="N228" s="41" t="str">
        <f aca="false">IF(C228="","",IFERROR(INDEX(Перечень!$F$6:$F$52,MATCH(H228,Перечень!$A$6:$A$52,0)),""))</f>
        <v>-</v>
      </c>
      <c r="O228" s="40"/>
      <c r="P228" s="37" t="str">
        <f aca="false">IF(O228="","",EDATE(O228,60))</f>
        <v/>
      </c>
      <c r="Q228" s="41" t="str">
        <f aca="false">IF(AND(K228&lt;&gt;"",F228&lt;&gt;"",K228&gt;F228),"Да","")</f>
        <v/>
      </c>
      <c r="R228" s="41" t="str">
        <f aca="true">IF(C228="","",IF(M228="","Нет сведений",IF(M228&lt;TODAY(),"Просрочен",IF(M228-TODAY()&lt;=30,"Истекает","В срок"))))</f>
        <v>Нет сведений</v>
      </c>
      <c r="S228" s="41" t="str">
        <f aca="false">IF(AND(N228="Да",O228=""),"Не пройдено","")</f>
        <v/>
      </c>
    </row>
    <row r="229" customFormat="false" ht="14.25" hidden="false" customHeight="false" outlineLevel="0" collapsed="false">
      <c r="A229" s="35" t="n">
        <f aca="false">IF(C229="","",ROW()-5)</f>
        <v>224</v>
      </c>
      <c r="B229" s="36" t="s">
        <v>107</v>
      </c>
      <c r="C229" s="36" t="s">
        <v>455</v>
      </c>
      <c r="D229" s="36" t="s">
        <v>454</v>
      </c>
      <c r="E229" s="36" t="s">
        <v>251</v>
      </c>
      <c r="F229" s="37" t="n">
        <v>45365</v>
      </c>
      <c r="G229" s="38" t="str">
        <f aca="false">IF(C229="","",IF(TRIM(SUBSTITUTE(SUBSTITUTE(SUBSTITUTE(SUBSTITUTE(SUBSTITUTE(SUBSTITUTE(SUBSTITUTE(SUBSTITUTE(SUBSTITUTE(SUBSTITUTE(SUBSTITUTE(LOWER(TRIM(D229)),"ё","е"),"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категории",""))="инженер",IF(AND(ISNUMBER(SEARCH("техническ",E229)),ISNUMBER(SEARCH("контрол",E229))),"инженер отк",IF(ISNUMBER(SEARCH("диспетч",E229)),"инженер пдо",TRIM(SUBSTITUTE(SUBSTITUTE(SUBSTITUTE(SUBSTITUTE(SUBSTITUTE(SUBSTITUTE(SUBSTITUTE(SUBSTITUTE(SUBSTITUTE(SUBSTITUTE(SUBSTITUTE(LOWER(TRIM(D229)),"ё","е"),"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категории","")))),IF(TRIM(SUBSTITUTE(SUBSTITUTE(SUBSTITUTE(SUBSTITUTE(SUBSTITUTE(SUBSTITUTE(SUBSTITUTE(SUBSTITUTE(SUBSTITUTE(SUBSTITUTE(SUBSTITUTE(LOWER(TRIM(D229)),"ё","е"),"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инженер",IF(ISNUMBER(SEARCH("диспетч",E229)),"ведущий инженер пдо",TRIM(SUBSTITUTE(SUBSTITUTE(SUBSTITUTE(SUBSTITUTE(SUBSTITUTE(SUBSTITUTE(SUBSTITUTE(SUBSTITUTE(SUBSTITUTE(SUBSTITUTE(SUBSTITUTE(LOWER(TRIM(D229)),"ё","е"),"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категории",""))),IF(TRIM(SUBSTITUTE(SUBSTITUTE(SUBSTITUTE(SUBSTITUTE(SUBSTITUTE(SUBSTITUTE(SUBSTITUTE(SUBSTITUTE(SUBSTITUTE(SUBSTITUTE(SUBSTITUTE(LOWER(TRIM(D229)),"ё","е"),"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отк",TRIM(SUBSTITUTE(SUBSTITUTE(SUBSTITUTE(SUBSTITUTE(SUBSTITUTE(SUBSTITUTE(SUBSTITUTE(SUBSTITUTE(SUBSTITUTE(SUBSTITUTE(SUBSTITUTE(LOWER(TRIM(D229)),"ё","е")," -","-"),"- ","-")," 2 разряда","")," 3 разряда","")," 4 разряда","")," 5 разряда","")," 6 разряда","")," 1 категории","")," 2 категории","")," 3 категории",""))))))</f>
        <v>старший кладовщик</v>
      </c>
      <c r="H229" s="35" t="n">
        <f aca="false">IF(C229="","",IF(AND(G229="мастер участка",ISNUMBER(SEARCH("РЭО",E229))),29,IFERROR(INDEX(Соответствие!$B$2:$B$100,MATCH(G229,Соответствие!$A$2:$A$100,0)),"?")))</f>
        <v>14</v>
      </c>
      <c r="I229" s="39" t="str">
        <f aca="false">IF(C229="","",IFERROR(INDEX(Перечень!$C$6:$C$52,MATCH(H229,Перечень!$A$6:$A$52,0)),""))</f>
        <v>п.4.4, п.5.1, п.6.2</v>
      </c>
      <c r="J229" s="35" t="n">
        <f aca="false">IF(C229="","",IFERROR(INDEX(Перечень!$D$6:$D$52,MATCH(H229,Перечень!$A$6:$A$52,0)),12))</f>
        <v>12</v>
      </c>
      <c r="K229" s="40"/>
      <c r="L229" s="40"/>
      <c r="M229" s="37" t="str">
        <f aca="false">IF(AND(K229="",L229=""),"",EDATE(MAX(K229,L229),J229))</f>
        <v/>
      </c>
      <c r="N229" s="41" t="str">
        <f aca="false">IF(C229="","",IFERROR(INDEX(Перечень!$F$6:$F$52,MATCH(H229,Перечень!$A$6:$A$52,0)),""))</f>
        <v>-</v>
      </c>
      <c r="O229" s="40"/>
      <c r="P229" s="37" t="str">
        <f aca="false">IF(O229="","",EDATE(O229,60))</f>
        <v/>
      </c>
      <c r="Q229" s="41" t="str">
        <f aca="false">IF(AND(K229&lt;&gt;"",F229&lt;&gt;"",K229&gt;F229),"Да","")</f>
        <v/>
      </c>
      <c r="R229" s="41" t="str">
        <f aca="true">IF(C229="","",IF(M229="","Нет сведений",IF(M229&lt;TODAY(),"Просрочен",IF(M229-TODAY()&lt;=30,"Истекает","В срок"))))</f>
        <v>Нет сведений</v>
      </c>
      <c r="S229" s="41" t="str">
        <f aca="false">IF(AND(N229="Да",O229=""),"Не пройдено","")</f>
        <v/>
      </c>
    </row>
    <row r="230" customFormat="false" ht="14.25" hidden="false" customHeight="false" outlineLevel="0" collapsed="false">
      <c r="A230" s="35" t="n">
        <f aca="false">IF(C230="","",ROW()-5)</f>
        <v>225</v>
      </c>
      <c r="B230" s="36" t="s">
        <v>107</v>
      </c>
      <c r="C230" s="36" t="s">
        <v>456</v>
      </c>
      <c r="D230" s="36" t="s">
        <v>454</v>
      </c>
      <c r="E230" s="36" t="s">
        <v>251</v>
      </c>
      <c r="F230" s="37" t="n">
        <v>44802</v>
      </c>
      <c r="G230" s="38" t="str">
        <f aca="false">IF(C230="","",IF(TRIM(SUBSTITUTE(SUBSTITUTE(SUBSTITUTE(SUBSTITUTE(SUBSTITUTE(SUBSTITUTE(SUBSTITUTE(SUBSTITUTE(SUBSTITUTE(SUBSTITUTE(SUBSTITUTE(LOWER(TRIM(D230)),"ё","е"),"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категории",""))="инженер",IF(AND(ISNUMBER(SEARCH("техническ",E230)),ISNUMBER(SEARCH("контрол",E230))),"инженер отк",IF(ISNUMBER(SEARCH("диспетч",E230)),"инженер пдо",TRIM(SUBSTITUTE(SUBSTITUTE(SUBSTITUTE(SUBSTITUTE(SUBSTITUTE(SUBSTITUTE(SUBSTITUTE(SUBSTITUTE(SUBSTITUTE(SUBSTITUTE(SUBSTITUTE(LOWER(TRIM(D230)),"ё","е"),"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инженер",IF(ISNUMBER(SEARCH("диспетч",E230)),"ведущий инженер пдо",TRIM(SUBSTITUTE(SUBSTITUTE(SUBSTITUTE(SUBSTITUTE(SUBSTITUTE(SUBSTITUTE(SUBSTITUTE(SUBSTITUTE(SUBSTITUTE(SUBSTITUTE(SUBSTITUTE(LOWER(TRIM(D230)),"ё","е"),"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отк",TRIM(SUBSTITUTE(SUBSTITUTE(SUBSTITUTE(SUBSTITUTE(SUBSTITUTE(SUBSTITUTE(SUBSTITUTE(SUBSTITUTE(SUBSTITUTE(SUBSTITUTE(SUBSTITUTE(LOWER(TRIM(D230)),"ё","е")," -","-"),"- ","-")," 2 разряда","")," 3 разряда","")," 4 разряда","")," 5 разряда","")," 6 разряда","")," 1 категории","")," 2 категории","")," 3 категории",""))))))</f>
        <v>старший кладовщик</v>
      </c>
      <c r="H230" s="35" t="n">
        <f aca="false">IF(C230="","",IF(AND(G230="мастер участка",ISNUMBER(SEARCH("РЭО",E230))),29,IFERROR(INDEX(Соответствие!$B$2:$B$100,MATCH(G230,Соответствие!$A$2:$A$100,0)),"?")))</f>
        <v>14</v>
      </c>
      <c r="I230" s="39" t="str">
        <f aca="false">IF(C230="","",IFERROR(INDEX(Перечень!$C$6:$C$52,MATCH(H230,Перечень!$A$6:$A$52,0)),""))</f>
        <v>п.4.4, п.5.1, п.6.2</v>
      </c>
      <c r="J230" s="35" t="n">
        <f aca="false">IF(C230="","",IFERROR(INDEX(Перечень!$D$6:$D$52,MATCH(H230,Перечень!$A$6:$A$52,0)),12))</f>
        <v>12</v>
      </c>
      <c r="K230" s="40"/>
      <c r="L230" s="40"/>
      <c r="M230" s="37" t="str">
        <f aca="false">IF(AND(K230="",L230=""),"",EDATE(MAX(K230,L230),J230))</f>
        <v/>
      </c>
      <c r="N230" s="41" t="str">
        <f aca="false">IF(C230="","",IFERROR(INDEX(Перечень!$F$6:$F$52,MATCH(H230,Перечень!$A$6:$A$52,0)),""))</f>
        <v>-</v>
      </c>
      <c r="O230" s="40"/>
      <c r="P230" s="37" t="str">
        <f aca="false">IF(O230="","",EDATE(O230,60))</f>
        <v/>
      </c>
      <c r="Q230" s="41" t="str">
        <f aca="false">IF(AND(K230&lt;&gt;"",F230&lt;&gt;"",K230&gt;F230),"Да","")</f>
        <v/>
      </c>
      <c r="R230" s="41" t="str">
        <f aca="true">IF(C230="","",IF(M230="","Нет сведений",IF(M230&lt;TODAY(),"Просрочен",IF(M230-TODAY()&lt;=30,"Истекает","В срок"))))</f>
        <v>Нет сведений</v>
      </c>
      <c r="S230" s="41" t="str">
        <f aca="false">IF(AND(N230="Да",O230=""),"Не пройдено","")</f>
        <v/>
      </c>
    </row>
    <row r="231" customFormat="false" ht="14.25" hidden="false" customHeight="false" outlineLevel="0" collapsed="false">
      <c r="A231" s="35" t="n">
        <f aca="false">IF(C231="","",ROW()-5)</f>
        <v>226</v>
      </c>
      <c r="B231" s="36" t="s">
        <v>107</v>
      </c>
      <c r="C231" s="36" t="s">
        <v>457</v>
      </c>
      <c r="D231" s="36" t="s">
        <v>206</v>
      </c>
      <c r="E231" s="36" t="s">
        <v>251</v>
      </c>
      <c r="F231" s="37" t="n">
        <v>45771</v>
      </c>
      <c r="G231" s="38" t="str">
        <f aca="false">IF(C231="","",IF(TRIM(SUBSTITUTE(SUBSTITUTE(SUBSTITUTE(SUBSTITUTE(SUBSTITUTE(SUBSTITUTE(SUBSTITUTE(SUBSTITUTE(SUBSTITUTE(SUBSTITUTE(SUBSTITUTE(LOWER(TRIM(D231)),"ё","е"),"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категории",""))="инженер",IF(AND(ISNUMBER(SEARCH("техническ",E231)),ISNUMBER(SEARCH("контрол",E231))),"инженер отк",IF(ISNUMBER(SEARCH("диспетч",E231)),"инженер пдо",TRIM(SUBSTITUTE(SUBSTITUTE(SUBSTITUTE(SUBSTITUTE(SUBSTITUTE(SUBSTITUTE(SUBSTITUTE(SUBSTITUTE(SUBSTITUTE(SUBSTITUTE(SUBSTITUTE(LOWER(TRIM(D231)),"ё","е"),"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инженер",IF(ISNUMBER(SEARCH("диспетч",E231)),"ведущий инженер пдо",TRIM(SUBSTITUTE(SUBSTITUTE(SUBSTITUTE(SUBSTITUTE(SUBSTITUTE(SUBSTITUTE(SUBSTITUTE(SUBSTITUTE(SUBSTITUTE(SUBSTITUTE(SUBSTITUTE(LOWER(TRIM(D231)),"ё","е"),"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отк",TRIM(SUBSTITUTE(SUBSTITUTE(SUBSTITUTE(SUBSTITUTE(SUBSTITUTE(SUBSTITUTE(SUBSTITUTE(SUBSTITUTE(SUBSTITUTE(SUBSTITUTE(SUBSTITUTE(LOWER(TRIM(D231)),"ё","е")," -","-"),"- ","-")," 2 разряда","")," 3 разряда","")," 4 разряда","")," 5 разряда","")," 6 разряда","")," 1 категории","")," 2 категории","")," 3 категории",""))))))</f>
        <v>кладовщик</v>
      </c>
      <c r="H231" s="35" t="n">
        <f aca="false">IF(C231="","",IF(AND(G231="мастер участка",ISNUMBER(SEARCH("РЭО",E231))),29,IFERROR(INDEX(Соответствие!$B$2:$B$100,MATCH(G231,Соответствие!$A$2:$A$100,0)),"?")))</f>
        <v>14</v>
      </c>
      <c r="I231" s="39" t="str">
        <f aca="false">IF(C231="","",IFERROR(INDEX(Перечень!$C$6:$C$52,MATCH(H231,Перечень!$A$6:$A$52,0)),""))</f>
        <v>п.4.4, п.5.1, п.6.2</v>
      </c>
      <c r="J231" s="35" t="n">
        <f aca="false">IF(C231="","",IFERROR(INDEX(Перечень!$D$6:$D$52,MATCH(H231,Перечень!$A$6:$A$52,0)),12))</f>
        <v>12</v>
      </c>
      <c r="K231" s="40"/>
      <c r="L231" s="40"/>
      <c r="M231" s="37" t="str">
        <f aca="false">IF(AND(K231="",L231=""),"",EDATE(MAX(K231,L231),J231))</f>
        <v/>
      </c>
      <c r="N231" s="41" t="str">
        <f aca="false">IF(C231="","",IFERROR(INDEX(Перечень!$F$6:$F$52,MATCH(H231,Перечень!$A$6:$A$52,0)),""))</f>
        <v>-</v>
      </c>
      <c r="O231" s="40"/>
      <c r="P231" s="37" t="str">
        <f aca="false">IF(O231="","",EDATE(O231,60))</f>
        <v/>
      </c>
      <c r="Q231" s="41" t="str">
        <f aca="false">IF(AND(K231&lt;&gt;"",F231&lt;&gt;"",K231&gt;F231),"Да","")</f>
        <v/>
      </c>
      <c r="R231" s="41" t="str">
        <f aca="true">IF(C231="","",IF(M231="","Нет сведений",IF(M231&lt;TODAY(),"Просрочен",IF(M231-TODAY()&lt;=30,"Истекает","В срок"))))</f>
        <v>Нет сведений</v>
      </c>
      <c r="S231" s="41" t="str">
        <f aca="false">IF(AND(N231="Да",O231=""),"Не пройдено","")</f>
        <v/>
      </c>
    </row>
    <row r="232" customFormat="false" ht="14.25" hidden="false" customHeight="false" outlineLevel="0" collapsed="false">
      <c r="A232" s="35" t="n">
        <f aca="false">IF(C232="","",ROW()-5)</f>
        <v>227</v>
      </c>
      <c r="B232" s="36" t="s">
        <v>107</v>
      </c>
      <c r="C232" s="36" t="s">
        <v>458</v>
      </c>
      <c r="D232" s="36" t="s">
        <v>206</v>
      </c>
      <c r="E232" s="36" t="s">
        <v>251</v>
      </c>
      <c r="F232" s="37" t="n">
        <v>46083</v>
      </c>
      <c r="G232" s="38" t="str">
        <f aca="false">IF(C232="","",IF(TRIM(SUBSTITUTE(SUBSTITUTE(SUBSTITUTE(SUBSTITUTE(SUBSTITUTE(SUBSTITUTE(SUBSTITUTE(SUBSTITUTE(SUBSTITUTE(SUBSTITUTE(SUBSTITUTE(LOWER(TRIM(D232)),"ё","е"),"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категории",""))="инженер",IF(AND(ISNUMBER(SEARCH("техническ",E232)),ISNUMBER(SEARCH("контрол",E232))),"инженер отк",IF(ISNUMBER(SEARCH("диспетч",E232)),"инженер пдо",TRIM(SUBSTITUTE(SUBSTITUTE(SUBSTITUTE(SUBSTITUTE(SUBSTITUTE(SUBSTITUTE(SUBSTITUTE(SUBSTITUTE(SUBSTITUTE(SUBSTITUTE(SUBSTITUTE(LOWER(TRIM(D232)),"ё","е"),"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инженер",IF(ISNUMBER(SEARCH("диспетч",E232)),"ведущий инженер пдо",TRIM(SUBSTITUTE(SUBSTITUTE(SUBSTITUTE(SUBSTITUTE(SUBSTITUTE(SUBSTITUTE(SUBSTITUTE(SUBSTITUTE(SUBSTITUTE(SUBSTITUTE(SUBSTITUTE(LOWER(TRIM(D232)),"ё","е"),"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отк",TRIM(SUBSTITUTE(SUBSTITUTE(SUBSTITUTE(SUBSTITUTE(SUBSTITUTE(SUBSTITUTE(SUBSTITUTE(SUBSTITUTE(SUBSTITUTE(SUBSTITUTE(SUBSTITUTE(LOWER(TRIM(D232)),"ё","е")," -","-"),"- ","-")," 2 разряда","")," 3 разряда","")," 4 разряда","")," 5 разряда","")," 6 разряда","")," 1 категории","")," 2 категории","")," 3 категории",""))))))</f>
        <v>кладовщик</v>
      </c>
      <c r="H232" s="35" t="n">
        <f aca="false">IF(C232="","",IF(AND(G232="мастер участка",ISNUMBER(SEARCH("РЭО",E232))),29,IFERROR(INDEX(Соответствие!$B$2:$B$100,MATCH(G232,Соответствие!$A$2:$A$100,0)),"?")))</f>
        <v>14</v>
      </c>
      <c r="I232" s="39" t="str">
        <f aca="false">IF(C232="","",IFERROR(INDEX(Перечень!$C$6:$C$52,MATCH(H232,Перечень!$A$6:$A$52,0)),""))</f>
        <v>п.4.4, п.5.1, п.6.2</v>
      </c>
      <c r="J232" s="35" t="n">
        <f aca="false">IF(C232="","",IFERROR(INDEX(Перечень!$D$6:$D$52,MATCH(H232,Перечень!$A$6:$A$52,0)),12))</f>
        <v>12</v>
      </c>
      <c r="K232" s="40"/>
      <c r="L232" s="40"/>
      <c r="M232" s="37" t="str">
        <f aca="false">IF(AND(K232="",L232=""),"",EDATE(MAX(K232,L232),J232))</f>
        <v/>
      </c>
      <c r="N232" s="41" t="str">
        <f aca="false">IF(C232="","",IFERROR(INDEX(Перечень!$F$6:$F$52,MATCH(H232,Перечень!$A$6:$A$52,0)),""))</f>
        <v>-</v>
      </c>
      <c r="O232" s="40"/>
      <c r="P232" s="37" t="str">
        <f aca="false">IF(O232="","",EDATE(O232,60))</f>
        <v/>
      </c>
      <c r="Q232" s="41" t="str">
        <f aca="false">IF(AND(K232&lt;&gt;"",F232&lt;&gt;"",K232&gt;F232),"Да","")</f>
        <v/>
      </c>
      <c r="R232" s="41" t="str">
        <f aca="true">IF(C232="","",IF(M232="","Нет сведений",IF(M232&lt;TODAY(),"Просрочен",IF(M232-TODAY()&lt;=30,"Истекает","В срок"))))</f>
        <v>Нет сведений</v>
      </c>
      <c r="S232" s="41" t="str">
        <f aca="false">IF(AND(N232="Да",O232=""),"Не пройдено","")</f>
        <v/>
      </c>
    </row>
    <row r="233" customFormat="false" ht="14.25" hidden="false" customHeight="false" outlineLevel="0" collapsed="false">
      <c r="A233" s="35" t="n">
        <f aca="false">IF(C233="","",ROW()-5)</f>
        <v>228</v>
      </c>
      <c r="B233" s="36" t="s">
        <v>107</v>
      </c>
      <c r="C233" s="36" t="s">
        <v>459</v>
      </c>
      <c r="D233" s="36" t="s">
        <v>206</v>
      </c>
      <c r="E233" s="36" t="s">
        <v>251</v>
      </c>
      <c r="F233" s="37" t="n">
        <v>46265</v>
      </c>
      <c r="G233" s="38" t="str">
        <f aca="false">IF(C233="","",IF(TRIM(SUBSTITUTE(SUBSTITUTE(SUBSTITUTE(SUBSTITUTE(SUBSTITUTE(SUBSTITUTE(SUBSTITUTE(SUBSTITUTE(SUBSTITUTE(SUBSTITUTE(SUBSTITUTE(LOWER(TRIM(D233)),"ё","е"),"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категории",""))="инженер",IF(AND(ISNUMBER(SEARCH("техническ",E233)),ISNUMBER(SEARCH("контрол",E233))),"инженер отк",IF(ISNUMBER(SEARCH("диспетч",E233)),"инженер пдо",TRIM(SUBSTITUTE(SUBSTITUTE(SUBSTITUTE(SUBSTITUTE(SUBSTITUTE(SUBSTITUTE(SUBSTITUTE(SUBSTITUTE(SUBSTITUTE(SUBSTITUTE(SUBSTITUTE(LOWER(TRIM(D233)),"ё","е"),"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инженер",IF(ISNUMBER(SEARCH("диспетч",E233)),"ведущий инженер пдо",TRIM(SUBSTITUTE(SUBSTITUTE(SUBSTITUTE(SUBSTITUTE(SUBSTITUTE(SUBSTITUTE(SUBSTITUTE(SUBSTITUTE(SUBSTITUTE(SUBSTITUTE(SUBSTITUTE(LOWER(TRIM(D233)),"ё","е"),"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отк",TRIM(SUBSTITUTE(SUBSTITUTE(SUBSTITUTE(SUBSTITUTE(SUBSTITUTE(SUBSTITUTE(SUBSTITUTE(SUBSTITUTE(SUBSTITUTE(SUBSTITUTE(SUBSTITUTE(LOWER(TRIM(D233)),"ё","е")," -","-"),"- ","-")," 2 разряда","")," 3 разряда","")," 4 разряда","")," 5 разряда","")," 6 разряда","")," 1 категории","")," 2 категории","")," 3 категории",""))))))</f>
        <v>кладовщик</v>
      </c>
      <c r="H233" s="35" t="n">
        <f aca="false">IF(C233="","",IF(AND(G233="мастер участка",ISNUMBER(SEARCH("РЭО",E233))),29,IFERROR(INDEX(Соответствие!$B$2:$B$100,MATCH(G233,Соответствие!$A$2:$A$100,0)),"?")))</f>
        <v>14</v>
      </c>
      <c r="I233" s="39" t="str">
        <f aca="false">IF(C233="","",IFERROR(INDEX(Перечень!$C$6:$C$52,MATCH(H233,Перечень!$A$6:$A$52,0)),""))</f>
        <v>п.4.4, п.5.1, п.6.2</v>
      </c>
      <c r="J233" s="35" t="n">
        <f aca="false">IF(C233="","",IFERROR(INDEX(Перечень!$D$6:$D$52,MATCH(H233,Перечень!$A$6:$A$52,0)),12))</f>
        <v>12</v>
      </c>
      <c r="K233" s="40" t="n">
        <v>46238</v>
      </c>
      <c r="L233" s="40"/>
      <c r="M233" s="37" t="n">
        <f aca="false">IF(AND(K233="",L233=""),"",EDATE(MAX(K233,L233),J233))</f>
        <v>46603</v>
      </c>
      <c r="N233" s="41" t="str">
        <f aca="false">IF(C233="","",IFERROR(INDEX(Перечень!$F$6:$F$52,MATCH(H233,Перечень!$A$6:$A$52,0)),""))</f>
        <v>-</v>
      </c>
      <c r="O233" s="40"/>
      <c r="P233" s="37" t="str">
        <f aca="false">IF(O233="","",EDATE(O233,60))</f>
        <v/>
      </c>
      <c r="Q233" s="41" t="str">
        <f aca="false">IF(AND(K233&lt;&gt;"",F233&lt;&gt;"",K233&gt;F233),"Да","")</f>
        <v/>
      </c>
      <c r="R233" s="41" t="str">
        <f aca="true">IF(C233="","",IF(M233="","Нет сведений",IF(M233&lt;TODAY(),"Просрочен",IF(M233-TODAY()&lt;=30,"Истекает","В срок"))))</f>
        <v>В срок</v>
      </c>
      <c r="S233" s="41" t="str">
        <f aca="false">IF(AND(N233="Да",O233=""),"Не пройдено","")</f>
        <v/>
      </c>
    </row>
    <row r="234" customFormat="false" ht="14.25" hidden="false" customHeight="false" outlineLevel="0" collapsed="false">
      <c r="A234" s="35" t="n">
        <f aca="false">IF(C234="","",ROW()-5)</f>
        <v>229</v>
      </c>
      <c r="B234" s="36" t="s">
        <v>107</v>
      </c>
      <c r="C234" s="36" t="s">
        <v>460</v>
      </c>
      <c r="D234" s="36" t="s">
        <v>206</v>
      </c>
      <c r="E234" s="36" t="s">
        <v>251</v>
      </c>
      <c r="F234" s="37" t="n">
        <v>45791</v>
      </c>
      <c r="G234" s="38" t="str">
        <f aca="false">IF(C234="","",IF(TRIM(SUBSTITUTE(SUBSTITUTE(SUBSTITUTE(SUBSTITUTE(SUBSTITUTE(SUBSTITUTE(SUBSTITUTE(SUBSTITUTE(SUBSTITUTE(SUBSTITUTE(SUBSTITUTE(LOWER(TRIM(D234)),"ё","е"),"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категории",""))="инженер",IF(AND(ISNUMBER(SEARCH("техническ",E234)),ISNUMBER(SEARCH("контрол",E234))),"инженер отк",IF(ISNUMBER(SEARCH("диспетч",E234)),"инженер пдо",TRIM(SUBSTITUTE(SUBSTITUTE(SUBSTITUTE(SUBSTITUTE(SUBSTITUTE(SUBSTITUTE(SUBSTITUTE(SUBSTITUTE(SUBSTITUTE(SUBSTITUTE(SUBSTITUTE(LOWER(TRIM(D234)),"ё","е"),"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инженер",IF(ISNUMBER(SEARCH("диспетч",E234)),"ведущий инженер пдо",TRIM(SUBSTITUTE(SUBSTITUTE(SUBSTITUTE(SUBSTITUTE(SUBSTITUTE(SUBSTITUTE(SUBSTITUTE(SUBSTITUTE(SUBSTITUTE(SUBSTITUTE(SUBSTITUTE(LOWER(TRIM(D234)),"ё","е"),"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отк",TRIM(SUBSTITUTE(SUBSTITUTE(SUBSTITUTE(SUBSTITUTE(SUBSTITUTE(SUBSTITUTE(SUBSTITUTE(SUBSTITUTE(SUBSTITUTE(SUBSTITUTE(SUBSTITUTE(LOWER(TRIM(D234)),"ё","е")," -","-"),"- ","-")," 2 разряда","")," 3 разряда","")," 4 разряда","")," 5 разряда","")," 6 разряда","")," 1 категории","")," 2 категории","")," 3 категории",""))))))</f>
        <v>кладовщик</v>
      </c>
      <c r="H234" s="35" t="n">
        <f aca="false">IF(C234="","",IF(AND(G234="мастер участка",ISNUMBER(SEARCH("РЭО",E234))),29,IFERROR(INDEX(Соответствие!$B$2:$B$100,MATCH(G234,Соответствие!$A$2:$A$100,0)),"?")))</f>
        <v>14</v>
      </c>
      <c r="I234" s="39" t="str">
        <f aca="false">IF(C234="","",IFERROR(INDEX(Перечень!$C$6:$C$52,MATCH(H234,Перечень!$A$6:$A$52,0)),""))</f>
        <v>п.4.4, п.5.1, п.6.2</v>
      </c>
      <c r="J234" s="35" t="n">
        <f aca="false">IF(C234="","",IFERROR(INDEX(Перечень!$D$6:$D$52,MATCH(H234,Перечень!$A$6:$A$52,0)),12))</f>
        <v>12</v>
      </c>
      <c r="K234" s="40"/>
      <c r="L234" s="40"/>
      <c r="M234" s="37" t="str">
        <f aca="false">IF(AND(K234="",L234=""),"",EDATE(MAX(K234,L234),J234))</f>
        <v/>
      </c>
      <c r="N234" s="41" t="str">
        <f aca="false">IF(C234="","",IFERROR(INDEX(Перечень!$F$6:$F$52,MATCH(H234,Перечень!$A$6:$A$52,0)),""))</f>
        <v>-</v>
      </c>
      <c r="O234" s="40"/>
      <c r="P234" s="37" t="str">
        <f aca="false">IF(O234="","",EDATE(O234,60))</f>
        <v/>
      </c>
      <c r="Q234" s="41" t="str">
        <f aca="false">IF(AND(K234&lt;&gt;"",F234&lt;&gt;"",K234&gt;F234),"Да","")</f>
        <v/>
      </c>
      <c r="R234" s="41" t="str">
        <f aca="true">IF(C234="","",IF(M234="","Нет сведений",IF(M234&lt;TODAY(),"Просрочен",IF(M234-TODAY()&lt;=30,"Истекает","В срок"))))</f>
        <v>Нет сведений</v>
      </c>
      <c r="S234" s="41" t="str">
        <f aca="false">IF(AND(N234="Да",O234=""),"Не пройдено","")</f>
        <v/>
      </c>
    </row>
    <row r="235" customFormat="false" ht="14.25" hidden="false" customHeight="false" outlineLevel="0" collapsed="false">
      <c r="A235" s="35" t="n">
        <f aca="false">IF(C235="","",ROW()-5)</f>
        <v>230</v>
      </c>
      <c r="B235" s="36" t="s">
        <v>107</v>
      </c>
      <c r="C235" s="36" t="s">
        <v>461</v>
      </c>
      <c r="D235" s="36" t="s">
        <v>206</v>
      </c>
      <c r="E235" s="36" t="s">
        <v>251</v>
      </c>
      <c r="F235" s="37" t="n">
        <v>42248</v>
      </c>
      <c r="G235" s="38" t="str">
        <f aca="false">IF(C235="","",IF(TRIM(SUBSTITUTE(SUBSTITUTE(SUBSTITUTE(SUBSTITUTE(SUBSTITUTE(SUBSTITUTE(SUBSTITUTE(SUBSTITUTE(SUBSTITUTE(SUBSTITUTE(SUBSTITUTE(LOWER(TRIM(D235)),"ё","е"),"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категории",""))="инженер",IF(AND(ISNUMBER(SEARCH("техническ",E235)),ISNUMBER(SEARCH("контрол",E235))),"инженер отк",IF(ISNUMBER(SEARCH("диспетч",E235)),"инженер пдо",TRIM(SUBSTITUTE(SUBSTITUTE(SUBSTITUTE(SUBSTITUTE(SUBSTITUTE(SUBSTITUTE(SUBSTITUTE(SUBSTITUTE(SUBSTITUTE(SUBSTITUTE(SUBSTITUTE(LOWER(TRIM(D235)),"ё","е"),"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инженер",IF(ISNUMBER(SEARCH("диспетч",E235)),"ведущий инженер пдо",TRIM(SUBSTITUTE(SUBSTITUTE(SUBSTITUTE(SUBSTITUTE(SUBSTITUTE(SUBSTITUTE(SUBSTITUTE(SUBSTITUTE(SUBSTITUTE(SUBSTITUTE(SUBSTITUTE(LOWER(TRIM(D235)),"ё","е"),"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отк",TRIM(SUBSTITUTE(SUBSTITUTE(SUBSTITUTE(SUBSTITUTE(SUBSTITUTE(SUBSTITUTE(SUBSTITUTE(SUBSTITUTE(SUBSTITUTE(SUBSTITUTE(SUBSTITUTE(LOWER(TRIM(D235)),"ё","е")," -","-"),"- ","-")," 2 разряда","")," 3 разряда","")," 4 разряда","")," 5 разряда","")," 6 разряда","")," 1 категории","")," 2 категории","")," 3 категории",""))))))</f>
        <v>кладовщик</v>
      </c>
      <c r="H235" s="35" t="n">
        <f aca="false">IF(C235="","",IF(AND(G235="мастер участка",ISNUMBER(SEARCH("РЭО",E235))),29,IFERROR(INDEX(Соответствие!$B$2:$B$100,MATCH(G235,Соответствие!$A$2:$A$100,0)),"?")))</f>
        <v>14</v>
      </c>
      <c r="I235" s="39" t="str">
        <f aca="false">IF(C235="","",IFERROR(INDEX(Перечень!$C$6:$C$52,MATCH(H235,Перечень!$A$6:$A$52,0)),""))</f>
        <v>п.4.4, п.5.1, п.6.2</v>
      </c>
      <c r="J235" s="35" t="n">
        <f aca="false">IF(C235="","",IFERROR(INDEX(Перечень!$D$6:$D$52,MATCH(H235,Перечень!$A$6:$A$52,0)),12))</f>
        <v>12</v>
      </c>
      <c r="K235" s="40"/>
      <c r="L235" s="40"/>
      <c r="M235" s="37" t="str">
        <f aca="false">IF(AND(K235="",L235=""),"",EDATE(MAX(K235,L235),J235))</f>
        <v/>
      </c>
      <c r="N235" s="41" t="str">
        <f aca="false">IF(C235="","",IFERROR(INDEX(Перечень!$F$6:$F$52,MATCH(H235,Перечень!$A$6:$A$52,0)),""))</f>
        <v>-</v>
      </c>
      <c r="O235" s="40"/>
      <c r="P235" s="37" t="str">
        <f aca="false">IF(O235="","",EDATE(O235,60))</f>
        <v/>
      </c>
      <c r="Q235" s="41" t="str">
        <f aca="false">IF(AND(K235&lt;&gt;"",F235&lt;&gt;"",K235&gt;F235),"Да","")</f>
        <v/>
      </c>
      <c r="R235" s="41" t="str">
        <f aca="true">IF(C235="","",IF(M235="","Нет сведений",IF(M235&lt;TODAY(),"Просрочен",IF(M235-TODAY()&lt;=30,"Истекает","В срок"))))</f>
        <v>Нет сведений</v>
      </c>
      <c r="S235" s="41" t="str">
        <f aca="false">IF(AND(N235="Да",O235=""),"Не пройдено","")</f>
        <v/>
      </c>
    </row>
    <row r="236" customFormat="false" ht="14.25" hidden="false" customHeight="false" outlineLevel="0" collapsed="false">
      <c r="A236" s="35" t="n">
        <f aca="false">IF(C236="","",ROW()-5)</f>
        <v>231</v>
      </c>
      <c r="B236" s="36" t="s">
        <v>107</v>
      </c>
      <c r="C236" s="36" t="s">
        <v>462</v>
      </c>
      <c r="D236" s="36" t="s">
        <v>206</v>
      </c>
      <c r="E236" s="36" t="s">
        <v>251</v>
      </c>
      <c r="F236" s="37" t="n">
        <v>45950</v>
      </c>
      <c r="G236" s="38" t="str">
        <f aca="false">IF(C236="","",IF(TRIM(SUBSTITUTE(SUBSTITUTE(SUBSTITUTE(SUBSTITUTE(SUBSTITUTE(SUBSTITUTE(SUBSTITUTE(SUBSTITUTE(SUBSTITUTE(SUBSTITUTE(SUBSTITUTE(LOWER(TRIM(D236)),"ё","е"),"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категории",""))="инженер",IF(AND(ISNUMBER(SEARCH("техническ",E236)),ISNUMBER(SEARCH("контрол",E236))),"инженер отк",IF(ISNUMBER(SEARCH("диспетч",E236)),"инженер пдо",TRIM(SUBSTITUTE(SUBSTITUTE(SUBSTITUTE(SUBSTITUTE(SUBSTITUTE(SUBSTITUTE(SUBSTITUTE(SUBSTITUTE(SUBSTITUTE(SUBSTITUTE(SUBSTITUTE(LOWER(TRIM(D236)),"ё","е"),"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инженер",IF(ISNUMBER(SEARCH("диспетч",E236)),"ведущий инженер пдо",TRIM(SUBSTITUTE(SUBSTITUTE(SUBSTITUTE(SUBSTITUTE(SUBSTITUTE(SUBSTITUTE(SUBSTITUTE(SUBSTITUTE(SUBSTITUTE(SUBSTITUTE(SUBSTITUTE(LOWER(TRIM(D236)),"ё","е"),"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отк",TRIM(SUBSTITUTE(SUBSTITUTE(SUBSTITUTE(SUBSTITUTE(SUBSTITUTE(SUBSTITUTE(SUBSTITUTE(SUBSTITUTE(SUBSTITUTE(SUBSTITUTE(SUBSTITUTE(LOWER(TRIM(D236)),"ё","е")," -","-"),"- ","-")," 2 разряда","")," 3 разряда","")," 4 разряда","")," 5 разряда","")," 6 разряда","")," 1 категории","")," 2 категории","")," 3 категории",""))))))</f>
        <v>кладовщик</v>
      </c>
      <c r="H236" s="35" t="n">
        <f aca="false">IF(C236="","",IF(AND(G236="мастер участка",ISNUMBER(SEARCH("РЭО",E236))),29,IFERROR(INDEX(Соответствие!$B$2:$B$100,MATCH(G236,Соответствие!$A$2:$A$100,0)),"?")))</f>
        <v>14</v>
      </c>
      <c r="I236" s="39" t="str">
        <f aca="false">IF(C236="","",IFERROR(INDEX(Перечень!$C$6:$C$52,MATCH(H236,Перечень!$A$6:$A$52,0)),""))</f>
        <v>п.4.4, п.5.1, п.6.2</v>
      </c>
      <c r="J236" s="35" t="n">
        <f aca="false">IF(C236="","",IFERROR(INDEX(Перечень!$D$6:$D$52,MATCH(H236,Перечень!$A$6:$A$52,0)),12))</f>
        <v>12</v>
      </c>
      <c r="K236" s="40"/>
      <c r="L236" s="40"/>
      <c r="M236" s="37" t="str">
        <f aca="false">IF(AND(K236="",L236=""),"",EDATE(MAX(K236,L236),J236))</f>
        <v/>
      </c>
      <c r="N236" s="41" t="str">
        <f aca="false">IF(C236="","",IFERROR(INDEX(Перечень!$F$6:$F$52,MATCH(H236,Перечень!$A$6:$A$52,0)),""))</f>
        <v>-</v>
      </c>
      <c r="O236" s="40"/>
      <c r="P236" s="37" t="str">
        <f aca="false">IF(O236="","",EDATE(O236,60))</f>
        <v/>
      </c>
      <c r="Q236" s="41" t="str">
        <f aca="false">IF(AND(K236&lt;&gt;"",F236&lt;&gt;"",K236&gt;F236),"Да","")</f>
        <v/>
      </c>
      <c r="R236" s="41" t="str">
        <f aca="true">IF(C236="","",IF(M236="","Нет сведений",IF(M236&lt;TODAY(),"Просрочен",IF(M236-TODAY()&lt;=30,"Истекает","В срок"))))</f>
        <v>Нет сведений</v>
      </c>
      <c r="S236" s="41" t="str">
        <f aca="false">IF(AND(N236="Да",O236=""),"Не пройдено","")</f>
        <v/>
      </c>
    </row>
    <row r="237" customFormat="false" ht="14.25" hidden="false" customHeight="false" outlineLevel="0" collapsed="false">
      <c r="A237" s="35" t="n">
        <f aca="false">IF(C237="","",ROW()-5)</f>
        <v>232</v>
      </c>
      <c r="B237" s="36" t="s">
        <v>107</v>
      </c>
      <c r="C237" s="36" t="s">
        <v>463</v>
      </c>
      <c r="D237" s="36" t="s">
        <v>464</v>
      </c>
      <c r="E237" s="36" t="s">
        <v>251</v>
      </c>
      <c r="F237" s="37" t="n">
        <v>42461</v>
      </c>
      <c r="G237" s="38" t="str">
        <f aca="false">IF(C237="","",IF(TRIM(SUBSTITUTE(SUBSTITUTE(SUBSTITUTE(SUBSTITUTE(SUBSTITUTE(SUBSTITUTE(SUBSTITUTE(SUBSTITUTE(SUBSTITUTE(SUBSTITUTE(SUBSTITUTE(LOWER(TRIM(D237)),"ё","е"),"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категории",""))="инженер",IF(AND(ISNUMBER(SEARCH("техническ",E237)),ISNUMBER(SEARCH("контрол",E237))),"инженер отк",IF(ISNUMBER(SEARCH("диспетч",E237)),"инженер пдо",TRIM(SUBSTITUTE(SUBSTITUTE(SUBSTITUTE(SUBSTITUTE(SUBSTITUTE(SUBSTITUTE(SUBSTITUTE(SUBSTITUTE(SUBSTITUTE(SUBSTITUTE(SUBSTITUTE(LOWER(TRIM(D237)),"ё","е"),"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инженер",IF(ISNUMBER(SEARCH("диспетч",E237)),"ведущий инженер пдо",TRIM(SUBSTITUTE(SUBSTITUTE(SUBSTITUTE(SUBSTITUTE(SUBSTITUTE(SUBSTITUTE(SUBSTITUTE(SUBSTITUTE(SUBSTITUTE(SUBSTITUTE(SUBSTITUTE(LOWER(TRIM(D237)),"ё","е"),"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отк",TRIM(SUBSTITUTE(SUBSTITUTE(SUBSTITUTE(SUBSTITUTE(SUBSTITUTE(SUBSTITUTE(SUBSTITUTE(SUBSTITUTE(SUBSTITUTE(SUBSTITUTE(SUBSTITUTE(LOWER(TRIM(D237)),"ё","е")," -","-"),"- ","-")," 2 разряда","")," 3 разряда","")," 4 разряда","")," 5 разряда","")," 6 разряда","")," 1 категории","")," 2 категории","")," 3 категории",""))))))</f>
        <v>лаборант</v>
      </c>
      <c r="H237" s="35" t="n">
        <f aca="false">IF(C237="","",IF(AND(G237="мастер участка",ISNUMBER(SEARCH("РЭО",E237))),29,IFERROR(INDEX(Соответствие!$B$2:$B$100,MATCH(G237,Соответствие!$A$2:$A$100,0)),"?")))</f>
        <v>15</v>
      </c>
      <c r="I237" s="39" t="str">
        <f aca="false">IF(C237="","",IFERROR(INDEX(Перечень!$C$6:$C$52,MATCH(H237,Перечень!$A$6:$A$52,0)),""))</f>
        <v>п.1.49.2, п.1.49.14, п.1.50, п.4.3.1, п.4.4, п.6.2</v>
      </c>
      <c r="J237" s="35" t="n">
        <f aca="false">IF(C237="","",IFERROR(INDEX(Перечень!$D$6:$D$52,MATCH(H237,Перечень!$A$6:$A$52,0)),12))</f>
        <v>12</v>
      </c>
      <c r="K237" s="40"/>
      <c r="L237" s="40"/>
      <c r="M237" s="37" t="str">
        <f aca="false">IF(AND(K237="",L237=""),"",EDATE(MAX(K237,L237),J237))</f>
        <v/>
      </c>
      <c r="N237" s="41" t="str">
        <f aca="false">IF(C237="","",IFERROR(INDEX(Перечень!$F$6:$F$52,MATCH(H237,Перечень!$A$6:$A$52,0)),""))</f>
        <v>-</v>
      </c>
      <c r="O237" s="40"/>
      <c r="P237" s="37" t="str">
        <f aca="false">IF(O237="","",EDATE(O237,60))</f>
        <v/>
      </c>
      <c r="Q237" s="41" t="str">
        <f aca="false">IF(AND(K237&lt;&gt;"",F237&lt;&gt;"",K237&gt;F237),"Да","")</f>
        <v/>
      </c>
      <c r="R237" s="41" t="str">
        <f aca="true">IF(C237="","",IF(M237="","Нет сведений",IF(M237&lt;TODAY(),"Просрочен",IF(M237-TODAY()&lt;=30,"Истекает","В срок"))))</f>
        <v>Нет сведений</v>
      </c>
      <c r="S237" s="41" t="str">
        <f aca="false">IF(AND(N237="Да",O237=""),"Не пройдено","")</f>
        <v/>
      </c>
    </row>
    <row r="238" customFormat="false" ht="14.25" hidden="false" customHeight="false" outlineLevel="0" collapsed="false">
      <c r="A238" s="35" t="n">
        <f aca="false">IF(C238="","",ROW()-5)</f>
        <v>233</v>
      </c>
      <c r="B238" s="36" t="s">
        <v>107</v>
      </c>
      <c r="C238" s="36" t="s">
        <v>465</v>
      </c>
      <c r="D238" s="36" t="s">
        <v>466</v>
      </c>
      <c r="E238" s="36" t="s">
        <v>251</v>
      </c>
      <c r="F238" s="37" t="n">
        <v>45782</v>
      </c>
      <c r="G238" s="38" t="str">
        <f aca="false">IF(C238="","",IF(TRIM(SUBSTITUTE(SUBSTITUTE(SUBSTITUTE(SUBSTITUTE(SUBSTITUTE(SUBSTITUTE(SUBSTITUTE(SUBSTITUTE(SUBSTITUTE(SUBSTITUTE(SUBSTITUTE(LOWER(TRIM(D238)),"ё","е"),"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категории",""))="инженер",IF(AND(ISNUMBER(SEARCH("техническ",E238)),ISNUMBER(SEARCH("контрол",E238))),"инженер отк",IF(ISNUMBER(SEARCH("диспетч",E238)),"инженер пдо",TRIM(SUBSTITUTE(SUBSTITUTE(SUBSTITUTE(SUBSTITUTE(SUBSTITUTE(SUBSTITUTE(SUBSTITUTE(SUBSTITUTE(SUBSTITUTE(SUBSTITUTE(SUBSTITUTE(LOWER(TRIM(D238)),"ё","е"),"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инженер",IF(ISNUMBER(SEARCH("диспетч",E238)),"ведущий инженер пдо",TRIM(SUBSTITUTE(SUBSTITUTE(SUBSTITUTE(SUBSTITUTE(SUBSTITUTE(SUBSTITUTE(SUBSTITUTE(SUBSTITUTE(SUBSTITUTE(SUBSTITUTE(SUBSTITUTE(LOWER(TRIM(D238)),"ё","е"),"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отк",TRIM(SUBSTITUTE(SUBSTITUTE(SUBSTITUTE(SUBSTITUTE(SUBSTITUTE(SUBSTITUTE(SUBSTITUTE(SUBSTITUTE(SUBSTITUTE(SUBSTITUTE(SUBSTITUTE(LOWER(TRIM(D238)),"ё","е")," -","-"),"- ","-")," 2 разряда","")," 3 разряда","")," 4 разряда","")," 5 разряда","")," 6 разряда","")," 1 категории","")," 2 категории","")," 3 категории",""))))))</f>
        <v>кладовщик-комплектовщик</v>
      </c>
      <c r="H238" s="35" t="n">
        <f aca="false">IF(C238="","",IF(AND(G238="мастер участка",ISNUMBER(SEARCH("РЭО",E238))),29,IFERROR(INDEX(Соответствие!$B$2:$B$100,MATCH(G238,Соответствие!$A$2:$A$100,0)),"?")))</f>
        <v>46</v>
      </c>
      <c r="I238" s="39" t="str">
        <f aca="false">IF(C238="","",IFERROR(INDEX(Перечень!$C$6:$C$52,MATCH(H238,Перечень!$A$6:$A$52,0)),""))</f>
        <v>п.4.3.1, п.4.3.2, п.4.4, п.5.1, п.6.2, п.18.1</v>
      </c>
      <c r="J238" s="35" t="n">
        <f aca="false">IF(C238="","",IFERROR(INDEX(Перечень!$D$6:$D$52,MATCH(H238,Перечень!$A$6:$A$52,0)),12))</f>
        <v>12</v>
      </c>
      <c r="K238" s="40"/>
      <c r="L238" s="40"/>
      <c r="M238" s="37" t="str">
        <f aca="false">IF(AND(K238="",L238=""),"",EDATE(MAX(K238,L238),J238))</f>
        <v/>
      </c>
      <c r="N238" s="41" t="str">
        <f aca="false">IF(C238="","",IFERROR(INDEX(Перечень!$F$6:$F$52,MATCH(H238,Перечень!$A$6:$A$52,0)),""))</f>
        <v>Да</v>
      </c>
      <c r="O238" s="40"/>
      <c r="P238" s="37" t="str">
        <f aca="false">IF(O238="","",EDATE(O238,60))</f>
        <v/>
      </c>
      <c r="Q238" s="41" t="str">
        <f aca="false">IF(AND(K238&lt;&gt;"",F238&lt;&gt;"",K238&gt;F238),"Да","")</f>
        <v/>
      </c>
      <c r="R238" s="41" t="str">
        <f aca="true">IF(C238="","",IF(M238="","Нет сведений",IF(M238&lt;TODAY(),"Просрочен",IF(M238-TODAY()&lt;=30,"Истекает","В срок"))))</f>
        <v>Нет сведений</v>
      </c>
      <c r="S238" s="41" t="str">
        <f aca="false">IF(AND(N238="Да",O238=""),"Не пройдено","")</f>
        <v>Не пройдено</v>
      </c>
    </row>
    <row r="239" customFormat="false" ht="14.25" hidden="false" customHeight="false" outlineLevel="0" collapsed="false">
      <c r="A239" s="35" t="n">
        <f aca="false">IF(C239="","",ROW()-5)</f>
        <v>234</v>
      </c>
      <c r="B239" s="36" t="s">
        <v>107</v>
      </c>
      <c r="C239" s="36" t="s">
        <v>467</v>
      </c>
      <c r="D239" s="36" t="s">
        <v>466</v>
      </c>
      <c r="E239" s="36" t="s">
        <v>251</v>
      </c>
      <c r="F239" s="37" t="n">
        <v>45805</v>
      </c>
      <c r="G239" s="38" t="str">
        <f aca="false">IF(C239="","",IF(TRIM(SUBSTITUTE(SUBSTITUTE(SUBSTITUTE(SUBSTITUTE(SUBSTITUTE(SUBSTITUTE(SUBSTITUTE(SUBSTITUTE(SUBSTITUTE(SUBSTITUTE(SUBSTITUTE(LOWER(TRIM(D239)),"ё","е"),"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категории",""))="инженер",IF(AND(ISNUMBER(SEARCH("техническ",E239)),ISNUMBER(SEARCH("контрол",E239))),"инженер отк",IF(ISNUMBER(SEARCH("диспетч",E239)),"инженер пдо",TRIM(SUBSTITUTE(SUBSTITUTE(SUBSTITUTE(SUBSTITUTE(SUBSTITUTE(SUBSTITUTE(SUBSTITUTE(SUBSTITUTE(SUBSTITUTE(SUBSTITUTE(SUBSTITUTE(LOWER(TRIM(D239)),"ё","е"),"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категории","")))),IF(TRIM(SUBSTITUTE(SUBSTITUTE(SUBSTITUTE(SUBSTITUTE(SUBSTITUTE(SUBSTITUTE(SUBSTITUTE(SUBSTITUTE(SUBSTITUTE(SUBSTITUTE(SUBSTITUTE(LOWER(TRIM(D239)),"ё","е"),"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инженер",IF(ISNUMBER(SEARCH("диспетч",E239)),"ведущий инженер пдо",TRIM(SUBSTITUTE(SUBSTITUTE(SUBSTITUTE(SUBSTITUTE(SUBSTITUTE(SUBSTITUTE(SUBSTITUTE(SUBSTITUTE(SUBSTITUTE(SUBSTITUTE(SUBSTITUTE(LOWER(TRIM(D239)),"ё","е"),"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категории",""))),IF(TRIM(SUBSTITUTE(SUBSTITUTE(SUBSTITUTE(SUBSTITUTE(SUBSTITUTE(SUBSTITUTE(SUBSTITUTE(SUBSTITUTE(SUBSTITUTE(SUBSTITUTE(SUBSTITUTE(LOWER(TRIM(D239)),"ё","е"),"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отк",TRIM(SUBSTITUTE(SUBSTITUTE(SUBSTITUTE(SUBSTITUTE(SUBSTITUTE(SUBSTITUTE(SUBSTITUTE(SUBSTITUTE(SUBSTITUTE(SUBSTITUTE(SUBSTITUTE(LOWER(TRIM(D239)),"ё","е")," -","-"),"- ","-")," 2 разряда","")," 3 разряда","")," 4 разряда","")," 5 разряда","")," 6 разряда","")," 1 категории","")," 2 категории","")," 3 категории",""))))))</f>
        <v>кладовщик-комплектовщик</v>
      </c>
      <c r="H239" s="35" t="n">
        <f aca="false">IF(C239="","",IF(AND(G239="мастер участка",ISNUMBER(SEARCH("РЭО",E239))),29,IFERROR(INDEX(Соответствие!$B$2:$B$100,MATCH(G239,Соответствие!$A$2:$A$100,0)),"?")))</f>
        <v>46</v>
      </c>
      <c r="I239" s="39" t="str">
        <f aca="false">IF(C239="","",IFERROR(INDEX(Перечень!$C$6:$C$52,MATCH(H239,Перечень!$A$6:$A$52,0)),""))</f>
        <v>п.4.3.1, п.4.3.2, п.4.4, п.5.1, п.6.2, п.18.1</v>
      </c>
      <c r="J239" s="35" t="n">
        <f aca="false">IF(C239="","",IFERROR(INDEX(Перечень!$D$6:$D$52,MATCH(H239,Перечень!$A$6:$A$52,0)),12))</f>
        <v>12</v>
      </c>
      <c r="K239" s="40"/>
      <c r="L239" s="40"/>
      <c r="M239" s="37" t="str">
        <f aca="false">IF(AND(K239="",L239=""),"",EDATE(MAX(K239,L239),J239))</f>
        <v/>
      </c>
      <c r="N239" s="41" t="str">
        <f aca="false">IF(C239="","",IFERROR(INDEX(Перечень!$F$6:$F$52,MATCH(H239,Перечень!$A$6:$A$52,0)),""))</f>
        <v>Да</v>
      </c>
      <c r="O239" s="40"/>
      <c r="P239" s="37" t="str">
        <f aca="false">IF(O239="","",EDATE(O239,60))</f>
        <v/>
      </c>
      <c r="Q239" s="41" t="str">
        <f aca="false">IF(AND(K239&lt;&gt;"",F239&lt;&gt;"",K239&gt;F239),"Да","")</f>
        <v/>
      </c>
      <c r="R239" s="41" t="str">
        <f aca="true">IF(C239="","",IF(M239="","Нет сведений",IF(M239&lt;TODAY(),"Просрочен",IF(M239-TODAY()&lt;=30,"Истекает","В срок"))))</f>
        <v>Нет сведений</v>
      </c>
      <c r="S239" s="41" t="str">
        <f aca="false">IF(AND(N239="Да",O239=""),"Не пройдено","")</f>
        <v>Не пройдено</v>
      </c>
    </row>
    <row r="240" customFormat="false" ht="14.25" hidden="false" customHeight="false" outlineLevel="0" collapsed="false">
      <c r="A240" s="35" t="n">
        <f aca="false">IF(C240="","",ROW()-5)</f>
        <v>235</v>
      </c>
      <c r="B240" s="36" t="s">
        <v>107</v>
      </c>
      <c r="C240" s="36" t="s">
        <v>468</v>
      </c>
      <c r="D240" s="36" t="s">
        <v>466</v>
      </c>
      <c r="E240" s="36" t="s">
        <v>251</v>
      </c>
      <c r="F240" s="37" t="n">
        <v>42016</v>
      </c>
      <c r="G240" s="38" t="str">
        <f aca="false">IF(C240="","",IF(TRIM(SUBSTITUTE(SUBSTITUTE(SUBSTITUTE(SUBSTITUTE(SUBSTITUTE(SUBSTITUTE(SUBSTITUTE(SUBSTITUTE(SUBSTITUTE(SUBSTITUTE(SUBSTITUTE(LOWER(TRIM(D240)),"ё","е"),"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категории",""))="инженер",IF(AND(ISNUMBER(SEARCH("техническ",E240)),ISNUMBER(SEARCH("контрол",E240))),"инженер отк",IF(ISNUMBER(SEARCH("диспетч",E240)),"инженер пдо",TRIM(SUBSTITUTE(SUBSTITUTE(SUBSTITUTE(SUBSTITUTE(SUBSTITUTE(SUBSTITUTE(SUBSTITUTE(SUBSTITUTE(SUBSTITUTE(SUBSTITUTE(SUBSTITUTE(LOWER(TRIM(D240)),"ё","е"),"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инженер",IF(ISNUMBER(SEARCH("диспетч",E240)),"ведущий инженер пдо",TRIM(SUBSTITUTE(SUBSTITUTE(SUBSTITUTE(SUBSTITUTE(SUBSTITUTE(SUBSTITUTE(SUBSTITUTE(SUBSTITUTE(SUBSTITUTE(SUBSTITUTE(SUBSTITUTE(LOWER(TRIM(D240)),"ё","е"),"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отк",TRIM(SUBSTITUTE(SUBSTITUTE(SUBSTITUTE(SUBSTITUTE(SUBSTITUTE(SUBSTITUTE(SUBSTITUTE(SUBSTITUTE(SUBSTITUTE(SUBSTITUTE(SUBSTITUTE(LOWER(TRIM(D240)),"ё","е")," -","-"),"- ","-")," 2 разряда","")," 3 разряда","")," 4 разряда","")," 5 разряда","")," 6 разряда","")," 1 категории","")," 2 категории","")," 3 категории",""))))))</f>
        <v>кладовщик-комплектовщик</v>
      </c>
      <c r="H240" s="35" t="n">
        <f aca="false">IF(C240="","",IF(AND(G240="мастер участка",ISNUMBER(SEARCH("РЭО",E240))),29,IFERROR(INDEX(Соответствие!$B$2:$B$100,MATCH(G240,Соответствие!$A$2:$A$100,0)),"?")))</f>
        <v>46</v>
      </c>
      <c r="I240" s="39" t="str">
        <f aca="false">IF(C240="","",IFERROR(INDEX(Перечень!$C$6:$C$52,MATCH(H240,Перечень!$A$6:$A$52,0)),""))</f>
        <v>п.4.3.1, п.4.3.2, п.4.4, п.5.1, п.6.2, п.18.1</v>
      </c>
      <c r="J240" s="35" t="n">
        <f aca="false">IF(C240="","",IFERROR(INDEX(Перечень!$D$6:$D$52,MATCH(H240,Перечень!$A$6:$A$52,0)),12))</f>
        <v>12</v>
      </c>
      <c r="K240" s="40"/>
      <c r="L240" s="40"/>
      <c r="M240" s="37" t="str">
        <f aca="false">IF(AND(K240="",L240=""),"",EDATE(MAX(K240,L240),J240))</f>
        <v/>
      </c>
      <c r="N240" s="41" t="str">
        <f aca="false">IF(C240="","",IFERROR(INDEX(Перечень!$F$6:$F$52,MATCH(H240,Перечень!$A$6:$A$52,0)),""))</f>
        <v>Да</v>
      </c>
      <c r="O240" s="40"/>
      <c r="P240" s="37" t="str">
        <f aca="false">IF(O240="","",EDATE(O240,60))</f>
        <v/>
      </c>
      <c r="Q240" s="41" t="str">
        <f aca="false">IF(AND(K240&lt;&gt;"",F240&lt;&gt;"",K240&gt;F240),"Да","")</f>
        <v/>
      </c>
      <c r="R240" s="41" t="str">
        <f aca="true">IF(C240="","",IF(M240="","Нет сведений",IF(M240&lt;TODAY(),"Просрочен",IF(M240-TODAY()&lt;=30,"Истекает","В срок"))))</f>
        <v>Нет сведений</v>
      </c>
      <c r="S240" s="41" t="str">
        <f aca="false">IF(AND(N240="Да",O240=""),"Не пройдено","")</f>
        <v>Не пройдено</v>
      </c>
    </row>
    <row r="241" customFormat="false" ht="14.25" hidden="false" customHeight="false" outlineLevel="0" collapsed="false">
      <c r="A241" s="35" t="n">
        <f aca="false">IF(C241="","",ROW()-5)</f>
        <v>236</v>
      </c>
      <c r="B241" s="36" t="s">
        <v>107</v>
      </c>
      <c r="C241" s="36" t="s">
        <v>469</v>
      </c>
      <c r="D241" s="36" t="s">
        <v>466</v>
      </c>
      <c r="E241" s="36" t="s">
        <v>251</v>
      </c>
      <c r="F241" s="37" t="n">
        <v>45775</v>
      </c>
      <c r="G241" s="38" t="str">
        <f aca="false">IF(C241="","",IF(TRIM(SUBSTITUTE(SUBSTITUTE(SUBSTITUTE(SUBSTITUTE(SUBSTITUTE(SUBSTITUTE(SUBSTITUTE(SUBSTITUTE(SUBSTITUTE(SUBSTITUTE(SUBSTITUTE(LOWER(TRIM(D241)),"ё","е"),"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категории",""))="инженер",IF(AND(ISNUMBER(SEARCH("техническ",E241)),ISNUMBER(SEARCH("контрол",E241))),"инженер отк",IF(ISNUMBER(SEARCH("диспетч",E241)),"инженер пдо",TRIM(SUBSTITUTE(SUBSTITUTE(SUBSTITUTE(SUBSTITUTE(SUBSTITUTE(SUBSTITUTE(SUBSTITUTE(SUBSTITUTE(SUBSTITUTE(SUBSTITUTE(SUBSTITUTE(LOWER(TRIM(D241)),"ё","е"),"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инженер",IF(ISNUMBER(SEARCH("диспетч",E241)),"ведущий инженер пдо",TRIM(SUBSTITUTE(SUBSTITUTE(SUBSTITUTE(SUBSTITUTE(SUBSTITUTE(SUBSTITUTE(SUBSTITUTE(SUBSTITUTE(SUBSTITUTE(SUBSTITUTE(SUBSTITUTE(LOWER(TRIM(D241)),"ё","е"),"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отк",TRIM(SUBSTITUTE(SUBSTITUTE(SUBSTITUTE(SUBSTITUTE(SUBSTITUTE(SUBSTITUTE(SUBSTITUTE(SUBSTITUTE(SUBSTITUTE(SUBSTITUTE(SUBSTITUTE(LOWER(TRIM(D241)),"ё","е")," -","-"),"- ","-")," 2 разряда","")," 3 разряда","")," 4 разряда","")," 5 разряда","")," 6 разряда","")," 1 категории","")," 2 категории","")," 3 категории",""))))))</f>
        <v>кладовщик-комплектовщик</v>
      </c>
      <c r="H241" s="35" t="n">
        <f aca="false">IF(C241="","",IF(AND(G241="мастер участка",ISNUMBER(SEARCH("РЭО",E241))),29,IFERROR(INDEX(Соответствие!$B$2:$B$100,MATCH(G241,Соответствие!$A$2:$A$100,0)),"?")))</f>
        <v>46</v>
      </c>
      <c r="I241" s="39" t="str">
        <f aca="false">IF(C241="","",IFERROR(INDEX(Перечень!$C$6:$C$52,MATCH(H241,Перечень!$A$6:$A$52,0)),""))</f>
        <v>п.4.3.1, п.4.3.2, п.4.4, п.5.1, п.6.2, п.18.1</v>
      </c>
      <c r="J241" s="35" t="n">
        <f aca="false">IF(C241="","",IFERROR(INDEX(Перечень!$D$6:$D$52,MATCH(H241,Перечень!$A$6:$A$52,0)),12))</f>
        <v>12</v>
      </c>
      <c r="K241" s="40"/>
      <c r="L241" s="40"/>
      <c r="M241" s="37" t="str">
        <f aca="false">IF(AND(K241="",L241=""),"",EDATE(MAX(K241,L241),J241))</f>
        <v/>
      </c>
      <c r="N241" s="41" t="str">
        <f aca="false">IF(C241="","",IFERROR(INDEX(Перечень!$F$6:$F$52,MATCH(H241,Перечень!$A$6:$A$52,0)),""))</f>
        <v>Да</v>
      </c>
      <c r="O241" s="40"/>
      <c r="P241" s="37" t="str">
        <f aca="false">IF(O241="","",EDATE(O241,60))</f>
        <v/>
      </c>
      <c r="Q241" s="41" t="str">
        <f aca="false">IF(AND(K241&lt;&gt;"",F241&lt;&gt;"",K241&gt;F241),"Да","")</f>
        <v/>
      </c>
      <c r="R241" s="41" t="str">
        <f aca="true">IF(C241="","",IF(M241="","Нет сведений",IF(M241&lt;TODAY(),"Просрочен",IF(M241-TODAY()&lt;=30,"Истекает","В срок"))))</f>
        <v>Нет сведений</v>
      </c>
      <c r="S241" s="41" t="str">
        <f aca="false">IF(AND(N241="Да",O241=""),"Не пройдено","")</f>
        <v>Не пройдено</v>
      </c>
    </row>
    <row r="242" customFormat="false" ht="14.25" hidden="false" customHeight="false" outlineLevel="0" collapsed="false">
      <c r="A242" s="35" t="n">
        <f aca="false">IF(C242="","",ROW()-5)</f>
        <v>237</v>
      </c>
      <c r="B242" s="36" t="s">
        <v>107</v>
      </c>
      <c r="C242" s="36" t="s">
        <v>470</v>
      </c>
      <c r="D242" s="36" t="s">
        <v>466</v>
      </c>
      <c r="E242" s="36" t="s">
        <v>251</v>
      </c>
      <c r="F242" s="37" t="n">
        <v>45789</v>
      </c>
      <c r="G242" s="38" t="str">
        <f aca="false">IF(C242="","",IF(TRIM(SUBSTITUTE(SUBSTITUTE(SUBSTITUTE(SUBSTITUTE(SUBSTITUTE(SUBSTITUTE(SUBSTITUTE(SUBSTITUTE(SUBSTITUTE(SUBSTITUTE(SUBSTITUTE(LOWER(TRIM(D242)),"ё","е"),"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категории",""))="инженер",IF(AND(ISNUMBER(SEARCH("техническ",E242)),ISNUMBER(SEARCH("контрол",E242))),"инженер отк",IF(ISNUMBER(SEARCH("диспетч",E242)),"инженер пдо",TRIM(SUBSTITUTE(SUBSTITUTE(SUBSTITUTE(SUBSTITUTE(SUBSTITUTE(SUBSTITUTE(SUBSTITUTE(SUBSTITUTE(SUBSTITUTE(SUBSTITUTE(SUBSTITUTE(LOWER(TRIM(D242)),"ё","е"),"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инженер",IF(ISNUMBER(SEARCH("диспетч",E242)),"ведущий инженер пдо",TRIM(SUBSTITUTE(SUBSTITUTE(SUBSTITUTE(SUBSTITUTE(SUBSTITUTE(SUBSTITUTE(SUBSTITUTE(SUBSTITUTE(SUBSTITUTE(SUBSTITUTE(SUBSTITUTE(LOWER(TRIM(D242)),"ё","е"),"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отк",TRIM(SUBSTITUTE(SUBSTITUTE(SUBSTITUTE(SUBSTITUTE(SUBSTITUTE(SUBSTITUTE(SUBSTITUTE(SUBSTITUTE(SUBSTITUTE(SUBSTITUTE(SUBSTITUTE(LOWER(TRIM(D242)),"ё","е")," -","-"),"- ","-")," 2 разряда","")," 3 разряда","")," 4 разряда","")," 5 разряда","")," 6 разряда","")," 1 категории","")," 2 категории","")," 3 категории",""))))))</f>
        <v>кладовщик-комплектовщик</v>
      </c>
      <c r="H242" s="35" t="n">
        <f aca="false">IF(C242="","",IF(AND(G242="мастер участка",ISNUMBER(SEARCH("РЭО",E242))),29,IFERROR(INDEX(Соответствие!$B$2:$B$100,MATCH(G242,Соответствие!$A$2:$A$100,0)),"?")))</f>
        <v>46</v>
      </c>
      <c r="I242" s="39" t="str">
        <f aca="false">IF(C242="","",IFERROR(INDEX(Перечень!$C$6:$C$52,MATCH(H242,Перечень!$A$6:$A$52,0)),""))</f>
        <v>п.4.3.1, п.4.3.2, п.4.4, п.5.1, п.6.2, п.18.1</v>
      </c>
      <c r="J242" s="35" t="n">
        <f aca="false">IF(C242="","",IFERROR(INDEX(Перечень!$D$6:$D$52,MATCH(H242,Перечень!$A$6:$A$52,0)),12))</f>
        <v>12</v>
      </c>
      <c r="K242" s="40"/>
      <c r="L242" s="40"/>
      <c r="M242" s="37" t="str">
        <f aca="false">IF(AND(K242="",L242=""),"",EDATE(MAX(K242,L242),J242))</f>
        <v/>
      </c>
      <c r="N242" s="41" t="str">
        <f aca="false">IF(C242="","",IFERROR(INDEX(Перечень!$F$6:$F$52,MATCH(H242,Перечень!$A$6:$A$52,0)),""))</f>
        <v>Да</v>
      </c>
      <c r="O242" s="40"/>
      <c r="P242" s="37" t="str">
        <f aca="false">IF(O242="","",EDATE(O242,60))</f>
        <v/>
      </c>
      <c r="Q242" s="41" t="str">
        <f aca="false">IF(AND(K242&lt;&gt;"",F242&lt;&gt;"",K242&gt;F242),"Да","")</f>
        <v/>
      </c>
      <c r="R242" s="41" t="str">
        <f aca="true">IF(C242="","",IF(M242="","Нет сведений",IF(M242&lt;TODAY(),"Просрочен",IF(M242-TODAY()&lt;=30,"Истекает","В срок"))))</f>
        <v>Нет сведений</v>
      </c>
      <c r="S242" s="41" t="str">
        <f aca="false">IF(AND(N242="Да",O242=""),"Не пройдено","")</f>
        <v>Не пройдено</v>
      </c>
    </row>
    <row r="243" customFormat="false" ht="14.25" hidden="false" customHeight="false" outlineLevel="0" collapsed="false">
      <c r="A243" s="35" t="n">
        <f aca="false">IF(C243="","",ROW()-5)</f>
        <v>238</v>
      </c>
      <c r="B243" s="36" t="s">
        <v>107</v>
      </c>
      <c r="C243" s="36" t="s">
        <v>471</v>
      </c>
      <c r="D243" s="36" t="s">
        <v>250</v>
      </c>
      <c r="E243" s="36" t="s">
        <v>251</v>
      </c>
      <c r="F243" s="37" t="n">
        <v>45828</v>
      </c>
      <c r="G243" s="38" t="str">
        <f aca="false">IF(C243="","",IF(TRIM(SUBSTITUTE(SUBSTITUTE(SUBSTITUTE(SUBSTITUTE(SUBSTITUTE(SUBSTITUTE(SUBSTITUTE(SUBSTITUTE(SUBSTITUTE(SUBSTITUTE(SUBSTITUTE(LOWER(TRIM(D243)),"ё","е"),"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категории",""))="инженер",IF(AND(ISNUMBER(SEARCH("техническ",E243)),ISNUMBER(SEARCH("контрол",E243))),"инженер отк",IF(ISNUMBER(SEARCH("диспетч",E243)),"инженер пдо",TRIM(SUBSTITUTE(SUBSTITUTE(SUBSTITUTE(SUBSTITUTE(SUBSTITUTE(SUBSTITUTE(SUBSTITUTE(SUBSTITUTE(SUBSTITUTE(SUBSTITUTE(SUBSTITUTE(LOWER(TRIM(D243)),"ё","е"),"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инженер",IF(ISNUMBER(SEARCH("диспетч",E243)),"ведущий инженер пдо",TRIM(SUBSTITUTE(SUBSTITUTE(SUBSTITUTE(SUBSTITUTE(SUBSTITUTE(SUBSTITUTE(SUBSTITUTE(SUBSTITUTE(SUBSTITUTE(SUBSTITUTE(SUBSTITUTE(LOWER(TRIM(D243)),"ё","е"),"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отк",TRIM(SUBSTITUTE(SUBSTITUTE(SUBSTITUTE(SUBSTITUTE(SUBSTITUTE(SUBSTITUTE(SUBSTITUTE(SUBSTITUTE(SUBSTITUTE(SUBSTITUTE(SUBSTITUTE(LOWER(TRIM(D243)),"ё","е")," -","-"),"- ","-")," 2 разряда","")," 3 разряда","")," 4 разряда","")," 5 разряда","")," 6 разряда","")," 1 категории","")," 2 категории","")," 3 категории",""))))))</f>
        <v>оператор склада</v>
      </c>
      <c r="H243" s="35" t="n">
        <f aca="false">IF(C243="","",IF(AND(G243="мастер участка",ISNUMBER(SEARCH("РЭО",E243))),29,IFERROR(INDEX(Соответствие!$B$2:$B$100,MATCH(G243,Соответствие!$A$2:$A$100,0)),"?")))</f>
        <v>16</v>
      </c>
      <c r="I243" s="39" t="str">
        <f aca="false">IF(C243="","",IFERROR(INDEX(Перечень!$C$6:$C$52,MATCH(H243,Перечень!$A$6:$A$52,0)),""))</f>
        <v>п.4.4, п.5.1, п.6.2</v>
      </c>
      <c r="J243" s="35" t="n">
        <f aca="false">IF(C243="","",IFERROR(INDEX(Перечень!$D$6:$D$52,MATCH(H243,Перечень!$A$6:$A$52,0)),12))</f>
        <v>12</v>
      </c>
      <c r="K243" s="40"/>
      <c r="L243" s="40"/>
      <c r="M243" s="37" t="str">
        <f aca="false">IF(AND(K243="",L243=""),"",EDATE(MAX(K243,L243),J243))</f>
        <v/>
      </c>
      <c r="N243" s="41" t="str">
        <f aca="false">IF(C243="","",IFERROR(INDEX(Перечень!$F$6:$F$52,MATCH(H243,Перечень!$A$6:$A$52,0)),""))</f>
        <v>-</v>
      </c>
      <c r="O243" s="40"/>
      <c r="P243" s="37" t="str">
        <f aca="false">IF(O243="","",EDATE(O243,60))</f>
        <v/>
      </c>
      <c r="Q243" s="41" t="str">
        <f aca="false">IF(AND(K243&lt;&gt;"",F243&lt;&gt;"",K243&gt;F243),"Да","")</f>
        <v/>
      </c>
      <c r="R243" s="41" t="str">
        <f aca="true">IF(C243="","",IF(M243="","Нет сведений",IF(M243&lt;TODAY(),"Просрочен",IF(M243-TODAY()&lt;=30,"Истекает","В срок"))))</f>
        <v>Нет сведений</v>
      </c>
      <c r="S243" s="41" t="str">
        <f aca="false">IF(AND(N243="Да",O243=""),"Не пройдено","")</f>
        <v/>
      </c>
    </row>
    <row r="244" customFormat="false" ht="14.25" hidden="false" customHeight="false" outlineLevel="0" collapsed="false">
      <c r="A244" s="35" t="n">
        <f aca="false">IF(C244="","",ROW()-5)</f>
        <v>239</v>
      </c>
      <c r="B244" s="36" t="s">
        <v>107</v>
      </c>
      <c r="C244" s="36" t="s">
        <v>472</v>
      </c>
      <c r="D244" s="36" t="s">
        <v>250</v>
      </c>
      <c r="E244" s="36" t="s">
        <v>251</v>
      </c>
      <c r="F244" s="37" t="n">
        <v>45971</v>
      </c>
      <c r="G244" s="38" t="str">
        <f aca="false">IF(C244="","",IF(TRIM(SUBSTITUTE(SUBSTITUTE(SUBSTITUTE(SUBSTITUTE(SUBSTITUTE(SUBSTITUTE(SUBSTITUTE(SUBSTITUTE(SUBSTITUTE(SUBSTITUTE(SUBSTITUTE(LOWER(TRIM(D244)),"ё","е"),"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категории",""))="инженер",IF(AND(ISNUMBER(SEARCH("техническ",E244)),ISNUMBER(SEARCH("контрол",E244))),"инженер отк",IF(ISNUMBER(SEARCH("диспетч",E244)),"инженер пдо",TRIM(SUBSTITUTE(SUBSTITUTE(SUBSTITUTE(SUBSTITUTE(SUBSTITUTE(SUBSTITUTE(SUBSTITUTE(SUBSTITUTE(SUBSTITUTE(SUBSTITUTE(SUBSTITUTE(LOWER(TRIM(D244)),"ё","е"),"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инженер",IF(ISNUMBER(SEARCH("диспетч",E244)),"ведущий инженер пдо",TRIM(SUBSTITUTE(SUBSTITUTE(SUBSTITUTE(SUBSTITUTE(SUBSTITUTE(SUBSTITUTE(SUBSTITUTE(SUBSTITUTE(SUBSTITUTE(SUBSTITUTE(SUBSTITUTE(LOWER(TRIM(D244)),"ё","е"),"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отк",TRIM(SUBSTITUTE(SUBSTITUTE(SUBSTITUTE(SUBSTITUTE(SUBSTITUTE(SUBSTITUTE(SUBSTITUTE(SUBSTITUTE(SUBSTITUTE(SUBSTITUTE(SUBSTITUTE(LOWER(TRIM(D244)),"ё","е")," -","-"),"- ","-")," 2 разряда","")," 3 разряда","")," 4 разряда","")," 5 разряда","")," 6 разряда","")," 1 категории","")," 2 категории","")," 3 категории",""))))))</f>
        <v>оператор склада</v>
      </c>
      <c r="H244" s="35" t="n">
        <f aca="false">IF(C244="","",IF(AND(G244="мастер участка",ISNUMBER(SEARCH("РЭО",E244))),29,IFERROR(INDEX(Соответствие!$B$2:$B$100,MATCH(G244,Соответствие!$A$2:$A$100,0)),"?")))</f>
        <v>16</v>
      </c>
      <c r="I244" s="39" t="str">
        <f aca="false">IF(C244="","",IFERROR(INDEX(Перечень!$C$6:$C$52,MATCH(H244,Перечень!$A$6:$A$52,0)),""))</f>
        <v>п.4.4, п.5.1, п.6.2</v>
      </c>
      <c r="J244" s="35" t="n">
        <f aca="false">IF(C244="","",IFERROR(INDEX(Перечень!$D$6:$D$52,MATCH(H244,Перечень!$A$6:$A$52,0)),12))</f>
        <v>12</v>
      </c>
      <c r="K244" s="40"/>
      <c r="L244" s="40"/>
      <c r="M244" s="37" t="str">
        <f aca="false">IF(AND(K244="",L244=""),"",EDATE(MAX(K244,L244),J244))</f>
        <v/>
      </c>
      <c r="N244" s="41" t="str">
        <f aca="false">IF(C244="","",IFERROR(INDEX(Перечень!$F$6:$F$52,MATCH(H244,Перечень!$A$6:$A$52,0)),""))</f>
        <v>-</v>
      </c>
      <c r="O244" s="40"/>
      <c r="P244" s="37" t="str">
        <f aca="false">IF(O244="","",EDATE(O244,60))</f>
        <v/>
      </c>
      <c r="Q244" s="41" t="str">
        <f aca="false">IF(AND(K244&lt;&gt;"",F244&lt;&gt;"",K244&gt;F244),"Да","")</f>
        <v/>
      </c>
      <c r="R244" s="41" t="str">
        <f aca="true">IF(C244="","",IF(M244="","Нет сведений",IF(M244&lt;TODAY(),"Просрочен",IF(M244-TODAY()&lt;=30,"Истекает","В срок"))))</f>
        <v>Нет сведений</v>
      </c>
      <c r="S244" s="41" t="str">
        <f aca="false">IF(AND(N244="Да",O244=""),"Не пройдено","")</f>
        <v/>
      </c>
    </row>
    <row r="245" customFormat="false" ht="14.25" hidden="false" customHeight="false" outlineLevel="0" collapsed="false">
      <c r="A245" s="35" t="n">
        <f aca="false">IF(C245="","",ROW()-5)</f>
        <v>240</v>
      </c>
      <c r="B245" s="36" t="s">
        <v>107</v>
      </c>
      <c r="C245" s="36" t="s">
        <v>473</v>
      </c>
      <c r="D245" s="36" t="s">
        <v>474</v>
      </c>
      <c r="E245" s="36" t="s">
        <v>475</v>
      </c>
      <c r="F245" s="37" t="n">
        <v>43024</v>
      </c>
      <c r="G245" s="38" t="str">
        <f aca="false">IF(C245="","",IF(TRIM(SUBSTITUTE(SUBSTITUTE(SUBSTITUTE(SUBSTITUTE(SUBSTITUTE(SUBSTITUTE(SUBSTITUTE(SUBSTITUTE(SUBSTITUTE(SUBSTITUTE(SUBSTITUTE(LOWER(TRIM(D245)),"ё","е"),"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категории",""))="инженер",IF(AND(ISNUMBER(SEARCH("техническ",E245)),ISNUMBER(SEARCH("контрол",E245))),"инженер отк",IF(ISNUMBER(SEARCH("диспетч",E245)),"инженер пдо",TRIM(SUBSTITUTE(SUBSTITUTE(SUBSTITUTE(SUBSTITUTE(SUBSTITUTE(SUBSTITUTE(SUBSTITUTE(SUBSTITUTE(SUBSTITUTE(SUBSTITUTE(SUBSTITUTE(LOWER(TRIM(D245)),"ё","е"),"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инженер",IF(ISNUMBER(SEARCH("диспетч",E245)),"ведущий инженер пдо",TRIM(SUBSTITUTE(SUBSTITUTE(SUBSTITUTE(SUBSTITUTE(SUBSTITUTE(SUBSTITUTE(SUBSTITUTE(SUBSTITUTE(SUBSTITUTE(SUBSTITUTE(SUBSTITUTE(LOWER(TRIM(D245)),"ё","е"),"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отк",TRIM(SUBSTITUTE(SUBSTITUTE(SUBSTITUTE(SUBSTITUTE(SUBSTITUTE(SUBSTITUTE(SUBSTITUTE(SUBSTITUTE(SUBSTITUTE(SUBSTITUTE(SUBSTITUTE(LOWER(TRIM(D245)),"ё","е")," -","-"),"- ","-")," 2 разряда","")," 3 разряда","")," 4 разряда","")," 5 разряда","")," 6 разряда","")," 1 категории","")," 2 категории","")," 3 категории",""))))))</f>
        <v>водитель автомобиля-экспедитор</v>
      </c>
      <c r="H245" s="35" t="n">
        <f aca="false">IF(C245="","",IF(AND(G245="мастер участка",ISNUMBER(SEARCH("РЭО",E245))),29,IFERROR(INDEX(Соответствие!$B$2:$B$100,MATCH(G245,Соответствие!$A$2:$A$100,0)),"?")))</f>
        <v>38</v>
      </c>
      <c r="I245" s="39" t="str">
        <f aca="false">SUBSTITUTE(IF(C245="","",IFERROR(INDEX(Перечень!$C$6:$C$52,MATCH(H245,Перечень!$A$6:$A$52,0)),"")),", п.18",", п.18.2")</f>
        <v>п.4.3.1, п.4.3.2, п.4.4, п.5.1, п.5.2, п.18.2</v>
      </c>
      <c r="J245" s="35" t="n">
        <f aca="false">IF(C245="","",IFERROR(INDEX(Перечень!$D$6:$D$52,MATCH(H245,Перечень!$A$6:$A$52,0)),12))</f>
        <v>12</v>
      </c>
      <c r="K245" s="40"/>
      <c r="L245" s="40"/>
      <c r="M245" s="37" t="str">
        <f aca="false">IF(AND(K245="",L245=""),"",EDATE(MAX(K245,L245),J245))</f>
        <v/>
      </c>
      <c r="N245" s="41" t="str">
        <f aca="false">IF(C245="","",IFERROR(INDEX(Перечень!$F$6:$F$52,MATCH(H245,Перечень!$A$6:$A$52,0)),""))</f>
        <v>Да</v>
      </c>
      <c r="O245" s="40"/>
      <c r="P245" s="37" t="str">
        <f aca="false">IF(O245="","",EDATE(O245,60))</f>
        <v/>
      </c>
      <c r="Q245" s="41" t="str">
        <f aca="false">IF(AND(K245&lt;&gt;"",F245&lt;&gt;"",K245&gt;F245),"Да","")</f>
        <v/>
      </c>
      <c r="R245" s="41" t="str">
        <f aca="true">IF(C245="","",IF(M245="","Нет сведений",IF(M245&lt;TODAY(),"Просрочен",IF(M245-TODAY()&lt;=30,"Истекает","В срок"))))</f>
        <v>Нет сведений</v>
      </c>
      <c r="S245" s="41" t="str">
        <f aca="false">IF(AND(N245="Да",O245=""),"Не пройдено","")</f>
        <v>Не пройдено</v>
      </c>
    </row>
    <row r="246" customFormat="false" ht="14.25" hidden="false" customHeight="false" outlineLevel="0" collapsed="false">
      <c r="A246" s="35" t="n">
        <f aca="false">IF(C246="","",ROW()-5)</f>
        <v>241</v>
      </c>
      <c r="B246" s="36" t="s">
        <v>107</v>
      </c>
      <c r="C246" s="36" t="s">
        <v>476</v>
      </c>
      <c r="D246" s="36" t="s">
        <v>474</v>
      </c>
      <c r="E246" s="36" t="s">
        <v>475</v>
      </c>
      <c r="F246" s="37" t="n">
        <v>41219</v>
      </c>
      <c r="G246" s="38" t="str">
        <f aca="false">IF(C246="","",IF(TRIM(SUBSTITUTE(SUBSTITUTE(SUBSTITUTE(SUBSTITUTE(SUBSTITUTE(SUBSTITUTE(SUBSTITUTE(SUBSTITUTE(SUBSTITUTE(SUBSTITUTE(SUBSTITUTE(LOWER(TRIM(D246)),"ё","е"),"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категории",""))="инженер",IF(AND(ISNUMBER(SEARCH("техническ",E246)),ISNUMBER(SEARCH("контрол",E246))),"инженер отк",IF(ISNUMBER(SEARCH("диспетч",E246)),"инженер пдо",TRIM(SUBSTITUTE(SUBSTITUTE(SUBSTITUTE(SUBSTITUTE(SUBSTITUTE(SUBSTITUTE(SUBSTITUTE(SUBSTITUTE(SUBSTITUTE(SUBSTITUTE(SUBSTITUTE(LOWER(TRIM(D246)),"ё","е"),"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инженер",IF(ISNUMBER(SEARCH("диспетч",E246)),"ведущий инженер пдо",TRIM(SUBSTITUTE(SUBSTITUTE(SUBSTITUTE(SUBSTITUTE(SUBSTITUTE(SUBSTITUTE(SUBSTITUTE(SUBSTITUTE(SUBSTITUTE(SUBSTITUTE(SUBSTITUTE(LOWER(TRIM(D246)),"ё","е"),"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отк",TRIM(SUBSTITUTE(SUBSTITUTE(SUBSTITUTE(SUBSTITUTE(SUBSTITUTE(SUBSTITUTE(SUBSTITUTE(SUBSTITUTE(SUBSTITUTE(SUBSTITUTE(SUBSTITUTE(LOWER(TRIM(D246)),"ё","е")," -","-"),"- ","-")," 2 разряда","")," 3 разряда","")," 4 разряда","")," 5 разряда","")," 6 разряда","")," 1 категории","")," 2 категории","")," 3 категории",""))))))</f>
        <v>водитель автомобиля-экспедитор</v>
      </c>
      <c r="H246" s="35" t="n">
        <f aca="false">IF(C246="","",IF(AND(G246="мастер участка",ISNUMBER(SEARCH("РЭО",E246))),29,IFERROR(INDEX(Соответствие!$B$2:$B$100,MATCH(G246,Соответствие!$A$2:$A$100,0)),"?")))</f>
        <v>38</v>
      </c>
      <c r="I246" s="39" t="str">
        <f aca="false">SUBSTITUTE(IF(C246="","",IFERROR(INDEX(Перечень!$C$6:$C$52,MATCH(H246,Перечень!$A$6:$A$52,0)),"")),", п.18",", п.18.1")</f>
        <v>п.4.3.1, п.4.3.2, п.4.4, п.5.1, п.5.2, п.18.1</v>
      </c>
      <c r="J246" s="35" t="n">
        <f aca="false">IF(C246="","",IFERROR(INDEX(Перечень!$D$6:$D$52,MATCH(H246,Перечень!$A$6:$A$52,0)),12))</f>
        <v>12</v>
      </c>
      <c r="K246" s="40"/>
      <c r="L246" s="40"/>
      <c r="M246" s="37" t="str">
        <f aca="false">IF(AND(K246="",L246=""),"",EDATE(MAX(K246,L246),J246))</f>
        <v/>
      </c>
      <c r="N246" s="41" t="str">
        <f aca="false">IF(C246="","",IFERROR(INDEX(Перечень!$F$6:$F$52,MATCH(H246,Перечень!$A$6:$A$52,0)),""))</f>
        <v>Да</v>
      </c>
      <c r="O246" s="40"/>
      <c r="P246" s="37" t="str">
        <f aca="false">IF(O246="","",EDATE(O246,60))</f>
        <v/>
      </c>
      <c r="Q246" s="41" t="str">
        <f aca="false">IF(AND(K246&lt;&gt;"",F246&lt;&gt;"",K246&gt;F246),"Да","")</f>
        <v/>
      </c>
      <c r="R246" s="41" t="str">
        <f aca="true">IF(C246="","",IF(M246="","Нет сведений",IF(M246&lt;TODAY(),"Просрочен",IF(M246-TODAY()&lt;=30,"Истекает","В срок"))))</f>
        <v>Нет сведений</v>
      </c>
      <c r="S246" s="41" t="str">
        <f aca="false">IF(AND(N246="Да",O246=""),"Не пройдено","")</f>
        <v>Не пройдено</v>
      </c>
    </row>
    <row r="247" customFormat="false" ht="14.25" hidden="false" customHeight="false" outlineLevel="0" collapsed="false">
      <c r="A247" s="35" t="n">
        <f aca="false">IF(C247="","",ROW()-5)</f>
        <v>242</v>
      </c>
      <c r="B247" s="36" t="s">
        <v>107</v>
      </c>
      <c r="C247" s="36" t="s">
        <v>477</v>
      </c>
      <c r="D247" s="36" t="s">
        <v>474</v>
      </c>
      <c r="E247" s="36" t="s">
        <v>475</v>
      </c>
      <c r="F247" s="37" t="n">
        <v>43557</v>
      </c>
      <c r="G247" s="38" t="str">
        <f aca="false">IF(C247="","",IF(TRIM(SUBSTITUTE(SUBSTITUTE(SUBSTITUTE(SUBSTITUTE(SUBSTITUTE(SUBSTITUTE(SUBSTITUTE(SUBSTITUTE(SUBSTITUTE(SUBSTITUTE(SUBSTITUTE(LOWER(TRIM(D247)),"ё","е"),"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категории",""))="инженер",IF(AND(ISNUMBER(SEARCH("техническ",E247)),ISNUMBER(SEARCH("контрол",E247))),"инженер отк",IF(ISNUMBER(SEARCH("диспетч",E247)),"инженер пдо",TRIM(SUBSTITUTE(SUBSTITUTE(SUBSTITUTE(SUBSTITUTE(SUBSTITUTE(SUBSTITUTE(SUBSTITUTE(SUBSTITUTE(SUBSTITUTE(SUBSTITUTE(SUBSTITUTE(LOWER(TRIM(D247)),"ё","е"),"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инженер",IF(ISNUMBER(SEARCH("диспетч",E247)),"ведущий инженер пдо",TRIM(SUBSTITUTE(SUBSTITUTE(SUBSTITUTE(SUBSTITUTE(SUBSTITUTE(SUBSTITUTE(SUBSTITUTE(SUBSTITUTE(SUBSTITUTE(SUBSTITUTE(SUBSTITUTE(LOWER(TRIM(D247)),"ё","е"),"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отк",TRIM(SUBSTITUTE(SUBSTITUTE(SUBSTITUTE(SUBSTITUTE(SUBSTITUTE(SUBSTITUTE(SUBSTITUTE(SUBSTITUTE(SUBSTITUTE(SUBSTITUTE(SUBSTITUTE(LOWER(TRIM(D247)),"ё","е")," -","-"),"- ","-")," 2 разряда","")," 3 разряда","")," 4 разряда","")," 5 разряда","")," 6 разряда","")," 1 категории","")," 2 категории","")," 3 категории",""))))))</f>
        <v>водитель автомобиля-экспедитор</v>
      </c>
      <c r="H247" s="35" t="n">
        <f aca="false">IF(C247="","",IF(AND(G247="мастер участка",ISNUMBER(SEARCH("РЭО",E247))),29,IFERROR(INDEX(Соответствие!$B$2:$B$100,MATCH(G247,Соответствие!$A$2:$A$100,0)),"?")))</f>
        <v>38</v>
      </c>
      <c r="I247" s="39" t="str">
        <f aca="false">SUBSTITUTE(IF(C247="","",IFERROR(INDEX(Перечень!$C$6:$C$52,MATCH(H247,Перечень!$A$6:$A$52,0)),"")),", п.18",", п.18.1")</f>
        <v>п.4.3.1, п.4.3.2, п.4.4, п.5.1, п.5.2, п.18.1</v>
      </c>
      <c r="J247" s="35" t="n">
        <f aca="false">IF(C247="","",IFERROR(INDEX(Перечень!$D$6:$D$52,MATCH(H247,Перечень!$A$6:$A$52,0)),12))</f>
        <v>12</v>
      </c>
      <c r="K247" s="40"/>
      <c r="L247" s="40"/>
      <c r="M247" s="37" t="str">
        <f aca="false">IF(AND(K247="",L247=""),"",EDATE(MAX(K247,L247),J247))</f>
        <v/>
      </c>
      <c r="N247" s="41" t="str">
        <f aca="false">IF(C247="","",IFERROR(INDEX(Перечень!$F$6:$F$52,MATCH(H247,Перечень!$A$6:$A$52,0)),""))</f>
        <v>Да</v>
      </c>
      <c r="O247" s="40"/>
      <c r="P247" s="37" t="str">
        <f aca="false">IF(O247="","",EDATE(O247,60))</f>
        <v/>
      </c>
      <c r="Q247" s="41" t="str">
        <f aca="false">IF(AND(K247&lt;&gt;"",F247&lt;&gt;"",K247&gt;F247),"Да","")</f>
        <v/>
      </c>
      <c r="R247" s="41" t="str">
        <f aca="true">IF(C247="","",IF(M247="","Нет сведений",IF(M247&lt;TODAY(),"Просрочен",IF(M247-TODAY()&lt;=30,"Истекает","В срок"))))</f>
        <v>Нет сведений</v>
      </c>
      <c r="S247" s="41" t="str">
        <f aca="false">IF(AND(N247="Да",O247=""),"Не пройдено","")</f>
        <v>Не пройдено</v>
      </c>
    </row>
    <row r="248" customFormat="false" ht="14.25" hidden="false" customHeight="false" outlineLevel="0" collapsed="false">
      <c r="A248" s="35" t="n">
        <f aca="false">IF(C248="","",ROW()-5)</f>
        <v>243</v>
      </c>
      <c r="B248" s="36" t="s">
        <v>107</v>
      </c>
      <c r="C248" s="36" t="s">
        <v>478</v>
      </c>
      <c r="D248" s="36" t="s">
        <v>474</v>
      </c>
      <c r="E248" s="36" t="s">
        <v>475</v>
      </c>
      <c r="F248" s="37" t="n">
        <v>41183</v>
      </c>
      <c r="G248" s="38" t="str">
        <f aca="false">IF(C248="","",IF(TRIM(SUBSTITUTE(SUBSTITUTE(SUBSTITUTE(SUBSTITUTE(SUBSTITUTE(SUBSTITUTE(SUBSTITUTE(SUBSTITUTE(SUBSTITUTE(SUBSTITUTE(SUBSTITUTE(LOWER(TRIM(D248)),"ё","е"),"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категории",""))="инженер",IF(AND(ISNUMBER(SEARCH("техническ",E248)),ISNUMBER(SEARCH("контрол",E248))),"инженер отк",IF(ISNUMBER(SEARCH("диспетч",E248)),"инженер пдо",TRIM(SUBSTITUTE(SUBSTITUTE(SUBSTITUTE(SUBSTITUTE(SUBSTITUTE(SUBSTITUTE(SUBSTITUTE(SUBSTITUTE(SUBSTITUTE(SUBSTITUTE(SUBSTITUTE(LOWER(TRIM(D248)),"ё","е"),"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инженер",IF(ISNUMBER(SEARCH("диспетч",E248)),"ведущий инженер пдо",TRIM(SUBSTITUTE(SUBSTITUTE(SUBSTITUTE(SUBSTITUTE(SUBSTITUTE(SUBSTITUTE(SUBSTITUTE(SUBSTITUTE(SUBSTITUTE(SUBSTITUTE(SUBSTITUTE(LOWER(TRIM(D248)),"ё","е"),"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отк",TRIM(SUBSTITUTE(SUBSTITUTE(SUBSTITUTE(SUBSTITUTE(SUBSTITUTE(SUBSTITUTE(SUBSTITUTE(SUBSTITUTE(SUBSTITUTE(SUBSTITUTE(SUBSTITUTE(LOWER(TRIM(D248)),"ё","е")," -","-"),"- ","-")," 2 разряда","")," 3 разряда","")," 4 разряда","")," 5 разряда","")," 6 разряда","")," 1 категории","")," 2 категории","")," 3 категории",""))))))</f>
        <v>водитель автомобиля-экспедитор</v>
      </c>
      <c r="H248" s="35" t="n">
        <f aca="false">IF(C248="","",IF(AND(G248="мастер участка",ISNUMBER(SEARCH("РЭО",E248))),29,IFERROR(INDEX(Соответствие!$B$2:$B$100,MATCH(G248,Соответствие!$A$2:$A$100,0)),"?")))</f>
        <v>38</v>
      </c>
      <c r="I248" s="39" t="str">
        <f aca="false">SUBSTITUTE(IF(C248="","",IFERROR(INDEX(Перечень!$C$6:$C$52,MATCH(H248,Перечень!$A$6:$A$52,0)),"")),", п.18",", п.18.2")</f>
        <v>п.4.3.1, п.4.3.2, п.4.4, п.5.1, п.5.2, п.18.2</v>
      </c>
      <c r="J248" s="35" t="n">
        <f aca="false">IF(C248="","",IFERROR(INDEX(Перечень!$D$6:$D$52,MATCH(H248,Перечень!$A$6:$A$52,0)),12))</f>
        <v>12</v>
      </c>
      <c r="K248" s="40"/>
      <c r="L248" s="40"/>
      <c r="M248" s="37" t="str">
        <f aca="false">IF(AND(K248="",L248=""),"",EDATE(MAX(K248,L248),J248))</f>
        <v/>
      </c>
      <c r="N248" s="41" t="str">
        <f aca="false">IF(C248="","",IFERROR(INDEX(Перечень!$F$6:$F$52,MATCH(H248,Перечень!$A$6:$A$52,0)),""))</f>
        <v>Да</v>
      </c>
      <c r="O248" s="40"/>
      <c r="P248" s="37" t="str">
        <f aca="false">IF(O248="","",EDATE(O248,60))</f>
        <v/>
      </c>
      <c r="Q248" s="41" t="str">
        <f aca="false">IF(AND(K248&lt;&gt;"",F248&lt;&gt;"",K248&gt;F248),"Да","")</f>
        <v/>
      </c>
      <c r="R248" s="41" t="str">
        <f aca="true">IF(C248="","",IF(M248="","Нет сведений",IF(M248&lt;TODAY(),"Просрочен",IF(M248-TODAY()&lt;=30,"Истекает","В срок"))))</f>
        <v>Нет сведений</v>
      </c>
      <c r="S248" s="41" t="str">
        <f aca="false">IF(AND(N248="Да",O248=""),"Не пройдено","")</f>
        <v>Не пройдено</v>
      </c>
    </row>
    <row r="249" customFormat="false" ht="14.25" hidden="false" customHeight="false" outlineLevel="0" collapsed="false">
      <c r="A249" s="35" t="n">
        <f aca="false">IF(C249="","",ROW()-5)</f>
        <v>244</v>
      </c>
      <c r="B249" s="36" t="s">
        <v>107</v>
      </c>
      <c r="C249" s="36" t="s">
        <v>479</v>
      </c>
      <c r="D249" s="36" t="s">
        <v>474</v>
      </c>
      <c r="E249" s="36" t="s">
        <v>475</v>
      </c>
      <c r="F249" s="37" t="n">
        <v>40035</v>
      </c>
      <c r="G249" s="38" t="str">
        <f aca="false">IF(C249="","",IF(TRIM(SUBSTITUTE(SUBSTITUTE(SUBSTITUTE(SUBSTITUTE(SUBSTITUTE(SUBSTITUTE(SUBSTITUTE(SUBSTITUTE(SUBSTITUTE(SUBSTITUTE(SUBSTITUTE(LOWER(TRIM(D249)),"ё","е"),"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категории",""))="инженер",IF(AND(ISNUMBER(SEARCH("техническ",E249)),ISNUMBER(SEARCH("контрол",E249))),"инженер отк",IF(ISNUMBER(SEARCH("диспетч",E249)),"инженер пдо",TRIM(SUBSTITUTE(SUBSTITUTE(SUBSTITUTE(SUBSTITUTE(SUBSTITUTE(SUBSTITUTE(SUBSTITUTE(SUBSTITUTE(SUBSTITUTE(SUBSTITUTE(SUBSTITUTE(LOWER(TRIM(D249)),"ё","е"),"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категории","")))),IF(TRIM(SUBSTITUTE(SUBSTITUTE(SUBSTITUTE(SUBSTITUTE(SUBSTITUTE(SUBSTITUTE(SUBSTITUTE(SUBSTITUTE(SUBSTITUTE(SUBSTITUTE(SUBSTITUTE(LOWER(TRIM(D249)),"ё","е"),"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инженер",IF(ISNUMBER(SEARCH("диспетч",E249)),"ведущий инженер пдо",TRIM(SUBSTITUTE(SUBSTITUTE(SUBSTITUTE(SUBSTITUTE(SUBSTITUTE(SUBSTITUTE(SUBSTITUTE(SUBSTITUTE(SUBSTITUTE(SUBSTITUTE(SUBSTITUTE(LOWER(TRIM(D249)),"ё","е"),"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категории",""))),IF(TRIM(SUBSTITUTE(SUBSTITUTE(SUBSTITUTE(SUBSTITUTE(SUBSTITUTE(SUBSTITUTE(SUBSTITUTE(SUBSTITUTE(SUBSTITUTE(SUBSTITUTE(SUBSTITUTE(LOWER(TRIM(D249)),"ё","е"),"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отк",TRIM(SUBSTITUTE(SUBSTITUTE(SUBSTITUTE(SUBSTITUTE(SUBSTITUTE(SUBSTITUTE(SUBSTITUTE(SUBSTITUTE(SUBSTITUTE(SUBSTITUTE(SUBSTITUTE(LOWER(TRIM(D249)),"ё","е")," -","-"),"- ","-")," 2 разряда","")," 3 разряда","")," 4 разряда","")," 5 разряда","")," 6 разряда","")," 1 категории","")," 2 категории","")," 3 категории",""))))))</f>
        <v>водитель автомобиля-экспедитор</v>
      </c>
      <c r="H249" s="35" t="n">
        <f aca="false">IF(C249="","",IF(AND(G249="мастер участка",ISNUMBER(SEARCH("РЭО",E249))),29,IFERROR(INDEX(Соответствие!$B$2:$B$100,MATCH(G249,Соответствие!$A$2:$A$100,0)),"?")))</f>
        <v>38</v>
      </c>
      <c r="I249" s="39" t="str">
        <f aca="false">SUBSTITUTE(IF(C249="","",IFERROR(INDEX(Перечень!$C$6:$C$52,MATCH(H249,Перечень!$A$6:$A$52,0)),"")),", п.18",", п.18.1")</f>
        <v>п.4.3.1, п.4.3.2, п.4.4, п.5.1, п.5.2, п.18.1</v>
      </c>
      <c r="J249" s="35" t="n">
        <f aca="false">IF(C249="","",IFERROR(INDEX(Перечень!$D$6:$D$52,MATCH(H249,Перечень!$A$6:$A$52,0)),12))</f>
        <v>12</v>
      </c>
      <c r="K249" s="40"/>
      <c r="L249" s="40"/>
      <c r="M249" s="37" t="str">
        <f aca="false">IF(AND(K249="",L249=""),"",EDATE(MAX(K249,L249),J249))</f>
        <v/>
      </c>
      <c r="N249" s="41" t="str">
        <f aca="false">IF(C249="","",IFERROR(INDEX(Перечень!$F$6:$F$52,MATCH(H249,Перечень!$A$6:$A$52,0)),""))</f>
        <v>Да</v>
      </c>
      <c r="O249" s="40"/>
      <c r="P249" s="37" t="str">
        <f aca="false">IF(O249="","",EDATE(O249,60))</f>
        <v/>
      </c>
      <c r="Q249" s="41" t="str">
        <f aca="false">IF(AND(K249&lt;&gt;"",F249&lt;&gt;"",K249&gt;F249),"Да","")</f>
        <v/>
      </c>
      <c r="R249" s="41" t="str">
        <f aca="true">IF(C249="","",IF(M249="","Нет сведений",IF(M249&lt;TODAY(),"Просрочен",IF(M249-TODAY()&lt;=30,"Истекает","В срок"))))</f>
        <v>Нет сведений</v>
      </c>
      <c r="S249" s="41" t="str">
        <f aca="false">IF(AND(N249="Да",O249=""),"Не пройдено","")</f>
        <v>Не пройдено</v>
      </c>
    </row>
    <row r="250" customFormat="false" ht="14.25" hidden="false" customHeight="false" outlineLevel="0" collapsed="false">
      <c r="A250" s="35" t="n">
        <f aca="false">IF(C250="","",ROW()-5)</f>
        <v>245</v>
      </c>
      <c r="B250" s="36" t="s">
        <v>107</v>
      </c>
      <c r="C250" s="36" t="s">
        <v>480</v>
      </c>
      <c r="D250" s="36" t="s">
        <v>474</v>
      </c>
      <c r="E250" s="36" t="s">
        <v>475</v>
      </c>
      <c r="F250" s="37" t="n">
        <v>44879</v>
      </c>
      <c r="G250" s="38" t="str">
        <f aca="false">IF(C250="","",IF(TRIM(SUBSTITUTE(SUBSTITUTE(SUBSTITUTE(SUBSTITUTE(SUBSTITUTE(SUBSTITUTE(SUBSTITUTE(SUBSTITUTE(SUBSTITUTE(SUBSTITUTE(SUBSTITUTE(LOWER(TRIM(D250)),"ё","е"),"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категории",""))="инженер",IF(AND(ISNUMBER(SEARCH("техническ",E250)),ISNUMBER(SEARCH("контрол",E250))),"инженер отк",IF(ISNUMBER(SEARCH("диспетч",E250)),"инженер пдо",TRIM(SUBSTITUTE(SUBSTITUTE(SUBSTITUTE(SUBSTITUTE(SUBSTITUTE(SUBSTITUTE(SUBSTITUTE(SUBSTITUTE(SUBSTITUTE(SUBSTITUTE(SUBSTITUTE(LOWER(TRIM(D250)),"ё","е"),"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инженер",IF(ISNUMBER(SEARCH("диспетч",E250)),"ведущий инженер пдо",TRIM(SUBSTITUTE(SUBSTITUTE(SUBSTITUTE(SUBSTITUTE(SUBSTITUTE(SUBSTITUTE(SUBSTITUTE(SUBSTITUTE(SUBSTITUTE(SUBSTITUTE(SUBSTITUTE(LOWER(TRIM(D250)),"ё","е"),"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отк",TRIM(SUBSTITUTE(SUBSTITUTE(SUBSTITUTE(SUBSTITUTE(SUBSTITUTE(SUBSTITUTE(SUBSTITUTE(SUBSTITUTE(SUBSTITUTE(SUBSTITUTE(SUBSTITUTE(LOWER(TRIM(D250)),"ё","е")," -","-"),"- ","-")," 2 разряда","")," 3 разряда","")," 4 разряда","")," 5 разряда","")," 6 разряда","")," 1 категории","")," 2 категории","")," 3 категории",""))))))</f>
        <v>водитель автомобиля-экспедитор</v>
      </c>
      <c r="H250" s="35" t="n">
        <f aca="false">IF(C250="","",IF(AND(G250="мастер участка",ISNUMBER(SEARCH("РЭО",E250))),29,IFERROR(INDEX(Соответствие!$B$2:$B$100,MATCH(G250,Соответствие!$A$2:$A$100,0)),"?")))</f>
        <v>38</v>
      </c>
      <c r="I250" s="39" t="str">
        <f aca="false">SUBSTITUTE(IF(C250="","",IFERROR(INDEX(Перечень!$C$6:$C$52,MATCH(H250,Перечень!$A$6:$A$52,0)),"")),", п.18",", п.18.1")</f>
        <v>п.4.3.1, п.4.3.2, п.4.4, п.5.1, п.5.2, п.18.1</v>
      </c>
      <c r="J250" s="35" t="n">
        <f aca="false">IF(C250="","",IFERROR(INDEX(Перечень!$D$6:$D$52,MATCH(H250,Перечень!$A$6:$A$52,0)),12))</f>
        <v>12</v>
      </c>
      <c r="K250" s="40"/>
      <c r="L250" s="40"/>
      <c r="M250" s="37" t="str">
        <f aca="false">IF(AND(K250="",L250=""),"",EDATE(MAX(K250,L250),J250))</f>
        <v/>
      </c>
      <c r="N250" s="41" t="str">
        <f aca="false">IF(C250="","",IFERROR(INDEX(Перечень!$F$6:$F$52,MATCH(H250,Перечень!$A$6:$A$52,0)),""))</f>
        <v>Да</v>
      </c>
      <c r="O250" s="40"/>
      <c r="P250" s="37" t="str">
        <f aca="false">IF(O250="","",EDATE(O250,60))</f>
        <v/>
      </c>
      <c r="Q250" s="41" t="str">
        <f aca="false">IF(AND(K250&lt;&gt;"",F250&lt;&gt;"",K250&gt;F250),"Да","")</f>
        <v/>
      </c>
      <c r="R250" s="41" t="str">
        <f aca="true">IF(C250="","",IF(M250="","Нет сведений",IF(M250&lt;TODAY(),"Просрочен",IF(M250-TODAY()&lt;=30,"Истекает","В срок"))))</f>
        <v>Нет сведений</v>
      </c>
      <c r="S250" s="41" t="str">
        <f aca="false">IF(AND(N250="Да",O250=""),"Не пройдено","")</f>
        <v>Не пройдено</v>
      </c>
    </row>
    <row r="251" customFormat="false" ht="14.25" hidden="false" customHeight="false" outlineLevel="0" collapsed="false">
      <c r="A251" s="35" t="n">
        <f aca="false">IF(C251="","",ROW()-5)</f>
        <v>246</v>
      </c>
      <c r="B251" s="36" t="s">
        <v>107</v>
      </c>
      <c r="C251" s="36" t="s">
        <v>481</v>
      </c>
      <c r="D251" s="36" t="s">
        <v>474</v>
      </c>
      <c r="E251" s="36" t="s">
        <v>475</v>
      </c>
      <c r="F251" s="37" t="n">
        <v>41375</v>
      </c>
      <c r="G251" s="38" t="str">
        <f aca="false">IF(C251="","",IF(TRIM(SUBSTITUTE(SUBSTITUTE(SUBSTITUTE(SUBSTITUTE(SUBSTITUTE(SUBSTITUTE(SUBSTITUTE(SUBSTITUTE(SUBSTITUTE(SUBSTITUTE(SUBSTITUTE(LOWER(TRIM(D251)),"ё","е"),"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категории",""))="инженер",IF(AND(ISNUMBER(SEARCH("техническ",E251)),ISNUMBER(SEARCH("контрол",E251))),"инженер отк",IF(ISNUMBER(SEARCH("диспетч",E251)),"инженер пдо",TRIM(SUBSTITUTE(SUBSTITUTE(SUBSTITUTE(SUBSTITUTE(SUBSTITUTE(SUBSTITUTE(SUBSTITUTE(SUBSTITUTE(SUBSTITUTE(SUBSTITUTE(SUBSTITUTE(LOWER(TRIM(D251)),"ё","е"),"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инженер",IF(ISNUMBER(SEARCH("диспетч",E251)),"ведущий инженер пдо",TRIM(SUBSTITUTE(SUBSTITUTE(SUBSTITUTE(SUBSTITUTE(SUBSTITUTE(SUBSTITUTE(SUBSTITUTE(SUBSTITUTE(SUBSTITUTE(SUBSTITUTE(SUBSTITUTE(LOWER(TRIM(D251)),"ё","е"),"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отк",TRIM(SUBSTITUTE(SUBSTITUTE(SUBSTITUTE(SUBSTITUTE(SUBSTITUTE(SUBSTITUTE(SUBSTITUTE(SUBSTITUTE(SUBSTITUTE(SUBSTITUTE(SUBSTITUTE(LOWER(TRIM(D251)),"ё","е")," -","-"),"- ","-")," 2 разряда","")," 3 разряда","")," 4 разряда","")," 5 разряда","")," 6 разряда","")," 1 категории","")," 2 категории","")," 3 категории",""))))))</f>
        <v>водитель автомобиля-экспедитор</v>
      </c>
      <c r="H251" s="35" t="n">
        <f aca="false">IF(C251="","",IF(AND(G251="мастер участка",ISNUMBER(SEARCH("РЭО",E251))),29,IFERROR(INDEX(Соответствие!$B$2:$B$100,MATCH(G251,Соответствие!$A$2:$A$100,0)),"?")))</f>
        <v>38</v>
      </c>
      <c r="I251" s="39" t="str">
        <f aca="false">SUBSTITUTE(IF(C251="","",IFERROR(INDEX(Перечень!$C$6:$C$52,MATCH(H251,Перечень!$A$6:$A$52,0)),"")),", п.18",", п.18.2")</f>
        <v>п.4.3.1, п.4.3.2, п.4.4, п.5.1, п.5.2, п.18.2</v>
      </c>
      <c r="J251" s="35" t="n">
        <f aca="false">IF(C251="","",IFERROR(INDEX(Перечень!$D$6:$D$52,MATCH(H251,Перечень!$A$6:$A$52,0)),12))</f>
        <v>12</v>
      </c>
      <c r="K251" s="40"/>
      <c r="L251" s="40"/>
      <c r="M251" s="37" t="str">
        <f aca="false">IF(AND(K251="",L251=""),"",EDATE(MAX(K251,L251),J251))</f>
        <v/>
      </c>
      <c r="N251" s="41" t="str">
        <f aca="false">IF(C251="","",IFERROR(INDEX(Перечень!$F$6:$F$52,MATCH(H251,Перечень!$A$6:$A$52,0)),""))</f>
        <v>Да</v>
      </c>
      <c r="O251" s="40"/>
      <c r="P251" s="37" t="str">
        <f aca="false">IF(O251="","",EDATE(O251,60))</f>
        <v/>
      </c>
      <c r="Q251" s="41" t="str">
        <f aca="false">IF(AND(K251&lt;&gt;"",F251&lt;&gt;"",K251&gt;F251),"Да","")</f>
        <v/>
      </c>
      <c r="R251" s="41" t="str">
        <f aca="true">IF(C251="","",IF(M251="","Нет сведений",IF(M251&lt;TODAY(),"Просрочен",IF(M251-TODAY()&lt;=30,"Истекает","В срок"))))</f>
        <v>Нет сведений</v>
      </c>
      <c r="S251" s="41" t="str">
        <f aca="false">IF(AND(N251="Да",O251=""),"Не пройдено","")</f>
        <v>Не пройдено</v>
      </c>
    </row>
    <row r="252" customFormat="false" ht="14.25" hidden="false" customHeight="false" outlineLevel="0" collapsed="false">
      <c r="A252" s="35" t="n">
        <f aca="false">IF(C252="","",ROW()-5)</f>
        <v>247</v>
      </c>
      <c r="B252" s="36" t="s">
        <v>107</v>
      </c>
      <c r="C252" s="36" t="s">
        <v>482</v>
      </c>
      <c r="D252" s="36" t="s">
        <v>474</v>
      </c>
      <c r="E252" s="36" t="s">
        <v>475</v>
      </c>
      <c r="F252" s="37" t="n">
        <v>43557</v>
      </c>
      <c r="G252" s="38" t="str">
        <f aca="false">IF(C252="","",IF(TRIM(SUBSTITUTE(SUBSTITUTE(SUBSTITUTE(SUBSTITUTE(SUBSTITUTE(SUBSTITUTE(SUBSTITUTE(SUBSTITUTE(SUBSTITUTE(SUBSTITUTE(SUBSTITUTE(LOWER(TRIM(D252)),"ё","е"),"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категории",""))="инженер",IF(AND(ISNUMBER(SEARCH("техническ",E252)),ISNUMBER(SEARCH("контрол",E252))),"инженер отк",IF(ISNUMBER(SEARCH("диспетч",E252)),"инженер пдо",TRIM(SUBSTITUTE(SUBSTITUTE(SUBSTITUTE(SUBSTITUTE(SUBSTITUTE(SUBSTITUTE(SUBSTITUTE(SUBSTITUTE(SUBSTITUTE(SUBSTITUTE(SUBSTITUTE(LOWER(TRIM(D252)),"ё","е"),"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инженер",IF(ISNUMBER(SEARCH("диспетч",E252)),"ведущий инженер пдо",TRIM(SUBSTITUTE(SUBSTITUTE(SUBSTITUTE(SUBSTITUTE(SUBSTITUTE(SUBSTITUTE(SUBSTITUTE(SUBSTITUTE(SUBSTITUTE(SUBSTITUTE(SUBSTITUTE(LOWER(TRIM(D252)),"ё","е"),"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отк",TRIM(SUBSTITUTE(SUBSTITUTE(SUBSTITUTE(SUBSTITUTE(SUBSTITUTE(SUBSTITUTE(SUBSTITUTE(SUBSTITUTE(SUBSTITUTE(SUBSTITUTE(SUBSTITUTE(LOWER(TRIM(D252)),"ё","е")," -","-"),"- ","-")," 2 разряда","")," 3 разряда","")," 4 разряда","")," 5 разряда","")," 6 разряда","")," 1 категории","")," 2 категории","")," 3 категории",""))))))</f>
        <v>водитель автомобиля-экспедитор</v>
      </c>
      <c r="H252" s="35" t="n">
        <f aca="false">IF(C252="","",IF(AND(G252="мастер участка",ISNUMBER(SEARCH("РЭО",E252))),29,IFERROR(INDEX(Соответствие!$B$2:$B$100,MATCH(G252,Соответствие!$A$2:$A$100,0)),"?")))</f>
        <v>38</v>
      </c>
      <c r="I252" s="39" t="str">
        <f aca="false">SUBSTITUTE(IF(C252="","",IFERROR(INDEX(Перечень!$C$6:$C$52,MATCH(H252,Перечень!$A$6:$A$52,0)),"")),", п.18",", п.18.1")</f>
        <v>п.4.3.1, п.4.3.2, п.4.4, п.5.1, п.5.2, п.18.1</v>
      </c>
      <c r="J252" s="35" t="n">
        <f aca="false">IF(C252="","",IFERROR(INDEX(Перечень!$D$6:$D$52,MATCH(H252,Перечень!$A$6:$A$52,0)),12))</f>
        <v>12</v>
      </c>
      <c r="K252" s="40"/>
      <c r="L252" s="40"/>
      <c r="M252" s="37" t="str">
        <f aca="false">IF(AND(K252="",L252=""),"",EDATE(MAX(K252,L252),J252))</f>
        <v/>
      </c>
      <c r="N252" s="41" t="str">
        <f aca="false">IF(C252="","",IFERROR(INDEX(Перечень!$F$6:$F$52,MATCH(H252,Перечень!$A$6:$A$52,0)),""))</f>
        <v>Да</v>
      </c>
      <c r="O252" s="40"/>
      <c r="P252" s="37" t="str">
        <f aca="false">IF(O252="","",EDATE(O252,60))</f>
        <v/>
      </c>
      <c r="Q252" s="41" t="str">
        <f aca="false">IF(AND(K252&lt;&gt;"",F252&lt;&gt;"",K252&gt;F252),"Да","")</f>
        <v/>
      </c>
      <c r="R252" s="41" t="str">
        <f aca="true">IF(C252="","",IF(M252="","Нет сведений",IF(M252&lt;TODAY(),"Просрочен",IF(M252-TODAY()&lt;=30,"Истекает","В срок"))))</f>
        <v>Нет сведений</v>
      </c>
      <c r="S252" s="41" t="str">
        <f aca="false">IF(AND(N252="Да",O252=""),"Не пройдено","")</f>
        <v>Не пройдено</v>
      </c>
    </row>
    <row r="253" customFormat="false" ht="14.25" hidden="false" customHeight="false" outlineLevel="0" collapsed="false">
      <c r="A253" s="35" t="n">
        <f aca="false">IF(C253="","",ROW()-5)</f>
        <v>248</v>
      </c>
      <c r="B253" s="36" t="s">
        <v>107</v>
      </c>
      <c r="C253" s="36" t="s">
        <v>483</v>
      </c>
      <c r="D253" s="36" t="s">
        <v>474</v>
      </c>
      <c r="E253" s="36" t="s">
        <v>475</v>
      </c>
      <c r="F253" s="37" t="n">
        <v>39875</v>
      </c>
      <c r="G253" s="38" t="str">
        <f aca="false">IF(C253="","",IF(TRIM(SUBSTITUTE(SUBSTITUTE(SUBSTITUTE(SUBSTITUTE(SUBSTITUTE(SUBSTITUTE(SUBSTITUTE(SUBSTITUTE(SUBSTITUTE(SUBSTITUTE(SUBSTITUTE(LOWER(TRIM(D253)),"ё","е"),"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категории",""))="инженер",IF(AND(ISNUMBER(SEARCH("техническ",E253)),ISNUMBER(SEARCH("контрол",E253))),"инженер отк",IF(ISNUMBER(SEARCH("диспетч",E253)),"инженер пдо",TRIM(SUBSTITUTE(SUBSTITUTE(SUBSTITUTE(SUBSTITUTE(SUBSTITUTE(SUBSTITUTE(SUBSTITUTE(SUBSTITUTE(SUBSTITUTE(SUBSTITUTE(SUBSTITUTE(LOWER(TRIM(D253)),"ё","е"),"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инженер",IF(ISNUMBER(SEARCH("диспетч",E253)),"ведущий инженер пдо",TRIM(SUBSTITUTE(SUBSTITUTE(SUBSTITUTE(SUBSTITUTE(SUBSTITUTE(SUBSTITUTE(SUBSTITUTE(SUBSTITUTE(SUBSTITUTE(SUBSTITUTE(SUBSTITUTE(LOWER(TRIM(D253)),"ё","е"),"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отк",TRIM(SUBSTITUTE(SUBSTITUTE(SUBSTITUTE(SUBSTITUTE(SUBSTITUTE(SUBSTITUTE(SUBSTITUTE(SUBSTITUTE(SUBSTITUTE(SUBSTITUTE(SUBSTITUTE(LOWER(TRIM(D253)),"ё","е")," -","-"),"- ","-")," 2 разряда","")," 3 разряда","")," 4 разряда","")," 5 разряда","")," 6 разряда","")," 1 категории","")," 2 категории","")," 3 категории",""))))))</f>
        <v>водитель автомобиля-экспедитор</v>
      </c>
      <c r="H253" s="35" t="n">
        <f aca="false">IF(C253="","",IF(AND(G253="мастер участка",ISNUMBER(SEARCH("РЭО",E253))),29,IFERROR(INDEX(Соответствие!$B$2:$B$100,MATCH(G253,Соответствие!$A$2:$A$100,0)),"?")))</f>
        <v>38</v>
      </c>
      <c r="I253" s="39" t="str">
        <f aca="false">SUBSTITUTE(IF(C253="","",IFERROR(INDEX(Перечень!$C$6:$C$52,MATCH(H253,Перечень!$A$6:$A$52,0)),"")),", п.18",", п.18.1")</f>
        <v>п.4.3.1, п.4.3.2, п.4.4, п.5.1, п.5.2, п.18.1</v>
      </c>
      <c r="J253" s="35" t="n">
        <f aca="false">IF(C253="","",IFERROR(INDEX(Перечень!$D$6:$D$52,MATCH(H253,Перечень!$A$6:$A$52,0)),12))</f>
        <v>12</v>
      </c>
      <c r="K253" s="40"/>
      <c r="L253" s="40"/>
      <c r="M253" s="37" t="str">
        <f aca="false">IF(AND(K253="",L253=""),"",EDATE(MAX(K253,L253),J253))</f>
        <v/>
      </c>
      <c r="N253" s="41" t="str">
        <f aca="false">IF(C253="","",IFERROR(INDEX(Перечень!$F$6:$F$52,MATCH(H253,Перечень!$A$6:$A$52,0)),""))</f>
        <v>Да</v>
      </c>
      <c r="O253" s="40"/>
      <c r="P253" s="37" t="str">
        <f aca="false">IF(O253="","",EDATE(O253,60))</f>
        <v/>
      </c>
      <c r="Q253" s="41" t="str">
        <f aca="false">IF(AND(K253&lt;&gt;"",F253&lt;&gt;"",K253&gt;F253),"Да","")</f>
        <v/>
      </c>
      <c r="R253" s="41" t="str">
        <f aca="true">IF(C253="","",IF(M253="","Нет сведений",IF(M253&lt;TODAY(),"Просрочен",IF(M253-TODAY()&lt;=30,"Истекает","В срок"))))</f>
        <v>Нет сведений</v>
      </c>
      <c r="S253" s="41" t="str">
        <f aca="false">IF(AND(N253="Да",O253=""),"Не пройдено","")</f>
        <v>Не пройдено</v>
      </c>
    </row>
    <row r="254" customFormat="false" ht="14.25" hidden="false" customHeight="false" outlineLevel="0" collapsed="false">
      <c r="A254" s="35" t="n">
        <f aca="false">IF(C254="","",ROW()-5)</f>
        <v>249</v>
      </c>
      <c r="B254" s="36" t="s">
        <v>106</v>
      </c>
      <c r="C254" s="36" t="s">
        <v>484</v>
      </c>
      <c r="D254" s="36" t="s">
        <v>485</v>
      </c>
      <c r="E254" s="36" t="s">
        <v>486</v>
      </c>
      <c r="F254" s="37" t="n">
        <v>45722</v>
      </c>
      <c r="G254" s="38" t="str">
        <f aca="false">IF(C254="","",IF(TRIM(SUBSTITUTE(SUBSTITUTE(SUBSTITUTE(SUBSTITUTE(SUBSTITUTE(SUBSTITUTE(SUBSTITUTE(SUBSTITUTE(SUBSTITUTE(SUBSTITUTE(SUBSTITUTE(LOWER(TRIM(D254)),"ё","е"),"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категории",""))="инженер",IF(AND(ISNUMBER(SEARCH("техническ",E254)),ISNUMBER(SEARCH("контрол",E254))),"инженер отк",IF(ISNUMBER(SEARCH("диспетч",E254)),"инженер пдо",TRIM(SUBSTITUTE(SUBSTITUTE(SUBSTITUTE(SUBSTITUTE(SUBSTITUTE(SUBSTITUTE(SUBSTITUTE(SUBSTITUTE(SUBSTITUTE(SUBSTITUTE(SUBSTITUTE(LOWER(TRIM(D254)),"ё","е"),"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инженер",IF(ISNUMBER(SEARCH("диспетч",E254)),"ведущий инженер пдо",TRIM(SUBSTITUTE(SUBSTITUTE(SUBSTITUTE(SUBSTITUTE(SUBSTITUTE(SUBSTITUTE(SUBSTITUTE(SUBSTITUTE(SUBSTITUTE(SUBSTITUTE(SUBSTITUTE(LOWER(TRIM(D254)),"ё","е"),"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отк",TRIM(SUBSTITUTE(SUBSTITUTE(SUBSTITUTE(SUBSTITUTE(SUBSTITUTE(SUBSTITUTE(SUBSTITUTE(SUBSTITUTE(SUBSTITUTE(SUBSTITUTE(SUBSTITUTE(LOWER(TRIM(D254)),"ё","е"),"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54" s="35" t="n">
        <f aca="false">IF(C254="","",IF(AND(G254="мастер участка",ISNUMBER(SEARCH("РЭО",E254))),29,IFERROR(INDEX(Соответствие!$B$2:$B$100,MATCH(G254,Соответствие!$A$2:$A$100,0)),"?")))</f>
        <v>19</v>
      </c>
      <c r="I254" s="39" t="str">
        <f aca="false">IF(C254="","",IFERROR(INDEX(Перечень!$C$6:$C$52,MATCH(H254,Перечень!$A$6:$A$52,0)),""))</f>
        <v>п.4.3.1, п.4.3.2, п.4.4, п.5.1, п.6.2, п.15</v>
      </c>
      <c r="J254" s="35" t="n">
        <f aca="false">IF(C254="","",IFERROR(INDEX(Перечень!$D$6:$D$52,MATCH(H254,Перечень!$A$6:$A$52,0)),12))</f>
        <v>12</v>
      </c>
      <c r="K254" s="40" t="n">
        <v>45721</v>
      </c>
      <c r="L254" s="40"/>
      <c r="M254" s="37" t="n">
        <f aca="false">IF(AND(K254="",L254=""),"",EDATE(MAX(K254,L254),J254))</f>
        <v>46086</v>
      </c>
      <c r="N254" s="41" t="str">
        <f aca="false">IF(C254="","",IFERROR(INDEX(Перечень!$F$6:$F$52,MATCH(H254,Перечень!$A$6:$A$52,0)),""))</f>
        <v>-</v>
      </c>
      <c r="O254" s="40"/>
      <c r="P254" s="37" t="str">
        <f aca="false">IF(O254="","",EDATE(O254,60))</f>
        <v/>
      </c>
      <c r="Q254" s="41" t="str">
        <f aca="false">IF(AND(K254&lt;&gt;"",F254&lt;&gt;"",K254&gt;F254),"Да","")</f>
        <v/>
      </c>
      <c r="R254" s="41" t="str">
        <f aca="true">IF(C254="","",IF(M254="","Нет сведений",IF(M254&lt;TODAY(),"Просрочен",IF(M254-TODAY()&lt;=30,"Истекает","В срок"))))</f>
        <v>Просрочен</v>
      </c>
      <c r="S254" s="41" t="str">
        <f aca="false">IF(AND(N254="Да",O254=""),"Не пройдено","")</f>
        <v/>
      </c>
    </row>
    <row r="255" customFormat="false" ht="14.25" hidden="false" customHeight="false" outlineLevel="0" collapsed="false">
      <c r="A255" s="35" t="n">
        <f aca="false">IF(C255="","",ROW()-5)</f>
        <v>250</v>
      </c>
      <c r="B255" s="36" t="s">
        <v>106</v>
      </c>
      <c r="C255" s="36" t="s">
        <v>487</v>
      </c>
      <c r="D255" s="36" t="s">
        <v>485</v>
      </c>
      <c r="E255" s="36" t="s">
        <v>486</v>
      </c>
      <c r="F255" s="37" t="n">
        <v>45797</v>
      </c>
      <c r="G255" s="38" t="str">
        <f aca="false">IF(C255="","",IF(TRIM(SUBSTITUTE(SUBSTITUTE(SUBSTITUTE(SUBSTITUTE(SUBSTITUTE(SUBSTITUTE(SUBSTITUTE(SUBSTITUTE(SUBSTITUTE(SUBSTITUTE(SUBSTITUTE(LOWER(TRIM(D255)),"ё","е"),"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категории",""))="инженер",IF(AND(ISNUMBER(SEARCH("техническ",E255)),ISNUMBER(SEARCH("контрол",E255))),"инженер отк",IF(ISNUMBER(SEARCH("диспетч",E255)),"инженер пдо",TRIM(SUBSTITUTE(SUBSTITUTE(SUBSTITUTE(SUBSTITUTE(SUBSTITUTE(SUBSTITUTE(SUBSTITUTE(SUBSTITUTE(SUBSTITUTE(SUBSTITUTE(SUBSTITUTE(LOWER(TRIM(D255)),"ё","е"),"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инженер",IF(ISNUMBER(SEARCH("диспетч",E255)),"ведущий инженер пдо",TRIM(SUBSTITUTE(SUBSTITUTE(SUBSTITUTE(SUBSTITUTE(SUBSTITUTE(SUBSTITUTE(SUBSTITUTE(SUBSTITUTE(SUBSTITUTE(SUBSTITUTE(SUBSTITUTE(LOWER(TRIM(D255)),"ё","е"),"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отк",TRIM(SUBSTITUTE(SUBSTITUTE(SUBSTITUTE(SUBSTITUTE(SUBSTITUTE(SUBSTITUTE(SUBSTITUTE(SUBSTITUTE(SUBSTITUTE(SUBSTITUTE(SUBSTITUTE(LOWER(TRIM(D255)),"ё","е"),"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55" s="35" t="n">
        <f aca="false">IF(C255="","",IF(AND(G255="мастер участка",ISNUMBER(SEARCH("РЭО",E255))),29,IFERROR(INDEX(Соответствие!$B$2:$B$100,MATCH(G255,Соответствие!$A$2:$A$100,0)),"?")))</f>
        <v>19</v>
      </c>
      <c r="I255" s="39" t="str">
        <f aca="false">IF(C255="","",IFERROR(INDEX(Перечень!$C$6:$C$52,MATCH(H255,Перечень!$A$6:$A$52,0)),""))</f>
        <v>п.4.3.1, п.4.3.2, п.4.4, п.5.1, п.6.2, п.15</v>
      </c>
      <c r="J255" s="35" t="n">
        <f aca="false">IF(C255="","",IFERROR(INDEX(Перечень!$D$6:$D$52,MATCH(H255,Перечень!$A$6:$A$52,0)),12))</f>
        <v>12</v>
      </c>
      <c r="K255" s="40"/>
      <c r="L255" s="40"/>
      <c r="M255" s="37" t="str">
        <f aca="false">IF(AND(K255="",L255=""),"",EDATE(MAX(K255,L255),J255))</f>
        <v/>
      </c>
      <c r="N255" s="41" t="str">
        <f aca="false">IF(C255="","",IFERROR(INDEX(Перечень!$F$6:$F$52,MATCH(H255,Перечень!$A$6:$A$52,0)),""))</f>
        <v>-</v>
      </c>
      <c r="O255" s="40"/>
      <c r="P255" s="37" t="str">
        <f aca="false">IF(O255="","",EDATE(O255,60))</f>
        <v/>
      </c>
      <c r="Q255" s="41" t="str">
        <f aca="false">IF(AND(K255&lt;&gt;"",F255&lt;&gt;"",K255&gt;F255),"Да","")</f>
        <v/>
      </c>
      <c r="R255" s="41" t="str">
        <f aca="true">IF(C255="","",IF(M255="","Нет сведений",IF(M255&lt;TODAY(),"Просрочен",IF(M255-TODAY()&lt;=30,"Истекает","В срок"))))</f>
        <v>Нет сведений</v>
      </c>
      <c r="S255" s="41" t="str">
        <f aca="false">IF(AND(N255="Да",O255=""),"Не пройдено","")</f>
        <v/>
      </c>
    </row>
    <row r="256" customFormat="false" ht="14.25" hidden="false" customHeight="false" outlineLevel="0" collapsed="false">
      <c r="A256" s="35" t="n">
        <f aca="false">IF(C256="","",ROW()-5)</f>
        <v>251</v>
      </c>
      <c r="B256" s="36" t="s">
        <v>106</v>
      </c>
      <c r="C256" s="36" t="s">
        <v>488</v>
      </c>
      <c r="D256" s="36" t="s">
        <v>485</v>
      </c>
      <c r="E256" s="36" t="s">
        <v>486</v>
      </c>
      <c r="F256" s="37" t="n">
        <v>46083</v>
      </c>
      <c r="G256" s="38" t="str">
        <f aca="false">IF(C256="","",IF(TRIM(SUBSTITUTE(SUBSTITUTE(SUBSTITUTE(SUBSTITUTE(SUBSTITUTE(SUBSTITUTE(SUBSTITUTE(SUBSTITUTE(SUBSTITUTE(SUBSTITUTE(SUBSTITUTE(LOWER(TRIM(D256)),"ё","е"),"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категории",""))="инженер",IF(AND(ISNUMBER(SEARCH("техническ",E256)),ISNUMBER(SEARCH("контрол",E256))),"инженер отк",IF(ISNUMBER(SEARCH("диспетч",E256)),"инженер пдо",TRIM(SUBSTITUTE(SUBSTITUTE(SUBSTITUTE(SUBSTITUTE(SUBSTITUTE(SUBSTITUTE(SUBSTITUTE(SUBSTITUTE(SUBSTITUTE(SUBSTITUTE(SUBSTITUTE(LOWER(TRIM(D256)),"ё","е"),"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инженер",IF(ISNUMBER(SEARCH("диспетч",E256)),"ведущий инженер пдо",TRIM(SUBSTITUTE(SUBSTITUTE(SUBSTITUTE(SUBSTITUTE(SUBSTITUTE(SUBSTITUTE(SUBSTITUTE(SUBSTITUTE(SUBSTITUTE(SUBSTITUTE(SUBSTITUTE(LOWER(TRIM(D256)),"ё","е"),"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отк",TRIM(SUBSTITUTE(SUBSTITUTE(SUBSTITUTE(SUBSTITUTE(SUBSTITUTE(SUBSTITUTE(SUBSTITUTE(SUBSTITUTE(SUBSTITUTE(SUBSTITUTE(SUBSTITUTE(LOWER(TRIM(D256)),"ё","е"),"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56" s="35" t="n">
        <f aca="false">IF(C256="","",IF(AND(G256="мастер участка",ISNUMBER(SEARCH("РЭО",E256))),29,IFERROR(INDEX(Соответствие!$B$2:$B$100,MATCH(G256,Соответствие!$A$2:$A$100,0)),"?")))</f>
        <v>19</v>
      </c>
      <c r="I256" s="39" t="str">
        <f aca="false">IF(C256="","",IFERROR(INDEX(Перечень!$C$6:$C$52,MATCH(H256,Перечень!$A$6:$A$52,0)),""))</f>
        <v>п.4.3.1, п.4.3.2, п.4.4, п.5.1, п.6.2, п.15</v>
      </c>
      <c r="J256" s="35" t="n">
        <f aca="false">IF(C256="","",IFERROR(INDEX(Перечень!$D$6:$D$52,MATCH(H256,Перечень!$A$6:$A$52,0)),12))</f>
        <v>12</v>
      </c>
      <c r="K256" s="40" t="n">
        <v>46066</v>
      </c>
      <c r="L256" s="40"/>
      <c r="M256" s="37" t="n">
        <f aca="false">IF(AND(K256="",L256=""),"",EDATE(MAX(K256,L256),J256))</f>
        <v>46431</v>
      </c>
      <c r="N256" s="41" t="str">
        <f aca="false">IF(C256="","",IFERROR(INDEX(Перечень!$F$6:$F$52,MATCH(H256,Перечень!$A$6:$A$52,0)),""))</f>
        <v>-</v>
      </c>
      <c r="O256" s="40"/>
      <c r="P256" s="37" t="str">
        <f aca="false">IF(O256="","",EDATE(O256,60))</f>
        <v/>
      </c>
      <c r="Q256" s="41" t="str">
        <f aca="false">IF(AND(K256&lt;&gt;"",F256&lt;&gt;"",K256&gt;F256),"Да","")</f>
        <v/>
      </c>
      <c r="R256" s="41" t="str">
        <f aca="true">IF(C256="","",IF(M256="","Нет сведений",IF(M256&lt;TODAY(),"Просрочен",IF(M256-TODAY()&lt;=30,"Истекает","В срок"))))</f>
        <v>В срок</v>
      </c>
      <c r="S256" s="41" t="str">
        <f aca="false">IF(AND(N256="Да",O256=""),"Не пройдено","")</f>
        <v/>
      </c>
    </row>
    <row r="257" customFormat="false" ht="14.25" hidden="false" customHeight="false" outlineLevel="0" collapsed="false">
      <c r="A257" s="35" t="n">
        <f aca="false">IF(C257="","",ROW()-5)</f>
        <v>252</v>
      </c>
      <c r="B257" s="36" t="s">
        <v>106</v>
      </c>
      <c r="C257" s="36" t="s">
        <v>489</v>
      </c>
      <c r="D257" s="36" t="s">
        <v>206</v>
      </c>
      <c r="E257" s="36" t="s">
        <v>486</v>
      </c>
      <c r="F257" s="37" t="n">
        <v>46091</v>
      </c>
      <c r="G257" s="38" t="str">
        <f aca="false">IF(C257="","",IF(TRIM(SUBSTITUTE(SUBSTITUTE(SUBSTITUTE(SUBSTITUTE(SUBSTITUTE(SUBSTITUTE(SUBSTITUTE(SUBSTITUTE(SUBSTITUTE(SUBSTITUTE(SUBSTITUTE(LOWER(TRIM(D257)),"ё","е"),"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категории",""))="инженер",IF(AND(ISNUMBER(SEARCH("техническ",E257)),ISNUMBER(SEARCH("контрол",E257))),"инженер отк",IF(ISNUMBER(SEARCH("диспетч",E257)),"инженер пдо",TRIM(SUBSTITUTE(SUBSTITUTE(SUBSTITUTE(SUBSTITUTE(SUBSTITUTE(SUBSTITUTE(SUBSTITUTE(SUBSTITUTE(SUBSTITUTE(SUBSTITUTE(SUBSTITUTE(LOWER(TRIM(D257)),"ё","е"),"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инженер",IF(ISNUMBER(SEARCH("диспетч",E257)),"ведущий инженер пдо",TRIM(SUBSTITUTE(SUBSTITUTE(SUBSTITUTE(SUBSTITUTE(SUBSTITUTE(SUBSTITUTE(SUBSTITUTE(SUBSTITUTE(SUBSTITUTE(SUBSTITUTE(SUBSTITUTE(LOWER(TRIM(D257)),"ё","е"),"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отк",TRIM(SUBSTITUTE(SUBSTITUTE(SUBSTITUTE(SUBSTITUTE(SUBSTITUTE(SUBSTITUTE(SUBSTITUTE(SUBSTITUTE(SUBSTITUTE(SUBSTITUTE(SUBSTITUTE(LOWER(TRIM(D257)),"ё","е")," -","-"),"- ","-")," 2 разряда","")," 3 разряда","")," 4 разряда","")," 5 разряда","")," 6 разряда","")," 1 категории","")," 2 категории","")," 3 категории",""))))))</f>
        <v>кладовщик</v>
      </c>
      <c r="H257" s="35" t="n">
        <f aca="false">IF(C257="","",IF(AND(G257="мастер участка",ISNUMBER(SEARCH("РЭО",E257))),29,IFERROR(INDEX(Соответствие!$B$2:$B$100,MATCH(G257,Соответствие!$A$2:$A$100,0)),"?")))</f>
        <v>14</v>
      </c>
      <c r="I257" s="39" t="str">
        <f aca="false">IF(C257="","",IFERROR(INDEX(Перечень!$C$6:$C$52,MATCH(H257,Перечень!$A$6:$A$52,0)),""))</f>
        <v>п.4.4, п.5.1, п.6.2</v>
      </c>
      <c r="J257" s="35" t="n">
        <f aca="false">IF(C257="","",IFERROR(INDEX(Перечень!$D$6:$D$52,MATCH(H257,Перечень!$A$6:$A$52,0)),12))</f>
        <v>12</v>
      </c>
      <c r="K257" s="40"/>
      <c r="L257" s="40"/>
      <c r="M257" s="37" t="str">
        <f aca="false">IF(AND(K257="",L257=""),"",EDATE(MAX(K257,L257),J257))</f>
        <v/>
      </c>
      <c r="N257" s="41" t="str">
        <f aca="false">IF(C257="","",IFERROR(INDEX(Перечень!$F$6:$F$52,MATCH(H257,Перечень!$A$6:$A$52,0)),""))</f>
        <v>-</v>
      </c>
      <c r="O257" s="40"/>
      <c r="P257" s="37" t="str">
        <f aca="false">IF(O257="","",EDATE(O257,60))</f>
        <v/>
      </c>
      <c r="Q257" s="41" t="str">
        <f aca="false">IF(AND(K257&lt;&gt;"",F257&lt;&gt;"",K257&gt;F257),"Да","")</f>
        <v/>
      </c>
      <c r="R257" s="41" t="str">
        <f aca="true">IF(C257="","",IF(M257="","Нет сведений",IF(M257&lt;TODAY(),"Просрочен",IF(M257-TODAY()&lt;=30,"Истекает","В срок"))))</f>
        <v>Нет сведений</v>
      </c>
      <c r="S257" s="41" t="str">
        <f aca="false">IF(AND(N257="Да",O257=""),"Не пройдено","")</f>
        <v/>
      </c>
    </row>
    <row r="258" customFormat="false" ht="14.25" hidden="false" customHeight="false" outlineLevel="0" collapsed="false">
      <c r="A258" s="35" t="n">
        <f aca="false">IF(C258="","",ROW()-5)</f>
        <v>253</v>
      </c>
      <c r="B258" s="36" t="s">
        <v>106</v>
      </c>
      <c r="C258" s="36" t="s">
        <v>490</v>
      </c>
      <c r="D258" s="36" t="s">
        <v>206</v>
      </c>
      <c r="E258" s="36" t="s">
        <v>486</v>
      </c>
      <c r="F258" s="37" t="n">
        <v>45867</v>
      </c>
      <c r="G258" s="38" t="str">
        <f aca="false">IF(C258="","",IF(TRIM(SUBSTITUTE(SUBSTITUTE(SUBSTITUTE(SUBSTITUTE(SUBSTITUTE(SUBSTITUTE(SUBSTITUTE(SUBSTITUTE(SUBSTITUTE(SUBSTITUTE(SUBSTITUTE(LOWER(TRIM(D258)),"ё","е"),"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категории",""))="инженер",IF(AND(ISNUMBER(SEARCH("техническ",E258)),ISNUMBER(SEARCH("контрол",E258))),"инженер отк",IF(ISNUMBER(SEARCH("диспетч",E258)),"инженер пдо",TRIM(SUBSTITUTE(SUBSTITUTE(SUBSTITUTE(SUBSTITUTE(SUBSTITUTE(SUBSTITUTE(SUBSTITUTE(SUBSTITUTE(SUBSTITUTE(SUBSTITUTE(SUBSTITUTE(LOWER(TRIM(D258)),"ё","е"),"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инженер",IF(ISNUMBER(SEARCH("диспетч",E258)),"ведущий инженер пдо",TRIM(SUBSTITUTE(SUBSTITUTE(SUBSTITUTE(SUBSTITUTE(SUBSTITUTE(SUBSTITUTE(SUBSTITUTE(SUBSTITUTE(SUBSTITUTE(SUBSTITUTE(SUBSTITUTE(LOWER(TRIM(D258)),"ё","е"),"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отк",TRIM(SUBSTITUTE(SUBSTITUTE(SUBSTITUTE(SUBSTITUTE(SUBSTITUTE(SUBSTITUTE(SUBSTITUTE(SUBSTITUTE(SUBSTITUTE(SUBSTITUTE(SUBSTITUTE(LOWER(TRIM(D258)),"ё","е")," -","-"),"- ","-")," 2 разряда","")," 3 разряда","")," 4 разряда","")," 5 разряда","")," 6 разряда","")," 1 категории","")," 2 категории","")," 3 категории",""))))))</f>
        <v>кладовщик</v>
      </c>
      <c r="H258" s="35" t="n">
        <f aca="false">IF(C258="","",IF(AND(G258="мастер участка",ISNUMBER(SEARCH("РЭО",E258))),29,IFERROR(INDEX(Соответствие!$B$2:$B$100,MATCH(G258,Соответствие!$A$2:$A$100,0)),"?")))</f>
        <v>14</v>
      </c>
      <c r="I258" s="39" t="str">
        <f aca="false">IF(C258="","",IFERROR(INDEX(Перечень!$C$6:$C$52,MATCH(H258,Перечень!$A$6:$A$52,0)),""))</f>
        <v>п.4.4, п.5.1, п.6.2</v>
      </c>
      <c r="J258" s="35" t="n">
        <f aca="false">IF(C258="","",IFERROR(INDEX(Перечень!$D$6:$D$52,MATCH(H258,Перечень!$A$6:$A$52,0)),12))</f>
        <v>12</v>
      </c>
      <c r="K258" s="40"/>
      <c r="L258" s="40"/>
      <c r="M258" s="37" t="str">
        <f aca="false">IF(AND(K258="",L258=""),"",EDATE(MAX(K258,L258),J258))</f>
        <v/>
      </c>
      <c r="N258" s="41" t="str">
        <f aca="false">IF(C258="","",IFERROR(INDEX(Перечень!$F$6:$F$52,MATCH(H258,Перечень!$A$6:$A$52,0)),""))</f>
        <v>-</v>
      </c>
      <c r="O258" s="40"/>
      <c r="P258" s="37" t="str">
        <f aca="false">IF(O258="","",EDATE(O258,60))</f>
        <v/>
      </c>
      <c r="Q258" s="41" t="str">
        <f aca="false">IF(AND(K258&lt;&gt;"",F258&lt;&gt;"",K258&gt;F258),"Да","")</f>
        <v/>
      </c>
      <c r="R258" s="41" t="str">
        <f aca="true">IF(C258="","",IF(M258="","Нет сведений",IF(M258&lt;TODAY(),"Просрочен",IF(M258-TODAY()&lt;=30,"Истекает","В срок"))))</f>
        <v>Нет сведений</v>
      </c>
      <c r="S258" s="41" t="str">
        <f aca="false">IF(AND(N258="Да",O258=""),"Не пройдено","")</f>
        <v/>
      </c>
    </row>
    <row r="259" customFormat="false" ht="14.25" hidden="false" customHeight="false" outlineLevel="0" collapsed="false">
      <c r="A259" s="35" t="n">
        <f aca="false">IF(C259="","",ROW()-5)</f>
        <v>254</v>
      </c>
      <c r="B259" s="36" t="s">
        <v>106</v>
      </c>
      <c r="C259" s="36" t="s">
        <v>491</v>
      </c>
      <c r="D259" s="36" t="s">
        <v>258</v>
      </c>
      <c r="E259" s="36" t="s">
        <v>486</v>
      </c>
      <c r="F259" s="37" t="n">
        <v>45497</v>
      </c>
      <c r="G259" s="38" t="str">
        <f aca="false">IF(C259="","",IF(TRIM(SUBSTITUTE(SUBSTITUTE(SUBSTITUTE(SUBSTITUTE(SUBSTITUTE(SUBSTITUTE(SUBSTITUTE(SUBSTITUTE(SUBSTITUTE(SUBSTITUTE(SUBSTITUTE(LOWER(TRIM(D259)),"ё","е"),"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категории",""))="инженер",IF(AND(ISNUMBER(SEARCH("техническ",E259)),ISNUMBER(SEARCH("контрол",E259))),"инженер отк",IF(ISNUMBER(SEARCH("диспетч",E259)),"инженер пдо",TRIM(SUBSTITUTE(SUBSTITUTE(SUBSTITUTE(SUBSTITUTE(SUBSTITUTE(SUBSTITUTE(SUBSTITUTE(SUBSTITUTE(SUBSTITUTE(SUBSTITUTE(SUBSTITUTE(LOWER(TRIM(D259)),"ё","е"),"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категории","")))),IF(TRIM(SUBSTITUTE(SUBSTITUTE(SUBSTITUTE(SUBSTITUTE(SUBSTITUTE(SUBSTITUTE(SUBSTITUTE(SUBSTITUTE(SUBSTITUTE(SUBSTITUTE(SUBSTITUTE(LOWER(TRIM(D259)),"ё","е"),"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инженер",IF(ISNUMBER(SEARCH("диспетч",E259)),"ведущий инженер пдо",TRIM(SUBSTITUTE(SUBSTITUTE(SUBSTITUTE(SUBSTITUTE(SUBSTITUTE(SUBSTITUTE(SUBSTITUTE(SUBSTITUTE(SUBSTITUTE(SUBSTITUTE(SUBSTITUTE(LOWER(TRIM(D259)),"ё","е"),"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категории",""))),IF(TRIM(SUBSTITUTE(SUBSTITUTE(SUBSTITUTE(SUBSTITUTE(SUBSTITUTE(SUBSTITUTE(SUBSTITUTE(SUBSTITUTE(SUBSTITUTE(SUBSTITUTE(SUBSTITUTE(LOWER(TRIM(D259)),"ё","е"),"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отк",TRIM(SUBSTITUTE(SUBSTITUTE(SUBSTITUTE(SUBSTITUTE(SUBSTITUTE(SUBSTITUTE(SUBSTITUTE(SUBSTITUTE(SUBSTITUTE(SUBSTITUTE(SUBSTITUTE(LOWER(TRIM(D259)),"ё","е")," -","-"),"- ","-")," 2 разряда","")," 3 разряда","")," 4 разряда","")," 5 разряда","")," 6 разряда","")," 1 категории","")," 2 категории","")," 3 категории",""))))))</f>
        <v>диспетчер</v>
      </c>
      <c r="H259" s="35" t="n">
        <f aca="false">IF(C259="","",IF(AND(G259="мастер участка",ISNUMBER(SEARCH("РЭО",E259))),29,IFERROR(INDEX(Соответствие!$B$2:$B$100,MATCH(G259,Соответствие!$A$2:$A$100,0)),"?")))</f>
        <v>28</v>
      </c>
      <c r="I259" s="39" t="str">
        <f aca="false">IF(C259="","",IFERROR(INDEX(Перечень!$C$6:$C$52,MATCH(H259,Перечень!$A$6:$A$52,0)),""))</f>
        <v>п.4.4, п.5.2</v>
      </c>
      <c r="J259" s="35" t="n">
        <f aca="false">IF(C259="","",IFERROR(INDEX(Перечень!$D$6:$D$52,MATCH(H259,Перечень!$A$6:$A$52,0)),12))</f>
        <v>12</v>
      </c>
      <c r="K259" s="40"/>
      <c r="L259" s="40"/>
      <c r="M259" s="37" t="str">
        <f aca="false">IF(AND(K259="",L259=""),"",EDATE(MAX(K259,L259),J259))</f>
        <v/>
      </c>
      <c r="N259" s="41" t="str">
        <f aca="false">IF(C259="","",IFERROR(INDEX(Перечень!$F$6:$F$52,MATCH(H259,Перечень!$A$6:$A$52,0)),""))</f>
        <v>-</v>
      </c>
      <c r="O259" s="40"/>
      <c r="P259" s="37" t="str">
        <f aca="false">IF(O259="","",EDATE(O259,60))</f>
        <v/>
      </c>
      <c r="Q259" s="41" t="str">
        <f aca="false">IF(AND(K259&lt;&gt;"",F259&lt;&gt;"",K259&gt;F259),"Да","")</f>
        <v/>
      </c>
      <c r="R259" s="41" t="str">
        <f aca="true">IF(C259="","",IF(M259="","Нет сведений",IF(M259&lt;TODAY(),"Просрочен",IF(M259-TODAY()&lt;=30,"Истекает","В срок"))))</f>
        <v>Нет сведений</v>
      </c>
      <c r="S259" s="41" t="str">
        <f aca="false">IF(AND(N259="Да",O259=""),"Не пройдено","")</f>
        <v/>
      </c>
    </row>
    <row r="260" customFormat="false" ht="14.25" hidden="false" customHeight="false" outlineLevel="0" collapsed="false">
      <c r="A260" s="35" t="n">
        <f aca="false">IF(C260="","",ROW()-5)</f>
        <v>255</v>
      </c>
      <c r="B260" s="36" t="s">
        <v>106</v>
      </c>
      <c r="C260" s="36" t="s">
        <v>492</v>
      </c>
      <c r="D260" s="36" t="s">
        <v>258</v>
      </c>
      <c r="E260" s="36" t="s">
        <v>486</v>
      </c>
      <c r="F260" s="37" t="n">
        <v>46181</v>
      </c>
      <c r="G260" s="38" t="str">
        <f aca="false">IF(C260="","",IF(TRIM(SUBSTITUTE(SUBSTITUTE(SUBSTITUTE(SUBSTITUTE(SUBSTITUTE(SUBSTITUTE(SUBSTITUTE(SUBSTITUTE(SUBSTITUTE(SUBSTITUTE(SUBSTITUTE(LOWER(TRIM(D260)),"ё","е"),"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категории",""))="инженер",IF(AND(ISNUMBER(SEARCH("техническ",E260)),ISNUMBER(SEARCH("контрол",E260))),"инженер отк",IF(ISNUMBER(SEARCH("диспетч",E260)),"инженер пдо",TRIM(SUBSTITUTE(SUBSTITUTE(SUBSTITUTE(SUBSTITUTE(SUBSTITUTE(SUBSTITUTE(SUBSTITUTE(SUBSTITUTE(SUBSTITUTE(SUBSTITUTE(SUBSTITUTE(LOWER(TRIM(D260)),"ё","е"),"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инженер",IF(ISNUMBER(SEARCH("диспетч",E260)),"ведущий инженер пдо",TRIM(SUBSTITUTE(SUBSTITUTE(SUBSTITUTE(SUBSTITUTE(SUBSTITUTE(SUBSTITUTE(SUBSTITUTE(SUBSTITUTE(SUBSTITUTE(SUBSTITUTE(SUBSTITUTE(LOWER(TRIM(D260)),"ё","е"),"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отк",TRIM(SUBSTITUTE(SUBSTITUTE(SUBSTITUTE(SUBSTITUTE(SUBSTITUTE(SUBSTITUTE(SUBSTITUTE(SUBSTITUTE(SUBSTITUTE(SUBSTITUTE(SUBSTITUTE(LOWER(TRIM(D260)),"ё","е")," -","-"),"- ","-")," 2 разряда","")," 3 разряда","")," 4 разряда","")," 5 разряда","")," 6 разряда","")," 1 категории","")," 2 категории","")," 3 категории",""))))))</f>
        <v>диспетчер</v>
      </c>
      <c r="H260" s="35" t="n">
        <f aca="false">IF(C260="","",IF(AND(G260="мастер участка",ISNUMBER(SEARCH("РЭО",E260))),29,IFERROR(INDEX(Соответствие!$B$2:$B$100,MATCH(G260,Соответствие!$A$2:$A$100,0)),"?")))</f>
        <v>28</v>
      </c>
      <c r="I260" s="39" t="str">
        <f aca="false">IF(C260="","",IFERROR(INDEX(Перечень!$C$6:$C$52,MATCH(H260,Перечень!$A$6:$A$52,0)),""))</f>
        <v>п.4.4, п.5.2</v>
      </c>
      <c r="J260" s="35" t="n">
        <f aca="false">IF(C260="","",IFERROR(INDEX(Перечень!$D$6:$D$52,MATCH(H260,Перечень!$A$6:$A$52,0)),12))</f>
        <v>12</v>
      </c>
      <c r="K260" s="40" t="n">
        <v>46174</v>
      </c>
      <c r="L260" s="40"/>
      <c r="M260" s="37" t="n">
        <f aca="false">IF(AND(K260="",L260=""),"",EDATE(MAX(K260,L260),J260))</f>
        <v>46539</v>
      </c>
      <c r="N260" s="41" t="str">
        <f aca="false">IF(C260="","",IFERROR(INDEX(Перечень!$F$6:$F$52,MATCH(H260,Перечень!$A$6:$A$52,0)),""))</f>
        <v>-</v>
      </c>
      <c r="O260" s="40"/>
      <c r="P260" s="37" t="str">
        <f aca="false">IF(O260="","",EDATE(O260,60))</f>
        <v/>
      </c>
      <c r="Q260" s="41" t="str">
        <f aca="false">IF(AND(K260&lt;&gt;"",F260&lt;&gt;"",K260&gt;F260),"Да","")</f>
        <v/>
      </c>
      <c r="R260" s="41" t="str">
        <f aca="true">IF(C260="","",IF(M260="","Нет сведений",IF(M260&lt;TODAY(),"Просрочен",IF(M260-TODAY()&lt;=30,"Истекает","В срок"))))</f>
        <v>В срок</v>
      </c>
      <c r="S260" s="41" t="str">
        <f aca="false">IF(AND(N260="Да",O260=""),"Не пройдено","")</f>
        <v/>
      </c>
    </row>
    <row r="261" customFormat="false" ht="14.25" hidden="false" customHeight="false" outlineLevel="0" collapsed="false">
      <c r="A261" s="35" t="n">
        <f aca="false">IF(C261="","",ROW()-5)</f>
        <v>256</v>
      </c>
      <c r="B261" s="36" t="s">
        <v>106</v>
      </c>
      <c r="C261" s="36" t="s">
        <v>493</v>
      </c>
      <c r="D261" s="36" t="s">
        <v>160</v>
      </c>
      <c r="E261" s="36" t="s">
        <v>486</v>
      </c>
      <c r="F261" s="37" t="n">
        <v>45968</v>
      </c>
      <c r="G261" s="38" t="str">
        <f aca="false">IF(C261="","",IF(TRIM(SUBSTITUTE(SUBSTITUTE(SUBSTITUTE(SUBSTITUTE(SUBSTITUTE(SUBSTITUTE(SUBSTITUTE(SUBSTITUTE(SUBSTITUTE(SUBSTITUTE(SUBSTITUTE(LOWER(TRIM(D261)),"ё","е"),"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категории",""))="инженер",IF(AND(ISNUMBER(SEARCH("техническ",E261)),ISNUMBER(SEARCH("контрол",E261))),"инженер отк",IF(ISNUMBER(SEARCH("диспетч",E261)),"инженер пдо",TRIM(SUBSTITUTE(SUBSTITUTE(SUBSTITUTE(SUBSTITUTE(SUBSTITUTE(SUBSTITUTE(SUBSTITUTE(SUBSTITUTE(SUBSTITUTE(SUBSTITUTE(SUBSTITUTE(LOWER(TRIM(D261)),"ё","е"),"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инженер",IF(ISNUMBER(SEARCH("диспетч",E261)),"ведущий инженер пдо",TRIM(SUBSTITUTE(SUBSTITUTE(SUBSTITUTE(SUBSTITUTE(SUBSTITUTE(SUBSTITUTE(SUBSTITUTE(SUBSTITUTE(SUBSTITUTE(SUBSTITUTE(SUBSTITUTE(LOWER(TRIM(D261)),"ё","е"),"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отк",TRIM(SUBSTITUTE(SUBSTITUTE(SUBSTITUTE(SUBSTITUTE(SUBSTITUTE(SUBSTITUTE(SUBSTITUTE(SUBSTITUTE(SUBSTITUTE(SUBSTITUTE(SUBSTITUTE(LOWER(TRIM(D261)),"ё","е"),"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261" s="35" t="n">
        <f aca="false">IF(C261="","",IF(AND(G261="мастер участка",ISNUMBER(SEARCH("РЭО",E261))),29,IFERROR(INDEX(Соответствие!$B$2:$B$100,MATCH(G261,Соответствие!$A$2:$A$100,0)),"?")))</f>
        <v>20</v>
      </c>
      <c r="I261" s="39" t="str">
        <f aca="false">IF(C261="","",IFERROR(INDEX(Перечень!$C$6:$C$52,MATCH(H261,Перечень!$A$6:$A$52,0)),""))</f>
        <v>п.4.3.1, п.4.3.2, п.4.4, п.4.9, п.5.1, п.5.2, п.6.2, п.9</v>
      </c>
      <c r="J261" s="35" t="n">
        <f aca="false">IF(C261="","",IFERROR(INDEX(Перечень!$D$6:$D$52,MATCH(H261,Перечень!$A$6:$A$52,0)),12))</f>
        <v>12</v>
      </c>
      <c r="K261" s="40" t="n">
        <v>45951</v>
      </c>
      <c r="L261" s="40"/>
      <c r="M261" s="37" t="n">
        <f aca="false">IF(AND(K261="",L261=""),"",EDATE(MAX(K261,L261),J261))</f>
        <v>46316</v>
      </c>
      <c r="N261" s="41" t="str">
        <f aca="false">IF(C261="","",IFERROR(INDEX(Перечень!$F$6:$F$52,MATCH(H261,Перечень!$A$6:$A$52,0)),""))</f>
        <v>Да</v>
      </c>
      <c r="O261" s="40"/>
      <c r="P261" s="37" t="str">
        <f aca="false">IF(O261="","",EDATE(O261,60))</f>
        <v/>
      </c>
      <c r="Q261" s="41" t="str">
        <f aca="false">IF(AND(K261&lt;&gt;"",F261&lt;&gt;"",K261&gt;F261),"Да","")</f>
        <v/>
      </c>
      <c r="R261" s="41" t="str">
        <f aca="true">IF(C261="","",IF(M261="","Нет сведений",IF(M261&lt;TODAY(),"Просрочен",IF(M261-TODAY()&lt;=30,"Истекает","В срок"))))</f>
        <v>Истекает</v>
      </c>
      <c r="S261" s="41" t="str">
        <f aca="false">IF(AND(N261="Да",O261=""),"Не пройдено","")</f>
        <v>Не пройдено</v>
      </c>
    </row>
    <row r="262" customFormat="false" ht="14.25" hidden="false" customHeight="false" outlineLevel="0" collapsed="false">
      <c r="A262" s="35" t="n">
        <f aca="false">IF(C262="","",ROW()-5)</f>
        <v>257</v>
      </c>
      <c r="B262" s="36" t="s">
        <v>106</v>
      </c>
      <c r="C262" s="36" t="s">
        <v>494</v>
      </c>
      <c r="D262" s="36" t="s">
        <v>162</v>
      </c>
      <c r="E262" s="36" t="s">
        <v>486</v>
      </c>
      <c r="F262" s="37" t="n">
        <v>45509</v>
      </c>
      <c r="G262" s="38" t="str">
        <f aca="false">IF(C262="","",IF(TRIM(SUBSTITUTE(SUBSTITUTE(SUBSTITUTE(SUBSTITUTE(SUBSTITUTE(SUBSTITUTE(SUBSTITUTE(SUBSTITUTE(SUBSTITUTE(SUBSTITUTE(SUBSTITUTE(LOWER(TRIM(D262)),"ё","е"),"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категории",""))="инженер",IF(AND(ISNUMBER(SEARCH("техническ",E262)),ISNUMBER(SEARCH("контрол",E262))),"инженер отк",IF(ISNUMBER(SEARCH("диспетч",E262)),"инженер пдо",TRIM(SUBSTITUTE(SUBSTITUTE(SUBSTITUTE(SUBSTITUTE(SUBSTITUTE(SUBSTITUTE(SUBSTITUTE(SUBSTITUTE(SUBSTITUTE(SUBSTITUTE(SUBSTITUTE(LOWER(TRIM(D262)),"ё","е"),"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инженер",IF(ISNUMBER(SEARCH("диспетч",E262)),"ведущий инженер пдо",TRIM(SUBSTITUTE(SUBSTITUTE(SUBSTITUTE(SUBSTITUTE(SUBSTITUTE(SUBSTITUTE(SUBSTITUTE(SUBSTITUTE(SUBSTITUTE(SUBSTITUTE(SUBSTITUTE(LOWER(TRIM(D262)),"ё","е"),"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отк",TRIM(SUBSTITUTE(SUBSTITUTE(SUBSTITUTE(SUBSTITUTE(SUBSTITUTE(SUBSTITUTE(SUBSTITUTE(SUBSTITUTE(SUBSTITUTE(SUBSTITUTE(SUBSTITUTE(LOWER(TRIM(D262)),"ё","е"),"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262" s="35" t="n">
        <f aca="false">IF(C262="","",IF(AND(G262="мастер участка",ISNUMBER(SEARCH("РЭО",E262))),29,IFERROR(INDEX(Соответствие!$B$2:$B$100,MATCH(G262,Соответствие!$A$2:$A$100,0)),"?")))</f>
        <v>20</v>
      </c>
      <c r="I262" s="39" t="str">
        <f aca="false">IF(C262="","",IFERROR(INDEX(Перечень!$C$6:$C$52,MATCH(H262,Перечень!$A$6:$A$52,0)),""))</f>
        <v>п.4.3.1, п.4.3.2, п.4.4, п.4.9, п.5.1, п.5.2, п.6.2, п.9</v>
      </c>
      <c r="J262" s="35" t="n">
        <f aca="false">IF(C262="","",IFERROR(INDEX(Перечень!$D$6:$D$52,MATCH(H262,Перечень!$A$6:$A$52,0)),12))</f>
        <v>12</v>
      </c>
      <c r="K262" s="40" t="n">
        <v>45496</v>
      </c>
      <c r="L262" s="40"/>
      <c r="M262" s="37" t="n">
        <f aca="false">IF(AND(K262="",L262=""),"",EDATE(MAX(K262,L262),J262))</f>
        <v>45861</v>
      </c>
      <c r="N262" s="41" t="str">
        <f aca="false">IF(C262="","",IFERROR(INDEX(Перечень!$F$6:$F$52,MATCH(H262,Перечень!$A$6:$A$52,0)),""))</f>
        <v>Да</v>
      </c>
      <c r="O262" s="40"/>
      <c r="P262" s="37" t="str">
        <f aca="false">IF(O262="","",EDATE(O262,60))</f>
        <v/>
      </c>
      <c r="Q262" s="41" t="str">
        <f aca="false">IF(AND(K262&lt;&gt;"",F262&lt;&gt;"",K262&gt;F262),"Да","")</f>
        <v/>
      </c>
      <c r="R262" s="41" t="str">
        <f aca="true">IF(C262="","",IF(M262="","Нет сведений",IF(M262&lt;TODAY(),"Просрочен",IF(M262-TODAY()&lt;=30,"Истекает","В срок"))))</f>
        <v>Просрочен</v>
      </c>
      <c r="S262" s="41" t="str">
        <f aca="false">IF(AND(N262="Да",O262=""),"Не пройдено","")</f>
        <v>Не пройдено</v>
      </c>
    </row>
    <row r="263" customFormat="false" ht="14.25" hidden="false" customHeight="false" outlineLevel="0" collapsed="false">
      <c r="A263" s="35" t="n">
        <f aca="false">IF(C263="","",ROW()-5)</f>
        <v>258</v>
      </c>
      <c r="B263" s="36" t="s">
        <v>106</v>
      </c>
      <c r="C263" s="36" t="s">
        <v>495</v>
      </c>
      <c r="D263" s="36" t="s">
        <v>162</v>
      </c>
      <c r="E263" s="36" t="s">
        <v>486</v>
      </c>
      <c r="F263" s="37" t="n">
        <v>45506</v>
      </c>
      <c r="G263" s="38" t="str">
        <f aca="false">IF(C263="","",IF(TRIM(SUBSTITUTE(SUBSTITUTE(SUBSTITUTE(SUBSTITUTE(SUBSTITUTE(SUBSTITUTE(SUBSTITUTE(SUBSTITUTE(SUBSTITUTE(SUBSTITUTE(SUBSTITUTE(LOWER(TRIM(D263)),"ё","е"),"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категории",""))="инженер",IF(AND(ISNUMBER(SEARCH("техническ",E263)),ISNUMBER(SEARCH("контрол",E263))),"инженер отк",IF(ISNUMBER(SEARCH("диспетч",E263)),"инженер пдо",TRIM(SUBSTITUTE(SUBSTITUTE(SUBSTITUTE(SUBSTITUTE(SUBSTITUTE(SUBSTITUTE(SUBSTITUTE(SUBSTITUTE(SUBSTITUTE(SUBSTITUTE(SUBSTITUTE(LOWER(TRIM(D263)),"ё","е"),"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инженер",IF(ISNUMBER(SEARCH("диспетч",E263)),"ведущий инженер пдо",TRIM(SUBSTITUTE(SUBSTITUTE(SUBSTITUTE(SUBSTITUTE(SUBSTITUTE(SUBSTITUTE(SUBSTITUTE(SUBSTITUTE(SUBSTITUTE(SUBSTITUTE(SUBSTITUTE(LOWER(TRIM(D263)),"ё","е"),"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отк",TRIM(SUBSTITUTE(SUBSTITUTE(SUBSTITUTE(SUBSTITUTE(SUBSTITUTE(SUBSTITUTE(SUBSTITUTE(SUBSTITUTE(SUBSTITUTE(SUBSTITUTE(SUBSTITUTE(LOWER(TRIM(D263)),"ё","е"),"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263" s="35" t="n">
        <f aca="false">IF(C263="","",IF(AND(G263="мастер участка",ISNUMBER(SEARCH("РЭО",E263))),29,IFERROR(INDEX(Соответствие!$B$2:$B$100,MATCH(G263,Соответствие!$A$2:$A$100,0)),"?")))</f>
        <v>20</v>
      </c>
      <c r="I263" s="39" t="str">
        <f aca="false">IF(C263="","",IFERROR(INDEX(Перечень!$C$6:$C$52,MATCH(H263,Перечень!$A$6:$A$52,0)),""))</f>
        <v>п.4.3.1, п.4.3.2, п.4.4, п.4.9, п.5.1, п.5.2, п.6.2, п.9</v>
      </c>
      <c r="J263" s="35" t="n">
        <f aca="false">IF(C263="","",IFERROR(INDEX(Перечень!$D$6:$D$52,MATCH(H263,Перечень!$A$6:$A$52,0)),12))</f>
        <v>12</v>
      </c>
      <c r="K263" s="40" t="n">
        <v>45503</v>
      </c>
      <c r="L263" s="40"/>
      <c r="M263" s="37" t="n">
        <f aca="false">IF(AND(K263="",L263=""),"",EDATE(MAX(K263,L263),J263))</f>
        <v>45868</v>
      </c>
      <c r="N263" s="41" t="str">
        <f aca="false">IF(C263="","",IFERROR(INDEX(Перечень!$F$6:$F$52,MATCH(H263,Перечень!$A$6:$A$52,0)),""))</f>
        <v>Да</v>
      </c>
      <c r="O263" s="40"/>
      <c r="P263" s="37" t="str">
        <f aca="false">IF(O263="","",EDATE(O263,60))</f>
        <v/>
      </c>
      <c r="Q263" s="41" t="str">
        <f aca="false">IF(AND(K263&lt;&gt;"",F263&lt;&gt;"",K263&gt;F263),"Да","")</f>
        <v/>
      </c>
      <c r="R263" s="41" t="str">
        <f aca="true">IF(C263="","",IF(M263="","Нет сведений",IF(M263&lt;TODAY(),"Просрочен",IF(M263-TODAY()&lt;=30,"Истекает","В срок"))))</f>
        <v>Просрочен</v>
      </c>
      <c r="S263" s="41" t="str">
        <f aca="false">IF(AND(N263="Да",O263=""),"Не пройдено","")</f>
        <v>Не пройдено</v>
      </c>
    </row>
    <row r="264" customFormat="false" ht="14.25" hidden="false" customHeight="false" outlineLevel="0" collapsed="false">
      <c r="A264" s="35" t="n">
        <f aca="false">IF(C264="","",ROW()-5)</f>
        <v>259</v>
      </c>
      <c r="B264" s="36" t="s">
        <v>106</v>
      </c>
      <c r="C264" s="36" t="s">
        <v>496</v>
      </c>
      <c r="D264" s="36" t="s">
        <v>164</v>
      </c>
      <c r="E264" s="36" t="s">
        <v>486</v>
      </c>
      <c r="F264" s="37" t="n">
        <v>39730</v>
      </c>
      <c r="G264" s="38" t="str">
        <f aca="false">IF(C264="","",IF(TRIM(SUBSTITUTE(SUBSTITUTE(SUBSTITUTE(SUBSTITUTE(SUBSTITUTE(SUBSTITUTE(SUBSTITUTE(SUBSTITUTE(SUBSTITUTE(SUBSTITUTE(SUBSTITUTE(LOWER(TRIM(D264)),"ё","е"),"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категории",""))="инженер",IF(AND(ISNUMBER(SEARCH("техническ",E264)),ISNUMBER(SEARCH("контрол",E264))),"инженер отк",IF(ISNUMBER(SEARCH("диспетч",E264)),"инженер пдо",TRIM(SUBSTITUTE(SUBSTITUTE(SUBSTITUTE(SUBSTITUTE(SUBSTITUTE(SUBSTITUTE(SUBSTITUTE(SUBSTITUTE(SUBSTITUTE(SUBSTITUTE(SUBSTITUTE(LOWER(TRIM(D264)),"ё","е"),"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инженер",IF(ISNUMBER(SEARCH("диспетч",E264)),"ведущий инженер пдо",TRIM(SUBSTITUTE(SUBSTITUTE(SUBSTITUTE(SUBSTITUTE(SUBSTITUTE(SUBSTITUTE(SUBSTITUTE(SUBSTITUTE(SUBSTITUTE(SUBSTITUTE(SUBSTITUTE(LOWER(TRIM(D264)),"ё","е"),"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отк",TRIM(SUBSTITUTE(SUBSTITUTE(SUBSTITUTE(SUBSTITUTE(SUBSTITUTE(SUBSTITUTE(SUBSTITUTE(SUBSTITUTE(SUBSTITUTE(SUBSTITUTE(SUBSTITUTE(LOWER(TRIM(D264)),"ё","е"),"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64" s="35" t="n">
        <f aca="false">IF(C264="","",IF(AND(G264="мастер участка",ISNUMBER(SEARCH("РЭО",E264))),29,IFERROR(INDEX(Соответствие!$B$2:$B$100,MATCH(G264,Соответствие!$A$2:$A$100,0)),"?")))</f>
        <v>19</v>
      </c>
      <c r="I264" s="39" t="str">
        <f aca="false">IF(C264="","",IFERROR(INDEX(Перечень!$C$6:$C$52,MATCH(H264,Перечень!$A$6:$A$52,0)),""))</f>
        <v>п.4.3.1, п.4.3.2, п.4.4, п.5.1, п.6.2, п.15</v>
      </c>
      <c r="J264" s="35" t="n">
        <f aca="false">IF(C264="","",IFERROR(INDEX(Перечень!$D$6:$D$52,MATCH(H264,Перечень!$A$6:$A$52,0)),12))</f>
        <v>12</v>
      </c>
      <c r="K264" s="40"/>
      <c r="L264" s="40"/>
      <c r="M264" s="37" t="str">
        <f aca="false">IF(AND(K264="",L264=""),"",EDATE(MAX(K264,L264),J264))</f>
        <v/>
      </c>
      <c r="N264" s="41" t="str">
        <f aca="false">IF(C264="","",IFERROR(INDEX(Перечень!$F$6:$F$52,MATCH(H264,Перечень!$A$6:$A$52,0)),""))</f>
        <v>-</v>
      </c>
      <c r="O264" s="40"/>
      <c r="P264" s="37" t="str">
        <f aca="false">IF(O264="","",EDATE(O264,60))</f>
        <v/>
      </c>
      <c r="Q264" s="41" t="str">
        <f aca="false">IF(AND(K264&lt;&gt;"",F264&lt;&gt;"",K264&gt;F264),"Да","")</f>
        <v/>
      </c>
      <c r="R264" s="41" t="str">
        <f aca="true">IF(C264="","",IF(M264="","Нет сведений",IF(M264&lt;TODAY(),"Просрочен",IF(M264-TODAY()&lt;=30,"Истекает","В срок"))))</f>
        <v>Нет сведений</v>
      </c>
      <c r="S264" s="41" t="str">
        <f aca="false">IF(AND(N264="Да",O264=""),"Не пройдено","")</f>
        <v/>
      </c>
    </row>
    <row r="265" customFormat="false" ht="14.25" hidden="false" customHeight="false" outlineLevel="0" collapsed="false">
      <c r="A265" s="35" t="n">
        <f aca="false">IF(C265="","",ROW()-5)</f>
        <v>260</v>
      </c>
      <c r="B265" s="36" t="s">
        <v>106</v>
      </c>
      <c r="C265" s="36" t="s">
        <v>497</v>
      </c>
      <c r="D265" s="36" t="s">
        <v>498</v>
      </c>
      <c r="E265" s="36" t="s">
        <v>486</v>
      </c>
      <c r="F265" s="37" t="n">
        <v>45853</v>
      </c>
      <c r="G265" s="38" t="str">
        <f aca="false">IF(C265="","",IF(TRIM(SUBSTITUTE(SUBSTITUTE(SUBSTITUTE(SUBSTITUTE(SUBSTITUTE(SUBSTITUTE(SUBSTITUTE(SUBSTITUTE(SUBSTITUTE(SUBSTITUTE(SUBSTITUTE(LOWER(TRIM(D265)),"ё","е"),"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категории",""))="инженер",IF(AND(ISNUMBER(SEARCH("техническ",E265)),ISNUMBER(SEARCH("контрол",E265))),"инженер отк",IF(ISNUMBER(SEARCH("диспетч",E265)),"инженер пдо",TRIM(SUBSTITUTE(SUBSTITUTE(SUBSTITUTE(SUBSTITUTE(SUBSTITUTE(SUBSTITUTE(SUBSTITUTE(SUBSTITUTE(SUBSTITUTE(SUBSTITUTE(SUBSTITUTE(LOWER(TRIM(D265)),"ё","е"),"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инженер",IF(ISNUMBER(SEARCH("диспетч",E265)),"ведущий инженер пдо",TRIM(SUBSTITUTE(SUBSTITUTE(SUBSTITUTE(SUBSTITUTE(SUBSTITUTE(SUBSTITUTE(SUBSTITUTE(SUBSTITUTE(SUBSTITUTE(SUBSTITUTE(SUBSTITUTE(LOWER(TRIM(D265)),"ё","е"),"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отк",TRIM(SUBSTITUTE(SUBSTITUTE(SUBSTITUTE(SUBSTITUTE(SUBSTITUTE(SUBSTITUTE(SUBSTITUTE(SUBSTITUTE(SUBSTITUTE(SUBSTITUTE(SUBSTITUTE(LOWER(TRIM(D265)),"ё","е")," -","-"),"- ","-")," 2 разряда","")," 3 разряда","")," 4 разряда","")," 5 разряда","")," 6 разряда","")," 1 категории","")," 2 категории","")," 3 категории",""))))))</f>
        <v>мастер электромонтажного участка</v>
      </c>
      <c r="H265" s="35" t="n">
        <f aca="false">IF(C265="","",IF(AND(G265="мастер участка",ISNUMBER(SEARCH("РЭО",E265))),29,IFERROR(INDEX(Соответствие!$B$2:$B$100,MATCH(G265,Соответствие!$A$2:$A$100,0)),"?")))</f>
        <v>29</v>
      </c>
      <c r="I265" s="39" t="str">
        <f aca="false">IF(C265="","",IFERROR(INDEX(Перечень!$C$6:$C$52,MATCH(H265,Перечень!$A$6:$A$52,0)),""))</f>
        <v>п.4.3.1, п.4.3.2, п.4.4, п.4.9, п.5.1, п.5.2, п.6.2, п.9</v>
      </c>
      <c r="J265" s="35" t="n">
        <f aca="false">IF(C265="","",IFERROR(INDEX(Перечень!$D$6:$D$52,MATCH(H265,Перечень!$A$6:$A$52,0)),12))</f>
        <v>12</v>
      </c>
      <c r="K265" s="40"/>
      <c r="L265" s="40"/>
      <c r="M265" s="37" t="str">
        <f aca="false">IF(AND(K265="",L265=""),"",EDATE(MAX(K265,L265),J265))</f>
        <v/>
      </c>
      <c r="N265" s="41" t="str">
        <f aca="false">IF(C265="","",IFERROR(INDEX(Перечень!$F$6:$F$52,MATCH(H265,Перечень!$A$6:$A$52,0)),""))</f>
        <v>Да</v>
      </c>
      <c r="O265" s="40"/>
      <c r="P265" s="37" t="str">
        <f aca="false">IF(O265="","",EDATE(O265,60))</f>
        <v/>
      </c>
      <c r="Q265" s="41" t="str">
        <f aca="false">IF(AND(K265&lt;&gt;"",F265&lt;&gt;"",K265&gt;F265),"Да","")</f>
        <v/>
      </c>
      <c r="R265" s="41" t="str">
        <f aca="true">IF(C265="","",IF(M265="","Нет сведений",IF(M265&lt;TODAY(),"Просрочен",IF(M265-TODAY()&lt;=30,"Истекает","В срок"))))</f>
        <v>Нет сведений</v>
      </c>
      <c r="S265" s="41" t="str">
        <f aca="false">IF(AND(N265="Да",O265=""),"Не пройдено","")</f>
        <v>Не пройдено</v>
      </c>
    </row>
    <row r="266" customFormat="false" ht="14.25" hidden="false" customHeight="false" outlineLevel="0" collapsed="false">
      <c r="A266" s="35" t="n">
        <f aca="false">IF(C266="","",ROW()-5)</f>
        <v>261</v>
      </c>
      <c r="B266" s="36" t="s">
        <v>106</v>
      </c>
      <c r="C266" s="36" t="s">
        <v>499</v>
      </c>
      <c r="D266" s="36" t="s">
        <v>500</v>
      </c>
      <c r="E266" s="36" t="s">
        <v>486</v>
      </c>
      <c r="F266" s="37" t="n">
        <v>46125</v>
      </c>
      <c r="G266" s="38" t="str">
        <f aca="false">IF(C266="","",IF(TRIM(SUBSTITUTE(SUBSTITUTE(SUBSTITUTE(SUBSTITUTE(SUBSTITUTE(SUBSTITUTE(SUBSTITUTE(SUBSTITUTE(SUBSTITUTE(SUBSTITUTE(SUBSTITUTE(LOWER(TRIM(D266)),"ё","е"),"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категории",""))="инженер",IF(AND(ISNUMBER(SEARCH("техническ",E266)),ISNUMBER(SEARCH("контрол",E266))),"инженер отк",IF(ISNUMBER(SEARCH("диспетч",E266)),"инженер пдо",TRIM(SUBSTITUTE(SUBSTITUTE(SUBSTITUTE(SUBSTITUTE(SUBSTITUTE(SUBSTITUTE(SUBSTITUTE(SUBSTITUTE(SUBSTITUTE(SUBSTITUTE(SUBSTITUTE(LOWER(TRIM(D266)),"ё","е"),"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инженер",IF(ISNUMBER(SEARCH("диспетч",E266)),"ведущий инженер пдо",TRIM(SUBSTITUTE(SUBSTITUTE(SUBSTITUTE(SUBSTITUTE(SUBSTITUTE(SUBSTITUTE(SUBSTITUTE(SUBSTITUTE(SUBSTITUTE(SUBSTITUTE(SUBSTITUTE(LOWER(TRIM(D266)),"ё","е"),"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отк",TRIM(SUBSTITUTE(SUBSTITUTE(SUBSTITUTE(SUBSTITUTE(SUBSTITUTE(SUBSTITUTE(SUBSTITUTE(SUBSTITUTE(SUBSTITUTE(SUBSTITUTE(SUBSTITUTE(LOWER(TRIM(D266)),"ё","е"),"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266" s="35" t="n">
        <f aca="false">IF(C266="","",IF(AND(G266="мастер участка",ISNUMBER(SEARCH("РЭО",E266))),29,IFERROR(INDEX(Соответствие!$B$2:$B$100,MATCH(G266,Соответствие!$A$2:$A$100,0)),"?")))</f>
        <v>20</v>
      </c>
      <c r="I266" s="39" t="str">
        <f aca="false">IF(C266="","",IFERROR(INDEX(Перечень!$C$6:$C$52,MATCH(H266,Перечень!$A$6:$A$52,0)),""))</f>
        <v>п.4.3.1, п.4.3.2, п.4.4, п.4.9, п.5.1, п.5.2, п.6.2, п.9</v>
      </c>
      <c r="J266" s="35" t="n">
        <f aca="false">IF(C266="","",IFERROR(INDEX(Перечень!$D$6:$D$52,MATCH(H266,Перечень!$A$6:$A$52,0)),12))</f>
        <v>12</v>
      </c>
      <c r="K266" s="40"/>
      <c r="L266" s="40"/>
      <c r="M266" s="37" t="str">
        <f aca="false">IF(AND(K266="",L266=""),"",EDATE(MAX(K266,L266),J266))</f>
        <v/>
      </c>
      <c r="N266" s="41" t="str">
        <f aca="false">IF(C266="","",IFERROR(INDEX(Перечень!$F$6:$F$52,MATCH(H266,Перечень!$A$6:$A$52,0)),""))</f>
        <v>Да</v>
      </c>
      <c r="O266" s="40"/>
      <c r="P266" s="37" t="str">
        <f aca="false">IF(O266="","",EDATE(O266,60))</f>
        <v/>
      </c>
      <c r="Q266" s="41" t="str">
        <f aca="false">IF(AND(K266&lt;&gt;"",F266&lt;&gt;"",K266&gt;F266),"Да","")</f>
        <v/>
      </c>
      <c r="R266" s="41" t="str">
        <f aca="true">IF(C266="","",IF(M266="","Нет сведений",IF(M266&lt;TODAY(),"Просрочен",IF(M266-TODAY()&lt;=30,"Истекает","В срок"))))</f>
        <v>Нет сведений</v>
      </c>
      <c r="S266" s="41" t="str">
        <f aca="false">IF(AND(N266="Да",O266=""),"Не пройдено","")</f>
        <v>Не пройдено</v>
      </c>
    </row>
    <row r="267" customFormat="false" ht="14.25" hidden="false" customHeight="false" outlineLevel="0" collapsed="false">
      <c r="A267" s="35" t="n">
        <f aca="false">IF(C267="","",ROW()-5)</f>
        <v>262</v>
      </c>
      <c r="B267" s="36" t="s">
        <v>106</v>
      </c>
      <c r="C267" s="36" t="s">
        <v>501</v>
      </c>
      <c r="D267" s="36" t="s">
        <v>500</v>
      </c>
      <c r="E267" s="36" t="s">
        <v>486</v>
      </c>
      <c r="F267" s="37" t="n">
        <v>45968</v>
      </c>
      <c r="G267" s="38" t="str">
        <f aca="false">IF(C267="","",IF(TRIM(SUBSTITUTE(SUBSTITUTE(SUBSTITUTE(SUBSTITUTE(SUBSTITUTE(SUBSTITUTE(SUBSTITUTE(SUBSTITUTE(SUBSTITUTE(SUBSTITUTE(SUBSTITUTE(LOWER(TRIM(D267)),"ё","е"),"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категории",""))="инженер",IF(AND(ISNUMBER(SEARCH("техническ",E267)),ISNUMBER(SEARCH("контрол",E267))),"инженер отк",IF(ISNUMBER(SEARCH("диспетч",E267)),"инженер пдо",TRIM(SUBSTITUTE(SUBSTITUTE(SUBSTITUTE(SUBSTITUTE(SUBSTITUTE(SUBSTITUTE(SUBSTITUTE(SUBSTITUTE(SUBSTITUTE(SUBSTITUTE(SUBSTITUTE(LOWER(TRIM(D267)),"ё","е"),"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инженер",IF(ISNUMBER(SEARCH("диспетч",E267)),"ведущий инженер пдо",TRIM(SUBSTITUTE(SUBSTITUTE(SUBSTITUTE(SUBSTITUTE(SUBSTITUTE(SUBSTITUTE(SUBSTITUTE(SUBSTITUTE(SUBSTITUTE(SUBSTITUTE(SUBSTITUTE(LOWER(TRIM(D267)),"ё","е"),"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отк",TRIM(SUBSTITUTE(SUBSTITUTE(SUBSTITUTE(SUBSTITUTE(SUBSTITUTE(SUBSTITUTE(SUBSTITUTE(SUBSTITUTE(SUBSTITUTE(SUBSTITUTE(SUBSTITUTE(LOWER(TRIM(D267)),"ё","е"),"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267" s="35" t="n">
        <f aca="false">IF(C267="","",IF(AND(G267="мастер участка",ISNUMBER(SEARCH("РЭО",E267))),29,IFERROR(INDEX(Соответствие!$B$2:$B$100,MATCH(G267,Соответствие!$A$2:$A$100,0)),"?")))</f>
        <v>20</v>
      </c>
      <c r="I267" s="39" t="str">
        <f aca="false">IF(C267="","",IFERROR(INDEX(Перечень!$C$6:$C$52,MATCH(H267,Перечень!$A$6:$A$52,0)),""))</f>
        <v>п.4.3.1, п.4.3.2, п.4.4, п.4.9, п.5.1, п.5.2, п.6.2, п.9</v>
      </c>
      <c r="J267" s="35" t="n">
        <f aca="false">IF(C267="","",IFERROR(INDEX(Перечень!$D$6:$D$52,MATCH(H267,Перечень!$A$6:$A$52,0)),12))</f>
        <v>12</v>
      </c>
      <c r="K267" s="40" t="n">
        <v>45966</v>
      </c>
      <c r="L267" s="40"/>
      <c r="M267" s="37" t="n">
        <f aca="false">IF(AND(K267="",L267=""),"",EDATE(MAX(K267,L267),J267))</f>
        <v>46331</v>
      </c>
      <c r="N267" s="41" t="str">
        <f aca="false">IF(C267="","",IFERROR(INDEX(Перечень!$F$6:$F$52,MATCH(H267,Перечень!$A$6:$A$52,0)),""))</f>
        <v>Да</v>
      </c>
      <c r="O267" s="40"/>
      <c r="P267" s="37" t="str">
        <f aca="false">IF(O267="","",EDATE(O267,60))</f>
        <v/>
      </c>
      <c r="Q267" s="41" t="str">
        <f aca="false">IF(AND(K267&lt;&gt;"",F267&lt;&gt;"",K267&gt;F267),"Да","")</f>
        <v/>
      </c>
      <c r="R267" s="41" t="str">
        <f aca="true">IF(C267="","",IF(M267="","Нет сведений",IF(M267&lt;TODAY(),"Просрочен",IF(M267-TODAY()&lt;=30,"Истекает","В срок"))))</f>
        <v>Истекает</v>
      </c>
      <c r="S267" s="41" t="str">
        <f aca="false">IF(AND(N267="Да",O267=""),"Не пройдено","")</f>
        <v>Не пройдено</v>
      </c>
    </row>
    <row r="268" customFormat="false" ht="14.25" hidden="false" customHeight="false" outlineLevel="0" collapsed="false">
      <c r="A268" s="35" t="n">
        <f aca="false">IF(C268="","",ROW()-5)</f>
        <v>263</v>
      </c>
      <c r="B268" s="36" t="s">
        <v>106</v>
      </c>
      <c r="C268" s="36" t="s">
        <v>502</v>
      </c>
      <c r="D268" s="36" t="s">
        <v>503</v>
      </c>
      <c r="E268" s="36" t="s">
        <v>486</v>
      </c>
      <c r="F268" s="37" t="n">
        <v>45460</v>
      </c>
      <c r="G268" s="38" t="str">
        <f aca="false">IF(C268="","",IF(TRIM(SUBSTITUTE(SUBSTITUTE(SUBSTITUTE(SUBSTITUTE(SUBSTITUTE(SUBSTITUTE(SUBSTITUTE(SUBSTITUTE(SUBSTITUTE(SUBSTITUTE(SUBSTITUTE(LOWER(TRIM(D268)),"ё","е"),"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категории",""))="инженер",IF(AND(ISNUMBER(SEARCH("техническ",E268)),ISNUMBER(SEARCH("контрол",E268))),"инженер отк",IF(ISNUMBER(SEARCH("диспетч",E268)),"инженер пдо",TRIM(SUBSTITUTE(SUBSTITUTE(SUBSTITUTE(SUBSTITUTE(SUBSTITUTE(SUBSTITUTE(SUBSTITUTE(SUBSTITUTE(SUBSTITUTE(SUBSTITUTE(SUBSTITUTE(LOWER(TRIM(D268)),"ё","е"),"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инженер",IF(ISNUMBER(SEARCH("диспетч",E268)),"ведущий инженер пдо",TRIM(SUBSTITUTE(SUBSTITUTE(SUBSTITUTE(SUBSTITUTE(SUBSTITUTE(SUBSTITUTE(SUBSTITUTE(SUBSTITUTE(SUBSTITUTE(SUBSTITUTE(SUBSTITUTE(LOWER(TRIM(D268)),"ё","е"),"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отк",TRIM(SUBSTITUTE(SUBSTITUTE(SUBSTITUTE(SUBSTITUTE(SUBSTITUTE(SUBSTITUTE(SUBSTITUTE(SUBSTITUTE(SUBSTITUTE(SUBSTITUTE(SUBSTITUTE(LOWER(TRIM(D268)),"ё","е")," -","-"),"- ","-")," 2 разряда","")," 3 разряда","")," 4 разряда","")," 5 разряда","")," 6 разряда","")," 1 категории","")," 2 категории","")," 3 категории",""))))))</f>
        <v>слесарь-клепальщик</v>
      </c>
      <c r="H268" s="35" t="n">
        <f aca="false">IF(C268="","",IF(AND(G268="мастер участка",ISNUMBER(SEARCH("РЭО",E268))),29,IFERROR(INDEX(Соответствие!$B$2:$B$100,MATCH(G268,Соответствие!$A$2:$A$100,0)),"?")))</f>
        <v>41</v>
      </c>
      <c r="I268" s="39" t="str">
        <f aca="false">IF(C268="","",IFERROR(INDEX(Перечень!$C$6:$C$52,MATCH(H268,Перечень!$A$6:$A$52,0)),""))</f>
        <v>п.4.3.1, п.4.3.2, п.4.4, п.5.1, п.5.2, п.15</v>
      </c>
      <c r="J268" s="35" t="n">
        <f aca="false">IF(C268="","",IFERROR(INDEX(Перечень!$D$6:$D$52,MATCH(H268,Перечень!$A$6:$A$52,0)),12))</f>
        <v>12</v>
      </c>
      <c r="K268" s="40" t="n">
        <v>45454</v>
      </c>
      <c r="L268" s="40"/>
      <c r="M268" s="37" t="n">
        <f aca="false">IF(AND(K268="",L268=""),"",EDATE(MAX(K268,L268),J268))</f>
        <v>45819</v>
      </c>
      <c r="N268" s="41" t="str">
        <f aca="false">IF(C268="","",IFERROR(INDEX(Перечень!$F$6:$F$52,MATCH(H268,Перечень!$A$6:$A$52,0)),""))</f>
        <v>-</v>
      </c>
      <c r="O268" s="40"/>
      <c r="P268" s="37" t="str">
        <f aca="false">IF(O268="","",EDATE(O268,60))</f>
        <v/>
      </c>
      <c r="Q268" s="41" t="str">
        <f aca="false">IF(AND(K268&lt;&gt;"",F268&lt;&gt;"",K268&gt;F268),"Да","")</f>
        <v/>
      </c>
      <c r="R268" s="41" t="str">
        <f aca="true">IF(C268="","",IF(M268="","Нет сведений",IF(M268&lt;TODAY(),"Просрочен",IF(M268-TODAY()&lt;=30,"Истекает","В срок"))))</f>
        <v>Просрочен</v>
      </c>
      <c r="S268" s="41" t="str">
        <f aca="false">IF(AND(N268="Да",O268=""),"Не пройдено","")</f>
        <v/>
      </c>
    </row>
    <row r="269" customFormat="false" ht="14.25" hidden="false" customHeight="false" outlineLevel="0" collapsed="false">
      <c r="A269" s="35" t="n">
        <f aca="false">IF(C269="","",ROW()-5)</f>
        <v>264</v>
      </c>
      <c r="B269" s="36" t="s">
        <v>110</v>
      </c>
      <c r="C269" s="36" t="s">
        <v>504</v>
      </c>
      <c r="D269" s="36" t="s">
        <v>258</v>
      </c>
      <c r="E269" s="36" t="s">
        <v>505</v>
      </c>
      <c r="F269" s="37" t="n">
        <v>45817</v>
      </c>
      <c r="G269" s="38" t="str">
        <f aca="false">IF(C269="","",IF(TRIM(SUBSTITUTE(SUBSTITUTE(SUBSTITUTE(SUBSTITUTE(SUBSTITUTE(SUBSTITUTE(SUBSTITUTE(SUBSTITUTE(SUBSTITUTE(SUBSTITUTE(SUBSTITUTE(LOWER(TRIM(D269)),"ё","е"),"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категории",""))="инженер",IF(AND(ISNUMBER(SEARCH("техническ",E269)),ISNUMBER(SEARCH("контрол",E269))),"инженер отк",IF(ISNUMBER(SEARCH("диспетч",E269)),"инженер пдо",TRIM(SUBSTITUTE(SUBSTITUTE(SUBSTITUTE(SUBSTITUTE(SUBSTITUTE(SUBSTITUTE(SUBSTITUTE(SUBSTITUTE(SUBSTITUTE(SUBSTITUTE(SUBSTITUTE(LOWER(TRIM(D269)),"ё","е"),"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категории","")))),IF(TRIM(SUBSTITUTE(SUBSTITUTE(SUBSTITUTE(SUBSTITUTE(SUBSTITUTE(SUBSTITUTE(SUBSTITUTE(SUBSTITUTE(SUBSTITUTE(SUBSTITUTE(SUBSTITUTE(LOWER(TRIM(D269)),"ё","е"),"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инженер",IF(ISNUMBER(SEARCH("диспетч",E269)),"ведущий инженер пдо",TRIM(SUBSTITUTE(SUBSTITUTE(SUBSTITUTE(SUBSTITUTE(SUBSTITUTE(SUBSTITUTE(SUBSTITUTE(SUBSTITUTE(SUBSTITUTE(SUBSTITUTE(SUBSTITUTE(LOWER(TRIM(D269)),"ё","е"),"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категории",""))),IF(TRIM(SUBSTITUTE(SUBSTITUTE(SUBSTITUTE(SUBSTITUTE(SUBSTITUTE(SUBSTITUTE(SUBSTITUTE(SUBSTITUTE(SUBSTITUTE(SUBSTITUTE(SUBSTITUTE(LOWER(TRIM(D269)),"ё","е"),"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отк",TRIM(SUBSTITUTE(SUBSTITUTE(SUBSTITUTE(SUBSTITUTE(SUBSTITUTE(SUBSTITUTE(SUBSTITUTE(SUBSTITUTE(SUBSTITUTE(SUBSTITUTE(SUBSTITUTE(LOWER(TRIM(D269)),"ё","е")," -","-"),"- ","-")," 2 разряда","")," 3 разряда","")," 4 разряда","")," 5 разряда","")," 6 разряда","")," 1 категории","")," 2 категории","")," 3 категории",""))))))</f>
        <v>диспетчер</v>
      </c>
      <c r="H269" s="35" t="n">
        <f aca="false">IF(C269="","",IF(AND(G269="мастер участка",ISNUMBER(SEARCH("РЭО",E269))),29,IFERROR(INDEX(Соответствие!$B$2:$B$100,MATCH(G269,Соответствие!$A$2:$A$100,0)),"?")))</f>
        <v>28</v>
      </c>
      <c r="I269" s="39" t="str">
        <f aca="false">IF(C269="","",IFERROR(INDEX(Перечень!$C$6:$C$52,MATCH(H269,Перечень!$A$6:$A$52,0)),""))</f>
        <v>п.4.4, п.5.2</v>
      </c>
      <c r="J269" s="35" t="n">
        <f aca="false">IF(C269="","",IFERROR(INDEX(Перечень!$D$6:$D$52,MATCH(H269,Перечень!$A$6:$A$52,0)),12))</f>
        <v>12</v>
      </c>
      <c r="K269" s="40"/>
      <c r="L269" s="40"/>
      <c r="M269" s="37" t="str">
        <f aca="false">IF(AND(K269="",L269=""),"",EDATE(MAX(K269,L269),J269))</f>
        <v/>
      </c>
      <c r="N269" s="41" t="str">
        <f aca="false">IF(C269="","",IFERROR(INDEX(Перечень!$F$6:$F$52,MATCH(H269,Перечень!$A$6:$A$52,0)),""))</f>
        <v>-</v>
      </c>
      <c r="O269" s="40"/>
      <c r="P269" s="37" t="str">
        <f aca="false">IF(O269="","",EDATE(O269,60))</f>
        <v/>
      </c>
      <c r="Q269" s="41" t="str">
        <f aca="false">IF(AND(K269&lt;&gt;"",F269&lt;&gt;"",K269&gt;F269),"Да","")</f>
        <v/>
      </c>
      <c r="R269" s="41" t="str">
        <f aca="true">IF(C269="","",IF(M269="","Нет сведений",IF(M269&lt;TODAY(),"Просрочен",IF(M269-TODAY()&lt;=30,"Истекает","В срок"))))</f>
        <v>Нет сведений</v>
      </c>
      <c r="S269" s="41" t="str">
        <f aca="false">IF(AND(N269="Да",O269=""),"Не пройдено","")</f>
        <v/>
      </c>
    </row>
    <row r="270" customFormat="false" ht="14.25" hidden="false" customHeight="false" outlineLevel="0" collapsed="false">
      <c r="A270" s="35" t="n">
        <f aca="false">IF(C270="","",ROW()-5)</f>
        <v>265</v>
      </c>
      <c r="B270" s="36" t="s">
        <v>110</v>
      </c>
      <c r="C270" s="36" t="s">
        <v>506</v>
      </c>
      <c r="D270" s="36" t="s">
        <v>225</v>
      </c>
      <c r="E270" s="36" t="s">
        <v>507</v>
      </c>
      <c r="F270" s="37" t="n">
        <v>45967</v>
      </c>
      <c r="G270" s="38" t="str">
        <f aca="false">IF(C270="","",IF(TRIM(SUBSTITUTE(SUBSTITUTE(SUBSTITUTE(SUBSTITUTE(SUBSTITUTE(SUBSTITUTE(SUBSTITUTE(SUBSTITUTE(SUBSTITUTE(SUBSTITUTE(SUBSTITUTE(LOWER(TRIM(D270)),"ё","е"),"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категории",""))="инженер",IF(AND(ISNUMBER(SEARCH("техническ",E270)),ISNUMBER(SEARCH("контрол",E270))),"инженер отк",IF(ISNUMBER(SEARCH("диспетч",E270)),"инженер пдо",TRIM(SUBSTITUTE(SUBSTITUTE(SUBSTITUTE(SUBSTITUTE(SUBSTITUTE(SUBSTITUTE(SUBSTITUTE(SUBSTITUTE(SUBSTITUTE(SUBSTITUTE(SUBSTITUTE(LOWER(TRIM(D270)),"ё","е"),"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инженер",IF(ISNUMBER(SEARCH("диспетч",E270)),"ведущий инженер пдо",TRIM(SUBSTITUTE(SUBSTITUTE(SUBSTITUTE(SUBSTITUTE(SUBSTITUTE(SUBSTITUTE(SUBSTITUTE(SUBSTITUTE(SUBSTITUTE(SUBSTITUTE(SUBSTITUTE(LOWER(TRIM(D270)),"ё","е"),"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отк",TRIM(SUBSTITUTE(SUBSTITUTE(SUBSTITUTE(SUBSTITUTE(SUBSTITUTE(SUBSTITUTE(SUBSTITUTE(SUBSTITUTE(SUBSTITUTE(SUBSTITUTE(SUBSTITUTE(LOWER(TRIM(D270)),"ё","е"),"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70" s="35" t="n">
        <f aca="false">IF(C270="","",IF(AND(G270="мастер участка",ISNUMBER(SEARCH("РЭО",E270))),29,IFERROR(INDEX(Соответствие!$B$2:$B$100,MATCH(G270,Соответствие!$A$2:$A$100,0)),"?")))</f>
        <v>19</v>
      </c>
      <c r="I270" s="39" t="str">
        <f aca="false">IF(C270="","",IFERROR(INDEX(Перечень!$C$6:$C$52,MATCH(H270,Перечень!$A$6:$A$52,0)),""))</f>
        <v>п.4.3.1, п.4.3.2, п.4.4, п.5.1, п.6.2, п.15</v>
      </c>
      <c r="J270" s="35" t="n">
        <f aca="false">IF(C270="","",IFERROR(INDEX(Перечень!$D$6:$D$52,MATCH(H270,Перечень!$A$6:$A$52,0)),12))</f>
        <v>12</v>
      </c>
      <c r="K270" s="40" t="n">
        <v>45959</v>
      </c>
      <c r="L270" s="40"/>
      <c r="M270" s="37" t="n">
        <f aca="false">IF(AND(K270="",L270=""),"",EDATE(MAX(K270,L270),J270))</f>
        <v>46324</v>
      </c>
      <c r="N270" s="41" t="str">
        <f aca="false">IF(C270="","",IFERROR(INDEX(Перечень!$F$6:$F$52,MATCH(H270,Перечень!$A$6:$A$52,0)),""))</f>
        <v>-</v>
      </c>
      <c r="O270" s="40"/>
      <c r="P270" s="37" t="str">
        <f aca="false">IF(O270="","",EDATE(O270,60))</f>
        <v/>
      </c>
      <c r="Q270" s="41" t="str">
        <f aca="false">IF(AND(K270&lt;&gt;"",F270&lt;&gt;"",K270&gt;F270),"Да","")</f>
        <v/>
      </c>
      <c r="R270" s="41" t="str">
        <f aca="true">IF(C270="","",IF(M270="","Нет сведений",IF(M270&lt;TODAY(),"Просрочен",IF(M270-TODAY()&lt;=30,"Истекает","В срок"))))</f>
        <v>Истекает</v>
      </c>
      <c r="S270" s="41" t="str">
        <f aca="false">IF(AND(N270="Да",O270=""),"Не пройдено","")</f>
        <v/>
      </c>
    </row>
    <row r="271" customFormat="false" ht="14.25" hidden="false" customHeight="false" outlineLevel="0" collapsed="false">
      <c r="A271" s="35" t="n">
        <f aca="false">IF(C271="","",ROW()-5)</f>
        <v>266</v>
      </c>
      <c r="B271" s="36" t="s">
        <v>110</v>
      </c>
      <c r="C271" s="36" t="s">
        <v>508</v>
      </c>
      <c r="D271" s="36" t="s">
        <v>225</v>
      </c>
      <c r="E271" s="36" t="s">
        <v>507</v>
      </c>
      <c r="F271" s="37" t="n">
        <v>45999</v>
      </c>
      <c r="G271" s="38" t="str">
        <f aca="false">IF(C271="","",IF(TRIM(SUBSTITUTE(SUBSTITUTE(SUBSTITUTE(SUBSTITUTE(SUBSTITUTE(SUBSTITUTE(SUBSTITUTE(SUBSTITUTE(SUBSTITUTE(SUBSTITUTE(SUBSTITUTE(LOWER(TRIM(D271)),"ё","е"),"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категории",""))="инженер",IF(AND(ISNUMBER(SEARCH("техническ",E271)),ISNUMBER(SEARCH("контрол",E271))),"инженер отк",IF(ISNUMBER(SEARCH("диспетч",E271)),"инженер пдо",TRIM(SUBSTITUTE(SUBSTITUTE(SUBSTITUTE(SUBSTITUTE(SUBSTITUTE(SUBSTITUTE(SUBSTITUTE(SUBSTITUTE(SUBSTITUTE(SUBSTITUTE(SUBSTITUTE(LOWER(TRIM(D271)),"ё","е"),"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инженер",IF(ISNUMBER(SEARCH("диспетч",E271)),"ведущий инженер пдо",TRIM(SUBSTITUTE(SUBSTITUTE(SUBSTITUTE(SUBSTITUTE(SUBSTITUTE(SUBSTITUTE(SUBSTITUTE(SUBSTITUTE(SUBSTITUTE(SUBSTITUTE(SUBSTITUTE(LOWER(TRIM(D271)),"ё","е"),"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отк",TRIM(SUBSTITUTE(SUBSTITUTE(SUBSTITUTE(SUBSTITUTE(SUBSTITUTE(SUBSTITUTE(SUBSTITUTE(SUBSTITUTE(SUBSTITUTE(SUBSTITUTE(SUBSTITUTE(LOWER(TRIM(D271)),"ё","е"),"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71" s="35" t="n">
        <f aca="false">IF(C271="","",IF(AND(G271="мастер участка",ISNUMBER(SEARCH("РЭО",E271))),29,IFERROR(INDEX(Соответствие!$B$2:$B$100,MATCH(G271,Соответствие!$A$2:$A$100,0)),"?")))</f>
        <v>19</v>
      </c>
      <c r="I271" s="39" t="str">
        <f aca="false">IF(C271="","",IFERROR(INDEX(Перечень!$C$6:$C$52,MATCH(H271,Перечень!$A$6:$A$52,0)),""))</f>
        <v>п.4.3.1, п.4.3.2, п.4.4, п.5.1, п.6.2, п.15</v>
      </c>
      <c r="J271" s="35" t="n">
        <f aca="false">IF(C271="","",IFERROR(INDEX(Перечень!$D$6:$D$52,MATCH(H271,Перечень!$A$6:$A$52,0)),12))</f>
        <v>12</v>
      </c>
      <c r="K271" s="40" t="n">
        <v>45989</v>
      </c>
      <c r="L271" s="40"/>
      <c r="M271" s="37" t="n">
        <f aca="false">IF(AND(K271="",L271=""),"",EDATE(MAX(K271,L271),J271))</f>
        <v>46354</v>
      </c>
      <c r="N271" s="41" t="str">
        <f aca="false">IF(C271="","",IFERROR(INDEX(Перечень!$F$6:$F$52,MATCH(H271,Перечень!$A$6:$A$52,0)),""))</f>
        <v>-</v>
      </c>
      <c r="O271" s="40"/>
      <c r="P271" s="37" t="str">
        <f aca="false">IF(O271="","",EDATE(O271,60))</f>
        <v/>
      </c>
      <c r="Q271" s="41" t="str">
        <f aca="false">IF(AND(K271&lt;&gt;"",F271&lt;&gt;"",K271&gt;F271),"Да","")</f>
        <v/>
      </c>
      <c r="R271" s="41" t="str">
        <f aca="true">IF(C271="","",IF(M271="","Нет сведений",IF(M271&lt;TODAY(),"Просрочен",IF(M271-TODAY()&lt;=30,"Истекает","В срок"))))</f>
        <v>В срок</v>
      </c>
      <c r="S271" s="41" t="str">
        <f aca="false">IF(AND(N271="Да",O271=""),"Не пройдено","")</f>
        <v/>
      </c>
    </row>
    <row r="272" customFormat="false" ht="14.25" hidden="false" customHeight="false" outlineLevel="0" collapsed="false">
      <c r="A272" s="35" t="n">
        <f aca="false">IF(C272="","",ROW()-5)</f>
        <v>267</v>
      </c>
      <c r="B272" s="36" t="s">
        <v>110</v>
      </c>
      <c r="C272" s="36" t="s">
        <v>509</v>
      </c>
      <c r="D272" s="36" t="s">
        <v>225</v>
      </c>
      <c r="E272" s="36" t="s">
        <v>507</v>
      </c>
      <c r="F272" s="37" t="n">
        <v>45882</v>
      </c>
      <c r="G272" s="38" t="str">
        <f aca="false">IF(C272="","",IF(TRIM(SUBSTITUTE(SUBSTITUTE(SUBSTITUTE(SUBSTITUTE(SUBSTITUTE(SUBSTITUTE(SUBSTITUTE(SUBSTITUTE(SUBSTITUTE(SUBSTITUTE(SUBSTITUTE(LOWER(TRIM(D272)),"ё","е"),"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категории",""))="инженер",IF(AND(ISNUMBER(SEARCH("техническ",E272)),ISNUMBER(SEARCH("контрол",E272))),"инженер отк",IF(ISNUMBER(SEARCH("диспетч",E272)),"инженер пдо",TRIM(SUBSTITUTE(SUBSTITUTE(SUBSTITUTE(SUBSTITUTE(SUBSTITUTE(SUBSTITUTE(SUBSTITUTE(SUBSTITUTE(SUBSTITUTE(SUBSTITUTE(SUBSTITUTE(LOWER(TRIM(D272)),"ё","е"),"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инженер",IF(ISNUMBER(SEARCH("диспетч",E272)),"ведущий инженер пдо",TRIM(SUBSTITUTE(SUBSTITUTE(SUBSTITUTE(SUBSTITUTE(SUBSTITUTE(SUBSTITUTE(SUBSTITUTE(SUBSTITUTE(SUBSTITUTE(SUBSTITUTE(SUBSTITUTE(LOWER(TRIM(D272)),"ё","е"),"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отк",TRIM(SUBSTITUTE(SUBSTITUTE(SUBSTITUTE(SUBSTITUTE(SUBSTITUTE(SUBSTITUTE(SUBSTITUTE(SUBSTITUTE(SUBSTITUTE(SUBSTITUTE(SUBSTITUTE(LOWER(TRIM(D272)),"ё","е"),"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72" s="35" t="n">
        <f aca="false">IF(C272="","",IF(AND(G272="мастер участка",ISNUMBER(SEARCH("РЭО",E272))),29,IFERROR(INDEX(Соответствие!$B$2:$B$100,MATCH(G272,Соответствие!$A$2:$A$100,0)),"?")))</f>
        <v>19</v>
      </c>
      <c r="I272" s="39" t="str">
        <f aca="false">IF(C272="","",IFERROR(INDEX(Перечень!$C$6:$C$52,MATCH(H272,Перечень!$A$6:$A$52,0)),""))</f>
        <v>п.4.3.1, п.4.3.2, п.4.4, п.5.1, п.6.2, п.15</v>
      </c>
      <c r="J272" s="35" t="n">
        <f aca="false">IF(C272="","",IFERROR(INDEX(Перечень!$D$6:$D$52,MATCH(H272,Перечень!$A$6:$A$52,0)),12))</f>
        <v>12</v>
      </c>
      <c r="K272" s="40" t="n">
        <v>45873</v>
      </c>
      <c r="L272" s="40"/>
      <c r="M272" s="37" t="n">
        <f aca="false">IF(AND(K272="",L272=""),"",EDATE(MAX(K272,L272),J272))</f>
        <v>46238</v>
      </c>
      <c r="N272" s="41" t="str">
        <f aca="false">IF(C272="","",IFERROR(INDEX(Перечень!$F$6:$F$52,MATCH(H272,Перечень!$A$6:$A$52,0)),""))</f>
        <v>-</v>
      </c>
      <c r="O272" s="40"/>
      <c r="P272" s="37" t="str">
        <f aca="false">IF(O272="","",EDATE(O272,60))</f>
        <v/>
      </c>
      <c r="Q272" s="41" t="str">
        <f aca="false">IF(AND(K272&lt;&gt;"",F272&lt;&gt;"",K272&gt;F272),"Да","")</f>
        <v/>
      </c>
      <c r="R272" s="41" t="str">
        <f aca="true">IF(C272="","",IF(M272="","Нет сведений",IF(M272&lt;TODAY(),"Просрочен",IF(M272-TODAY()&lt;=30,"Истекает","В срок"))))</f>
        <v>Просрочен</v>
      </c>
      <c r="S272" s="41" t="str">
        <f aca="false">IF(AND(N272="Да",O272=""),"Не пройдено","")</f>
        <v/>
      </c>
    </row>
    <row r="273" customFormat="false" ht="14.25" hidden="false" customHeight="false" outlineLevel="0" collapsed="false">
      <c r="A273" s="35" t="n">
        <f aca="false">IF(C273="","",ROW()-5)</f>
        <v>268</v>
      </c>
      <c r="B273" s="36" t="s">
        <v>110</v>
      </c>
      <c r="C273" s="36" t="s">
        <v>510</v>
      </c>
      <c r="D273" s="36" t="s">
        <v>225</v>
      </c>
      <c r="E273" s="36" t="s">
        <v>507</v>
      </c>
      <c r="F273" s="37" t="n">
        <v>45847</v>
      </c>
      <c r="G273" s="38" t="str">
        <f aca="false">IF(C273="","",IF(TRIM(SUBSTITUTE(SUBSTITUTE(SUBSTITUTE(SUBSTITUTE(SUBSTITUTE(SUBSTITUTE(SUBSTITUTE(SUBSTITUTE(SUBSTITUTE(SUBSTITUTE(SUBSTITUTE(LOWER(TRIM(D273)),"ё","е"),"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категории",""))="инженер",IF(AND(ISNUMBER(SEARCH("техническ",E273)),ISNUMBER(SEARCH("контрол",E273))),"инженер отк",IF(ISNUMBER(SEARCH("диспетч",E273)),"инженер пдо",TRIM(SUBSTITUTE(SUBSTITUTE(SUBSTITUTE(SUBSTITUTE(SUBSTITUTE(SUBSTITUTE(SUBSTITUTE(SUBSTITUTE(SUBSTITUTE(SUBSTITUTE(SUBSTITUTE(LOWER(TRIM(D273)),"ё","е"),"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инженер",IF(ISNUMBER(SEARCH("диспетч",E273)),"ведущий инженер пдо",TRIM(SUBSTITUTE(SUBSTITUTE(SUBSTITUTE(SUBSTITUTE(SUBSTITUTE(SUBSTITUTE(SUBSTITUTE(SUBSTITUTE(SUBSTITUTE(SUBSTITUTE(SUBSTITUTE(LOWER(TRIM(D273)),"ё","е"),"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отк",TRIM(SUBSTITUTE(SUBSTITUTE(SUBSTITUTE(SUBSTITUTE(SUBSTITUTE(SUBSTITUTE(SUBSTITUTE(SUBSTITUTE(SUBSTITUTE(SUBSTITUTE(SUBSTITUTE(LOWER(TRIM(D273)),"ё","е"),"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73" s="35" t="n">
        <f aca="false">IF(C273="","",IF(AND(G273="мастер участка",ISNUMBER(SEARCH("РЭО",E273))),29,IFERROR(INDEX(Соответствие!$B$2:$B$100,MATCH(G273,Соответствие!$A$2:$A$100,0)),"?")))</f>
        <v>19</v>
      </c>
      <c r="I273" s="39" t="str">
        <f aca="false">IF(C273="","",IFERROR(INDEX(Перечень!$C$6:$C$52,MATCH(H273,Перечень!$A$6:$A$52,0)),""))</f>
        <v>п.4.3.1, п.4.3.2, п.4.4, п.5.1, п.6.2, п.15</v>
      </c>
      <c r="J273" s="35" t="n">
        <f aca="false">IF(C273="","",IFERROR(INDEX(Перечень!$D$6:$D$52,MATCH(H273,Перечень!$A$6:$A$52,0)),12))</f>
        <v>12</v>
      </c>
      <c r="K273" s="40" t="n">
        <v>45843</v>
      </c>
      <c r="L273" s="40"/>
      <c r="M273" s="37" t="n">
        <f aca="false">IF(AND(K273="",L273=""),"",EDATE(MAX(K273,L273),J273))</f>
        <v>46208</v>
      </c>
      <c r="N273" s="41" t="str">
        <f aca="false">IF(C273="","",IFERROR(INDEX(Перечень!$F$6:$F$52,MATCH(H273,Перечень!$A$6:$A$52,0)),""))</f>
        <v>-</v>
      </c>
      <c r="O273" s="40"/>
      <c r="P273" s="37" t="str">
        <f aca="false">IF(O273="","",EDATE(O273,60))</f>
        <v/>
      </c>
      <c r="Q273" s="41" t="str">
        <f aca="false">IF(AND(K273&lt;&gt;"",F273&lt;&gt;"",K273&gt;F273),"Да","")</f>
        <v/>
      </c>
      <c r="R273" s="41" t="str">
        <f aca="true">IF(C273="","",IF(M273="","Нет сведений",IF(M273&lt;TODAY(),"Просрочен",IF(M273-TODAY()&lt;=30,"Истекает","В срок"))))</f>
        <v>Просрочен</v>
      </c>
      <c r="S273" s="41" t="str">
        <f aca="false">IF(AND(N273="Да",O273=""),"Не пройдено","")</f>
        <v/>
      </c>
    </row>
    <row r="274" customFormat="false" ht="14.25" hidden="false" customHeight="false" outlineLevel="0" collapsed="false">
      <c r="A274" s="35" t="n">
        <f aca="false">IF(C274="","",ROW()-5)</f>
        <v>269</v>
      </c>
      <c r="B274" s="36" t="s">
        <v>110</v>
      </c>
      <c r="C274" s="36" t="s">
        <v>511</v>
      </c>
      <c r="D274" s="36" t="s">
        <v>225</v>
      </c>
      <c r="E274" s="36" t="s">
        <v>507</v>
      </c>
      <c r="F274" s="37" t="n">
        <v>45908</v>
      </c>
      <c r="G274" s="38" t="str">
        <f aca="false">IF(C274="","",IF(TRIM(SUBSTITUTE(SUBSTITUTE(SUBSTITUTE(SUBSTITUTE(SUBSTITUTE(SUBSTITUTE(SUBSTITUTE(SUBSTITUTE(SUBSTITUTE(SUBSTITUTE(SUBSTITUTE(LOWER(TRIM(D274)),"ё","е"),"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категории",""))="инженер",IF(AND(ISNUMBER(SEARCH("техническ",E274)),ISNUMBER(SEARCH("контрол",E274))),"инженер отк",IF(ISNUMBER(SEARCH("диспетч",E274)),"инженер пдо",TRIM(SUBSTITUTE(SUBSTITUTE(SUBSTITUTE(SUBSTITUTE(SUBSTITUTE(SUBSTITUTE(SUBSTITUTE(SUBSTITUTE(SUBSTITUTE(SUBSTITUTE(SUBSTITUTE(LOWER(TRIM(D274)),"ё","е"),"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инженер",IF(ISNUMBER(SEARCH("диспетч",E274)),"ведущий инженер пдо",TRIM(SUBSTITUTE(SUBSTITUTE(SUBSTITUTE(SUBSTITUTE(SUBSTITUTE(SUBSTITUTE(SUBSTITUTE(SUBSTITUTE(SUBSTITUTE(SUBSTITUTE(SUBSTITUTE(LOWER(TRIM(D274)),"ё","е"),"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отк",TRIM(SUBSTITUTE(SUBSTITUTE(SUBSTITUTE(SUBSTITUTE(SUBSTITUTE(SUBSTITUTE(SUBSTITUTE(SUBSTITUTE(SUBSTITUTE(SUBSTITUTE(SUBSTITUTE(LOWER(TRIM(D274)),"ё","е"),"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74" s="35" t="n">
        <f aca="false">IF(C274="","",IF(AND(G274="мастер участка",ISNUMBER(SEARCH("РЭО",E274))),29,IFERROR(INDEX(Соответствие!$B$2:$B$100,MATCH(G274,Соответствие!$A$2:$A$100,0)),"?")))</f>
        <v>19</v>
      </c>
      <c r="I274" s="39" t="str">
        <f aca="false">IF(C274="","",IFERROR(INDEX(Перечень!$C$6:$C$52,MATCH(H274,Перечень!$A$6:$A$52,0)),""))</f>
        <v>п.4.3.1, п.4.3.2, п.4.4, п.5.1, п.6.2, п.15</v>
      </c>
      <c r="J274" s="35" t="n">
        <f aca="false">IF(C274="","",IFERROR(INDEX(Перечень!$D$6:$D$52,MATCH(H274,Перечень!$A$6:$A$52,0)),12))</f>
        <v>12</v>
      </c>
      <c r="K274" s="40"/>
      <c r="L274" s="40"/>
      <c r="M274" s="37" t="str">
        <f aca="false">IF(AND(K274="",L274=""),"",EDATE(MAX(K274,L274),J274))</f>
        <v/>
      </c>
      <c r="N274" s="41" t="str">
        <f aca="false">IF(C274="","",IFERROR(INDEX(Перечень!$F$6:$F$52,MATCH(H274,Перечень!$A$6:$A$52,0)),""))</f>
        <v>-</v>
      </c>
      <c r="O274" s="40"/>
      <c r="P274" s="37" t="str">
        <f aca="false">IF(O274="","",EDATE(O274,60))</f>
        <v/>
      </c>
      <c r="Q274" s="41" t="str">
        <f aca="false">IF(AND(K274&lt;&gt;"",F274&lt;&gt;"",K274&gt;F274),"Да","")</f>
        <v/>
      </c>
      <c r="R274" s="41" t="str">
        <f aca="true">IF(C274="","",IF(M274="","Нет сведений",IF(M274&lt;TODAY(),"Просрочен",IF(M274-TODAY()&lt;=30,"Истекает","В срок"))))</f>
        <v>Нет сведений</v>
      </c>
      <c r="S274" s="41" t="str">
        <f aca="false">IF(AND(N274="Да",O274=""),"Не пройдено","")</f>
        <v/>
      </c>
    </row>
    <row r="275" customFormat="false" ht="14.25" hidden="false" customHeight="false" outlineLevel="0" collapsed="false">
      <c r="A275" s="35" t="n">
        <f aca="false">IF(C275="","",ROW()-5)</f>
        <v>270</v>
      </c>
      <c r="B275" s="36" t="s">
        <v>110</v>
      </c>
      <c r="C275" s="36" t="s">
        <v>512</v>
      </c>
      <c r="D275" s="36" t="s">
        <v>225</v>
      </c>
      <c r="E275" s="36" t="s">
        <v>507</v>
      </c>
      <c r="F275" s="37" t="n">
        <v>46007</v>
      </c>
      <c r="G275" s="38" t="str">
        <f aca="false">IF(C275="","",IF(TRIM(SUBSTITUTE(SUBSTITUTE(SUBSTITUTE(SUBSTITUTE(SUBSTITUTE(SUBSTITUTE(SUBSTITUTE(SUBSTITUTE(SUBSTITUTE(SUBSTITUTE(SUBSTITUTE(LOWER(TRIM(D275)),"ё","е"),"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категории",""))="инженер",IF(AND(ISNUMBER(SEARCH("техническ",E275)),ISNUMBER(SEARCH("контрол",E275))),"инженер отк",IF(ISNUMBER(SEARCH("диспетч",E275)),"инженер пдо",TRIM(SUBSTITUTE(SUBSTITUTE(SUBSTITUTE(SUBSTITUTE(SUBSTITUTE(SUBSTITUTE(SUBSTITUTE(SUBSTITUTE(SUBSTITUTE(SUBSTITUTE(SUBSTITUTE(LOWER(TRIM(D275)),"ё","е"),"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инженер",IF(ISNUMBER(SEARCH("диспетч",E275)),"ведущий инженер пдо",TRIM(SUBSTITUTE(SUBSTITUTE(SUBSTITUTE(SUBSTITUTE(SUBSTITUTE(SUBSTITUTE(SUBSTITUTE(SUBSTITUTE(SUBSTITUTE(SUBSTITUTE(SUBSTITUTE(LOWER(TRIM(D275)),"ё","е"),"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отк",TRIM(SUBSTITUTE(SUBSTITUTE(SUBSTITUTE(SUBSTITUTE(SUBSTITUTE(SUBSTITUTE(SUBSTITUTE(SUBSTITUTE(SUBSTITUTE(SUBSTITUTE(SUBSTITUTE(LOWER(TRIM(D275)),"ё","е"),"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75" s="35" t="n">
        <f aca="false">IF(C275="","",IF(AND(G275="мастер участка",ISNUMBER(SEARCH("РЭО",E275))),29,IFERROR(INDEX(Соответствие!$B$2:$B$100,MATCH(G275,Соответствие!$A$2:$A$100,0)),"?")))</f>
        <v>19</v>
      </c>
      <c r="I275" s="39" t="str">
        <f aca="false">IF(C275="","",IFERROR(INDEX(Перечень!$C$6:$C$52,MATCH(H275,Перечень!$A$6:$A$52,0)),""))</f>
        <v>п.4.3.1, п.4.3.2, п.4.4, п.5.1, п.6.2, п.15</v>
      </c>
      <c r="J275" s="35" t="n">
        <f aca="false">IF(C275="","",IFERROR(INDEX(Перечень!$D$6:$D$52,MATCH(H275,Перечень!$A$6:$A$52,0)),12))</f>
        <v>12</v>
      </c>
      <c r="K275" s="40" t="n">
        <v>46001</v>
      </c>
      <c r="L275" s="40"/>
      <c r="M275" s="37" t="n">
        <f aca="false">IF(AND(K275="",L275=""),"",EDATE(MAX(K275,L275),J275))</f>
        <v>46366</v>
      </c>
      <c r="N275" s="41" t="str">
        <f aca="false">IF(C275="","",IFERROR(INDEX(Перечень!$F$6:$F$52,MATCH(H275,Перечень!$A$6:$A$52,0)),""))</f>
        <v>-</v>
      </c>
      <c r="O275" s="40"/>
      <c r="P275" s="37" t="str">
        <f aca="false">IF(O275="","",EDATE(O275,60))</f>
        <v/>
      </c>
      <c r="Q275" s="41" t="str">
        <f aca="false">IF(AND(K275&lt;&gt;"",F275&lt;&gt;"",K275&gt;F275),"Да","")</f>
        <v/>
      </c>
      <c r="R275" s="41" t="str">
        <f aca="true">IF(C275="","",IF(M275="","Нет сведений",IF(M275&lt;TODAY(),"Просрочен",IF(M275-TODAY()&lt;=30,"Истекает","В срок"))))</f>
        <v>В срок</v>
      </c>
      <c r="S275" s="41" t="str">
        <f aca="false">IF(AND(N275="Да",O275=""),"Не пройдено","")</f>
        <v/>
      </c>
    </row>
    <row r="276" customFormat="false" ht="14.25" hidden="false" customHeight="false" outlineLevel="0" collapsed="false">
      <c r="A276" s="35" t="n">
        <f aca="false">IF(C276="","",ROW()-5)</f>
        <v>271</v>
      </c>
      <c r="B276" s="36" t="s">
        <v>110</v>
      </c>
      <c r="C276" s="36" t="s">
        <v>513</v>
      </c>
      <c r="D276" s="36" t="s">
        <v>225</v>
      </c>
      <c r="E276" s="36" t="s">
        <v>507</v>
      </c>
      <c r="F276" s="37" t="n">
        <v>45958</v>
      </c>
      <c r="G276" s="38" t="str">
        <f aca="false">IF(C276="","",IF(TRIM(SUBSTITUTE(SUBSTITUTE(SUBSTITUTE(SUBSTITUTE(SUBSTITUTE(SUBSTITUTE(SUBSTITUTE(SUBSTITUTE(SUBSTITUTE(SUBSTITUTE(SUBSTITUTE(LOWER(TRIM(D276)),"ё","е"),"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категории",""))="инженер",IF(AND(ISNUMBER(SEARCH("техническ",E276)),ISNUMBER(SEARCH("контрол",E276))),"инженер отк",IF(ISNUMBER(SEARCH("диспетч",E276)),"инженер пдо",TRIM(SUBSTITUTE(SUBSTITUTE(SUBSTITUTE(SUBSTITUTE(SUBSTITUTE(SUBSTITUTE(SUBSTITUTE(SUBSTITUTE(SUBSTITUTE(SUBSTITUTE(SUBSTITUTE(LOWER(TRIM(D276)),"ё","е"),"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инженер",IF(ISNUMBER(SEARCH("диспетч",E276)),"ведущий инженер пдо",TRIM(SUBSTITUTE(SUBSTITUTE(SUBSTITUTE(SUBSTITUTE(SUBSTITUTE(SUBSTITUTE(SUBSTITUTE(SUBSTITUTE(SUBSTITUTE(SUBSTITUTE(SUBSTITUTE(LOWER(TRIM(D276)),"ё","е"),"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отк",TRIM(SUBSTITUTE(SUBSTITUTE(SUBSTITUTE(SUBSTITUTE(SUBSTITUTE(SUBSTITUTE(SUBSTITUTE(SUBSTITUTE(SUBSTITUTE(SUBSTITUTE(SUBSTITUTE(LOWER(TRIM(D276)),"ё","е"),"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76" s="35" t="n">
        <f aca="false">IF(C276="","",IF(AND(G276="мастер участка",ISNUMBER(SEARCH("РЭО",E276))),29,IFERROR(INDEX(Соответствие!$B$2:$B$100,MATCH(G276,Соответствие!$A$2:$A$100,0)),"?")))</f>
        <v>19</v>
      </c>
      <c r="I276" s="39" t="str">
        <f aca="false">IF(C276="","",IFERROR(INDEX(Перечень!$C$6:$C$52,MATCH(H276,Перечень!$A$6:$A$52,0)),""))</f>
        <v>п.4.3.1, п.4.3.2, п.4.4, п.5.1, п.6.2, п.15</v>
      </c>
      <c r="J276" s="35" t="n">
        <f aca="false">IF(C276="","",IFERROR(INDEX(Перечень!$D$6:$D$52,MATCH(H276,Перечень!$A$6:$A$52,0)),12))</f>
        <v>12</v>
      </c>
      <c r="K276" s="40"/>
      <c r="L276" s="40"/>
      <c r="M276" s="37" t="str">
        <f aca="false">IF(AND(K276="",L276=""),"",EDATE(MAX(K276,L276),J276))</f>
        <v/>
      </c>
      <c r="N276" s="41" t="str">
        <f aca="false">IF(C276="","",IFERROR(INDEX(Перечень!$F$6:$F$52,MATCH(H276,Перечень!$A$6:$A$52,0)),""))</f>
        <v>-</v>
      </c>
      <c r="O276" s="40"/>
      <c r="P276" s="37" t="str">
        <f aca="false">IF(O276="","",EDATE(O276,60))</f>
        <v/>
      </c>
      <c r="Q276" s="41" t="str">
        <f aca="false">IF(AND(K276&lt;&gt;"",F276&lt;&gt;"",K276&gt;F276),"Да","")</f>
        <v/>
      </c>
      <c r="R276" s="41" t="str">
        <f aca="true">IF(C276="","",IF(M276="","Нет сведений",IF(M276&lt;TODAY(),"Просрочен",IF(M276-TODAY()&lt;=30,"Истекает","В срок"))))</f>
        <v>Нет сведений</v>
      </c>
      <c r="S276" s="41" t="str">
        <f aca="false">IF(AND(N276="Да",O276=""),"Не пройдено","")</f>
        <v/>
      </c>
    </row>
    <row r="277" customFormat="false" ht="14.25" hidden="false" customHeight="false" outlineLevel="0" collapsed="false">
      <c r="A277" s="35" t="n">
        <f aca="false">IF(C277="","",ROW()-5)</f>
        <v>272</v>
      </c>
      <c r="B277" s="36" t="s">
        <v>110</v>
      </c>
      <c r="C277" s="36" t="s">
        <v>514</v>
      </c>
      <c r="D277" s="36" t="s">
        <v>225</v>
      </c>
      <c r="E277" s="36" t="s">
        <v>507</v>
      </c>
      <c r="F277" s="37" t="n">
        <v>46056</v>
      </c>
      <c r="G277" s="38" t="str">
        <f aca="false">IF(C277="","",IF(TRIM(SUBSTITUTE(SUBSTITUTE(SUBSTITUTE(SUBSTITUTE(SUBSTITUTE(SUBSTITUTE(SUBSTITUTE(SUBSTITUTE(SUBSTITUTE(SUBSTITUTE(SUBSTITUTE(LOWER(TRIM(D277)),"ё","е"),"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категории",""))="инженер",IF(AND(ISNUMBER(SEARCH("техническ",E277)),ISNUMBER(SEARCH("контрол",E277))),"инженер отк",IF(ISNUMBER(SEARCH("диспетч",E277)),"инженер пдо",TRIM(SUBSTITUTE(SUBSTITUTE(SUBSTITUTE(SUBSTITUTE(SUBSTITUTE(SUBSTITUTE(SUBSTITUTE(SUBSTITUTE(SUBSTITUTE(SUBSTITUTE(SUBSTITUTE(LOWER(TRIM(D277)),"ё","е"),"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инженер",IF(ISNUMBER(SEARCH("диспетч",E277)),"ведущий инженер пдо",TRIM(SUBSTITUTE(SUBSTITUTE(SUBSTITUTE(SUBSTITUTE(SUBSTITUTE(SUBSTITUTE(SUBSTITUTE(SUBSTITUTE(SUBSTITUTE(SUBSTITUTE(SUBSTITUTE(LOWER(TRIM(D277)),"ё","е"),"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отк",TRIM(SUBSTITUTE(SUBSTITUTE(SUBSTITUTE(SUBSTITUTE(SUBSTITUTE(SUBSTITUTE(SUBSTITUTE(SUBSTITUTE(SUBSTITUTE(SUBSTITUTE(SUBSTITUTE(LOWER(TRIM(D277)),"ё","е"),"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77" s="35" t="n">
        <f aca="false">IF(C277="","",IF(AND(G277="мастер участка",ISNUMBER(SEARCH("РЭО",E277))),29,IFERROR(INDEX(Соответствие!$B$2:$B$100,MATCH(G277,Соответствие!$A$2:$A$100,0)),"?")))</f>
        <v>19</v>
      </c>
      <c r="I277" s="39" t="str">
        <f aca="false">IF(C277="","",IFERROR(INDEX(Перечень!$C$6:$C$52,MATCH(H277,Перечень!$A$6:$A$52,0)),""))</f>
        <v>п.4.3.1, п.4.3.2, п.4.4, п.5.1, п.6.2, п.15</v>
      </c>
      <c r="J277" s="35" t="n">
        <f aca="false">IF(C277="","",IFERROR(INDEX(Перечень!$D$6:$D$52,MATCH(H277,Перечень!$A$6:$A$52,0)),12))</f>
        <v>12</v>
      </c>
      <c r="K277" s="40" t="n">
        <v>46051</v>
      </c>
      <c r="L277" s="40"/>
      <c r="M277" s="37" t="n">
        <f aca="false">IF(AND(K277="",L277=""),"",EDATE(MAX(K277,L277),J277))</f>
        <v>46416</v>
      </c>
      <c r="N277" s="41" t="str">
        <f aca="false">IF(C277="","",IFERROR(INDEX(Перечень!$F$6:$F$52,MATCH(H277,Перечень!$A$6:$A$52,0)),""))</f>
        <v>-</v>
      </c>
      <c r="O277" s="40"/>
      <c r="P277" s="37" t="str">
        <f aca="false">IF(O277="","",EDATE(O277,60))</f>
        <v/>
      </c>
      <c r="Q277" s="41" t="str">
        <f aca="false">IF(AND(K277&lt;&gt;"",F277&lt;&gt;"",K277&gt;F277),"Да","")</f>
        <v/>
      </c>
      <c r="R277" s="41" t="str">
        <f aca="true">IF(C277="","",IF(M277="","Нет сведений",IF(M277&lt;TODAY(),"Просрочен",IF(M277-TODAY()&lt;=30,"Истекает","В срок"))))</f>
        <v>В срок</v>
      </c>
      <c r="S277" s="41" t="str">
        <f aca="false">IF(AND(N277="Да",O277=""),"Не пройдено","")</f>
        <v/>
      </c>
    </row>
    <row r="278" customFormat="false" ht="14.25" hidden="false" customHeight="false" outlineLevel="0" collapsed="false">
      <c r="A278" s="35" t="n">
        <f aca="false">IF(C278="","",ROW()-5)</f>
        <v>273</v>
      </c>
      <c r="B278" s="36" t="s">
        <v>110</v>
      </c>
      <c r="C278" s="36" t="s">
        <v>515</v>
      </c>
      <c r="D278" s="36" t="s">
        <v>516</v>
      </c>
      <c r="E278" s="36" t="s">
        <v>507</v>
      </c>
      <c r="F278" s="37" t="n">
        <v>45966</v>
      </c>
      <c r="G278" s="38" t="str">
        <f aca="false">IF(C278="","",IF(TRIM(SUBSTITUTE(SUBSTITUTE(SUBSTITUTE(SUBSTITUTE(SUBSTITUTE(SUBSTITUTE(SUBSTITUTE(SUBSTITUTE(SUBSTITUTE(SUBSTITUTE(SUBSTITUTE(LOWER(TRIM(D278)),"ё","е"),"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категории",""))="инженер",IF(AND(ISNUMBER(SEARCH("техническ",E278)),ISNUMBER(SEARCH("контрол",E278))),"инженер отк",IF(ISNUMBER(SEARCH("диспетч",E278)),"инженер пдо",TRIM(SUBSTITUTE(SUBSTITUTE(SUBSTITUTE(SUBSTITUTE(SUBSTITUTE(SUBSTITUTE(SUBSTITUTE(SUBSTITUTE(SUBSTITUTE(SUBSTITUTE(SUBSTITUTE(LOWER(TRIM(D278)),"ё","е"),"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инженер",IF(ISNUMBER(SEARCH("диспетч",E278)),"ведущий инженер пдо",TRIM(SUBSTITUTE(SUBSTITUTE(SUBSTITUTE(SUBSTITUTE(SUBSTITUTE(SUBSTITUTE(SUBSTITUTE(SUBSTITUTE(SUBSTITUTE(SUBSTITUTE(SUBSTITUTE(LOWER(TRIM(D278)),"ё","е"),"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отк",TRIM(SUBSTITUTE(SUBSTITUTE(SUBSTITUTE(SUBSTITUTE(SUBSTITUTE(SUBSTITUTE(SUBSTITUTE(SUBSTITUTE(SUBSTITUTE(SUBSTITUTE(SUBSTITUTE(LOWER(TRIM(D278)),"ё","е"),"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78" s="35" t="n">
        <f aca="false">IF(C278="","",IF(AND(G278="мастер участка",ISNUMBER(SEARCH("РЭО",E278))),29,IFERROR(INDEX(Соответствие!$B$2:$B$100,MATCH(G278,Соответствие!$A$2:$A$100,0)),"?")))</f>
        <v>19</v>
      </c>
      <c r="I278" s="39" t="str">
        <f aca="false">IF(C278="","",IFERROR(INDEX(Перечень!$C$6:$C$52,MATCH(H278,Перечень!$A$6:$A$52,0)),""))</f>
        <v>п.4.3.1, п.4.3.2, п.4.4, п.5.1, п.6.2, п.15</v>
      </c>
      <c r="J278" s="35" t="n">
        <f aca="false">IF(C278="","",IFERROR(INDEX(Перечень!$D$6:$D$52,MATCH(H278,Перечень!$A$6:$A$52,0)),12))</f>
        <v>12</v>
      </c>
      <c r="K278" s="40"/>
      <c r="L278" s="40"/>
      <c r="M278" s="37" t="str">
        <f aca="false">IF(AND(K278="",L278=""),"",EDATE(MAX(K278,L278),J278))</f>
        <v/>
      </c>
      <c r="N278" s="41" t="str">
        <f aca="false">IF(C278="","",IFERROR(INDEX(Перечень!$F$6:$F$52,MATCH(H278,Перечень!$A$6:$A$52,0)),""))</f>
        <v>-</v>
      </c>
      <c r="O278" s="40"/>
      <c r="P278" s="37" t="str">
        <f aca="false">IF(O278="","",EDATE(O278,60))</f>
        <v/>
      </c>
      <c r="Q278" s="41" t="str">
        <f aca="false">IF(AND(K278&lt;&gt;"",F278&lt;&gt;"",K278&gt;F278),"Да","")</f>
        <v/>
      </c>
      <c r="R278" s="41" t="str">
        <f aca="true">IF(C278="","",IF(M278="","Нет сведений",IF(M278&lt;TODAY(),"Просрочен",IF(M278-TODAY()&lt;=30,"Истекает","В срок"))))</f>
        <v>Нет сведений</v>
      </c>
      <c r="S278" s="41" t="str">
        <f aca="false">IF(AND(N278="Да",O278=""),"Не пройдено","")</f>
        <v/>
      </c>
    </row>
    <row r="279" customFormat="false" ht="14.25" hidden="false" customHeight="false" outlineLevel="0" collapsed="false">
      <c r="A279" s="35" t="n">
        <f aca="false">IF(C279="","",ROW()-5)</f>
        <v>274</v>
      </c>
      <c r="B279" s="36" t="s">
        <v>110</v>
      </c>
      <c r="C279" s="36" t="s">
        <v>517</v>
      </c>
      <c r="D279" s="36" t="s">
        <v>516</v>
      </c>
      <c r="E279" s="36" t="s">
        <v>507</v>
      </c>
      <c r="F279" s="37" t="n">
        <v>46055</v>
      </c>
      <c r="G279" s="38" t="str">
        <f aca="false">IF(C279="","",IF(TRIM(SUBSTITUTE(SUBSTITUTE(SUBSTITUTE(SUBSTITUTE(SUBSTITUTE(SUBSTITUTE(SUBSTITUTE(SUBSTITUTE(SUBSTITUTE(SUBSTITUTE(SUBSTITUTE(LOWER(TRIM(D279)),"ё","е"),"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категории",""))="инженер",IF(AND(ISNUMBER(SEARCH("техническ",E279)),ISNUMBER(SEARCH("контрол",E279))),"инженер отк",IF(ISNUMBER(SEARCH("диспетч",E279)),"инженер пдо",TRIM(SUBSTITUTE(SUBSTITUTE(SUBSTITUTE(SUBSTITUTE(SUBSTITUTE(SUBSTITUTE(SUBSTITUTE(SUBSTITUTE(SUBSTITUTE(SUBSTITUTE(SUBSTITUTE(LOWER(TRIM(D279)),"ё","е"),"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категории","")))),IF(TRIM(SUBSTITUTE(SUBSTITUTE(SUBSTITUTE(SUBSTITUTE(SUBSTITUTE(SUBSTITUTE(SUBSTITUTE(SUBSTITUTE(SUBSTITUTE(SUBSTITUTE(SUBSTITUTE(LOWER(TRIM(D279)),"ё","е"),"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инженер",IF(ISNUMBER(SEARCH("диспетч",E279)),"ведущий инженер пдо",TRIM(SUBSTITUTE(SUBSTITUTE(SUBSTITUTE(SUBSTITUTE(SUBSTITUTE(SUBSTITUTE(SUBSTITUTE(SUBSTITUTE(SUBSTITUTE(SUBSTITUTE(SUBSTITUTE(LOWER(TRIM(D279)),"ё","е"),"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категории",""))),IF(TRIM(SUBSTITUTE(SUBSTITUTE(SUBSTITUTE(SUBSTITUTE(SUBSTITUTE(SUBSTITUTE(SUBSTITUTE(SUBSTITUTE(SUBSTITUTE(SUBSTITUTE(SUBSTITUTE(LOWER(TRIM(D279)),"ё","е"),"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отк",TRIM(SUBSTITUTE(SUBSTITUTE(SUBSTITUTE(SUBSTITUTE(SUBSTITUTE(SUBSTITUTE(SUBSTITUTE(SUBSTITUTE(SUBSTITUTE(SUBSTITUTE(SUBSTITUTE(LOWER(TRIM(D279)),"ё","е"),"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279" s="35" t="n">
        <f aca="false">IF(C279="","",IF(AND(G279="мастер участка",ISNUMBER(SEARCH("РЭО",E279))),29,IFERROR(INDEX(Соответствие!$B$2:$B$100,MATCH(G279,Соответствие!$A$2:$A$100,0)),"?")))</f>
        <v>19</v>
      </c>
      <c r="I279" s="39" t="str">
        <f aca="false">IF(C279="","",IFERROR(INDEX(Перечень!$C$6:$C$52,MATCH(H279,Перечень!$A$6:$A$52,0)),""))</f>
        <v>п.4.3.1, п.4.3.2, п.4.4, п.5.1, п.6.2, п.15</v>
      </c>
      <c r="J279" s="35" t="n">
        <f aca="false">IF(C279="","",IFERROR(INDEX(Перечень!$D$6:$D$52,MATCH(H279,Перечень!$A$6:$A$52,0)),12))</f>
        <v>12</v>
      </c>
      <c r="K279" s="40" t="n">
        <v>46050</v>
      </c>
      <c r="L279" s="40"/>
      <c r="M279" s="37" t="n">
        <f aca="false">IF(AND(K279="",L279=""),"",EDATE(MAX(K279,L279),J279))</f>
        <v>46415</v>
      </c>
      <c r="N279" s="41" t="str">
        <f aca="false">IF(C279="","",IFERROR(INDEX(Перечень!$F$6:$F$52,MATCH(H279,Перечень!$A$6:$A$52,0)),""))</f>
        <v>-</v>
      </c>
      <c r="O279" s="40"/>
      <c r="P279" s="37" t="str">
        <f aca="false">IF(O279="","",EDATE(O279,60))</f>
        <v/>
      </c>
      <c r="Q279" s="41" t="str">
        <f aca="false">IF(AND(K279&lt;&gt;"",F279&lt;&gt;"",K279&gt;F279),"Да","")</f>
        <v/>
      </c>
      <c r="R279" s="41" t="str">
        <f aca="true">IF(C279="","",IF(M279="","Нет сведений",IF(M279&lt;TODAY(),"Просрочен",IF(M279-TODAY()&lt;=30,"Истекает","В срок"))))</f>
        <v>В срок</v>
      </c>
      <c r="S279" s="41" t="str">
        <f aca="false">IF(AND(N279="Да",O279=""),"Не пройдено","")</f>
        <v/>
      </c>
    </row>
    <row r="280" customFormat="false" ht="14.25" hidden="false" customHeight="false" outlineLevel="0" collapsed="false">
      <c r="A280" s="35" t="n">
        <f aca="false">IF(C280="","",ROW()-5)</f>
        <v>275</v>
      </c>
      <c r="B280" s="36" t="s">
        <v>110</v>
      </c>
      <c r="C280" s="36" t="s">
        <v>518</v>
      </c>
      <c r="D280" s="36" t="s">
        <v>162</v>
      </c>
      <c r="E280" s="36" t="s">
        <v>519</v>
      </c>
      <c r="F280" s="37" t="n">
        <v>45918</v>
      </c>
      <c r="G280" s="38" t="str">
        <f aca="false">IF(C280="","",IF(TRIM(SUBSTITUTE(SUBSTITUTE(SUBSTITUTE(SUBSTITUTE(SUBSTITUTE(SUBSTITUTE(SUBSTITUTE(SUBSTITUTE(SUBSTITUTE(SUBSTITUTE(SUBSTITUTE(LOWER(TRIM(D280)),"ё","е"),"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категории",""))="инженер",IF(AND(ISNUMBER(SEARCH("техническ",E280)),ISNUMBER(SEARCH("контрол",E280))),"инженер отк",IF(ISNUMBER(SEARCH("диспетч",E280)),"инженер пдо",TRIM(SUBSTITUTE(SUBSTITUTE(SUBSTITUTE(SUBSTITUTE(SUBSTITUTE(SUBSTITUTE(SUBSTITUTE(SUBSTITUTE(SUBSTITUTE(SUBSTITUTE(SUBSTITUTE(LOWER(TRIM(D280)),"ё","е"),"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инженер",IF(ISNUMBER(SEARCH("диспетч",E280)),"ведущий инженер пдо",TRIM(SUBSTITUTE(SUBSTITUTE(SUBSTITUTE(SUBSTITUTE(SUBSTITUTE(SUBSTITUTE(SUBSTITUTE(SUBSTITUTE(SUBSTITUTE(SUBSTITUTE(SUBSTITUTE(LOWER(TRIM(D280)),"ё","е"),"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отк",TRIM(SUBSTITUTE(SUBSTITUTE(SUBSTITUTE(SUBSTITUTE(SUBSTITUTE(SUBSTITUTE(SUBSTITUTE(SUBSTITUTE(SUBSTITUTE(SUBSTITUTE(SUBSTITUTE(LOWER(TRIM(D280)),"ё","е"),"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280" s="35" t="n">
        <f aca="false">IF(C280="","",IF(AND(G280="мастер участка",ISNUMBER(SEARCH("РЭО",E280))),29,IFERROR(INDEX(Соответствие!$B$2:$B$100,MATCH(G280,Соответствие!$A$2:$A$100,0)),"?")))</f>
        <v>20</v>
      </c>
      <c r="I280" s="39" t="str">
        <f aca="false">IF(C280="","",IFERROR(INDEX(Перечень!$C$6:$C$52,MATCH(H280,Перечень!$A$6:$A$52,0)),""))</f>
        <v>п.4.3.1, п.4.3.2, п.4.4, п.4.9, п.5.1, п.5.2, п.6.2, п.9</v>
      </c>
      <c r="J280" s="35" t="n">
        <f aca="false">IF(C280="","",IFERROR(INDEX(Перечень!$D$6:$D$52,MATCH(H280,Перечень!$A$6:$A$52,0)),12))</f>
        <v>12</v>
      </c>
      <c r="K280" s="40"/>
      <c r="L280" s="40"/>
      <c r="M280" s="37" t="str">
        <f aca="false">IF(AND(K280="",L280=""),"",EDATE(MAX(K280,L280),J280))</f>
        <v/>
      </c>
      <c r="N280" s="41" t="str">
        <f aca="false">IF(C280="","",IFERROR(INDEX(Перечень!$F$6:$F$52,MATCH(H280,Перечень!$A$6:$A$52,0)),""))</f>
        <v>Да</v>
      </c>
      <c r="O280" s="40"/>
      <c r="P280" s="37" t="str">
        <f aca="false">IF(O280="","",EDATE(O280,60))</f>
        <v/>
      </c>
      <c r="Q280" s="41" t="str">
        <f aca="false">IF(AND(K280&lt;&gt;"",F280&lt;&gt;"",K280&gt;F280),"Да","")</f>
        <v/>
      </c>
      <c r="R280" s="41" t="str">
        <f aca="true">IF(C280="","",IF(M280="","Нет сведений",IF(M280&lt;TODAY(),"Просрочен",IF(M280-TODAY()&lt;=30,"Истекает","В срок"))))</f>
        <v>Нет сведений</v>
      </c>
      <c r="S280" s="41" t="str">
        <f aca="false">IF(AND(N280="Да",O280=""),"Не пройдено","")</f>
        <v>Не пройдено</v>
      </c>
    </row>
    <row r="281" customFormat="false" ht="14.25" hidden="false" customHeight="false" outlineLevel="0" collapsed="false">
      <c r="A281" s="35" t="n">
        <f aca="false">IF(C281="","",ROW()-5)</f>
        <v>276</v>
      </c>
      <c r="B281" s="36" t="s">
        <v>110</v>
      </c>
      <c r="C281" s="36" t="s">
        <v>520</v>
      </c>
      <c r="D281" s="36" t="s">
        <v>500</v>
      </c>
      <c r="E281" s="36" t="s">
        <v>519</v>
      </c>
      <c r="F281" s="37" t="n">
        <v>45845</v>
      </c>
      <c r="G281" s="38" t="str">
        <f aca="false">IF(C281="","",IF(TRIM(SUBSTITUTE(SUBSTITUTE(SUBSTITUTE(SUBSTITUTE(SUBSTITUTE(SUBSTITUTE(SUBSTITUTE(SUBSTITUTE(SUBSTITUTE(SUBSTITUTE(SUBSTITUTE(LOWER(TRIM(D281)),"ё","е"),"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категории",""))="инженер",IF(AND(ISNUMBER(SEARCH("техническ",E281)),ISNUMBER(SEARCH("контрол",E281))),"инженер отк",IF(ISNUMBER(SEARCH("диспетч",E281)),"инженер пдо",TRIM(SUBSTITUTE(SUBSTITUTE(SUBSTITUTE(SUBSTITUTE(SUBSTITUTE(SUBSTITUTE(SUBSTITUTE(SUBSTITUTE(SUBSTITUTE(SUBSTITUTE(SUBSTITUTE(LOWER(TRIM(D281)),"ё","е"),"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инженер",IF(ISNUMBER(SEARCH("диспетч",E281)),"ведущий инженер пдо",TRIM(SUBSTITUTE(SUBSTITUTE(SUBSTITUTE(SUBSTITUTE(SUBSTITUTE(SUBSTITUTE(SUBSTITUTE(SUBSTITUTE(SUBSTITUTE(SUBSTITUTE(SUBSTITUTE(LOWER(TRIM(D281)),"ё","е"),"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отк",TRIM(SUBSTITUTE(SUBSTITUTE(SUBSTITUTE(SUBSTITUTE(SUBSTITUTE(SUBSTITUTE(SUBSTITUTE(SUBSTITUTE(SUBSTITUTE(SUBSTITUTE(SUBSTITUTE(LOWER(TRIM(D281)),"ё","е"),"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281" s="35" t="n">
        <f aca="false">IF(C281="","",IF(AND(G281="мастер участка",ISNUMBER(SEARCH("РЭО",E281))),29,IFERROR(INDEX(Соответствие!$B$2:$B$100,MATCH(G281,Соответствие!$A$2:$A$100,0)),"?")))</f>
        <v>20</v>
      </c>
      <c r="I281" s="39" t="str">
        <f aca="false">IF(C281="","",IFERROR(INDEX(Перечень!$C$6:$C$52,MATCH(H281,Перечень!$A$6:$A$52,0)),""))</f>
        <v>п.4.3.1, п.4.3.2, п.4.4, п.4.9, п.5.1, п.5.2, п.6.2, п.9</v>
      </c>
      <c r="J281" s="35" t="n">
        <f aca="false">IF(C281="","",IFERROR(INDEX(Перечень!$D$6:$D$52,MATCH(H281,Перечень!$A$6:$A$52,0)),12))</f>
        <v>12</v>
      </c>
      <c r="K281" s="40"/>
      <c r="L281" s="40"/>
      <c r="M281" s="37" t="str">
        <f aca="false">IF(AND(K281="",L281=""),"",EDATE(MAX(K281,L281),J281))</f>
        <v/>
      </c>
      <c r="N281" s="41" t="str">
        <f aca="false">IF(C281="","",IFERROR(INDEX(Перечень!$F$6:$F$52,MATCH(H281,Перечень!$A$6:$A$52,0)),""))</f>
        <v>Да</v>
      </c>
      <c r="O281" s="40"/>
      <c r="P281" s="37" t="str">
        <f aca="false">IF(O281="","",EDATE(O281,60))</f>
        <v/>
      </c>
      <c r="Q281" s="41" t="str">
        <f aca="false">IF(AND(K281&lt;&gt;"",F281&lt;&gt;"",K281&gt;F281),"Да","")</f>
        <v/>
      </c>
      <c r="R281" s="41" t="str">
        <f aca="true">IF(C281="","",IF(M281="","Нет сведений",IF(M281&lt;TODAY(),"Просрочен",IF(M281-TODAY()&lt;=30,"Истекает","В срок"))))</f>
        <v>Нет сведений</v>
      </c>
      <c r="S281" s="41" t="str">
        <f aca="false">IF(AND(N281="Да",O281=""),"Не пройдено","")</f>
        <v>Не пройдено</v>
      </c>
    </row>
    <row r="282" customFormat="false" ht="14.25" hidden="false" customHeight="false" outlineLevel="0" collapsed="false">
      <c r="A282" s="35" t="n">
        <f aca="false">IF(C282="","",ROW()-5)</f>
        <v>277</v>
      </c>
      <c r="B282" s="36" t="s">
        <v>110</v>
      </c>
      <c r="C282" s="36" t="s">
        <v>521</v>
      </c>
      <c r="D282" s="36" t="s">
        <v>500</v>
      </c>
      <c r="E282" s="36" t="s">
        <v>519</v>
      </c>
      <c r="F282" s="37" t="n">
        <v>45875</v>
      </c>
      <c r="G282" s="38" t="str">
        <f aca="false">IF(C282="","",IF(TRIM(SUBSTITUTE(SUBSTITUTE(SUBSTITUTE(SUBSTITUTE(SUBSTITUTE(SUBSTITUTE(SUBSTITUTE(SUBSTITUTE(SUBSTITUTE(SUBSTITUTE(SUBSTITUTE(LOWER(TRIM(D282)),"ё","е"),"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категории",""))="инженер",IF(AND(ISNUMBER(SEARCH("техническ",E282)),ISNUMBER(SEARCH("контрол",E282))),"инженер отк",IF(ISNUMBER(SEARCH("диспетч",E282)),"инженер пдо",TRIM(SUBSTITUTE(SUBSTITUTE(SUBSTITUTE(SUBSTITUTE(SUBSTITUTE(SUBSTITUTE(SUBSTITUTE(SUBSTITUTE(SUBSTITUTE(SUBSTITUTE(SUBSTITUTE(LOWER(TRIM(D282)),"ё","е"),"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инженер",IF(ISNUMBER(SEARCH("диспетч",E282)),"ведущий инженер пдо",TRIM(SUBSTITUTE(SUBSTITUTE(SUBSTITUTE(SUBSTITUTE(SUBSTITUTE(SUBSTITUTE(SUBSTITUTE(SUBSTITUTE(SUBSTITUTE(SUBSTITUTE(SUBSTITUTE(LOWER(TRIM(D282)),"ё","е"),"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отк",TRIM(SUBSTITUTE(SUBSTITUTE(SUBSTITUTE(SUBSTITUTE(SUBSTITUTE(SUBSTITUTE(SUBSTITUTE(SUBSTITUTE(SUBSTITUTE(SUBSTITUTE(SUBSTITUTE(LOWER(TRIM(D282)),"ё","е"),"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282" s="35" t="n">
        <f aca="false">IF(C282="","",IF(AND(G282="мастер участка",ISNUMBER(SEARCH("РЭО",E282))),29,IFERROR(INDEX(Соответствие!$B$2:$B$100,MATCH(G282,Соответствие!$A$2:$A$100,0)),"?")))</f>
        <v>20</v>
      </c>
      <c r="I282" s="39" t="str">
        <f aca="false">IF(C282="","",IFERROR(INDEX(Перечень!$C$6:$C$52,MATCH(H282,Перечень!$A$6:$A$52,0)),""))</f>
        <v>п.4.3.1, п.4.3.2, п.4.4, п.4.9, п.5.1, п.5.2, п.6.2, п.9</v>
      </c>
      <c r="J282" s="35" t="n">
        <f aca="false">IF(C282="","",IFERROR(INDEX(Перечень!$D$6:$D$52,MATCH(H282,Перечень!$A$6:$A$52,0)),12))</f>
        <v>12</v>
      </c>
      <c r="K282" s="40" t="n">
        <v>45874</v>
      </c>
      <c r="L282" s="40"/>
      <c r="M282" s="37" t="n">
        <f aca="false">IF(AND(K282="",L282=""),"",EDATE(MAX(K282,L282),J282))</f>
        <v>46239</v>
      </c>
      <c r="N282" s="41" t="str">
        <f aca="false">IF(C282="","",IFERROR(INDEX(Перечень!$F$6:$F$52,MATCH(H282,Перечень!$A$6:$A$52,0)),""))</f>
        <v>Да</v>
      </c>
      <c r="O282" s="40"/>
      <c r="P282" s="37" t="str">
        <f aca="false">IF(O282="","",EDATE(O282,60))</f>
        <v/>
      </c>
      <c r="Q282" s="41" t="str">
        <f aca="false">IF(AND(K282&lt;&gt;"",F282&lt;&gt;"",K282&gt;F282),"Да","")</f>
        <v/>
      </c>
      <c r="R282" s="41" t="str">
        <f aca="true">IF(C282="","",IF(M282="","Нет сведений",IF(M282&lt;TODAY(),"Просрочен",IF(M282-TODAY()&lt;=30,"Истекает","В срок"))))</f>
        <v>Просрочен</v>
      </c>
      <c r="S282" s="41" t="str">
        <f aca="false">IF(AND(N282="Да",O282=""),"Не пройдено","")</f>
        <v>Не пройдено</v>
      </c>
    </row>
    <row r="283" customFormat="false" ht="14.25" hidden="false" customHeight="false" outlineLevel="0" collapsed="false">
      <c r="A283" s="35" t="n">
        <f aca="false">IF(C283="","",ROW()-5)</f>
        <v>278</v>
      </c>
      <c r="B283" s="36" t="s">
        <v>110</v>
      </c>
      <c r="C283" s="36" t="s">
        <v>522</v>
      </c>
      <c r="D283" s="36" t="s">
        <v>500</v>
      </c>
      <c r="E283" s="36" t="s">
        <v>519</v>
      </c>
      <c r="F283" s="37" t="n">
        <v>45838</v>
      </c>
      <c r="G283" s="38" t="str">
        <f aca="false">IF(C283="","",IF(TRIM(SUBSTITUTE(SUBSTITUTE(SUBSTITUTE(SUBSTITUTE(SUBSTITUTE(SUBSTITUTE(SUBSTITUTE(SUBSTITUTE(SUBSTITUTE(SUBSTITUTE(SUBSTITUTE(LOWER(TRIM(D283)),"ё","е"),"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категории",""))="инженер",IF(AND(ISNUMBER(SEARCH("техническ",E283)),ISNUMBER(SEARCH("контрол",E283))),"инженер отк",IF(ISNUMBER(SEARCH("диспетч",E283)),"инженер пдо",TRIM(SUBSTITUTE(SUBSTITUTE(SUBSTITUTE(SUBSTITUTE(SUBSTITUTE(SUBSTITUTE(SUBSTITUTE(SUBSTITUTE(SUBSTITUTE(SUBSTITUTE(SUBSTITUTE(LOWER(TRIM(D283)),"ё","е"),"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инженер",IF(ISNUMBER(SEARCH("диспетч",E283)),"ведущий инженер пдо",TRIM(SUBSTITUTE(SUBSTITUTE(SUBSTITUTE(SUBSTITUTE(SUBSTITUTE(SUBSTITUTE(SUBSTITUTE(SUBSTITUTE(SUBSTITUTE(SUBSTITUTE(SUBSTITUTE(LOWER(TRIM(D283)),"ё","е"),"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отк",TRIM(SUBSTITUTE(SUBSTITUTE(SUBSTITUTE(SUBSTITUTE(SUBSTITUTE(SUBSTITUTE(SUBSTITUTE(SUBSTITUTE(SUBSTITUTE(SUBSTITUTE(SUBSTITUTE(LOWER(TRIM(D283)),"ё","е"),"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283" s="35" t="n">
        <f aca="false">IF(C283="","",IF(AND(G283="мастер участка",ISNUMBER(SEARCH("РЭО",E283))),29,IFERROR(INDEX(Соответствие!$B$2:$B$100,MATCH(G283,Соответствие!$A$2:$A$100,0)),"?")))</f>
        <v>20</v>
      </c>
      <c r="I283" s="39" t="str">
        <f aca="false">IF(C283="","",IFERROR(INDEX(Перечень!$C$6:$C$52,MATCH(H283,Перечень!$A$6:$A$52,0)),""))</f>
        <v>п.4.3.1, п.4.3.2, п.4.4, п.4.9, п.5.1, п.5.2, п.6.2, п.9</v>
      </c>
      <c r="J283" s="35" t="n">
        <f aca="false">IF(C283="","",IFERROR(INDEX(Перечень!$D$6:$D$52,MATCH(H283,Перечень!$A$6:$A$52,0)),12))</f>
        <v>12</v>
      </c>
      <c r="K283" s="40" t="n">
        <v>45832</v>
      </c>
      <c r="L283" s="40"/>
      <c r="M283" s="37" t="n">
        <f aca="false">IF(AND(K283="",L283=""),"",EDATE(MAX(K283,L283),J283))</f>
        <v>46197</v>
      </c>
      <c r="N283" s="41" t="str">
        <f aca="false">IF(C283="","",IFERROR(INDEX(Перечень!$F$6:$F$52,MATCH(H283,Перечень!$A$6:$A$52,0)),""))</f>
        <v>Да</v>
      </c>
      <c r="O283" s="40"/>
      <c r="P283" s="37" t="str">
        <f aca="false">IF(O283="","",EDATE(O283,60))</f>
        <v/>
      </c>
      <c r="Q283" s="41" t="str">
        <f aca="false">IF(AND(K283&lt;&gt;"",F283&lt;&gt;"",K283&gt;F283),"Да","")</f>
        <v/>
      </c>
      <c r="R283" s="41" t="str">
        <f aca="true">IF(C283="","",IF(M283="","Нет сведений",IF(M283&lt;TODAY(),"Просрочен",IF(M283-TODAY()&lt;=30,"Истекает","В срок"))))</f>
        <v>Просрочен</v>
      </c>
      <c r="S283" s="41" t="str">
        <f aca="false">IF(AND(N283="Да",O283=""),"Не пройдено","")</f>
        <v>Не пройдено</v>
      </c>
    </row>
    <row r="284" customFormat="false" ht="14.25" hidden="false" customHeight="false" outlineLevel="0" collapsed="false">
      <c r="A284" s="35" t="n">
        <f aca="false">IF(C284="","",ROW()-5)</f>
        <v>279</v>
      </c>
      <c r="B284" s="36" t="s">
        <v>110</v>
      </c>
      <c r="C284" s="36" t="s">
        <v>523</v>
      </c>
      <c r="D284" s="36" t="s">
        <v>500</v>
      </c>
      <c r="E284" s="36" t="s">
        <v>519</v>
      </c>
      <c r="F284" s="37" t="n">
        <v>45992</v>
      </c>
      <c r="G284" s="38" t="str">
        <f aca="false">IF(C284="","",IF(TRIM(SUBSTITUTE(SUBSTITUTE(SUBSTITUTE(SUBSTITUTE(SUBSTITUTE(SUBSTITUTE(SUBSTITUTE(SUBSTITUTE(SUBSTITUTE(SUBSTITUTE(SUBSTITUTE(LOWER(TRIM(D284)),"ё","е"),"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категории",""))="инженер",IF(AND(ISNUMBER(SEARCH("техническ",E284)),ISNUMBER(SEARCH("контрол",E284))),"инженер отк",IF(ISNUMBER(SEARCH("диспетч",E284)),"инженер пдо",TRIM(SUBSTITUTE(SUBSTITUTE(SUBSTITUTE(SUBSTITUTE(SUBSTITUTE(SUBSTITUTE(SUBSTITUTE(SUBSTITUTE(SUBSTITUTE(SUBSTITUTE(SUBSTITUTE(LOWER(TRIM(D284)),"ё","е"),"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инженер",IF(ISNUMBER(SEARCH("диспетч",E284)),"ведущий инженер пдо",TRIM(SUBSTITUTE(SUBSTITUTE(SUBSTITUTE(SUBSTITUTE(SUBSTITUTE(SUBSTITUTE(SUBSTITUTE(SUBSTITUTE(SUBSTITUTE(SUBSTITUTE(SUBSTITUTE(LOWER(TRIM(D284)),"ё","е"),"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отк",TRIM(SUBSTITUTE(SUBSTITUTE(SUBSTITUTE(SUBSTITUTE(SUBSTITUTE(SUBSTITUTE(SUBSTITUTE(SUBSTITUTE(SUBSTITUTE(SUBSTITUTE(SUBSTITUTE(LOWER(TRIM(D284)),"ё","е"),"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284" s="35" t="n">
        <f aca="false">IF(C284="","",IF(AND(G284="мастер участка",ISNUMBER(SEARCH("РЭО",E284))),29,IFERROR(INDEX(Соответствие!$B$2:$B$100,MATCH(G284,Соответствие!$A$2:$A$100,0)),"?")))</f>
        <v>20</v>
      </c>
      <c r="I284" s="39" t="str">
        <f aca="false">IF(C284="","",IFERROR(INDEX(Перечень!$C$6:$C$52,MATCH(H284,Перечень!$A$6:$A$52,0)),""))</f>
        <v>п.4.3.1, п.4.3.2, п.4.4, п.4.9, п.5.1, п.5.2, п.6.2, п.9</v>
      </c>
      <c r="J284" s="35" t="n">
        <f aca="false">IF(C284="","",IFERROR(INDEX(Перечень!$D$6:$D$52,MATCH(H284,Перечень!$A$6:$A$52,0)),12))</f>
        <v>12</v>
      </c>
      <c r="K284" s="40" t="n">
        <v>45967</v>
      </c>
      <c r="L284" s="40"/>
      <c r="M284" s="37" t="n">
        <f aca="false">IF(AND(K284="",L284=""),"",EDATE(MAX(K284,L284),J284))</f>
        <v>46332</v>
      </c>
      <c r="N284" s="41" t="str">
        <f aca="false">IF(C284="","",IFERROR(INDEX(Перечень!$F$6:$F$52,MATCH(H284,Перечень!$A$6:$A$52,0)),""))</f>
        <v>Да</v>
      </c>
      <c r="O284" s="40"/>
      <c r="P284" s="37" t="str">
        <f aca="false">IF(O284="","",EDATE(O284,60))</f>
        <v/>
      </c>
      <c r="Q284" s="41" t="str">
        <f aca="false">IF(AND(K284&lt;&gt;"",F284&lt;&gt;"",K284&gt;F284),"Да","")</f>
        <v/>
      </c>
      <c r="R284" s="41" t="str">
        <f aca="true">IF(C284="","",IF(M284="","Нет сведений",IF(M284&lt;TODAY(),"Просрочен",IF(M284-TODAY()&lt;=30,"Истекает","В срок"))))</f>
        <v>Истекает</v>
      </c>
      <c r="S284" s="41" t="str">
        <f aca="false">IF(AND(N284="Да",O284=""),"Не пройдено","")</f>
        <v>Не пройдено</v>
      </c>
    </row>
    <row r="285" customFormat="false" ht="14.25" hidden="false" customHeight="false" outlineLevel="0" collapsed="false">
      <c r="A285" s="35" t="n">
        <f aca="false">IF(C285="","",ROW()-5)</f>
        <v>280</v>
      </c>
      <c r="B285" s="36" t="s">
        <v>110</v>
      </c>
      <c r="C285" s="36" t="s">
        <v>524</v>
      </c>
      <c r="D285" s="36" t="s">
        <v>206</v>
      </c>
      <c r="E285" s="36" t="s">
        <v>525</v>
      </c>
      <c r="F285" s="37" t="n">
        <v>45989</v>
      </c>
      <c r="G285" s="38" t="str">
        <f aca="false">IF(C285="","",IF(TRIM(SUBSTITUTE(SUBSTITUTE(SUBSTITUTE(SUBSTITUTE(SUBSTITUTE(SUBSTITUTE(SUBSTITUTE(SUBSTITUTE(SUBSTITUTE(SUBSTITUTE(SUBSTITUTE(LOWER(TRIM(D285)),"ё","е"),"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категории",""))="инженер",IF(AND(ISNUMBER(SEARCH("техническ",E285)),ISNUMBER(SEARCH("контрол",E285))),"инженер отк",IF(ISNUMBER(SEARCH("диспетч",E285)),"инженер пдо",TRIM(SUBSTITUTE(SUBSTITUTE(SUBSTITUTE(SUBSTITUTE(SUBSTITUTE(SUBSTITUTE(SUBSTITUTE(SUBSTITUTE(SUBSTITUTE(SUBSTITUTE(SUBSTITUTE(LOWER(TRIM(D285)),"ё","е"),"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инженер",IF(ISNUMBER(SEARCH("диспетч",E285)),"ведущий инженер пдо",TRIM(SUBSTITUTE(SUBSTITUTE(SUBSTITUTE(SUBSTITUTE(SUBSTITUTE(SUBSTITUTE(SUBSTITUTE(SUBSTITUTE(SUBSTITUTE(SUBSTITUTE(SUBSTITUTE(LOWER(TRIM(D285)),"ё","е"),"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отк",TRIM(SUBSTITUTE(SUBSTITUTE(SUBSTITUTE(SUBSTITUTE(SUBSTITUTE(SUBSTITUTE(SUBSTITUTE(SUBSTITUTE(SUBSTITUTE(SUBSTITUTE(SUBSTITUTE(LOWER(TRIM(D285)),"ё","е")," -","-"),"- ","-")," 2 разряда","")," 3 разряда","")," 4 разряда","")," 5 разряда","")," 6 разряда","")," 1 категории","")," 2 категории","")," 3 категории",""))))))</f>
        <v>кладовщик</v>
      </c>
      <c r="H285" s="35" t="n">
        <f aca="false">IF(C285="","",IF(AND(G285="мастер участка",ISNUMBER(SEARCH("РЭО",E285))),29,IFERROR(INDEX(Соответствие!$B$2:$B$100,MATCH(G285,Соответствие!$A$2:$A$100,0)),"?")))</f>
        <v>14</v>
      </c>
      <c r="I285" s="39" t="str">
        <f aca="false">IF(C285="","",IFERROR(INDEX(Перечень!$C$6:$C$52,MATCH(H285,Перечень!$A$6:$A$52,0)),""))</f>
        <v>п.4.4, п.5.1, п.6.2</v>
      </c>
      <c r="J285" s="35" t="n">
        <f aca="false">IF(C285="","",IFERROR(INDEX(Перечень!$D$6:$D$52,MATCH(H285,Перечень!$A$6:$A$52,0)),12))</f>
        <v>12</v>
      </c>
      <c r="K285" s="40" t="n">
        <v>45987</v>
      </c>
      <c r="L285" s="40"/>
      <c r="M285" s="37" t="n">
        <f aca="false">IF(AND(K285="",L285=""),"",EDATE(MAX(K285,L285),J285))</f>
        <v>46352</v>
      </c>
      <c r="N285" s="41" t="str">
        <f aca="false">IF(C285="","",IFERROR(INDEX(Перечень!$F$6:$F$52,MATCH(H285,Перечень!$A$6:$A$52,0)),""))</f>
        <v>-</v>
      </c>
      <c r="O285" s="40"/>
      <c r="P285" s="37" t="str">
        <f aca="false">IF(O285="","",EDATE(O285,60))</f>
        <v/>
      </c>
      <c r="Q285" s="41" t="str">
        <f aca="false">IF(AND(K285&lt;&gt;"",F285&lt;&gt;"",K285&gt;F285),"Да","")</f>
        <v/>
      </c>
      <c r="R285" s="41" t="str">
        <f aca="true">IF(C285="","",IF(M285="","Нет сведений",IF(M285&lt;TODAY(),"Просрочен",IF(M285-TODAY()&lt;=30,"Истекает","В срок"))))</f>
        <v>В срок</v>
      </c>
      <c r="S285" s="41" t="str">
        <f aca="false">IF(AND(N285="Да",O285=""),"Не пройдено","")</f>
        <v/>
      </c>
    </row>
    <row r="286" customFormat="false" ht="14.25" hidden="false" customHeight="false" outlineLevel="0" collapsed="false">
      <c r="A286" s="35" t="n">
        <f aca="false">IF(C286="","",ROW()-5)</f>
        <v>281</v>
      </c>
      <c r="B286" s="36" t="s">
        <v>110</v>
      </c>
      <c r="C286" s="36" t="s">
        <v>526</v>
      </c>
      <c r="D286" s="36" t="s">
        <v>527</v>
      </c>
      <c r="E286" s="36" t="s">
        <v>528</v>
      </c>
      <c r="F286" s="37" t="n">
        <v>46223</v>
      </c>
      <c r="G286" s="38" t="str">
        <f aca="false">IF(C286="","",IF(TRIM(SUBSTITUTE(SUBSTITUTE(SUBSTITUTE(SUBSTITUTE(SUBSTITUTE(SUBSTITUTE(SUBSTITUTE(SUBSTITUTE(SUBSTITUTE(SUBSTITUTE(SUBSTITUTE(LOWER(TRIM(D286)),"ё","е"),"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категории",""))="инженер",IF(AND(ISNUMBER(SEARCH("техническ",E286)),ISNUMBER(SEARCH("контрол",E286))),"инженер отк",IF(ISNUMBER(SEARCH("диспетч",E286)),"инженер пдо",TRIM(SUBSTITUTE(SUBSTITUTE(SUBSTITUTE(SUBSTITUTE(SUBSTITUTE(SUBSTITUTE(SUBSTITUTE(SUBSTITUTE(SUBSTITUTE(SUBSTITUTE(SUBSTITUTE(LOWER(TRIM(D286)),"ё","е"),"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инженер",IF(ISNUMBER(SEARCH("диспетч",E286)),"ведущий инженер пдо",TRIM(SUBSTITUTE(SUBSTITUTE(SUBSTITUTE(SUBSTITUTE(SUBSTITUTE(SUBSTITUTE(SUBSTITUTE(SUBSTITUTE(SUBSTITUTE(SUBSTITUTE(SUBSTITUTE(LOWER(TRIM(D286)),"ё","е"),"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отк",TRIM(SUBSTITUTE(SUBSTITUTE(SUBSTITUTE(SUBSTITUTE(SUBSTITUTE(SUBSTITUTE(SUBSTITUTE(SUBSTITUTE(SUBSTITUTE(SUBSTITUTE(SUBSTITUTE(LOWER(TRIM(D286)),"ё","е")," -","-"),"- ","-")," 2 разряда","")," 3 разряда","")," 4 разряда","")," 5 разряда","")," 6 разряда","")," 1 категории","")," 2 категории","")," 3 категории",""))))))</f>
        <v>технический работник</v>
      </c>
      <c r="H286" s="35" t="n">
        <f aca="false">IF(C286="","",IF(AND(G286="мастер участка",ISNUMBER(SEARCH("РЭО",E286))),29,IFERROR(INDEX(Соответствие!$B$2:$B$100,MATCH(G286,Соответствие!$A$2:$A$100,0)),"?")))</f>
        <v>10</v>
      </c>
      <c r="I286" s="39" t="str">
        <f aca="false">IF(C286="","",IFERROR(INDEX(Перечень!$C$6:$C$52,MATCH(H286,Перечень!$A$6:$A$52,0)),""))</f>
        <v>п.1.48, п.4.4, п.5.1</v>
      </c>
      <c r="J286" s="35" t="n">
        <f aca="false">IF(C286="","",IFERROR(INDEX(Перечень!$D$6:$D$52,MATCH(H286,Перечень!$A$6:$A$52,0)),12))</f>
        <v>12</v>
      </c>
      <c r="K286" s="40" t="n">
        <v>46212</v>
      </c>
      <c r="L286" s="40"/>
      <c r="M286" s="37" t="n">
        <f aca="false">IF(AND(K286="",L286=""),"",EDATE(MAX(K286,L286),J286))</f>
        <v>46577</v>
      </c>
      <c r="N286" s="41" t="str">
        <f aca="false">IF(C286="","",IFERROR(INDEX(Перечень!$F$6:$F$52,MATCH(H286,Перечень!$A$6:$A$52,0)),""))</f>
        <v>-</v>
      </c>
      <c r="O286" s="40"/>
      <c r="P286" s="37" t="str">
        <f aca="false">IF(O286="","",EDATE(O286,60))</f>
        <v/>
      </c>
      <c r="Q286" s="41" t="str">
        <f aca="false">IF(AND(K286&lt;&gt;"",F286&lt;&gt;"",K286&gt;F286),"Да","")</f>
        <v/>
      </c>
      <c r="R286" s="41" t="str">
        <f aca="true">IF(C286="","",IF(M286="","Нет сведений",IF(M286&lt;TODAY(),"Просрочен",IF(M286-TODAY()&lt;=30,"Истекает","В срок"))))</f>
        <v>В срок</v>
      </c>
      <c r="S286" s="41" t="str">
        <f aca="false">IF(AND(N286="Да",O286=""),"Не пройдено","")</f>
        <v/>
      </c>
    </row>
    <row r="287" customFormat="false" ht="14.25" hidden="false" customHeight="false" outlineLevel="0" collapsed="false">
      <c r="A287" s="35" t="n">
        <f aca="false">IF(C287="","",ROW()-5)</f>
        <v>282</v>
      </c>
      <c r="B287" s="36" t="s">
        <v>105</v>
      </c>
      <c r="C287" s="36" t="s">
        <v>529</v>
      </c>
      <c r="D287" s="36" t="s">
        <v>527</v>
      </c>
      <c r="E287" s="36" t="s">
        <v>530</v>
      </c>
      <c r="F287" s="37" t="n">
        <v>46002</v>
      </c>
      <c r="G287" s="38" t="str">
        <f aca="false">IF(C287="","",IF(TRIM(SUBSTITUTE(SUBSTITUTE(SUBSTITUTE(SUBSTITUTE(SUBSTITUTE(SUBSTITUTE(SUBSTITUTE(SUBSTITUTE(SUBSTITUTE(SUBSTITUTE(SUBSTITUTE(LOWER(TRIM(D287)),"ё","е"),"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категории",""))="инженер",IF(AND(ISNUMBER(SEARCH("техническ",E287)),ISNUMBER(SEARCH("контрол",E287))),"инженер отк",IF(ISNUMBER(SEARCH("диспетч",E287)),"инженер пдо",TRIM(SUBSTITUTE(SUBSTITUTE(SUBSTITUTE(SUBSTITUTE(SUBSTITUTE(SUBSTITUTE(SUBSTITUTE(SUBSTITUTE(SUBSTITUTE(SUBSTITUTE(SUBSTITUTE(LOWER(TRIM(D287)),"ё","е"),"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инженер",IF(ISNUMBER(SEARCH("диспетч",E287)),"ведущий инженер пдо",TRIM(SUBSTITUTE(SUBSTITUTE(SUBSTITUTE(SUBSTITUTE(SUBSTITUTE(SUBSTITUTE(SUBSTITUTE(SUBSTITUTE(SUBSTITUTE(SUBSTITUTE(SUBSTITUTE(LOWER(TRIM(D287)),"ё","е"),"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отк",TRIM(SUBSTITUTE(SUBSTITUTE(SUBSTITUTE(SUBSTITUTE(SUBSTITUTE(SUBSTITUTE(SUBSTITUTE(SUBSTITUTE(SUBSTITUTE(SUBSTITUTE(SUBSTITUTE(LOWER(TRIM(D287)),"ё","е")," -","-"),"- ","-")," 2 разряда","")," 3 разряда","")," 4 разряда","")," 5 разряда","")," 6 разряда","")," 1 категории","")," 2 категории","")," 3 категории",""))))))</f>
        <v>технический работник</v>
      </c>
      <c r="H287" s="35" t="n">
        <f aca="false">IF(C287="","",IF(AND(G287="мастер участка",ISNUMBER(SEARCH("РЭО",E287))),29,IFERROR(INDEX(Соответствие!$B$2:$B$100,MATCH(G287,Соответствие!$A$2:$A$100,0)),"?")))</f>
        <v>10</v>
      </c>
      <c r="I287" s="39" t="str">
        <f aca="false">IF(C287="","",IFERROR(INDEX(Перечень!$C$6:$C$52,MATCH(H287,Перечень!$A$6:$A$52,0)),""))</f>
        <v>п.1.48, п.4.4, п.5.1</v>
      </c>
      <c r="J287" s="35" t="n">
        <f aca="false">IF(C287="","",IFERROR(INDEX(Перечень!$D$6:$D$52,MATCH(H287,Перечень!$A$6:$A$52,0)),12))</f>
        <v>12</v>
      </c>
      <c r="K287" s="40"/>
      <c r="L287" s="40"/>
      <c r="M287" s="37" t="str">
        <f aca="false">IF(AND(K287="",L287=""),"",EDATE(MAX(K287,L287),J287))</f>
        <v/>
      </c>
      <c r="N287" s="41" t="str">
        <f aca="false">IF(C287="","",IFERROR(INDEX(Перечень!$F$6:$F$52,MATCH(H287,Перечень!$A$6:$A$52,0)),""))</f>
        <v>-</v>
      </c>
      <c r="O287" s="40"/>
      <c r="P287" s="37" t="str">
        <f aca="false">IF(O287="","",EDATE(O287,60))</f>
        <v/>
      </c>
      <c r="Q287" s="41" t="str">
        <f aca="false">IF(AND(K287&lt;&gt;"",F287&lt;&gt;"",K287&gt;F287),"Да","")</f>
        <v/>
      </c>
      <c r="R287" s="41" t="str">
        <f aca="true">IF(C287="","",IF(M287="","Нет сведений",IF(M287&lt;TODAY(),"Просрочен",IF(M287-TODAY()&lt;=30,"Истекает","В срок"))))</f>
        <v>Нет сведений</v>
      </c>
      <c r="S287" s="41" t="str">
        <f aca="false">IF(AND(N287="Да",O287=""),"Не пройдено","")</f>
        <v/>
      </c>
    </row>
    <row r="288" customFormat="false" ht="14.25" hidden="false" customHeight="false" outlineLevel="0" collapsed="false">
      <c r="A288" s="35" t="n">
        <f aca="false">IF(C288="","",ROW()-5)</f>
        <v>283</v>
      </c>
      <c r="B288" s="36" t="s">
        <v>109</v>
      </c>
      <c r="C288" s="36" t="s">
        <v>531</v>
      </c>
      <c r="D288" s="36" t="s">
        <v>431</v>
      </c>
      <c r="E288" s="36" t="s">
        <v>432</v>
      </c>
      <c r="F288" s="37" t="n">
        <v>46191</v>
      </c>
      <c r="G288" s="38" t="str">
        <f aca="false">IF(C288="","",IF(TRIM(SUBSTITUTE(SUBSTITUTE(SUBSTITUTE(SUBSTITUTE(SUBSTITUTE(SUBSTITUTE(SUBSTITUTE(SUBSTITUTE(SUBSTITUTE(SUBSTITUTE(SUBSTITUTE(LOWER(TRIM(D288)),"ё","е"),"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категории",""))="инженер",IF(AND(ISNUMBER(SEARCH("техническ",E288)),ISNUMBER(SEARCH("контрол",E288))),"инженер отк",IF(ISNUMBER(SEARCH("диспетч",E288)),"инженер пдо",TRIM(SUBSTITUTE(SUBSTITUTE(SUBSTITUTE(SUBSTITUTE(SUBSTITUTE(SUBSTITUTE(SUBSTITUTE(SUBSTITUTE(SUBSTITUTE(SUBSTITUTE(SUBSTITUTE(LOWER(TRIM(D288)),"ё","е"),"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инженер",IF(ISNUMBER(SEARCH("диспетч",E288)),"ведущий инженер пдо",TRIM(SUBSTITUTE(SUBSTITUTE(SUBSTITUTE(SUBSTITUTE(SUBSTITUTE(SUBSTITUTE(SUBSTITUTE(SUBSTITUTE(SUBSTITUTE(SUBSTITUTE(SUBSTITUTE(LOWER(TRIM(D288)),"ё","е"),"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отк",TRIM(SUBSTITUTE(SUBSTITUTE(SUBSTITUTE(SUBSTITUTE(SUBSTITUTE(SUBSTITUTE(SUBSTITUTE(SUBSTITUTE(SUBSTITUTE(SUBSTITUTE(SUBSTITUTE(LOWER(TRIM(D288)),"ё","е")," -","-"),"- ","-")," 2 разряда","")," 3 разряда","")," 4 разряда","")," 5 разряда","")," 6 разряда","")," 1 категории","")," 2 категории","")," 3 категории",""))))))</f>
        <v>специалист</v>
      </c>
      <c r="H288" s="35" t="n">
        <f aca="false">IF(C288="","",IF(AND(G288="мастер участка",ISNUMBER(SEARCH("РЭО",E288))),29,IFERROR(INDEX(Соответствие!$B$2:$B$100,MATCH(G288,Соответствие!$A$2:$A$100,0)),"?")))</f>
        <v>12</v>
      </c>
      <c r="I288" s="39" t="str">
        <f aca="false">IF(C288="","",IFERROR(INDEX(Перечень!$C$6:$C$52,MATCH(H288,Перечень!$A$6:$A$52,0)),""))</f>
        <v>п.4.4, п.5.2</v>
      </c>
      <c r="J288" s="35" t="n">
        <f aca="false">IF(C288="","",IFERROR(INDEX(Перечень!$D$6:$D$52,MATCH(H288,Перечень!$A$6:$A$52,0)),12))</f>
        <v>12</v>
      </c>
      <c r="K288" s="40" t="n">
        <v>46189</v>
      </c>
      <c r="L288" s="40"/>
      <c r="M288" s="37" t="n">
        <f aca="false">IF(AND(K288="",L288=""),"",EDATE(MAX(K288,L288),J288))</f>
        <v>46554</v>
      </c>
      <c r="N288" s="41" t="str">
        <f aca="false">IF(C288="","",IFERROR(INDEX(Перечень!$F$6:$F$52,MATCH(H288,Перечень!$A$6:$A$52,0)),""))</f>
        <v>-</v>
      </c>
      <c r="O288" s="40"/>
      <c r="P288" s="37" t="str">
        <f aca="false">IF(O288="","",EDATE(O288,60))</f>
        <v/>
      </c>
      <c r="Q288" s="41" t="str">
        <f aca="false">IF(AND(K288&lt;&gt;"",F288&lt;&gt;"",K288&gt;F288),"Да","")</f>
        <v/>
      </c>
      <c r="R288" s="41" t="str">
        <f aca="true">IF(C288="","",IF(M288="","Нет сведений",IF(M288&lt;TODAY(),"Просрочен",IF(M288-TODAY()&lt;=30,"Истекает","В срок"))))</f>
        <v>В срок</v>
      </c>
      <c r="S288" s="41" t="str">
        <f aca="false">IF(AND(N288="Да",O288=""),"Не пройдено","")</f>
        <v/>
      </c>
    </row>
    <row r="289" customFormat="false" ht="14.25" hidden="false" customHeight="false" outlineLevel="0" collapsed="false">
      <c r="A289" s="35" t="n">
        <f aca="false">IF(C289="","",ROW()-5)</f>
        <v>284</v>
      </c>
      <c r="B289" s="36" t="s">
        <v>109</v>
      </c>
      <c r="C289" s="36" t="s">
        <v>532</v>
      </c>
      <c r="D289" s="36" t="s">
        <v>411</v>
      </c>
      <c r="E289" s="36" t="s">
        <v>432</v>
      </c>
      <c r="F289" s="37" t="n">
        <v>46245</v>
      </c>
      <c r="G289" s="38" t="str">
        <f aca="false">IF(C289="","",IF(TRIM(SUBSTITUTE(SUBSTITUTE(SUBSTITUTE(SUBSTITUTE(SUBSTITUTE(SUBSTITUTE(SUBSTITUTE(SUBSTITUTE(SUBSTITUTE(SUBSTITUTE(SUBSTITUTE(LOWER(TRIM(D289)),"ё","е"),"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категории",""))="инженер",IF(AND(ISNUMBER(SEARCH("техническ",E289)),ISNUMBER(SEARCH("контрол",E289))),"инженер отк",IF(ISNUMBER(SEARCH("диспетч",E289)),"инженер пдо",TRIM(SUBSTITUTE(SUBSTITUTE(SUBSTITUTE(SUBSTITUTE(SUBSTITUTE(SUBSTITUTE(SUBSTITUTE(SUBSTITUTE(SUBSTITUTE(SUBSTITUTE(SUBSTITUTE(LOWER(TRIM(D289)),"ё","е"),"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категории","")))),IF(TRIM(SUBSTITUTE(SUBSTITUTE(SUBSTITUTE(SUBSTITUTE(SUBSTITUTE(SUBSTITUTE(SUBSTITUTE(SUBSTITUTE(SUBSTITUTE(SUBSTITUTE(SUBSTITUTE(LOWER(TRIM(D289)),"ё","е"),"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инженер",IF(ISNUMBER(SEARCH("диспетч",E289)),"ведущий инженер пдо",TRIM(SUBSTITUTE(SUBSTITUTE(SUBSTITUTE(SUBSTITUTE(SUBSTITUTE(SUBSTITUTE(SUBSTITUTE(SUBSTITUTE(SUBSTITUTE(SUBSTITUTE(SUBSTITUTE(LOWER(TRIM(D289)),"ё","е"),"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категории",""))),IF(TRIM(SUBSTITUTE(SUBSTITUTE(SUBSTITUTE(SUBSTITUTE(SUBSTITUTE(SUBSTITUTE(SUBSTITUTE(SUBSTITUTE(SUBSTITUTE(SUBSTITUTE(SUBSTITUTE(LOWER(TRIM(D289)),"ё","е"),"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отк",TRIM(SUBSTITUTE(SUBSTITUTE(SUBSTITUTE(SUBSTITUTE(SUBSTITUTE(SUBSTITUTE(SUBSTITUTE(SUBSTITUTE(SUBSTITUTE(SUBSTITUTE(SUBSTITUTE(LOWER(TRIM(D289)),"ё","е")," -","-"),"- ","-")," 2 разряда","")," 3 разряда","")," 4 разряда","")," 5 разряда","")," 6 разряда","")," 1 категории","")," 2 категории","")," 3 категории",""))))))</f>
        <v>разнорабочий</v>
      </c>
      <c r="H289" s="35" t="n">
        <f aca="false">IF(C289="","",IF(AND(G289="мастер участка",ISNUMBER(SEARCH("РЭО",E289))),29,IFERROR(INDEX(Соответствие!$B$2:$B$100,MATCH(G289,Соответствие!$A$2:$A$100,0)),"?")))</f>
        <v>7</v>
      </c>
      <c r="I289" s="39" t="str">
        <f aca="false">IF(C289="","",IFERROR(INDEX(Перечень!$C$6:$C$52,MATCH(H289,Перечень!$A$6:$A$52,0)),""))</f>
        <v>п.4.3.1, п.4.4, п.4.7, п.4.8, п.5.1, п.6.1</v>
      </c>
      <c r="J289" s="35" t="n">
        <f aca="false">IF(C289="","",IFERROR(INDEX(Перечень!$D$6:$D$52,MATCH(H289,Перечень!$A$6:$A$52,0)),12))</f>
        <v>12</v>
      </c>
      <c r="K289" s="40" t="n">
        <v>46238</v>
      </c>
      <c r="L289" s="40"/>
      <c r="M289" s="37" t="n">
        <f aca="false">IF(AND(K289="",L289=""),"",EDATE(MAX(K289,L289),J289))</f>
        <v>46603</v>
      </c>
      <c r="N289" s="41" t="str">
        <f aca="false">IF(C289="","",IFERROR(INDEX(Перечень!$F$6:$F$52,MATCH(H289,Перечень!$A$6:$A$52,0)),""))</f>
        <v>-</v>
      </c>
      <c r="O289" s="40"/>
      <c r="P289" s="37" t="str">
        <f aca="false">IF(O289="","",EDATE(O289,60))</f>
        <v/>
      </c>
      <c r="Q289" s="41" t="str">
        <f aca="false">IF(AND(K289&lt;&gt;"",F289&lt;&gt;"",K289&gt;F289),"Да","")</f>
        <v/>
      </c>
      <c r="R289" s="41" t="str">
        <f aca="true">IF(C289="","",IF(M289="","Нет сведений",IF(M289&lt;TODAY(),"Просрочен",IF(M289-TODAY()&lt;=30,"Истекает","В срок"))))</f>
        <v>В срок</v>
      </c>
      <c r="S289" s="41" t="str">
        <f aca="false">IF(AND(N289="Да",O289=""),"Не пройдено","")</f>
        <v/>
      </c>
    </row>
    <row r="290" customFormat="false" ht="14.25" hidden="false" customHeight="false" outlineLevel="0" collapsed="false">
      <c r="A290" s="35" t="n">
        <f aca="false">IF(C290="","",ROW()-5)</f>
        <v>285</v>
      </c>
      <c r="B290" s="36" t="s">
        <v>109</v>
      </c>
      <c r="C290" s="36" t="s">
        <v>533</v>
      </c>
      <c r="D290" s="36" t="s">
        <v>434</v>
      </c>
      <c r="E290" s="36" t="s">
        <v>432</v>
      </c>
      <c r="F290" s="37" t="n">
        <v>45944</v>
      </c>
      <c r="G290" s="38" t="str">
        <f aca="false">IF(C290="","",IF(TRIM(SUBSTITUTE(SUBSTITUTE(SUBSTITUTE(SUBSTITUTE(SUBSTITUTE(SUBSTITUTE(SUBSTITUTE(SUBSTITUTE(SUBSTITUTE(SUBSTITUTE(SUBSTITUTE(LOWER(TRIM(D290)),"ё","е"),"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категории",""))="инженер",IF(AND(ISNUMBER(SEARCH("техническ",E290)),ISNUMBER(SEARCH("контрол",E290))),"инженер отк",IF(ISNUMBER(SEARCH("диспетч",E290)),"инженер пдо",TRIM(SUBSTITUTE(SUBSTITUTE(SUBSTITUTE(SUBSTITUTE(SUBSTITUTE(SUBSTITUTE(SUBSTITUTE(SUBSTITUTE(SUBSTITUTE(SUBSTITUTE(SUBSTITUTE(LOWER(TRIM(D290)),"ё","е"),"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инженер",IF(ISNUMBER(SEARCH("диспетч",E290)),"ведущий инженер пдо",TRIM(SUBSTITUTE(SUBSTITUTE(SUBSTITUTE(SUBSTITUTE(SUBSTITUTE(SUBSTITUTE(SUBSTITUTE(SUBSTITUTE(SUBSTITUTE(SUBSTITUTE(SUBSTITUTE(LOWER(TRIM(D290)),"ё","е"),"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отк",TRIM(SUBSTITUTE(SUBSTITUTE(SUBSTITUTE(SUBSTITUTE(SUBSTITUTE(SUBSTITUTE(SUBSTITUTE(SUBSTITUTE(SUBSTITUTE(SUBSTITUTE(SUBSTITUTE(LOWER(TRIM(D290)),"ё","е")," -","-"),"- ","-")," 2 разряда","")," 3 разряда","")," 4 разряда","")," 5 разряда","")," 6 разряда","")," 1 категории","")," 2 категории","")," 3 категории",""))))))</f>
        <v>уборщик производственных и служебных помещений</v>
      </c>
      <c r="H290" s="35" t="n">
        <f aca="false">IF(C290="","",IF(AND(G290="мастер участка",ISNUMBER(SEARCH("РЭО",E290))),29,IFERROR(INDEX(Соответствие!$B$2:$B$100,MATCH(G290,Соответствие!$A$2:$A$100,0)),"?")))</f>
        <v>10</v>
      </c>
      <c r="I290" s="39" t="str">
        <f aca="false">IF(C290="","",IFERROR(INDEX(Перечень!$C$6:$C$52,MATCH(H290,Перечень!$A$6:$A$52,0)),""))</f>
        <v>п.1.48, п.4.4, п.5.1</v>
      </c>
      <c r="J290" s="35" t="n">
        <f aca="false">IF(C290="","",IFERROR(INDEX(Перечень!$D$6:$D$52,MATCH(H290,Перечень!$A$6:$A$52,0)),12))</f>
        <v>12</v>
      </c>
      <c r="K290" s="40"/>
      <c r="L290" s="40"/>
      <c r="M290" s="37" t="str">
        <f aca="false">IF(AND(K290="",L290=""),"",EDATE(MAX(K290,L290),J290))</f>
        <v/>
      </c>
      <c r="N290" s="41" t="str">
        <f aca="false">IF(C290="","",IFERROR(INDEX(Перечень!$F$6:$F$52,MATCH(H290,Перечень!$A$6:$A$52,0)),""))</f>
        <v>-</v>
      </c>
      <c r="O290" s="40"/>
      <c r="P290" s="37" t="str">
        <f aca="false">IF(O290="","",EDATE(O290,60))</f>
        <v/>
      </c>
      <c r="Q290" s="41" t="str">
        <f aca="false">IF(AND(K290&lt;&gt;"",F290&lt;&gt;"",K290&gt;F290),"Да","")</f>
        <v/>
      </c>
      <c r="R290" s="41" t="str">
        <f aca="true">IF(C290="","",IF(M290="","Нет сведений",IF(M290&lt;TODAY(),"Просрочен",IF(M290-TODAY()&lt;=30,"Истекает","В срок"))))</f>
        <v>Нет сведений</v>
      </c>
      <c r="S290" s="41" t="str">
        <f aca="false">IF(AND(N290="Да",O290=""),"Не пройдено","")</f>
        <v/>
      </c>
    </row>
    <row r="291" customFormat="false" ht="14.25" hidden="false" customHeight="false" outlineLevel="0" collapsed="false">
      <c r="A291" s="35" t="n">
        <f aca="false">IF(C291="","",ROW()-5)</f>
        <v>286</v>
      </c>
      <c r="B291" s="36" t="s">
        <v>109</v>
      </c>
      <c r="C291" s="36" t="s">
        <v>534</v>
      </c>
      <c r="D291" s="36" t="s">
        <v>434</v>
      </c>
      <c r="E291" s="36" t="s">
        <v>432</v>
      </c>
      <c r="F291" s="37" t="n">
        <v>46261</v>
      </c>
      <c r="G291" s="38" t="str">
        <f aca="false">IF(C291="","",IF(TRIM(SUBSTITUTE(SUBSTITUTE(SUBSTITUTE(SUBSTITUTE(SUBSTITUTE(SUBSTITUTE(SUBSTITUTE(SUBSTITUTE(SUBSTITUTE(SUBSTITUTE(SUBSTITUTE(LOWER(TRIM(D291)),"ё","е"),"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категории",""))="инженер",IF(AND(ISNUMBER(SEARCH("техническ",E291)),ISNUMBER(SEARCH("контрол",E291))),"инженер отк",IF(ISNUMBER(SEARCH("диспетч",E291)),"инженер пдо",TRIM(SUBSTITUTE(SUBSTITUTE(SUBSTITUTE(SUBSTITUTE(SUBSTITUTE(SUBSTITUTE(SUBSTITUTE(SUBSTITUTE(SUBSTITUTE(SUBSTITUTE(SUBSTITUTE(LOWER(TRIM(D291)),"ё","е"),"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инженер",IF(ISNUMBER(SEARCH("диспетч",E291)),"ведущий инженер пдо",TRIM(SUBSTITUTE(SUBSTITUTE(SUBSTITUTE(SUBSTITUTE(SUBSTITUTE(SUBSTITUTE(SUBSTITUTE(SUBSTITUTE(SUBSTITUTE(SUBSTITUTE(SUBSTITUTE(LOWER(TRIM(D291)),"ё","е"),"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отк",TRIM(SUBSTITUTE(SUBSTITUTE(SUBSTITUTE(SUBSTITUTE(SUBSTITUTE(SUBSTITUTE(SUBSTITUTE(SUBSTITUTE(SUBSTITUTE(SUBSTITUTE(SUBSTITUTE(LOWER(TRIM(D291)),"ё","е")," -","-"),"- ","-")," 2 разряда","")," 3 разряда","")," 4 разряда","")," 5 разряда","")," 6 разряда","")," 1 категории","")," 2 категории","")," 3 категории",""))))))</f>
        <v>уборщик производственных и служебных помещений</v>
      </c>
      <c r="H291" s="35" t="n">
        <f aca="false">IF(C291="","",IF(AND(G291="мастер участка",ISNUMBER(SEARCH("РЭО",E291))),29,IFERROR(INDEX(Соответствие!$B$2:$B$100,MATCH(G291,Соответствие!$A$2:$A$100,0)),"?")))</f>
        <v>10</v>
      </c>
      <c r="I291" s="39" t="str">
        <f aca="false">IF(C291="","",IFERROR(INDEX(Перечень!$C$6:$C$52,MATCH(H291,Перечень!$A$6:$A$52,0)),""))</f>
        <v>п.1.48, п.4.4, п.5.1</v>
      </c>
      <c r="J291" s="35" t="n">
        <f aca="false">IF(C291="","",IFERROR(INDEX(Перечень!$D$6:$D$52,MATCH(H291,Перечень!$A$6:$A$52,0)),12))</f>
        <v>12</v>
      </c>
      <c r="K291" s="40" t="n">
        <v>46258</v>
      </c>
      <c r="L291" s="40"/>
      <c r="M291" s="37" t="n">
        <f aca="false">IF(AND(K291="",L291=""),"",EDATE(MAX(K291,L291),J291))</f>
        <v>46623</v>
      </c>
      <c r="N291" s="41" t="str">
        <f aca="false">IF(C291="","",IFERROR(INDEX(Перечень!$F$6:$F$52,MATCH(H291,Перечень!$A$6:$A$52,0)),""))</f>
        <v>-</v>
      </c>
      <c r="O291" s="40"/>
      <c r="P291" s="37" t="str">
        <f aca="false">IF(O291="","",EDATE(O291,60))</f>
        <v/>
      </c>
      <c r="Q291" s="41" t="str">
        <f aca="false">IF(AND(K291&lt;&gt;"",F291&lt;&gt;"",K291&gt;F291),"Да","")</f>
        <v/>
      </c>
      <c r="R291" s="41" t="str">
        <f aca="true">IF(C291="","",IF(M291="","Нет сведений",IF(M291&lt;TODAY(),"Просрочен",IF(M291-TODAY()&lt;=30,"Истекает","В срок"))))</f>
        <v>В срок</v>
      </c>
      <c r="S291" s="41" t="str">
        <f aca="false">IF(AND(N291="Да",O291=""),"Не пройдено","")</f>
        <v/>
      </c>
    </row>
    <row r="292" customFormat="false" ht="14.25" hidden="false" customHeight="false" outlineLevel="0" collapsed="false">
      <c r="A292" s="35" t="n">
        <f aca="false">IF(C292="","",ROW()-5)</f>
        <v>287</v>
      </c>
      <c r="B292" s="36" t="s">
        <v>109</v>
      </c>
      <c r="C292" s="36" t="s">
        <v>535</v>
      </c>
      <c r="D292" s="36" t="s">
        <v>434</v>
      </c>
      <c r="E292" s="36" t="s">
        <v>432</v>
      </c>
      <c r="F292" s="37" t="n">
        <v>46104</v>
      </c>
      <c r="G292" s="38" t="str">
        <f aca="false">IF(C292="","",IF(TRIM(SUBSTITUTE(SUBSTITUTE(SUBSTITUTE(SUBSTITUTE(SUBSTITUTE(SUBSTITUTE(SUBSTITUTE(SUBSTITUTE(SUBSTITUTE(SUBSTITUTE(SUBSTITUTE(LOWER(TRIM(D292)),"ё","е"),"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категории",""))="инженер",IF(AND(ISNUMBER(SEARCH("техническ",E292)),ISNUMBER(SEARCH("контрол",E292))),"инженер отк",IF(ISNUMBER(SEARCH("диспетч",E292)),"инженер пдо",TRIM(SUBSTITUTE(SUBSTITUTE(SUBSTITUTE(SUBSTITUTE(SUBSTITUTE(SUBSTITUTE(SUBSTITUTE(SUBSTITUTE(SUBSTITUTE(SUBSTITUTE(SUBSTITUTE(LOWER(TRIM(D292)),"ё","е"),"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инженер",IF(ISNUMBER(SEARCH("диспетч",E292)),"ведущий инженер пдо",TRIM(SUBSTITUTE(SUBSTITUTE(SUBSTITUTE(SUBSTITUTE(SUBSTITUTE(SUBSTITUTE(SUBSTITUTE(SUBSTITUTE(SUBSTITUTE(SUBSTITUTE(SUBSTITUTE(LOWER(TRIM(D292)),"ё","е"),"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отк",TRIM(SUBSTITUTE(SUBSTITUTE(SUBSTITUTE(SUBSTITUTE(SUBSTITUTE(SUBSTITUTE(SUBSTITUTE(SUBSTITUTE(SUBSTITUTE(SUBSTITUTE(SUBSTITUTE(LOWER(TRIM(D292)),"ё","е")," -","-"),"- ","-")," 2 разряда","")," 3 разряда","")," 4 разряда","")," 5 разряда","")," 6 разряда","")," 1 категории","")," 2 категории","")," 3 категории",""))))))</f>
        <v>уборщик производственных и служебных помещений</v>
      </c>
      <c r="H292" s="35" t="n">
        <f aca="false">IF(C292="","",IF(AND(G292="мастер участка",ISNUMBER(SEARCH("РЭО",E292))),29,IFERROR(INDEX(Соответствие!$B$2:$B$100,MATCH(G292,Соответствие!$A$2:$A$100,0)),"?")))</f>
        <v>10</v>
      </c>
      <c r="I292" s="39" t="str">
        <f aca="false">IF(C292="","",IFERROR(INDEX(Перечень!$C$6:$C$52,MATCH(H292,Перечень!$A$6:$A$52,0)),""))</f>
        <v>п.1.48, п.4.4, п.5.1</v>
      </c>
      <c r="J292" s="35" t="n">
        <f aca="false">IF(C292="","",IFERROR(INDEX(Перечень!$D$6:$D$52,MATCH(H292,Перечень!$A$6:$A$52,0)),12))</f>
        <v>12</v>
      </c>
      <c r="K292" s="40"/>
      <c r="L292" s="40"/>
      <c r="M292" s="37" t="str">
        <f aca="false">IF(AND(K292="",L292=""),"",EDATE(MAX(K292,L292),J292))</f>
        <v/>
      </c>
      <c r="N292" s="41" t="str">
        <f aca="false">IF(C292="","",IFERROR(INDEX(Перечень!$F$6:$F$52,MATCH(H292,Перечень!$A$6:$A$52,0)),""))</f>
        <v>-</v>
      </c>
      <c r="O292" s="40"/>
      <c r="P292" s="37" t="str">
        <f aca="false">IF(O292="","",EDATE(O292,60))</f>
        <v/>
      </c>
      <c r="Q292" s="41" t="str">
        <f aca="false">IF(AND(K292&lt;&gt;"",F292&lt;&gt;"",K292&gt;F292),"Да","")</f>
        <v/>
      </c>
      <c r="R292" s="41" t="str">
        <f aca="true">IF(C292="","",IF(M292="","Нет сведений",IF(M292&lt;TODAY(),"Просрочен",IF(M292-TODAY()&lt;=30,"Истекает","В срок"))))</f>
        <v>Нет сведений</v>
      </c>
      <c r="S292" s="41" t="str">
        <f aca="false">IF(AND(N292="Да",O292=""),"Не пройдено","")</f>
        <v/>
      </c>
    </row>
    <row r="293" customFormat="false" ht="14.25" hidden="false" customHeight="false" outlineLevel="0" collapsed="false">
      <c r="A293" s="35" t="n">
        <f aca="false">IF(C293="","",ROW()-5)</f>
        <v>288</v>
      </c>
      <c r="B293" s="36" t="s">
        <v>109</v>
      </c>
      <c r="C293" s="36" t="s">
        <v>536</v>
      </c>
      <c r="D293" s="36" t="s">
        <v>434</v>
      </c>
      <c r="E293" s="36" t="s">
        <v>432</v>
      </c>
      <c r="F293" s="37" t="n">
        <v>46113</v>
      </c>
      <c r="G293" s="38" t="str">
        <f aca="false">IF(C293="","",IF(TRIM(SUBSTITUTE(SUBSTITUTE(SUBSTITUTE(SUBSTITUTE(SUBSTITUTE(SUBSTITUTE(SUBSTITUTE(SUBSTITUTE(SUBSTITUTE(SUBSTITUTE(SUBSTITUTE(LOWER(TRIM(D293)),"ё","е"),"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категории",""))="инженер",IF(AND(ISNUMBER(SEARCH("техническ",E293)),ISNUMBER(SEARCH("контрол",E293))),"инженер отк",IF(ISNUMBER(SEARCH("диспетч",E293)),"инженер пдо",TRIM(SUBSTITUTE(SUBSTITUTE(SUBSTITUTE(SUBSTITUTE(SUBSTITUTE(SUBSTITUTE(SUBSTITUTE(SUBSTITUTE(SUBSTITUTE(SUBSTITUTE(SUBSTITUTE(LOWER(TRIM(D293)),"ё","е"),"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инженер",IF(ISNUMBER(SEARCH("диспетч",E293)),"ведущий инженер пдо",TRIM(SUBSTITUTE(SUBSTITUTE(SUBSTITUTE(SUBSTITUTE(SUBSTITUTE(SUBSTITUTE(SUBSTITUTE(SUBSTITUTE(SUBSTITUTE(SUBSTITUTE(SUBSTITUTE(LOWER(TRIM(D293)),"ё","е"),"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отк",TRIM(SUBSTITUTE(SUBSTITUTE(SUBSTITUTE(SUBSTITUTE(SUBSTITUTE(SUBSTITUTE(SUBSTITUTE(SUBSTITUTE(SUBSTITUTE(SUBSTITUTE(SUBSTITUTE(LOWER(TRIM(D293)),"ё","е")," -","-"),"- ","-")," 2 разряда","")," 3 разряда","")," 4 разряда","")," 5 разряда","")," 6 разряда","")," 1 категории","")," 2 категории","")," 3 категории",""))))))</f>
        <v>уборщик производственных и служебных помещений</v>
      </c>
      <c r="H293" s="35" t="n">
        <f aca="false">IF(C293="","",IF(AND(G293="мастер участка",ISNUMBER(SEARCH("РЭО",E293))),29,IFERROR(INDEX(Соответствие!$B$2:$B$100,MATCH(G293,Соответствие!$A$2:$A$100,0)),"?")))</f>
        <v>10</v>
      </c>
      <c r="I293" s="39" t="str">
        <f aca="false">IF(C293="","",IFERROR(INDEX(Перечень!$C$6:$C$52,MATCH(H293,Перечень!$A$6:$A$52,0)),""))</f>
        <v>п.1.48, п.4.4, п.5.1</v>
      </c>
      <c r="J293" s="35" t="n">
        <f aca="false">IF(C293="","",IFERROR(INDEX(Перечень!$D$6:$D$52,MATCH(H293,Перечень!$A$6:$A$52,0)),12))</f>
        <v>12</v>
      </c>
      <c r="K293" s="40"/>
      <c r="L293" s="40"/>
      <c r="M293" s="37" t="str">
        <f aca="false">IF(AND(K293="",L293=""),"",EDATE(MAX(K293,L293),J293))</f>
        <v/>
      </c>
      <c r="N293" s="41" t="str">
        <f aca="false">IF(C293="","",IFERROR(INDEX(Перечень!$F$6:$F$52,MATCH(H293,Перечень!$A$6:$A$52,0)),""))</f>
        <v>-</v>
      </c>
      <c r="O293" s="40"/>
      <c r="P293" s="37" t="str">
        <f aca="false">IF(O293="","",EDATE(O293,60))</f>
        <v/>
      </c>
      <c r="Q293" s="41" t="str">
        <f aca="false">IF(AND(K293&lt;&gt;"",F293&lt;&gt;"",K293&gt;F293),"Да","")</f>
        <v/>
      </c>
      <c r="R293" s="41" t="str">
        <f aca="true">IF(C293="","",IF(M293="","Нет сведений",IF(M293&lt;TODAY(),"Просрочен",IF(M293-TODAY()&lt;=30,"Истекает","В срок"))))</f>
        <v>Нет сведений</v>
      </c>
      <c r="S293" s="41" t="str">
        <f aca="false">IF(AND(N293="Да",O293=""),"Не пройдено","")</f>
        <v/>
      </c>
    </row>
    <row r="294" customFormat="false" ht="14.25" hidden="false" customHeight="false" outlineLevel="0" collapsed="false">
      <c r="A294" s="35" t="n">
        <f aca="false">IF(C294="","",ROW()-5)</f>
        <v>289</v>
      </c>
      <c r="B294" s="36" t="s">
        <v>109</v>
      </c>
      <c r="C294" s="36" t="s">
        <v>537</v>
      </c>
      <c r="D294" s="36" t="s">
        <v>538</v>
      </c>
      <c r="E294" s="36" t="s">
        <v>432</v>
      </c>
      <c r="F294" s="37" t="n">
        <v>45446</v>
      </c>
      <c r="G294" s="38" t="str">
        <f aca="false">IF(C294="","",IF(TRIM(SUBSTITUTE(SUBSTITUTE(SUBSTITUTE(SUBSTITUTE(SUBSTITUTE(SUBSTITUTE(SUBSTITUTE(SUBSTITUTE(SUBSTITUTE(SUBSTITUTE(SUBSTITUTE(LOWER(TRIM(D294)),"ё","е"),"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категории",""))="инженер",IF(AND(ISNUMBER(SEARCH("техническ",E294)),ISNUMBER(SEARCH("контрол",E294))),"инженер отк",IF(ISNUMBER(SEARCH("диспетч",E294)),"инженер пдо",TRIM(SUBSTITUTE(SUBSTITUTE(SUBSTITUTE(SUBSTITUTE(SUBSTITUTE(SUBSTITUTE(SUBSTITUTE(SUBSTITUTE(SUBSTITUTE(SUBSTITUTE(SUBSTITUTE(LOWER(TRIM(D294)),"ё","е"),"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инженер",IF(ISNUMBER(SEARCH("диспетч",E294)),"ведущий инженер пдо",TRIM(SUBSTITUTE(SUBSTITUTE(SUBSTITUTE(SUBSTITUTE(SUBSTITUTE(SUBSTITUTE(SUBSTITUTE(SUBSTITUTE(SUBSTITUTE(SUBSTITUTE(SUBSTITUTE(LOWER(TRIM(D294)),"ё","е"),"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отк",TRIM(SUBSTITUTE(SUBSTITUTE(SUBSTITUTE(SUBSTITUTE(SUBSTITUTE(SUBSTITUTE(SUBSTITUTE(SUBSTITUTE(SUBSTITUTE(SUBSTITUTE(SUBSTITUTE(LOWER(TRIM(D294)),"ё","е")," -","-"),"- ","-")," 2 разряда","")," 3 разряда","")," 4 разряда","")," 5 разряда","")," 6 разряда","")," 1 категории","")," 2 категории","")," 3 категории",""))))))</f>
        <v>уборщик служебных помещений</v>
      </c>
      <c r="H294" s="35" t="n">
        <f aca="false">IF(C294="","",IF(AND(G294="мастер участка",ISNUMBER(SEARCH("РЭО",E294))),29,IFERROR(INDEX(Соответствие!$B$2:$B$100,MATCH(G294,Соответствие!$A$2:$A$100,0)),"?")))</f>
        <v>10</v>
      </c>
      <c r="I294" s="39" t="str">
        <f aca="false">IF(C294="","",IFERROR(INDEX(Перечень!$C$6:$C$52,MATCH(H294,Перечень!$A$6:$A$52,0)),""))</f>
        <v>п.1.48, п.4.4, п.5.1</v>
      </c>
      <c r="J294" s="35" t="n">
        <f aca="false">IF(C294="","",IFERROR(INDEX(Перечень!$D$6:$D$52,MATCH(H294,Перечень!$A$6:$A$52,0)),12))</f>
        <v>12</v>
      </c>
      <c r="K294" s="40"/>
      <c r="L294" s="40"/>
      <c r="M294" s="37" t="str">
        <f aca="false">IF(AND(K294="",L294=""),"",EDATE(MAX(K294,L294),J294))</f>
        <v/>
      </c>
      <c r="N294" s="41" t="str">
        <f aca="false">IF(C294="","",IFERROR(INDEX(Перечень!$F$6:$F$52,MATCH(H294,Перечень!$A$6:$A$52,0)),""))</f>
        <v>-</v>
      </c>
      <c r="O294" s="40"/>
      <c r="P294" s="37" t="str">
        <f aca="false">IF(O294="","",EDATE(O294,60))</f>
        <v/>
      </c>
      <c r="Q294" s="41" t="str">
        <f aca="false">IF(AND(K294&lt;&gt;"",F294&lt;&gt;"",K294&gt;F294),"Да","")</f>
        <v/>
      </c>
      <c r="R294" s="41" t="str">
        <f aca="true">IF(C294="","",IF(M294="","Нет сведений",IF(M294&lt;TODAY(),"Просрочен",IF(M294-TODAY()&lt;=30,"Истекает","В срок"))))</f>
        <v>Нет сведений</v>
      </c>
      <c r="S294" s="41" t="str">
        <f aca="false">IF(AND(N294="Да",O294=""),"Не пройдено","")</f>
        <v/>
      </c>
    </row>
    <row r="295" customFormat="false" ht="14.25" hidden="false" customHeight="false" outlineLevel="0" collapsed="false">
      <c r="A295" s="35" t="n">
        <f aca="false">IF(C295="","",ROW()-5)</f>
        <v>290</v>
      </c>
      <c r="B295" s="36" t="s">
        <v>109</v>
      </c>
      <c r="C295" s="36" t="s">
        <v>539</v>
      </c>
      <c r="D295" s="36" t="s">
        <v>418</v>
      </c>
      <c r="E295" s="36" t="s">
        <v>402</v>
      </c>
      <c r="F295" s="37" t="n">
        <v>46246</v>
      </c>
      <c r="G295" s="38" t="str">
        <f aca="false">IF(C295="","",IF(TRIM(SUBSTITUTE(SUBSTITUTE(SUBSTITUTE(SUBSTITUTE(SUBSTITUTE(SUBSTITUTE(SUBSTITUTE(SUBSTITUTE(SUBSTITUTE(SUBSTITUTE(SUBSTITUTE(LOWER(TRIM(D295)),"ё","е"),"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категории",""))="инженер",IF(AND(ISNUMBER(SEARCH("техническ",E295)),ISNUMBER(SEARCH("контрол",E295))),"инженер отк",IF(ISNUMBER(SEARCH("диспетч",E295)),"инженер пдо",TRIM(SUBSTITUTE(SUBSTITUTE(SUBSTITUTE(SUBSTITUTE(SUBSTITUTE(SUBSTITUTE(SUBSTITUTE(SUBSTITUTE(SUBSTITUTE(SUBSTITUTE(SUBSTITUTE(LOWER(TRIM(D295)),"ё","е"),"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инженер",IF(ISNUMBER(SEARCH("диспетч",E295)),"ведущий инженер пдо",TRIM(SUBSTITUTE(SUBSTITUTE(SUBSTITUTE(SUBSTITUTE(SUBSTITUTE(SUBSTITUTE(SUBSTITUTE(SUBSTITUTE(SUBSTITUTE(SUBSTITUTE(SUBSTITUTE(LOWER(TRIM(D295)),"ё","е"),"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отк",TRIM(SUBSTITUTE(SUBSTITUTE(SUBSTITUTE(SUBSTITUTE(SUBSTITUTE(SUBSTITUTE(SUBSTITUTE(SUBSTITUTE(SUBSTITUTE(SUBSTITUTE(SUBSTITUTE(LOWER(TRIM(D295)),"ё","е"),"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электромонтер по ремонту и обслуживанию электрооборудования</v>
      </c>
      <c r="H295" s="35" t="n">
        <f aca="false">IF(C295="","",IF(AND(G295="мастер участка",ISNUMBER(SEARCH("РЭО",E295))),29,IFERROR(INDEX(Соответствие!$B$2:$B$100,MATCH(G295,Соответствие!$A$2:$A$100,0)),"?")))</f>
        <v>2</v>
      </c>
      <c r="I295" s="39" t="str">
        <f aca="false">IF(C295="","",IFERROR(INDEX(Перечень!$C$6:$C$52,MATCH(H295,Перечень!$A$6:$A$52,0)),""))</f>
        <v>п.4.2.3, п.4.3.1, п.4.3.2, п.4.4, п.5.1, п.5.2, п.6.2, п.9</v>
      </c>
      <c r="J295" s="35" t="n">
        <f aca="false">IF(C295="","",IFERROR(INDEX(Перечень!$D$6:$D$52,MATCH(H295,Перечень!$A$6:$A$52,0)),12))</f>
        <v>12</v>
      </c>
      <c r="K295" s="40" t="n">
        <v>46238</v>
      </c>
      <c r="L295" s="40"/>
      <c r="M295" s="37" t="n">
        <f aca="false">IF(AND(K295="",L295=""),"",EDATE(MAX(K295,L295),J295))</f>
        <v>46603</v>
      </c>
      <c r="N295" s="41" t="str">
        <f aca="false">IF(C295="","",IFERROR(INDEX(Перечень!$F$6:$F$52,MATCH(H295,Перечень!$A$6:$A$52,0)),""))</f>
        <v>Да</v>
      </c>
      <c r="O295" s="40"/>
      <c r="P295" s="37" t="str">
        <f aca="false">IF(O295="","",EDATE(O295,60))</f>
        <v/>
      </c>
      <c r="Q295" s="41" t="str">
        <f aca="false">IF(AND(K295&lt;&gt;"",F295&lt;&gt;"",K295&gt;F295),"Да","")</f>
        <v/>
      </c>
      <c r="R295" s="41" t="str">
        <f aca="true">IF(C295="","",IF(M295="","Нет сведений",IF(M295&lt;TODAY(),"Просрочен",IF(M295-TODAY()&lt;=30,"Истекает","В срок"))))</f>
        <v>В срок</v>
      </c>
      <c r="S295" s="41" t="str">
        <f aca="false">IF(AND(N295="Да",O295=""),"Не пройдено","")</f>
        <v>Не пройдено</v>
      </c>
    </row>
    <row r="296" customFormat="false" ht="14.25" hidden="false" customHeight="false" outlineLevel="0" collapsed="false">
      <c r="A296" s="35" t="n">
        <f aca="false">IF(C296="","",ROW()-5)</f>
        <v>291</v>
      </c>
      <c r="B296" s="36" t="s">
        <v>109</v>
      </c>
      <c r="C296" s="36" t="s">
        <v>540</v>
      </c>
      <c r="D296" s="36" t="s">
        <v>298</v>
      </c>
      <c r="E296" s="36" t="s">
        <v>292</v>
      </c>
      <c r="F296" s="37" t="n">
        <v>46055</v>
      </c>
      <c r="G296" s="38" t="str">
        <f aca="false">IF(C296="","",IF(TRIM(SUBSTITUTE(SUBSTITUTE(SUBSTITUTE(SUBSTITUTE(SUBSTITUTE(SUBSTITUTE(SUBSTITUTE(SUBSTITUTE(SUBSTITUTE(SUBSTITUTE(SUBSTITUTE(LOWER(TRIM(D296)),"ё","е"),"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категории",""))="инженер",IF(AND(ISNUMBER(SEARCH("техническ",E296)),ISNUMBER(SEARCH("контрол",E296))),"инженер отк",IF(ISNUMBER(SEARCH("диспетч",E296)),"инженер пдо",TRIM(SUBSTITUTE(SUBSTITUTE(SUBSTITUTE(SUBSTITUTE(SUBSTITUTE(SUBSTITUTE(SUBSTITUTE(SUBSTITUTE(SUBSTITUTE(SUBSTITUTE(SUBSTITUTE(LOWER(TRIM(D296)),"ё","е"),"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инженер",IF(ISNUMBER(SEARCH("диспетч",E296)),"ведущий инженер пдо",TRIM(SUBSTITUTE(SUBSTITUTE(SUBSTITUTE(SUBSTITUTE(SUBSTITUTE(SUBSTITUTE(SUBSTITUTE(SUBSTITUTE(SUBSTITUTE(SUBSTITUTE(SUBSTITUTE(LOWER(TRIM(D296)),"ё","е"),"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отк",TRIM(SUBSTITUTE(SUBSTITUTE(SUBSTITUTE(SUBSTITUTE(SUBSTITUTE(SUBSTITUTE(SUBSTITUTE(SUBSTITUTE(SUBSTITUTE(SUBSTITUTE(SUBSTITUTE(LOWER(TRIM(D296)),"ё","е"),"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296" s="35" t="n">
        <f aca="false">IF(C296="","",IF(AND(G296="мастер участка",ISNUMBER(SEARCH("РЭО",E296))),29,IFERROR(INDEX(Соответствие!$B$2:$B$100,MATCH(G296,Соответствие!$A$2:$A$100,0)),"?")))</f>
        <v>32</v>
      </c>
      <c r="I296" s="39" t="str">
        <f aca="false">IF(C296="","",IFERROR(INDEX(Перечень!$C$6:$C$52,MATCH(H296,Перечень!$A$6:$A$52,0)),""))</f>
        <v>п.4.3.1, п.4.3.2, п.4.4, п.5.1, п.15</v>
      </c>
      <c r="J296" s="35" t="n">
        <f aca="false">IF(C296="","",IFERROR(INDEX(Перечень!$D$6:$D$52,MATCH(H296,Перечень!$A$6:$A$52,0)),12))</f>
        <v>12</v>
      </c>
      <c r="K296" s="40"/>
      <c r="L296" s="40"/>
      <c r="M296" s="37" t="str">
        <f aca="false">IF(AND(K296="",L296=""),"",EDATE(MAX(K296,L296),J296))</f>
        <v/>
      </c>
      <c r="N296" s="41" t="str">
        <f aca="false">IF(C296="","",IFERROR(INDEX(Перечень!$F$6:$F$52,MATCH(H296,Перечень!$A$6:$A$52,0)),""))</f>
        <v>-</v>
      </c>
      <c r="O296" s="40"/>
      <c r="P296" s="37" t="str">
        <f aca="false">IF(O296="","",EDATE(O296,60))</f>
        <v/>
      </c>
      <c r="Q296" s="41" t="str">
        <f aca="false">IF(AND(K296&lt;&gt;"",F296&lt;&gt;"",K296&gt;F296),"Да","")</f>
        <v/>
      </c>
      <c r="R296" s="41" t="str">
        <f aca="true">IF(C296="","",IF(M296="","Нет сведений",IF(M296&lt;TODAY(),"Просрочен",IF(M296-TODAY()&lt;=30,"Истекает","В срок"))))</f>
        <v>Нет сведений</v>
      </c>
      <c r="S296" s="41" t="str">
        <f aca="false">IF(AND(N296="Да",O296=""),"Не пройдено","")</f>
        <v/>
      </c>
    </row>
    <row r="297" customFormat="false" ht="14.25" hidden="false" customHeight="false" outlineLevel="0" collapsed="false">
      <c r="A297" s="35" t="n">
        <f aca="false">IF(C297="","",ROW()-5)</f>
        <v>292</v>
      </c>
      <c r="B297" s="36" t="s">
        <v>109</v>
      </c>
      <c r="C297" s="36" t="s">
        <v>541</v>
      </c>
      <c r="D297" s="36" t="s">
        <v>328</v>
      </c>
      <c r="E297" s="36" t="s">
        <v>274</v>
      </c>
      <c r="F297" s="37" t="n">
        <v>46148</v>
      </c>
      <c r="G297" s="38" t="str">
        <f aca="false">IF(C297="","",IF(TRIM(SUBSTITUTE(SUBSTITUTE(SUBSTITUTE(SUBSTITUTE(SUBSTITUTE(SUBSTITUTE(SUBSTITUTE(SUBSTITUTE(SUBSTITUTE(SUBSTITUTE(SUBSTITUTE(LOWER(TRIM(D297)),"ё","е"),"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категории",""))="инженер",IF(AND(ISNUMBER(SEARCH("техническ",E297)),ISNUMBER(SEARCH("контрол",E297))),"инженер отк",IF(ISNUMBER(SEARCH("диспетч",E297)),"инженер пдо",TRIM(SUBSTITUTE(SUBSTITUTE(SUBSTITUTE(SUBSTITUTE(SUBSTITUTE(SUBSTITUTE(SUBSTITUTE(SUBSTITUTE(SUBSTITUTE(SUBSTITUTE(SUBSTITUTE(LOWER(TRIM(D297)),"ё","е"),"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инженер",IF(ISNUMBER(SEARCH("диспетч",E297)),"ведущий инженер пдо",TRIM(SUBSTITUTE(SUBSTITUTE(SUBSTITUTE(SUBSTITUTE(SUBSTITUTE(SUBSTITUTE(SUBSTITUTE(SUBSTITUTE(SUBSTITUTE(SUBSTITUTE(SUBSTITUTE(LOWER(TRIM(D297)),"ё","е"),"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отк",TRIM(SUBSTITUTE(SUBSTITUTE(SUBSTITUTE(SUBSTITUTE(SUBSTITUTE(SUBSTITUTE(SUBSTITUTE(SUBSTITUTE(SUBSTITUTE(SUBSTITUTE(SUBSTITUTE(LOWER(TRIM(D297)),"ё","е")," -","-"),"- ","-")," 2 разряда","")," 3 разряда","")," 4 разряда","")," 5 разряда","")," 6 разряда","")," 1 категории","")," 2 категории","")," 3 категории",""))))))</f>
        <v>оператор станков с чпу</v>
      </c>
      <c r="H297" s="35" t="n">
        <f aca="false">IF(C297="","",IF(AND(G297="мастер участка",ISNUMBER(SEARCH("РЭО",E297))),29,IFERROR(INDEX(Соответствие!$B$2:$B$100,MATCH(G297,Соответствие!$A$2:$A$100,0)),"?")))</f>
        <v>30</v>
      </c>
      <c r="I297" s="39" t="str">
        <f aca="false">IF(C297="","",IFERROR(INDEX(Перечень!$C$6:$C$52,MATCH(H297,Перечень!$A$6:$A$52,0)),""))</f>
        <v>п.4.3.1, п.4.3.2, п.4.4, п.5.1, п.5.2, п.15</v>
      </c>
      <c r="J297" s="35" t="n">
        <f aca="false">IF(C297="","",IFERROR(INDEX(Перечень!$D$6:$D$52,MATCH(H297,Перечень!$A$6:$A$52,0)),12))</f>
        <v>12</v>
      </c>
      <c r="K297" s="40"/>
      <c r="L297" s="40"/>
      <c r="M297" s="37" t="str">
        <f aca="false">IF(AND(K297="",L297=""),"",EDATE(MAX(K297,L297),J297))</f>
        <v/>
      </c>
      <c r="N297" s="41" t="str">
        <f aca="false">IF(C297="","",IFERROR(INDEX(Перечень!$F$6:$F$52,MATCH(H297,Перечень!$A$6:$A$52,0)),""))</f>
        <v>-</v>
      </c>
      <c r="O297" s="40"/>
      <c r="P297" s="37" t="str">
        <f aca="false">IF(O297="","",EDATE(O297,60))</f>
        <v/>
      </c>
      <c r="Q297" s="41" t="str">
        <f aca="false">IF(AND(K297&lt;&gt;"",F297&lt;&gt;"",K297&gt;F297),"Да","")</f>
        <v/>
      </c>
      <c r="R297" s="41" t="str">
        <f aca="true">IF(C297="","",IF(M297="","Нет сведений",IF(M297&lt;TODAY(),"Просрочен",IF(M297-TODAY()&lt;=30,"Истекает","В срок"))))</f>
        <v>Нет сведений</v>
      </c>
      <c r="S297" s="41" t="str">
        <f aca="false">IF(AND(N297="Да",O297=""),"Не пройдено","")</f>
        <v/>
      </c>
    </row>
    <row r="298" customFormat="false" ht="14.25" hidden="false" customHeight="false" outlineLevel="0" collapsed="false">
      <c r="A298" s="35" t="n">
        <f aca="false">IF(C298="","",ROW()-5)</f>
        <v>293</v>
      </c>
      <c r="B298" s="36" t="s">
        <v>109</v>
      </c>
      <c r="C298" s="36" t="s">
        <v>542</v>
      </c>
      <c r="D298" s="36" t="s">
        <v>328</v>
      </c>
      <c r="E298" s="36" t="s">
        <v>274</v>
      </c>
      <c r="F298" s="37" t="n">
        <v>46195</v>
      </c>
      <c r="G298" s="38" t="str">
        <f aca="false">IF(C298="","",IF(TRIM(SUBSTITUTE(SUBSTITUTE(SUBSTITUTE(SUBSTITUTE(SUBSTITUTE(SUBSTITUTE(SUBSTITUTE(SUBSTITUTE(SUBSTITUTE(SUBSTITUTE(SUBSTITUTE(LOWER(TRIM(D298)),"ё","е"),"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категории",""))="инженер",IF(AND(ISNUMBER(SEARCH("техническ",E298)),ISNUMBER(SEARCH("контрол",E298))),"инженер отк",IF(ISNUMBER(SEARCH("диспетч",E298)),"инженер пдо",TRIM(SUBSTITUTE(SUBSTITUTE(SUBSTITUTE(SUBSTITUTE(SUBSTITUTE(SUBSTITUTE(SUBSTITUTE(SUBSTITUTE(SUBSTITUTE(SUBSTITUTE(SUBSTITUTE(LOWER(TRIM(D298)),"ё","е"),"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инженер",IF(ISNUMBER(SEARCH("диспетч",E298)),"ведущий инженер пдо",TRIM(SUBSTITUTE(SUBSTITUTE(SUBSTITUTE(SUBSTITUTE(SUBSTITUTE(SUBSTITUTE(SUBSTITUTE(SUBSTITUTE(SUBSTITUTE(SUBSTITUTE(SUBSTITUTE(LOWER(TRIM(D298)),"ё","е"),"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отк",TRIM(SUBSTITUTE(SUBSTITUTE(SUBSTITUTE(SUBSTITUTE(SUBSTITUTE(SUBSTITUTE(SUBSTITUTE(SUBSTITUTE(SUBSTITUTE(SUBSTITUTE(SUBSTITUTE(LOWER(TRIM(D298)),"ё","е")," -","-"),"- ","-")," 2 разряда","")," 3 разряда","")," 4 разряда","")," 5 разряда","")," 6 разряда","")," 1 категории","")," 2 категории","")," 3 категории",""))))))</f>
        <v>оператор станков с чпу</v>
      </c>
      <c r="H298" s="35" t="n">
        <f aca="false">IF(C298="","",IF(AND(G298="мастер участка",ISNUMBER(SEARCH("РЭО",E298))),29,IFERROR(INDEX(Соответствие!$B$2:$B$100,MATCH(G298,Соответствие!$A$2:$A$100,0)),"?")))</f>
        <v>30</v>
      </c>
      <c r="I298" s="39" t="str">
        <f aca="false">IF(C298="","",IFERROR(INDEX(Перечень!$C$6:$C$52,MATCH(H298,Перечень!$A$6:$A$52,0)),""))</f>
        <v>п.4.3.1, п.4.3.2, п.4.4, п.5.1, п.5.2, п.15</v>
      </c>
      <c r="J298" s="35" t="n">
        <f aca="false">IF(C298="","",IFERROR(INDEX(Перечень!$D$6:$D$52,MATCH(H298,Перечень!$A$6:$A$52,0)),12))</f>
        <v>12</v>
      </c>
      <c r="K298" s="40" t="n">
        <v>46191</v>
      </c>
      <c r="L298" s="40"/>
      <c r="M298" s="37" t="n">
        <f aca="false">IF(AND(K298="",L298=""),"",EDATE(MAX(K298,L298),J298))</f>
        <v>46556</v>
      </c>
      <c r="N298" s="41" t="str">
        <f aca="false">IF(C298="","",IFERROR(INDEX(Перечень!$F$6:$F$52,MATCH(H298,Перечень!$A$6:$A$52,0)),""))</f>
        <v>-</v>
      </c>
      <c r="O298" s="40"/>
      <c r="P298" s="37" t="str">
        <f aca="false">IF(O298="","",EDATE(O298,60))</f>
        <v/>
      </c>
      <c r="Q298" s="41" t="str">
        <f aca="false">IF(AND(K298&lt;&gt;"",F298&lt;&gt;"",K298&gt;F298),"Да","")</f>
        <v/>
      </c>
      <c r="R298" s="41" t="str">
        <f aca="true">IF(C298="","",IF(M298="","Нет сведений",IF(M298&lt;TODAY(),"Просрочен",IF(M298-TODAY()&lt;=30,"Истекает","В срок"))))</f>
        <v>В срок</v>
      </c>
      <c r="S298" s="41" t="str">
        <f aca="false">IF(AND(N298="Да",O298=""),"Не пройдено","")</f>
        <v/>
      </c>
    </row>
    <row r="299" customFormat="false" ht="14.25" hidden="false" customHeight="false" outlineLevel="0" collapsed="false">
      <c r="A299" s="35" t="n">
        <f aca="false">IF(C299="","",ROW()-5)</f>
        <v>294</v>
      </c>
      <c r="B299" s="36" t="s">
        <v>109</v>
      </c>
      <c r="C299" s="36" t="s">
        <v>543</v>
      </c>
      <c r="D299" s="36" t="s">
        <v>328</v>
      </c>
      <c r="E299" s="36" t="s">
        <v>274</v>
      </c>
      <c r="F299" s="37" t="n">
        <v>46034</v>
      </c>
      <c r="G299" s="38" t="str">
        <f aca="false">IF(C299="","",IF(TRIM(SUBSTITUTE(SUBSTITUTE(SUBSTITUTE(SUBSTITUTE(SUBSTITUTE(SUBSTITUTE(SUBSTITUTE(SUBSTITUTE(SUBSTITUTE(SUBSTITUTE(SUBSTITUTE(LOWER(TRIM(D299)),"ё","е"),"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категории",""))="инженер",IF(AND(ISNUMBER(SEARCH("техническ",E299)),ISNUMBER(SEARCH("контрол",E299))),"инженер отк",IF(ISNUMBER(SEARCH("диспетч",E299)),"инженер пдо",TRIM(SUBSTITUTE(SUBSTITUTE(SUBSTITUTE(SUBSTITUTE(SUBSTITUTE(SUBSTITUTE(SUBSTITUTE(SUBSTITUTE(SUBSTITUTE(SUBSTITUTE(SUBSTITUTE(LOWER(TRIM(D299)),"ё","е"),"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категории","")))),IF(TRIM(SUBSTITUTE(SUBSTITUTE(SUBSTITUTE(SUBSTITUTE(SUBSTITUTE(SUBSTITUTE(SUBSTITUTE(SUBSTITUTE(SUBSTITUTE(SUBSTITUTE(SUBSTITUTE(LOWER(TRIM(D299)),"ё","е"),"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инженер",IF(ISNUMBER(SEARCH("диспетч",E299)),"ведущий инженер пдо",TRIM(SUBSTITUTE(SUBSTITUTE(SUBSTITUTE(SUBSTITUTE(SUBSTITUTE(SUBSTITUTE(SUBSTITUTE(SUBSTITUTE(SUBSTITUTE(SUBSTITUTE(SUBSTITUTE(LOWER(TRIM(D299)),"ё","е"),"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категории",""))),IF(TRIM(SUBSTITUTE(SUBSTITUTE(SUBSTITUTE(SUBSTITUTE(SUBSTITUTE(SUBSTITUTE(SUBSTITUTE(SUBSTITUTE(SUBSTITUTE(SUBSTITUTE(SUBSTITUTE(LOWER(TRIM(D299)),"ё","е"),"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отк",TRIM(SUBSTITUTE(SUBSTITUTE(SUBSTITUTE(SUBSTITUTE(SUBSTITUTE(SUBSTITUTE(SUBSTITUTE(SUBSTITUTE(SUBSTITUTE(SUBSTITUTE(SUBSTITUTE(LOWER(TRIM(D299)),"ё","е")," -","-"),"- ","-")," 2 разряда","")," 3 разряда","")," 4 разряда","")," 5 разряда","")," 6 разряда","")," 1 категории","")," 2 категории","")," 3 категории",""))))))</f>
        <v>оператор станков с чпу</v>
      </c>
      <c r="H299" s="35" t="n">
        <f aca="false">IF(C299="","",IF(AND(G299="мастер участка",ISNUMBER(SEARCH("РЭО",E299))),29,IFERROR(INDEX(Соответствие!$B$2:$B$100,MATCH(G299,Соответствие!$A$2:$A$100,0)),"?")))</f>
        <v>30</v>
      </c>
      <c r="I299" s="39" t="str">
        <f aca="false">IF(C299="","",IFERROR(INDEX(Перечень!$C$6:$C$52,MATCH(H299,Перечень!$A$6:$A$52,0)),""))</f>
        <v>п.4.3.1, п.4.3.2, п.4.4, п.5.1, п.5.2, п.15</v>
      </c>
      <c r="J299" s="35" t="n">
        <f aca="false">IF(C299="","",IFERROR(INDEX(Перечень!$D$6:$D$52,MATCH(H299,Перечень!$A$6:$A$52,0)),12))</f>
        <v>12</v>
      </c>
      <c r="K299" s="40"/>
      <c r="L299" s="40"/>
      <c r="M299" s="37" t="str">
        <f aca="false">IF(AND(K299="",L299=""),"",EDATE(MAX(K299,L299),J299))</f>
        <v/>
      </c>
      <c r="N299" s="41" t="str">
        <f aca="false">IF(C299="","",IFERROR(INDEX(Перечень!$F$6:$F$52,MATCH(H299,Перечень!$A$6:$A$52,0)),""))</f>
        <v>-</v>
      </c>
      <c r="O299" s="40"/>
      <c r="P299" s="37" t="str">
        <f aca="false">IF(O299="","",EDATE(O299,60))</f>
        <v/>
      </c>
      <c r="Q299" s="41" t="str">
        <f aca="false">IF(AND(K299&lt;&gt;"",F299&lt;&gt;"",K299&gt;F299),"Да","")</f>
        <v/>
      </c>
      <c r="R299" s="41" t="str">
        <f aca="true">IF(C299="","",IF(M299="","Нет сведений",IF(M299&lt;TODAY(),"Просрочен",IF(M299-TODAY()&lt;=30,"Истекает","В срок"))))</f>
        <v>Нет сведений</v>
      </c>
      <c r="S299" s="41" t="str">
        <f aca="false">IF(AND(N299="Да",O299=""),"Не пройдено","")</f>
        <v/>
      </c>
    </row>
    <row r="300" customFormat="false" ht="14.25" hidden="false" customHeight="false" outlineLevel="0" collapsed="false">
      <c r="A300" s="35" t="n">
        <f aca="false">IF(C300="","",ROW()-5)</f>
        <v>295</v>
      </c>
      <c r="B300" s="36" t="s">
        <v>109</v>
      </c>
      <c r="C300" s="36" t="s">
        <v>544</v>
      </c>
      <c r="D300" s="36" t="s">
        <v>284</v>
      </c>
      <c r="E300" s="36" t="s">
        <v>274</v>
      </c>
      <c r="F300" s="37" t="n">
        <v>45924</v>
      </c>
      <c r="G300" s="38" t="str">
        <f aca="false">IF(C300="","",IF(TRIM(SUBSTITUTE(SUBSTITUTE(SUBSTITUTE(SUBSTITUTE(SUBSTITUTE(SUBSTITUTE(SUBSTITUTE(SUBSTITUTE(SUBSTITUTE(SUBSTITUTE(SUBSTITUTE(LOWER(TRIM(D300)),"ё","е"),"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категории",""))="инженер",IF(AND(ISNUMBER(SEARCH("техническ",E300)),ISNUMBER(SEARCH("контрол",E300))),"инженер отк",IF(ISNUMBER(SEARCH("диспетч",E300)),"инженер пдо",TRIM(SUBSTITUTE(SUBSTITUTE(SUBSTITUTE(SUBSTITUTE(SUBSTITUTE(SUBSTITUTE(SUBSTITUTE(SUBSTITUTE(SUBSTITUTE(SUBSTITUTE(SUBSTITUTE(LOWER(TRIM(D300)),"ё","е"),"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инженер",IF(ISNUMBER(SEARCH("диспетч",E300)),"ведущий инженер пдо",TRIM(SUBSTITUTE(SUBSTITUTE(SUBSTITUTE(SUBSTITUTE(SUBSTITUTE(SUBSTITUTE(SUBSTITUTE(SUBSTITUTE(SUBSTITUTE(SUBSTITUTE(SUBSTITUTE(LOWER(TRIM(D300)),"ё","е"),"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отк",TRIM(SUBSTITUTE(SUBSTITUTE(SUBSTITUTE(SUBSTITUTE(SUBSTITUTE(SUBSTITUTE(SUBSTITUTE(SUBSTITUTE(SUBSTITUTE(SUBSTITUTE(SUBSTITUTE(LOWER(TRIM(D300)),"ё","е")," -","-"),"- ","-")," 2 разряда","")," 3 разряда","")," 4 разряда","")," 5 разряда","")," 6 разряда","")," 1 категории","")," 2 категории","")," 3 категории",""))))))</f>
        <v>оператор-наладчик станков с чпу</v>
      </c>
      <c r="H300" s="35" t="n">
        <f aca="false">IF(C300="","",IF(AND(G300="мастер участка",ISNUMBER(SEARCH("РЭО",E300))),29,IFERROR(INDEX(Соответствие!$B$2:$B$100,MATCH(G300,Соответствие!$A$2:$A$100,0)),"?")))</f>
        <v>25</v>
      </c>
      <c r="I300" s="39" t="str">
        <f aca="false">IF(C300="","",IFERROR(INDEX(Перечень!$C$6:$C$52,MATCH(H300,Перечень!$A$6:$A$52,0)),""))</f>
        <v>п.4.3.1, п.4.3.2, п.4.4, п.5.1, п.5.2, п.15</v>
      </c>
      <c r="J300" s="35" t="n">
        <f aca="false">IF(C300="","",IFERROR(INDEX(Перечень!$D$6:$D$52,MATCH(H300,Перечень!$A$6:$A$52,0)),12))</f>
        <v>12</v>
      </c>
      <c r="K300" s="40" t="n">
        <v>45922</v>
      </c>
      <c r="L300" s="40"/>
      <c r="M300" s="37" t="n">
        <f aca="false">IF(AND(K300="",L300=""),"",EDATE(MAX(K300,L300),J300))</f>
        <v>46287</v>
      </c>
      <c r="N300" s="41" t="str">
        <f aca="false">IF(C300="","",IFERROR(INDEX(Перечень!$F$6:$F$52,MATCH(H300,Перечень!$A$6:$A$52,0)),""))</f>
        <v>-</v>
      </c>
      <c r="O300" s="40"/>
      <c r="P300" s="37" t="str">
        <f aca="false">IF(O300="","",EDATE(O300,60))</f>
        <v/>
      </c>
      <c r="Q300" s="41" t="str">
        <f aca="false">IF(AND(K300&lt;&gt;"",F300&lt;&gt;"",K300&gt;F300),"Да","")</f>
        <v/>
      </c>
      <c r="R300" s="41" t="str">
        <f aca="true">IF(C300="","",IF(M300="","Нет сведений",IF(M300&lt;TODAY(),"Просрочен",IF(M300-TODAY()&lt;=30,"Истекает","В срок"))))</f>
        <v>Просрочен</v>
      </c>
      <c r="S300" s="41" t="str">
        <f aca="false">IF(AND(N300="Да",O300=""),"Не пройдено","")</f>
        <v/>
      </c>
    </row>
    <row r="301" customFormat="false" ht="14.25" hidden="false" customHeight="false" outlineLevel="0" collapsed="false">
      <c r="A301" s="35" t="n">
        <f aca="false">IF(C301="","",ROW()-5)</f>
        <v>296</v>
      </c>
      <c r="B301" s="36" t="s">
        <v>109</v>
      </c>
      <c r="C301" s="36" t="s">
        <v>545</v>
      </c>
      <c r="D301" s="36" t="s">
        <v>284</v>
      </c>
      <c r="E301" s="36" t="s">
        <v>274</v>
      </c>
      <c r="F301" s="37" t="n">
        <v>45922</v>
      </c>
      <c r="G301" s="38" t="str">
        <f aca="false">IF(C301="","",IF(TRIM(SUBSTITUTE(SUBSTITUTE(SUBSTITUTE(SUBSTITUTE(SUBSTITUTE(SUBSTITUTE(SUBSTITUTE(SUBSTITUTE(SUBSTITUTE(SUBSTITUTE(SUBSTITUTE(LOWER(TRIM(D301)),"ё","е"),"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категории",""))="инженер",IF(AND(ISNUMBER(SEARCH("техническ",E301)),ISNUMBER(SEARCH("контрол",E301))),"инженер отк",IF(ISNUMBER(SEARCH("диспетч",E301)),"инженер пдо",TRIM(SUBSTITUTE(SUBSTITUTE(SUBSTITUTE(SUBSTITUTE(SUBSTITUTE(SUBSTITUTE(SUBSTITUTE(SUBSTITUTE(SUBSTITUTE(SUBSTITUTE(SUBSTITUTE(LOWER(TRIM(D301)),"ё","е"),"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инженер",IF(ISNUMBER(SEARCH("диспетч",E301)),"ведущий инженер пдо",TRIM(SUBSTITUTE(SUBSTITUTE(SUBSTITUTE(SUBSTITUTE(SUBSTITUTE(SUBSTITUTE(SUBSTITUTE(SUBSTITUTE(SUBSTITUTE(SUBSTITUTE(SUBSTITUTE(LOWER(TRIM(D301)),"ё","е"),"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отк",TRIM(SUBSTITUTE(SUBSTITUTE(SUBSTITUTE(SUBSTITUTE(SUBSTITUTE(SUBSTITUTE(SUBSTITUTE(SUBSTITUTE(SUBSTITUTE(SUBSTITUTE(SUBSTITUTE(LOWER(TRIM(D301)),"ё","е")," -","-"),"- ","-")," 2 разряда","")," 3 разряда","")," 4 разряда","")," 5 разряда","")," 6 разряда","")," 1 категории","")," 2 категории","")," 3 категории",""))))))</f>
        <v>оператор-наладчик станков с чпу</v>
      </c>
      <c r="H301" s="35" t="n">
        <f aca="false">IF(C301="","",IF(AND(G301="мастер участка",ISNUMBER(SEARCH("РЭО",E301))),29,IFERROR(INDEX(Соответствие!$B$2:$B$100,MATCH(G301,Соответствие!$A$2:$A$100,0)),"?")))</f>
        <v>25</v>
      </c>
      <c r="I301" s="39" t="str">
        <f aca="false">IF(C301="","",IFERROR(INDEX(Перечень!$C$6:$C$52,MATCH(H301,Перечень!$A$6:$A$52,0)),""))</f>
        <v>п.4.3.1, п.4.3.2, п.4.4, п.5.1, п.5.2, п.15</v>
      </c>
      <c r="J301" s="35" t="n">
        <f aca="false">IF(C301="","",IFERROR(INDEX(Перечень!$D$6:$D$52,MATCH(H301,Перечень!$A$6:$A$52,0)),12))</f>
        <v>12</v>
      </c>
      <c r="K301" s="40" t="n">
        <v>45919</v>
      </c>
      <c r="L301" s="40"/>
      <c r="M301" s="37" t="n">
        <f aca="false">IF(AND(K301="",L301=""),"",EDATE(MAX(K301,L301),J301))</f>
        <v>46284</v>
      </c>
      <c r="N301" s="41" t="str">
        <f aca="false">IF(C301="","",IFERROR(INDEX(Перечень!$F$6:$F$52,MATCH(H301,Перечень!$A$6:$A$52,0)),""))</f>
        <v>-</v>
      </c>
      <c r="O301" s="40"/>
      <c r="P301" s="37" t="str">
        <f aca="false">IF(O301="","",EDATE(O301,60))</f>
        <v/>
      </c>
      <c r="Q301" s="41" t="str">
        <f aca="false">IF(AND(K301&lt;&gt;"",F301&lt;&gt;"",K301&gt;F301),"Да","")</f>
        <v/>
      </c>
      <c r="R301" s="41" t="str">
        <f aca="true">IF(C301="","",IF(M301="","Нет сведений",IF(M301&lt;TODAY(),"Просрочен",IF(M301-TODAY()&lt;=30,"Истекает","В срок"))))</f>
        <v>Просрочен</v>
      </c>
      <c r="S301" s="41" t="str">
        <f aca="false">IF(AND(N301="Да",O301=""),"Не пройдено","")</f>
        <v/>
      </c>
    </row>
    <row r="302" customFormat="false" ht="14.25" hidden="false" customHeight="false" outlineLevel="0" collapsed="false">
      <c r="A302" s="35" t="n">
        <f aca="false">IF(C302="","",ROW()-5)</f>
        <v>297</v>
      </c>
      <c r="B302" s="36" t="s">
        <v>109</v>
      </c>
      <c r="C302" s="36" t="s">
        <v>546</v>
      </c>
      <c r="D302" s="36" t="s">
        <v>278</v>
      </c>
      <c r="E302" s="36" t="s">
        <v>274</v>
      </c>
      <c r="F302" s="37" t="n">
        <v>46044</v>
      </c>
      <c r="G302" s="38" t="str">
        <f aca="false">IF(C302="","",IF(TRIM(SUBSTITUTE(SUBSTITUTE(SUBSTITUTE(SUBSTITUTE(SUBSTITUTE(SUBSTITUTE(SUBSTITUTE(SUBSTITUTE(SUBSTITUTE(SUBSTITUTE(SUBSTITUTE(LOWER(TRIM(D302)),"ё","е"),"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категории",""))="инженер",IF(AND(ISNUMBER(SEARCH("техническ",E302)),ISNUMBER(SEARCH("контрол",E302))),"инженер отк",IF(ISNUMBER(SEARCH("диспетч",E302)),"инженер пдо",TRIM(SUBSTITUTE(SUBSTITUTE(SUBSTITUTE(SUBSTITUTE(SUBSTITUTE(SUBSTITUTE(SUBSTITUTE(SUBSTITUTE(SUBSTITUTE(SUBSTITUTE(SUBSTITUTE(LOWER(TRIM(D302)),"ё","е"),"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инженер",IF(ISNUMBER(SEARCH("диспетч",E302)),"ведущий инженер пдо",TRIM(SUBSTITUTE(SUBSTITUTE(SUBSTITUTE(SUBSTITUTE(SUBSTITUTE(SUBSTITUTE(SUBSTITUTE(SUBSTITUTE(SUBSTITUTE(SUBSTITUTE(SUBSTITUTE(LOWER(TRIM(D302)),"ё","е"),"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отк",TRIM(SUBSTITUTE(SUBSTITUTE(SUBSTITUTE(SUBSTITUTE(SUBSTITUTE(SUBSTITUTE(SUBSTITUTE(SUBSTITUTE(SUBSTITUTE(SUBSTITUTE(SUBSTITUTE(LOWER(TRIM(D302)),"ё","е")," -","-"),"- ","-")," 2 разряда","")," 3 разряда","")," 4 разряда","")," 5 разряда","")," 6 разряда","")," 1 категории","")," 2 категории","")," 3 категории",""))))))</f>
        <v>оператор станков с чпу</v>
      </c>
      <c r="H302" s="35" t="n">
        <f aca="false">IF(C302="","",IF(AND(G302="мастер участка",ISNUMBER(SEARCH("РЭО",E302))),29,IFERROR(INDEX(Соответствие!$B$2:$B$100,MATCH(G302,Соответствие!$A$2:$A$100,0)),"?")))</f>
        <v>30</v>
      </c>
      <c r="I302" s="39" t="str">
        <f aca="false">IF(C302="","",IFERROR(INDEX(Перечень!$C$6:$C$52,MATCH(H302,Перечень!$A$6:$A$52,0)),""))</f>
        <v>п.4.3.1, п.4.3.2, п.4.4, п.5.1, п.5.2, п.15</v>
      </c>
      <c r="J302" s="35" t="n">
        <f aca="false">IF(C302="","",IFERROR(INDEX(Перечень!$D$6:$D$52,MATCH(H302,Перечень!$A$6:$A$52,0)),12))</f>
        <v>12</v>
      </c>
      <c r="K302" s="40"/>
      <c r="L302" s="40"/>
      <c r="M302" s="37" t="str">
        <f aca="false">IF(AND(K302="",L302=""),"",EDATE(MAX(K302,L302),J302))</f>
        <v/>
      </c>
      <c r="N302" s="41" t="str">
        <f aca="false">IF(C302="","",IFERROR(INDEX(Перечень!$F$6:$F$52,MATCH(H302,Перечень!$A$6:$A$52,0)),""))</f>
        <v>-</v>
      </c>
      <c r="O302" s="40"/>
      <c r="P302" s="37" t="str">
        <f aca="false">IF(O302="","",EDATE(O302,60))</f>
        <v/>
      </c>
      <c r="Q302" s="41" t="str">
        <f aca="false">IF(AND(K302&lt;&gt;"",F302&lt;&gt;"",K302&gt;F302),"Да","")</f>
        <v/>
      </c>
      <c r="R302" s="41" t="str">
        <f aca="true">IF(C302="","",IF(M302="","Нет сведений",IF(M302&lt;TODAY(),"Просрочен",IF(M302-TODAY()&lt;=30,"Истекает","В срок"))))</f>
        <v>Нет сведений</v>
      </c>
      <c r="S302" s="41" t="str">
        <f aca="false">IF(AND(N302="Да",O302=""),"Не пройдено","")</f>
        <v/>
      </c>
    </row>
    <row r="303" customFormat="false" ht="14.25" hidden="false" customHeight="false" outlineLevel="0" collapsed="false">
      <c r="A303" s="35" t="n">
        <f aca="false">IF(C303="","",ROW()-5)</f>
        <v>298</v>
      </c>
      <c r="B303" s="36" t="s">
        <v>109</v>
      </c>
      <c r="C303" s="36" t="s">
        <v>547</v>
      </c>
      <c r="D303" s="36" t="s">
        <v>286</v>
      </c>
      <c r="E303" s="36" t="s">
        <v>274</v>
      </c>
      <c r="F303" s="37" t="n">
        <v>45993</v>
      </c>
      <c r="G303" s="38" t="str">
        <f aca="false">IF(C303="","",IF(TRIM(SUBSTITUTE(SUBSTITUTE(SUBSTITUTE(SUBSTITUTE(SUBSTITUTE(SUBSTITUTE(SUBSTITUTE(SUBSTITUTE(SUBSTITUTE(SUBSTITUTE(SUBSTITUTE(LOWER(TRIM(D303)),"ё","е"),"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категории",""))="инженер",IF(AND(ISNUMBER(SEARCH("техническ",E303)),ISNUMBER(SEARCH("контрол",E303))),"инженер отк",IF(ISNUMBER(SEARCH("диспетч",E303)),"инженер пдо",TRIM(SUBSTITUTE(SUBSTITUTE(SUBSTITUTE(SUBSTITUTE(SUBSTITUTE(SUBSTITUTE(SUBSTITUTE(SUBSTITUTE(SUBSTITUTE(SUBSTITUTE(SUBSTITUTE(LOWER(TRIM(D303)),"ё","е"),"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инженер",IF(ISNUMBER(SEARCH("диспетч",E303)),"ведущий инженер пдо",TRIM(SUBSTITUTE(SUBSTITUTE(SUBSTITUTE(SUBSTITUTE(SUBSTITUTE(SUBSTITUTE(SUBSTITUTE(SUBSTITUTE(SUBSTITUTE(SUBSTITUTE(SUBSTITUTE(LOWER(TRIM(D303)),"ё","е"),"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отк",TRIM(SUBSTITUTE(SUBSTITUTE(SUBSTITUTE(SUBSTITUTE(SUBSTITUTE(SUBSTITUTE(SUBSTITUTE(SUBSTITUTE(SUBSTITUTE(SUBSTITUTE(SUBSTITUTE(LOWER(TRIM(D303)),"ё","е")," -","-"),"- ","-")," 2 разряда","")," 3 разряда","")," 4 разряда","")," 5 разряда","")," 6 разряда","")," 1 категории","")," 2 категории","")," 3 категории",""))))))</f>
        <v>токарь</v>
      </c>
      <c r="H303" s="35" t="n">
        <f aca="false">IF(C303="","",IF(AND(G303="мастер участка",ISNUMBER(SEARCH("РЭО",E303))),29,IFERROR(INDEX(Соответствие!$B$2:$B$100,MATCH(G303,Соответствие!$A$2:$A$100,0)),"?")))</f>
        <v>34</v>
      </c>
      <c r="I303" s="39" t="str">
        <f aca="false">IF(C303="","",IFERROR(INDEX(Перечень!$C$6:$C$52,MATCH(H303,Перечень!$A$6:$A$52,0)),""))</f>
        <v>п.4.3.1, п.4.3.2, п.4.4, п.5.1, п.5.2, п.15</v>
      </c>
      <c r="J303" s="35" t="n">
        <f aca="false">IF(C303="","",IFERROR(INDEX(Перечень!$D$6:$D$52,MATCH(H303,Перечень!$A$6:$A$52,0)),12))</f>
        <v>12</v>
      </c>
      <c r="K303" s="40"/>
      <c r="L303" s="40"/>
      <c r="M303" s="37" t="str">
        <f aca="false">IF(AND(K303="",L303=""),"",EDATE(MAX(K303,L303),J303))</f>
        <v/>
      </c>
      <c r="N303" s="41" t="str">
        <f aca="false">IF(C303="","",IFERROR(INDEX(Перечень!$F$6:$F$52,MATCH(H303,Перечень!$A$6:$A$52,0)),""))</f>
        <v>-</v>
      </c>
      <c r="O303" s="40"/>
      <c r="P303" s="37" t="str">
        <f aca="false">IF(O303="","",EDATE(O303,60))</f>
        <v/>
      </c>
      <c r="Q303" s="41" t="str">
        <f aca="false">IF(AND(K303&lt;&gt;"",F303&lt;&gt;"",K303&gt;F303),"Да","")</f>
        <v/>
      </c>
      <c r="R303" s="41" t="str">
        <f aca="true">IF(C303="","",IF(M303="","Нет сведений",IF(M303&lt;TODAY(),"Просрочен",IF(M303-TODAY()&lt;=30,"Истекает","В срок"))))</f>
        <v>Нет сведений</v>
      </c>
      <c r="S303" s="41" t="str">
        <f aca="false">IF(AND(N303="Да",O303=""),"Не пройдено","")</f>
        <v/>
      </c>
    </row>
    <row r="304" customFormat="false" ht="14.25" hidden="false" customHeight="false" outlineLevel="0" collapsed="false">
      <c r="A304" s="35" t="n">
        <f aca="false">IF(C304="","",ROW()-5)</f>
        <v>299</v>
      </c>
      <c r="B304" s="36" t="s">
        <v>109</v>
      </c>
      <c r="C304" s="36" t="s">
        <v>548</v>
      </c>
      <c r="D304" s="36" t="s">
        <v>286</v>
      </c>
      <c r="E304" s="36" t="s">
        <v>274</v>
      </c>
      <c r="F304" s="37" t="n">
        <v>46001</v>
      </c>
      <c r="G304" s="38" t="str">
        <f aca="false">IF(C304="","",IF(TRIM(SUBSTITUTE(SUBSTITUTE(SUBSTITUTE(SUBSTITUTE(SUBSTITUTE(SUBSTITUTE(SUBSTITUTE(SUBSTITUTE(SUBSTITUTE(SUBSTITUTE(SUBSTITUTE(LOWER(TRIM(D304)),"ё","е"),"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категории",""))="инженер",IF(AND(ISNUMBER(SEARCH("техническ",E304)),ISNUMBER(SEARCH("контрол",E304))),"инженер отк",IF(ISNUMBER(SEARCH("диспетч",E304)),"инженер пдо",TRIM(SUBSTITUTE(SUBSTITUTE(SUBSTITUTE(SUBSTITUTE(SUBSTITUTE(SUBSTITUTE(SUBSTITUTE(SUBSTITUTE(SUBSTITUTE(SUBSTITUTE(SUBSTITUTE(LOWER(TRIM(D304)),"ё","е"),"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инженер",IF(ISNUMBER(SEARCH("диспетч",E304)),"ведущий инженер пдо",TRIM(SUBSTITUTE(SUBSTITUTE(SUBSTITUTE(SUBSTITUTE(SUBSTITUTE(SUBSTITUTE(SUBSTITUTE(SUBSTITUTE(SUBSTITUTE(SUBSTITUTE(SUBSTITUTE(LOWER(TRIM(D304)),"ё","е"),"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отк",TRIM(SUBSTITUTE(SUBSTITUTE(SUBSTITUTE(SUBSTITUTE(SUBSTITUTE(SUBSTITUTE(SUBSTITUTE(SUBSTITUTE(SUBSTITUTE(SUBSTITUTE(SUBSTITUTE(LOWER(TRIM(D304)),"ё","е")," -","-"),"- ","-")," 2 разряда","")," 3 разряда","")," 4 разряда","")," 5 разряда","")," 6 разряда","")," 1 категории","")," 2 категории","")," 3 категории",""))))))</f>
        <v>токарь</v>
      </c>
      <c r="H304" s="35" t="n">
        <f aca="false">IF(C304="","",IF(AND(G304="мастер участка",ISNUMBER(SEARCH("РЭО",E304))),29,IFERROR(INDEX(Соответствие!$B$2:$B$100,MATCH(G304,Соответствие!$A$2:$A$100,0)),"?")))</f>
        <v>34</v>
      </c>
      <c r="I304" s="39" t="str">
        <f aca="false">IF(C304="","",IFERROR(INDEX(Перечень!$C$6:$C$52,MATCH(H304,Перечень!$A$6:$A$52,0)),""))</f>
        <v>п.4.3.1, п.4.3.2, п.4.4, п.5.1, п.5.2, п.15</v>
      </c>
      <c r="J304" s="35" t="n">
        <f aca="false">IF(C304="","",IFERROR(INDEX(Перечень!$D$6:$D$52,MATCH(H304,Перечень!$A$6:$A$52,0)),12))</f>
        <v>12</v>
      </c>
      <c r="K304" s="40"/>
      <c r="L304" s="40"/>
      <c r="M304" s="37" t="str">
        <f aca="false">IF(AND(K304="",L304=""),"",EDATE(MAX(K304,L304),J304))</f>
        <v/>
      </c>
      <c r="N304" s="41" t="str">
        <f aca="false">IF(C304="","",IFERROR(INDEX(Перечень!$F$6:$F$52,MATCH(H304,Перечень!$A$6:$A$52,0)),""))</f>
        <v>-</v>
      </c>
      <c r="O304" s="40"/>
      <c r="P304" s="37" t="str">
        <f aca="false">IF(O304="","",EDATE(O304,60))</f>
        <v/>
      </c>
      <c r="Q304" s="41" t="str">
        <f aca="false">IF(AND(K304&lt;&gt;"",F304&lt;&gt;"",K304&gt;F304),"Да","")</f>
        <v/>
      </c>
      <c r="R304" s="41" t="str">
        <f aca="true">IF(C304="","",IF(M304="","Нет сведений",IF(M304&lt;TODAY(),"Просрочен",IF(M304-TODAY()&lt;=30,"Истекает","В срок"))))</f>
        <v>Нет сведений</v>
      </c>
      <c r="S304" s="41" t="str">
        <f aca="false">IF(AND(N304="Да",O304=""),"Не пройдено","")</f>
        <v/>
      </c>
    </row>
    <row r="305" customFormat="false" ht="14.25" hidden="false" customHeight="false" outlineLevel="0" collapsed="false">
      <c r="A305" s="35" t="n">
        <f aca="false">IF(C305="","",ROW()-5)</f>
        <v>300</v>
      </c>
      <c r="B305" s="36" t="s">
        <v>109</v>
      </c>
      <c r="C305" s="36" t="s">
        <v>549</v>
      </c>
      <c r="D305" s="36" t="s">
        <v>286</v>
      </c>
      <c r="E305" s="36" t="s">
        <v>274</v>
      </c>
      <c r="F305" s="37" t="n">
        <v>45993</v>
      </c>
      <c r="G305" s="38" t="str">
        <f aca="false">IF(C305="","",IF(TRIM(SUBSTITUTE(SUBSTITUTE(SUBSTITUTE(SUBSTITUTE(SUBSTITUTE(SUBSTITUTE(SUBSTITUTE(SUBSTITUTE(SUBSTITUTE(SUBSTITUTE(SUBSTITUTE(LOWER(TRIM(D305)),"ё","е"),"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категории",""))="инженер",IF(AND(ISNUMBER(SEARCH("техническ",E305)),ISNUMBER(SEARCH("контрол",E305))),"инженер отк",IF(ISNUMBER(SEARCH("диспетч",E305)),"инженер пдо",TRIM(SUBSTITUTE(SUBSTITUTE(SUBSTITUTE(SUBSTITUTE(SUBSTITUTE(SUBSTITUTE(SUBSTITUTE(SUBSTITUTE(SUBSTITUTE(SUBSTITUTE(SUBSTITUTE(LOWER(TRIM(D305)),"ё","е"),"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инженер",IF(ISNUMBER(SEARCH("диспетч",E305)),"ведущий инженер пдо",TRIM(SUBSTITUTE(SUBSTITUTE(SUBSTITUTE(SUBSTITUTE(SUBSTITUTE(SUBSTITUTE(SUBSTITUTE(SUBSTITUTE(SUBSTITUTE(SUBSTITUTE(SUBSTITUTE(LOWER(TRIM(D305)),"ё","е"),"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отк",TRIM(SUBSTITUTE(SUBSTITUTE(SUBSTITUTE(SUBSTITUTE(SUBSTITUTE(SUBSTITUTE(SUBSTITUTE(SUBSTITUTE(SUBSTITUTE(SUBSTITUTE(SUBSTITUTE(LOWER(TRIM(D305)),"ё","е")," -","-"),"- ","-")," 2 разряда","")," 3 разряда","")," 4 разряда","")," 5 разряда","")," 6 разряда","")," 1 категории","")," 2 категории","")," 3 категории",""))))))</f>
        <v>токарь</v>
      </c>
      <c r="H305" s="35" t="n">
        <f aca="false">IF(C305="","",IF(AND(G305="мастер участка",ISNUMBER(SEARCH("РЭО",E305))),29,IFERROR(INDEX(Соответствие!$B$2:$B$100,MATCH(G305,Соответствие!$A$2:$A$100,0)),"?")))</f>
        <v>34</v>
      </c>
      <c r="I305" s="39" t="str">
        <f aca="false">IF(C305="","",IFERROR(INDEX(Перечень!$C$6:$C$52,MATCH(H305,Перечень!$A$6:$A$52,0)),""))</f>
        <v>п.4.3.1, п.4.3.2, п.4.4, п.5.1, п.5.2, п.15</v>
      </c>
      <c r="J305" s="35" t="n">
        <f aca="false">IF(C305="","",IFERROR(INDEX(Перечень!$D$6:$D$52,MATCH(H305,Перечень!$A$6:$A$52,0)),12))</f>
        <v>12</v>
      </c>
      <c r="K305" s="40"/>
      <c r="L305" s="40"/>
      <c r="M305" s="37" t="str">
        <f aca="false">IF(AND(K305="",L305=""),"",EDATE(MAX(K305,L305),J305))</f>
        <v/>
      </c>
      <c r="N305" s="41" t="str">
        <f aca="false">IF(C305="","",IFERROR(INDEX(Перечень!$F$6:$F$52,MATCH(H305,Перечень!$A$6:$A$52,0)),""))</f>
        <v>-</v>
      </c>
      <c r="O305" s="40"/>
      <c r="P305" s="37" t="str">
        <f aca="false">IF(O305="","",EDATE(O305,60))</f>
        <v/>
      </c>
      <c r="Q305" s="41" t="str">
        <f aca="false">IF(AND(K305&lt;&gt;"",F305&lt;&gt;"",K305&gt;F305),"Да","")</f>
        <v/>
      </c>
      <c r="R305" s="41" t="str">
        <f aca="true">IF(C305="","",IF(M305="","Нет сведений",IF(M305&lt;TODAY(),"Просрочен",IF(M305-TODAY()&lt;=30,"Истекает","В срок"))))</f>
        <v>Нет сведений</v>
      </c>
      <c r="S305" s="41" t="str">
        <f aca="false">IF(AND(N305="Да",O305=""),"Не пройдено","")</f>
        <v/>
      </c>
    </row>
    <row r="306" customFormat="false" ht="14.25" hidden="false" customHeight="false" outlineLevel="0" collapsed="false">
      <c r="A306" s="35" t="n">
        <f aca="false">IF(C306="","",ROW()-5)</f>
        <v>301</v>
      </c>
      <c r="B306" s="36" t="s">
        <v>109</v>
      </c>
      <c r="C306" s="36" t="s">
        <v>550</v>
      </c>
      <c r="D306" s="36" t="s">
        <v>291</v>
      </c>
      <c r="E306" s="36" t="s">
        <v>292</v>
      </c>
      <c r="F306" s="37" t="n">
        <v>46119</v>
      </c>
      <c r="G306" s="38" t="str">
        <f aca="false">IF(C306="","",IF(TRIM(SUBSTITUTE(SUBSTITUTE(SUBSTITUTE(SUBSTITUTE(SUBSTITUTE(SUBSTITUTE(SUBSTITUTE(SUBSTITUTE(SUBSTITUTE(SUBSTITUTE(SUBSTITUTE(LOWER(TRIM(D306)),"ё","е"),"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категории",""))="инженер",IF(AND(ISNUMBER(SEARCH("техническ",E306)),ISNUMBER(SEARCH("контрол",E306))),"инженер отк",IF(ISNUMBER(SEARCH("диспетч",E306)),"инженер пдо",TRIM(SUBSTITUTE(SUBSTITUTE(SUBSTITUTE(SUBSTITUTE(SUBSTITUTE(SUBSTITUTE(SUBSTITUTE(SUBSTITUTE(SUBSTITUTE(SUBSTITUTE(SUBSTITUTE(LOWER(TRIM(D306)),"ё","е"),"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инженер",IF(ISNUMBER(SEARCH("диспетч",E306)),"ведущий инженер пдо",TRIM(SUBSTITUTE(SUBSTITUTE(SUBSTITUTE(SUBSTITUTE(SUBSTITUTE(SUBSTITUTE(SUBSTITUTE(SUBSTITUTE(SUBSTITUTE(SUBSTITUTE(SUBSTITUTE(LOWER(TRIM(D306)),"ё","е"),"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отк",TRIM(SUBSTITUTE(SUBSTITUTE(SUBSTITUTE(SUBSTITUTE(SUBSTITUTE(SUBSTITUTE(SUBSTITUTE(SUBSTITUTE(SUBSTITUTE(SUBSTITUTE(SUBSTITUTE(LOWER(TRIM(D306)),"ё","е"),"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306" s="35" t="n">
        <f aca="false">IF(C306="","",IF(AND(G306="мастер участка",ISNUMBER(SEARCH("РЭО",E306))),29,IFERROR(INDEX(Соответствие!$B$2:$B$100,MATCH(G306,Соответствие!$A$2:$A$100,0)),"?")))</f>
        <v>32</v>
      </c>
      <c r="I306" s="39" t="str">
        <f aca="false">IF(C306="","",IFERROR(INDEX(Перечень!$C$6:$C$52,MATCH(H306,Перечень!$A$6:$A$52,0)),""))</f>
        <v>п.4.3.1, п.4.3.2, п.4.4, п.5.1, п.15</v>
      </c>
      <c r="J306" s="35" t="n">
        <f aca="false">IF(C306="","",IFERROR(INDEX(Перечень!$D$6:$D$52,MATCH(H306,Перечень!$A$6:$A$52,0)),12))</f>
        <v>12</v>
      </c>
      <c r="K306" s="40"/>
      <c r="L306" s="40"/>
      <c r="M306" s="37" t="str">
        <f aca="false">IF(AND(K306="",L306=""),"",EDATE(MAX(K306,L306),J306))</f>
        <v/>
      </c>
      <c r="N306" s="41" t="str">
        <f aca="false">IF(C306="","",IFERROR(INDEX(Перечень!$F$6:$F$52,MATCH(H306,Перечень!$A$6:$A$52,0)),""))</f>
        <v>-</v>
      </c>
      <c r="O306" s="40"/>
      <c r="P306" s="37" t="str">
        <f aca="false">IF(O306="","",EDATE(O306,60))</f>
        <v/>
      </c>
      <c r="Q306" s="41" t="str">
        <f aca="false">IF(AND(K306&lt;&gt;"",F306&lt;&gt;"",K306&gt;F306),"Да","")</f>
        <v/>
      </c>
      <c r="R306" s="41" t="str">
        <f aca="true">IF(C306="","",IF(M306="","Нет сведений",IF(M306&lt;TODAY(),"Просрочен",IF(M306-TODAY()&lt;=30,"Истекает","В срок"))))</f>
        <v>Нет сведений</v>
      </c>
      <c r="S306" s="41" t="str">
        <f aca="false">IF(AND(N306="Да",O306=""),"Не пройдено","")</f>
        <v/>
      </c>
    </row>
    <row r="307" customFormat="false" ht="14.25" hidden="false" customHeight="false" outlineLevel="0" collapsed="false">
      <c r="A307" s="35" t="n">
        <f aca="false">IF(C307="","",ROW()-5)</f>
        <v>302</v>
      </c>
      <c r="B307" s="36" t="s">
        <v>109</v>
      </c>
      <c r="C307" s="36" t="s">
        <v>551</v>
      </c>
      <c r="D307" s="36" t="s">
        <v>298</v>
      </c>
      <c r="E307" s="36" t="s">
        <v>292</v>
      </c>
      <c r="F307" s="37" t="n">
        <v>46094</v>
      </c>
      <c r="G307" s="38" t="str">
        <f aca="false">IF(C307="","",IF(TRIM(SUBSTITUTE(SUBSTITUTE(SUBSTITUTE(SUBSTITUTE(SUBSTITUTE(SUBSTITUTE(SUBSTITUTE(SUBSTITUTE(SUBSTITUTE(SUBSTITUTE(SUBSTITUTE(LOWER(TRIM(D307)),"ё","е"),"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категории",""))="инженер",IF(AND(ISNUMBER(SEARCH("техническ",E307)),ISNUMBER(SEARCH("контрол",E307))),"инженер отк",IF(ISNUMBER(SEARCH("диспетч",E307)),"инженер пдо",TRIM(SUBSTITUTE(SUBSTITUTE(SUBSTITUTE(SUBSTITUTE(SUBSTITUTE(SUBSTITUTE(SUBSTITUTE(SUBSTITUTE(SUBSTITUTE(SUBSTITUTE(SUBSTITUTE(LOWER(TRIM(D307)),"ё","е"),"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инженер",IF(ISNUMBER(SEARCH("диспетч",E307)),"ведущий инженер пдо",TRIM(SUBSTITUTE(SUBSTITUTE(SUBSTITUTE(SUBSTITUTE(SUBSTITUTE(SUBSTITUTE(SUBSTITUTE(SUBSTITUTE(SUBSTITUTE(SUBSTITUTE(SUBSTITUTE(LOWER(TRIM(D307)),"ё","е"),"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отк",TRIM(SUBSTITUTE(SUBSTITUTE(SUBSTITUTE(SUBSTITUTE(SUBSTITUTE(SUBSTITUTE(SUBSTITUTE(SUBSTITUTE(SUBSTITUTE(SUBSTITUTE(SUBSTITUTE(LOWER(TRIM(D307)),"ё","е"),"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307" s="35" t="n">
        <f aca="false">IF(C307="","",IF(AND(G307="мастер участка",ISNUMBER(SEARCH("РЭО",E307))),29,IFERROR(INDEX(Соответствие!$B$2:$B$100,MATCH(G307,Соответствие!$A$2:$A$100,0)),"?")))</f>
        <v>32</v>
      </c>
      <c r="I307" s="39" t="str">
        <f aca="false">IF(C307="","",IFERROR(INDEX(Перечень!$C$6:$C$52,MATCH(H307,Перечень!$A$6:$A$52,0)),""))</f>
        <v>п.4.3.1, п.4.3.2, п.4.4, п.5.1, п.15</v>
      </c>
      <c r="J307" s="35" t="n">
        <f aca="false">IF(C307="","",IFERROR(INDEX(Перечень!$D$6:$D$52,MATCH(H307,Перечень!$A$6:$A$52,0)),12))</f>
        <v>12</v>
      </c>
      <c r="K307" s="40"/>
      <c r="L307" s="40"/>
      <c r="M307" s="37" t="str">
        <f aca="false">IF(AND(K307="",L307=""),"",EDATE(MAX(K307,L307),J307))</f>
        <v/>
      </c>
      <c r="N307" s="41" t="str">
        <f aca="false">IF(C307="","",IFERROR(INDEX(Перечень!$F$6:$F$52,MATCH(H307,Перечень!$A$6:$A$52,0)),""))</f>
        <v>-</v>
      </c>
      <c r="O307" s="40"/>
      <c r="P307" s="37" t="str">
        <f aca="false">IF(O307="","",EDATE(O307,60))</f>
        <v/>
      </c>
      <c r="Q307" s="41" t="str">
        <f aca="false">IF(AND(K307&lt;&gt;"",F307&lt;&gt;"",K307&gt;F307),"Да","")</f>
        <v/>
      </c>
      <c r="R307" s="41" t="str">
        <f aca="true">IF(C307="","",IF(M307="","Нет сведений",IF(M307&lt;TODAY(),"Просрочен",IF(M307-TODAY()&lt;=30,"Истекает","В срок"))))</f>
        <v>Нет сведений</v>
      </c>
      <c r="S307" s="41" t="str">
        <f aca="false">IF(AND(N307="Да",O307=""),"Не пройдено","")</f>
        <v/>
      </c>
    </row>
    <row r="308" customFormat="false" ht="14.25" hidden="false" customHeight="false" outlineLevel="0" collapsed="false">
      <c r="A308" s="35" t="n">
        <f aca="false">IF(C308="","",ROW()-5)</f>
        <v>303</v>
      </c>
      <c r="B308" s="36" t="s">
        <v>109</v>
      </c>
      <c r="C308" s="36" t="s">
        <v>552</v>
      </c>
      <c r="D308" s="36" t="s">
        <v>328</v>
      </c>
      <c r="E308" s="36" t="s">
        <v>274</v>
      </c>
      <c r="F308" s="37" t="n">
        <v>45798</v>
      </c>
      <c r="G308" s="38" t="str">
        <f aca="false">IF(C308="","",IF(TRIM(SUBSTITUTE(SUBSTITUTE(SUBSTITUTE(SUBSTITUTE(SUBSTITUTE(SUBSTITUTE(SUBSTITUTE(SUBSTITUTE(SUBSTITUTE(SUBSTITUTE(SUBSTITUTE(LOWER(TRIM(D308)),"ё","е"),"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категории",""))="инженер",IF(AND(ISNUMBER(SEARCH("техническ",E308)),ISNUMBER(SEARCH("контрол",E308))),"инженер отк",IF(ISNUMBER(SEARCH("диспетч",E308)),"инженер пдо",TRIM(SUBSTITUTE(SUBSTITUTE(SUBSTITUTE(SUBSTITUTE(SUBSTITUTE(SUBSTITUTE(SUBSTITUTE(SUBSTITUTE(SUBSTITUTE(SUBSTITUTE(SUBSTITUTE(LOWER(TRIM(D308)),"ё","е"),"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инженер",IF(ISNUMBER(SEARCH("диспетч",E308)),"ведущий инженер пдо",TRIM(SUBSTITUTE(SUBSTITUTE(SUBSTITUTE(SUBSTITUTE(SUBSTITUTE(SUBSTITUTE(SUBSTITUTE(SUBSTITUTE(SUBSTITUTE(SUBSTITUTE(SUBSTITUTE(LOWER(TRIM(D308)),"ё","е"),"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отк",TRIM(SUBSTITUTE(SUBSTITUTE(SUBSTITUTE(SUBSTITUTE(SUBSTITUTE(SUBSTITUTE(SUBSTITUTE(SUBSTITUTE(SUBSTITUTE(SUBSTITUTE(SUBSTITUTE(LOWER(TRIM(D308)),"ё","е")," -","-"),"- ","-")," 2 разряда","")," 3 разряда","")," 4 разряда","")," 5 разряда","")," 6 разряда","")," 1 категории","")," 2 категории","")," 3 категории",""))))))</f>
        <v>оператор станков с чпу</v>
      </c>
      <c r="H308" s="35" t="n">
        <f aca="false">IF(C308="","",IF(AND(G308="мастер участка",ISNUMBER(SEARCH("РЭО",E308))),29,IFERROR(INDEX(Соответствие!$B$2:$B$100,MATCH(G308,Соответствие!$A$2:$A$100,0)),"?")))</f>
        <v>30</v>
      </c>
      <c r="I308" s="39" t="str">
        <f aca="false">IF(C308="","",IFERROR(INDEX(Перечень!$C$6:$C$52,MATCH(H308,Перечень!$A$6:$A$52,0)),""))</f>
        <v>п.4.3.1, п.4.3.2, п.4.4, п.5.1, п.5.2, п.15</v>
      </c>
      <c r="J308" s="35" t="n">
        <f aca="false">IF(C308="","",IFERROR(INDEX(Перечень!$D$6:$D$52,MATCH(H308,Перечень!$A$6:$A$52,0)),12))</f>
        <v>12</v>
      </c>
      <c r="K308" s="40"/>
      <c r="L308" s="40"/>
      <c r="M308" s="37" t="str">
        <f aca="false">IF(AND(K308="",L308=""),"",EDATE(MAX(K308,L308),J308))</f>
        <v/>
      </c>
      <c r="N308" s="41" t="str">
        <f aca="false">IF(C308="","",IFERROR(INDEX(Перечень!$F$6:$F$52,MATCH(H308,Перечень!$A$6:$A$52,0)),""))</f>
        <v>-</v>
      </c>
      <c r="O308" s="40"/>
      <c r="P308" s="37" t="str">
        <f aca="false">IF(O308="","",EDATE(O308,60))</f>
        <v/>
      </c>
      <c r="Q308" s="41" t="str">
        <f aca="false">IF(AND(K308&lt;&gt;"",F308&lt;&gt;"",K308&gt;F308),"Да","")</f>
        <v/>
      </c>
      <c r="R308" s="41" t="str">
        <f aca="true">IF(C308="","",IF(M308="","Нет сведений",IF(M308&lt;TODAY(),"Просрочен",IF(M308-TODAY()&lt;=30,"Истекает","В срок"))))</f>
        <v>Нет сведений</v>
      </c>
      <c r="S308" s="41" t="str">
        <f aca="false">IF(AND(N308="Да",O308=""),"Не пройдено","")</f>
        <v/>
      </c>
    </row>
    <row r="309" customFormat="false" ht="14.25" hidden="false" customHeight="false" outlineLevel="0" collapsed="false">
      <c r="A309" s="35" t="n">
        <f aca="false">IF(C309="","",ROW()-5)</f>
        <v>304</v>
      </c>
      <c r="B309" s="36" t="s">
        <v>109</v>
      </c>
      <c r="C309" s="36" t="s">
        <v>553</v>
      </c>
      <c r="D309" s="36" t="s">
        <v>278</v>
      </c>
      <c r="E309" s="36" t="s">
        <v>274</v>
      </c>
      <c r="F309" s="37" t="n">
        <v>45744</v>
      </c>
      <c r="G309" s="38" t="str">
        <f aca="false">IF(C309="","",IF(TRIM(SUBSTITUTE(SUBSTITUTE(SUBSTITUTE(SUBSTITUTE(SUBSTITUTE(SUBSTITUTE(SUBSTITUTE(SUBSTITUTE(SUBSTITUTE(SUBSTITUTE(SUBSTITUTE(LOWER(TRIM(D309)),"ё","е"),"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категории",""))="инженер",IF(AND(ISNUMBER(SEARCH("техническ",E309)),ISNUMBER(SEARCH("контрол",E309))),"инженер отк",IF(ISNUMBER(SEARCH("диспетч",E309)),"инженер пдо",TRIM(SUBSTITUTE(SUBSTITUTE(SUBSTITUTE(SUBSTITUTE(SUBSTITUTE(SUBSTITUTE(SUBSTITUTE(SUBSTITUTE(SUBSTITUTE(SUBSTITUTE(SUBSTITUTE(LOWER(TRIM(D309)),"ё","е"),"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категории","")))),IF(TRIM(SUBSTITUTE(SUBSTITUTE(SUBSTITUTE(SUBSTITUTE(SUBSTITUTE(SUBSTITUTE(SUBSTITUTE(SUBSTITUTE(SUBSTITUTE(SUBSTITUTE(SUBSTITUTE(LOWER(TRIM(D309)),"ё","е"),"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инженер",IF(ISNUMBER(SEARCH("диспетч",E309)),"ведущий инженер пдо",TRIM(SUBSTITUTE(SUBSTITUTE(SUBSTITUTE(SUBSTITUTE(SUBSTITUTE(SUBSTITUTE(SUBSTITUTE(SUBSTITUTE(SUBSTITUTE(SUBSTITUTE(SUBSTITUTE(LOWER(TRIM(D309)),"ё","е"),"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категории",""))),IF(TRIM(SUBSTITUTE(SUBSTITUTE(SUBSTITUTE(SUBSTITUTE(SUBSTITUTE(SUBSTITUTE(SUBSTITUTE(SUBSTITUTE(SUBSTITUTE(SUBSTITUTE(SUBSTITUTE(LOWER(TRIM(D309)),"ё","е"),"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отк",TRIM(SUBSTITUTE(SUBSTITUTE(SUBSTITUTE(SUBSTITUTE(SUBSTITUTE(SUBSTITUTE(SUBSTITUTE(SUBSTITUTE(SUBSTITUTE(SUBSTITUTE(SUBSTITUTE(LOWER(TRIM(D309)),"ё","е")," -","-"),"- ","-")," 2 разряда","")," 3 разряда","")," 4 разряда","")," 5 разряда","")," 6 разряда","")," 1 категории","")," 2 категории","")," 3 категории",""))))))</f>
        <v>оператор станков с чпу</v>
      </c>
      <c r="H309" s="35" t="n">
        <f aca="false">IF(C309="","",IF(AND(G309="мастер участка",ISNUMBER(SEARCH("РЭО",E309))),29,IFERROR(INDEX(Соответствие!$B$2:$B$100,MATCH(G309,Соответствие!$A$2:$A$100,0)),"?")))</f>
        <v>30</v>
      </c>
      <c r="I309" s="39" t="str">
        <f aca="false">IF(C309="","",IFERROR(INDEX(Перечень!$C$6:$C$52,MATCH(H309,Перечень!$A$6:$A$52,0)),""))</f>
        <v>п.4.3.1, п.4.3.2, п.4.4, п.5.1, п.5.2, п.15</v>
      </c>
      <c r="J309" s="35" t="n">
        <f aca="false">IF(C309="","",IFERROR(INDEX(Перечень!$D$6:$D$52,MATCH(H309,Перечень!$A$6:$A$52,0)),12))</f>
        <v>12</v>
      </c>
      <c r="K309" s="40"/>
      <c r="L309" s="40"/>
      <c r="M309" s="37" t="str">
        <f aca="false">IF(AND(K309="",L309=""),"",EDATE(MAX(K309,L309),J309))</f>
        <v/>
      </c>
      <c r="N309" s="41" t="str">
        <f aca="false">IF(C309="","",IFERROR(INDEX(Перечень!$F$6:$F$52,MATCH(H309,Перечень!$A$6:$A$52,0)),""))</f>
        <v>-</v>
      </c>
      <c r="O309" s="40"/>
      <c r="P309" s="37" t="str">
        <f aca="false">IF(O309="","",EDATE(O309,60))</f>
        <v/>
      </c>
      <c r="Q309" s="41" t="str">
        <f aca="false">IF(AND(K309&lt;&gt;"",F309&lt;&gt;"",K309&gt;F309),"Да","")</f>
        <v/>
      </c>
      <c r="R309" s="41" t="str">
        <f aca="true">IF(C309="","",IF(M309="","Нет сведений",IF(M309&lt;TODAY(),"Просрочен",IF(M309-TODAY()&lt;=30,"Истекает","В срок"))))</f>
        <v>Нет сведений</v>
      </c>
      <c r="S309" s="41" t="str">
        <f aca="false">IF(AND(N309="Да",O309=""),"Не пройдено","")</f>
        <v/>
      </c>
    </row>
    <row r="310" customFormat="false" ht="14.25" hidden="false" customHeight="false" outlineLevel="0" collapsed="false">
      <c r="A310" s="35" t="n">
        <f aca="false">IF(C310="","",ROW()-5)</f>
        <v>305</v>
      </c>
      <c r="B310" s="36" t="s">
        <v>109</v>
      </c>
      <c r="C310" s="36" t="s">
        <v>554</v>
      </c>
      <c r="D310" s="36" t="s">
        <v>328</v>
      </c>
      <c r="E310" s="36" t="s">
        <v>274</v>
      </c>
      <c r="F310" s="37" t="n">
        <v>45812</v>
      </c>
      <c r="G310" s="38" t="str">
        <f aca="false">IF(C310="","",IF(TRIM(SUBSTITUTE(SUBSTITUTE(SUBSTITUTE(SUBSTITUTE(SUBSTITUTE(SUBSTITUTE(SUBSTITUTE(SUBSTITUTE(SUBSTITUTE(SUBSTITUTE(SUBSTITUTE(LOWER(TRIM(D310)),"ё","е"),"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категории",""))="инженер",IF(AND(ISNUMBER(SEARCH("техническ",E310)),ISNUMBER(SEARCH("контрол",E310))),"инженер отк",IF(ISNUMBER(SEARCH("диспетч",E310)),"инженер пдо",TRIM(SUBSTITUTE(SUBSTITUTE(SUBSTITUTE(SUBSTITUTE(SUBSTITUTE(SUBSTITUTE(SUBSTITUTE(SUBSTITUTE(SUBSTITUTE(SUBSTITUTE(SUBSTITUTE(LOWER(TRIM(D310)),"ё","е"),"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инженер",IF(ISNUMBER(SEARCH("диспетч",E310)),"ведущий инженер пдо",TRIM(SUBSTITUTE(SUBSTITUTE(SUBSTITUTE(SUBSTITUTE(SUBSTITUTE(SUBSTITUTE(SUBSTITUTE(SUBSTITUTE(SUBSTITUTE(SUBSTITUTE(SUBSTITUTE(LOWER(TRIM(D310)),"ё","е"),"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отк",TRIM(SUBSTITUTE(SUBSTITUTE(SUBSTITUTE(SUBSTITUTE(SUBSTITUTE(SUBSTITUTE(SUBSTITUTE(SUBSTITUTE(SUBSTITUTE(SUBSTITUTE(SUBSTITUTE(LOWER(TRIM(D310)),"ё","е")," -","-"),"- ","-")," 2 разряда","")," 3 разряда","")," 4 разряда","")," 5 разряда","")," 6 разряда","")," 1 категории","")," 2 категории","")," 3 категории",""))))))</f>
        <v>оператор станков с чпу</v>
      </c>
      <c r="H310" s="35" t="n">
        <f aca="false">IF(C310="","",IF(AND(G310="мастер участка",ISNUMBER(SEARCH("РЭО",E310))),29,IFERROR(INDEX(Соответствие!$B$2:$B$100,MATCH(G310,Соответствие!$A$2:$A$100,0)),"?")))</f>
        <v>30</v>
      </c>
      <c r="I310" s="39" t="str">
        <f aca="false">IF(C310="","",IFERROR(INDEX(Перечень!$C$6:$C$52,MATCH(H310,Перечень!$A$6:$A$52,0)),""))</f>
        <v>п.4.3.1, п.4.3.2, п.4.4, п.5.1, п.5.2, п.15</v>
      </c>
      <c r="J310" s="35" t="n">
        <f aca="false">IF(C310="","",IFERROR(INDEX(Перечень!$D$6:$D$52,MATCH(H310,Перечень!$A$6:$A$52,0)),12))</f>
        <v>12</v>
      </c>
      <c r="K310" s="40"/>
      <c r="L310" s="40"/>
      <c r="M310" s="37" t="str">
        <f aca="false">IF(AND(K310="",L310=""),"",EDATE(MAX(K310,L310),J310))</f>
        <v/>
      </c>
      <c r="N310" s="41" t="str">
        <f aca="false">IF(C310="","",IFERROR(INDEX(Перечень!$F$6:$F$52,MATCH(H310,Перечень!$A$6:$A$52,0)),""))</f>
        <v>-</v>
      </c>
      <c r="O310" s="40"/>
      <c r="P310" s="37" t="str">
        <f aca="false">IF(O310="","",EDATE(O310,60))</f>
        <v/>
      </c>
      <c r="Q310" s="41" t="str">
        <f aca="false">IF(AND(K310&lt;&gt;"",F310&lt;&gt;"",K310&gt;F310),"Да","")</f>
        <v/>
      </c>
      <c r="R310" s="41" t="str">
        <f aca="true">IF(C310="","",IF(M310="","Нет сведений",IF(M310&lt;TODAY(),"Просрочен",IF(M310-TODAY()&lt;=30,"Истекает","В срок"))))</f>
        <v>Нет сведений</v>
      </c>
      <c r="S310" s="41" t="str">
        <f aca="false">IF(AND(N310="Да",O310=""),"Не пройдено","")</f>
        <v/>
      </c>
    </row>
    <row r="311" customFormat="false" ht="14.25" hidden="false" customHeight="false" outlineLevel="0" collapsed="false">
      <c r="A311" s="35" t="n">
        <f aca="false">IF(C311="","",ROW()-5)</f>
        <v>306</v>
      </c>
      <c r="B311" s="36" t="s">
        <v>107</v>
      </c>
      <c r="C311" s="36" t="s">
        <v>555</v>
      </c>
      <c r="D311" s="36" t="s">
        <v>284</v>
      </c>
      <c r="E311" s="36" t="s">
        <v>274</v>
      </c>
      <c r="F311" s="37" t="n">
        <v>45938</v>
      </c>
      <c r="G311" s="38" t="str">
        <f aca="false">IF(C311="","",IF(TRIM(SUBSTITUTE(SUBSTITUTE(SUBSTITUTE(SUBSTITUTE(SUBSTITUTE(SUBSTITUTE(SUBSTITUTE(SUBSTITUTE(SUBSTITUTE(SUBSTITUTE(SUBSTITUTE(LOWER(TRIM(D311)),"ё","е"),"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категории",""))="инженер",IF(AND(ISNUMBER(SEARCH("техническ",E311)),ISNUMBER(SEARCH("контрол",E311))),"инженер отк",IF(ISNUMBER(SEARCH("диспетч",E311)),"инженер пдо",TRIM(SUBSTITUTE(SUBSTITUTE(SUBSTITUTE(SUBSTITUTE(SUBSTITUTE(SUBSTITUTE(SUBSTITUTE(SUBSTITUTE(SUBSTITUTE(SUBSTITUTE(SUBSTITUTE(LOWER(TRIM(D311)),"ё","е"),"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инженер",IF(ISNUMBER(SEARCH("диспетч",E311)),"ведущий инженер пдо",TRIM(SUBSTITUTE(SUBSTITUTE(SUBSTITUTE(SUBSTITUTE(SUBSTITUTE(SUBSTITUTE(SUBSTITUTE(SUBSTITUTE(SUBSTITUTE(SUBSTITUTE(SUBSTITUTE(LOWER(TRIM(D311)),"ё","е"),"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отк",TRIM(SUBSTITUTE(SUBSTITUTE(SUBSTITUTE(SUBSTITUTE(SUBSTITUTE(SUBSTITUTE(SUBSTITUTE(SUBSTITUTE(SUBSTITUTE(SUBSTITUTE(SUBSTITUTE(LOWER(TRIM(D311)),"ё","е")," -","-"),"- ","-")," 2 разряда","")," 3 разряда","")," 4 разряда","")," 5 разряда","")," 6 разряда","")," 1 категории","")," 2 категории","")," 3 категории",""))))))</f>
        <v>оператор-наладчик станков с чпу</v>
      </c>
      <c r="H311" s="35" t="n">
        <f aca="false">IF(C311="","",IF(AND(G311="мастер участка",ISNUMBER(SEARCH("РЭО",E311))),29,IFERROR(INDEX(Соответствие!$B$2:$B$100,MATCH(G311,Соответствие!$A$2:$A$100,0)),"?")))</f>
        <v>25</v>
      </c>
      <c r="I311" s="39" t="str">
        <f aca="false">IF(C311="","",IFERROR(INDEX(Перечень!$C$6:$C$52,MATCH(H311,Перечень!$A$6:$A$52,0)),""))</f>
        <v>п.4.3.1, п.4.3.2, п.4.4, п.5.1, п.5.2, п.15</v>
      </c>
      <c r="J311" s="35" t="n">
        <f aca="false">IF(C311="","",IFERROR(INDEX(Перечень!$D$6:$D$52,MATCH(H311,Перечень!$A$6:$A$52,0)),12))</f>
        <v>12</v>
      </c>
      <c r="K311" s="40"/>
      <c r="L311" s="40"/>
      <c r="M311" s="37" t="str">
        <f aca="false">IF(AND(K311="",L311=""),"",EDATE(MAX(K311,L311),J311))</f>
        <v/>
      </c>
      <c r="N311" s="41" t="str">
        <f aca="false">IF(C311="","",IFERROR(INDEX(Перечень!$F$6:$F$52,MATCH(H311,Перечень!$A$6:$A$52,0)),""))</f>
        <v>-</v>
      </c>
      <c r="O311" s="40"/>
      <c r="P311" s="37" t="str">
        <f aca="false">IF(O311="","",EDATE(O311,60))</f>
        <v/>
      </c>
      <c r="Q311" s="41" t="str">
        <f aca="false">IF(AND(K311&lt;&gt;"",F311&lt;&gt;"",K311&gt;F311),"Да","")</f>
        <v/>
      </c>
      <c r="R311" s="41" t="str">
        <f aca="true">IF(C311="","",IF(M311="","Нет сведений",IF(M311&lt;TODAY(),"Просрочен",IF(M311-TODAY()&lt;=30,"Истекает","В срок"))))</f>
        <v>Нет сведений</v>
      </c>
      <c r="S311" s="41" t="str">
        <f aca="false">IF(AND(N311="Да",O311=""),"Не пройдено","")</f>
        <v/>
      </c>
    </row>
    <row r="312" customFormat="false" ht="14.25" hidden="false" customHeight="false" outlineLevel="0" collapsed="false">
      <c r="A312" s="35" t="n">
        <f aca="false">IF(C312="","",ROW()-5)</f>
        <v>307</v>
      </c>
      <c r="B312" s="36" t="s">
        <v>109</v>
      </c>
      <c r="C312" s="36" t="s">
        <v>556</v>
      </c>
      <c r="D312" s="36" t="s">
        <v>284</v>
      </c>
      <c r="E312" s="36" t="s">
        <v>274</v>
      </c>
      <c r="F312" s="37" t="n">
        <v>45910</v>
      </c>
      <c r="G312" s="38" t="str">
        <f aca="false">IF(C312="","",IF(TRIM(SUBSTITUTE(SUBSTITUTE(SUBSTITUTE(SUBSTITUTE(SUBSTITUTE(SUBSTITUTE(SUBSTITUTE(SUBSTITUTE(SUBSTITUTE(SUBSTITUTE(SUBSTITUTE(LOWER(TRIM(D312)),"ё","е"),"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категории",""))="инженер",IF(AND(ISNUMBER(SEARCH("техническ",E312)),ISNUMBER(SEARCH("контрол",E312))),"инженер отк",IF(ISNUMBER(SEARCH("диспетч",E312)),"инженер пдо",TRIM(SUBSTITUTE(SUBSTITUTE(SUBSTITUTE(SUBSTITUTE(SUBSTITUTE(SUBSTITUTE(SUBSTITUTE(SUBSTITUTE(SUBSTITUTE(SUBSTITUTE(SUBSTITUTE(LOWER(TRIM(D312)),"ё","е"),"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инженер",IF(ISNUMBER(SEARCH("диспетч",E312)),"ведущий инженер пдо",TRIM(SUBSTITUTE(SUBSTITUTE(SUBSTITUTE(SUBSTITUTE(SUBSTITUTE(SUBSTITUTE(SUBSTITUTE(SUBSTITUTE(SUBSTITUTE(SUBSTITUTE(SUBSTITUTE(LOWER(TRIM(D312)),"ё","е"),"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отк",TRIM(SUBSTITUTE(SUBSTITUTE(SUBSTITUTE(SUBSTITUTE(SUBSTITUTE(SUBSTITUTE(SUBSTITUTE(SUBSTITUTE(SUBSTITUTE(SUBSTITUTE(SUBSTITUTE(LOWER(TRIM(D312)),"ё","е")," -","-"),"- ","-")," 2 разряда","")," 3 разряда","")," 4 разряда","")," 5 разряда","")," 6 разряда","")," 1 категории","")," 2 категории","")," 3 категории",""))))))</f>
        <v>оператор-наладчик станков с чпу</v>
      </c>
      <c r="H312" s="35" t="n">
        <f aca="false">IF(C312="","",IF(AND(G312="мастер участка",ISNUMBER(SEARCH("РЭО",E312))),29,IFERROR(INDEX(Соответствие!$B$2:$B$100,MATCH(G312,Соответствие!$A$2:$A$100,0)),"?")))</f>
        <v>25</v>
      </c>
      <c r="I312" s="39" t="str">
        <f aca="false">IF(C312="","",IFERROR(INDEX(Перечень!$C$6:$C$52,MATCH(H312,Перечень!$A$6:$A$52,0)),""))</f>
        <v>п.4.3.1, п.4.3.2, п.4.4, п.5.1, п.5.2, п.15</v>
      </c>
      <c r="J312" s="35" t="n">
        <f aca="false">IF(C312="","",IFERROR(INDEX(Перечень!$D$6:$D$52,MATCH(H312,Перечень!$A$6:$A$52,0)),12))</f>
        <v>12</v>
      </c>
      <c r="K312" s="40"/>
      <c r="L312" s="40"/>
      <c r="M312" s="37" t="str">
        <f aca="false">IF(AND(K312="",L312=""),"",EDATE(MAX(K312,L312),J312))</f>
        <v/>
      </c>
      <c r="N312" s="41" t="str">
        <f aca="false">IF(C312="","",IFERROR(INDEX(Перечень!$F$6:$F$52,MATCH(H312,Перечень!$A$6:$A$52,0)),""))</f>
        <v>-</v>
      </c>
      <c r="O312" s="40"/>
      <c r="P312" s="37" t="str">
        <f aca="false">IF(O312="","",EDATE(O312,60))</f>
        <v/>
      </c>
      <c r="Q312" s="41" t="str">
        <f aca="false">IF(AND(K312&lt;&gt;"",F312&lt;&gt;"",K312&gt;F312),"Да","")</f>
        <v/>
      </c>
      <c r="R312" s="41" t="str">
        <f aca="true">IF(C312="","",IF(M312="","Нет сведений",IF(M312&lt;TODAY(),"Просрочен",IF(M312-TODAY()&lt;=30,"Истекает","В срок"))))</f>
        <v>Нет сведений</v>
      </c>
      <c r="S312" s="41" t="str">
        <f aca="false">IF(AND(N312="Да",O312=""),"Не пройдено","")</f>
        <v/>
      </c>
    </row>
    <row r="313" customFormat="false" ht="14.25" hidden="false" customHeight="false" outlineLevel="0" collapsed="false">
      <c r="A313" s="35" t="n">
        <f aca="false">IF(C313="","",ROW()-5)</f>
        <v>308</v>
      </c>
      <c r="B313" s="36" t="s">
        <v>109</v>
      </c>
      <c r="C313" s="36" t="s">
        <v>557</v>
      </c>
      <c r="D313" s="36" t="s">
        <v>328</v>
      </c>
      <c r="E313" s="36" t="s">
        <v>274</v>
      </c>
      <c r="F313" s="37" t="n">
        <v>46084</v>
      </c>
      <c r="G313" s="38" t="str">
        <f aca="false">IF(C313="","",IF(TRIM(SUBSTITUTE(SUBSTITUTE(SUBSTITUTE(SUBSTITUTE(SUBSTITUTE(SUBSTITUTE(SUBSTITUTE(SUBSTITUTE(SUBSTITUTE(SUBSTITUTE(SUBSTITUTE(LOWER(TRIM(D313)),"ё","е"),"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категории",""))="инженер",IF(AND(ISNUMBER(SEARCH("техническ",E313)),ISNUMBER(SEARCH("контрол",E313))),"инженер отк",IF(ISNUMBER(SEARCH("диспетч",E313)),"инженер пдо",TRIM(SUBSTITUTE(SUBSTITUTE(SUBSTITUTE(SUBSTITUTE(SUBSTITUTE(SUBSTITUTE(SUBSTITUTE(SUBSTITUTE(SUBSTITUTE(SUBSTITUTE(SUBSTITUTE(LOWER(TRIM(D313)),"ё","е"),"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инженер",IF(ISNUMBER(SEARCH("диспетч",E313)),"ведущий инженер пдо",TRIM(SUBSTITUTE(SUBSTITUTE(SUBSTITUTE(SUBSTITUTE(SUBSTITUTE(SUBSTITUTE(SUBSTITUTE(SUBSTITUTE(SUBSTITUTE(SUBSTITUTE(SUBSTITUTE(LOWER(TRIM(D313)),"ё","е"),"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отк",TRIM(SUBSTITUTE(SUBSTITUTE(SUBSTITUTE(SUBSTITUTE(SUBSTITUTE(SUBSTITUTE(SUBSTITUTE(SUBSTITUTE(SUBSTITUTE(SUBSTITUTE(SUBSTITUTE(LOWER(TRIM(D313)),"ё","е")," -","-"),"- ","-")," 2 разряда","")," 3 разряда","")," 4 разряда","")," 5 разряда","")," 6 разряда","")," 1 категории","")," 2 категории","")," 3 категории",""))))))</f>
        <v>оператор станков с чпу</v>
      </c>
      <c r="H313" s="35" t="n">
        <f aca="false">IF(C313="","",IF(AND(G313="мастер участка",ISNUMBER(SEARCH("РЭО",E313))),29,IFERROR(INDEX(Соответствие!$B$2:$B$100,MATCH(G313,Соответствие!$A$2:$A$100,0)),"?")))</f>
        <v>30</v>
      </c>
      <c r="I313" s="39" t="str">
        <f aca="false">IF(C313="","",IFERROR(INDEX(Перечень!$C$6:$C$52,MATCH(H313,Перечень!$A$6:$A$52,0)),""))</f>
        <v>п.4.3.1, п.4.3.2, п.4.4, п.5.1, п.5.2, п.15</v>
      </c>
      <c r="J313" s="35" t="n">
        <f aca="false">IF(C313="","",IFERROR(INDEX(Перечень!$D$6:$D$52,MATCH(H313,Перечень!$A$6:$A$52,0)),12))</f>
        <v>12</v>
      </c>
      <c r="K313" s="40"/>
      <c r="L313" s="40"/>
      <c r="M313" s="37" t="str">
        <f aca="false">IF(AND(K313="",L313=""),"",EDATE(MAX(K313,L313),J313))</f>
        <v/>
      </c>
      <c r="N313" s="41" t="str">
        <f aca="false">IF(C313="","",IFERROR(INDEX(Перечень!$F$6:$F$52,MATCH(H313,Перечень!$A$6:$A$52,0)),""))</f>
        <v>-</v>
      </c>
      <c r="O313" s="40"/>
      <c r="P313" s="37" t="str">
        <f aca="false">IF(O313="","",EDATE(O313,60))</f>
        <v/>
      </c>
      <c r="Q313" s="41" t="str">
        <f aca="false">IF(AND(K313&lt;&gt;"",F313&lt;&gt;"",K313&gt;F313),"Да","")</f>
        <v/>
      </c>
      <c r="R313" s="41" t="str">
        <f aca="true">IF(C313="","",IF(M313="","Нет сведений",IF(M313&lt;TODAY(),"Просрочен",IF(M313-TODAY()&lt;=30,"Истекает","В срок"))))</f>
        <v>Нет сведений</v>
      </c>
      <c r="S313" s="41" t="str">
        <f aca="false">IF(AND(N313="Да",O313=""),"Не пройдено","")</f>
        <v/>
      </c>
    </row>
    <row r="314" customFormat="false" ht="14.25" hidden="false" customHeight="false" outlineLevel="0" collapsed="false">
      <c r="A314" s="35" t="n">
        <f aca="false">IF(C314="","",ROW()-5)</f>
        <v>309</v>
      </c>
      <c r="B314" s="36" t="s">
        <v>109</v>
      </c>
      <c r="C314" s="36" t="s">
        <v>558</v>
      </c>
      <c r="D314" s="36" t="s">
        <v>298</v>
      </c>
      <c r="E314" s="36" t="s">
        <v>292</v>
      </c>
      <c r="F314" s="37" t="n">
        <v>45931</v>
      </c>
      <c r="G314" s="38" t="str">
        <f aca="false">IF(C314="","",IF(TRIM(SUBSTITUTE(SUBSTITUTE(SUBSTITUTE(SUBSTITUTE(SUBSTITUTE(SUBSTITUTE(SUBSTITUTE(SUBSTITUTE(SUBSTITUTE(SUBSTITUTE(SUBSTITUTE(LOWER(TRIM(D314)),"ё","е"),"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категории",""))="инженер",IF(AND(ISNUMBER(SEARCH("техническ",E314)),ISNUMBER(SEARCH("контрол",E314))),"инженер отк",IF(ISNUMBER(SEARCH("диспетч",E314)),"инженер пдо",TRIM(SUBSTITUTE(SUBSTITUTE(SUBSTITUTE(SUBSTITUTE(SUBSTITUTE(SUBSTITUTE(SUBSTITUTE(SUBSTITUTE(SUBSTITUTE(SUBSTITUTE(SUBSTITUTE(LOWER(TRIM(D314)),"ё","е"),"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инженер",IF(ISNUMBER(SEARCH("диспетч",E314)),"ведущий инженер пдо",TRIM(SUBSTITUTE(SUBSTITUTE(SUBSTITUTE(SUBSTITUTE(SUBSTITUTE(SUBSTITUTE(SUBSTITUTE(SUBSTITUTE(SUBSTITUTE(SUBSTITUTE(SUBSTITUTE(LOWER(TRIM(D314)),"ё","е"),"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отк",TRIM(SUBSTITUTE(SUBSTITUTE(SUBSTITUTE(SUBSTITUTE(SUBSTITUTE(SUBSTITUTE(SUBSTITUTE(SUBSTITUTE(SUBSTITUTE(SUBSTITUTE(SUBSTITUTE(LOWER(TRIM(D314)),"ё","е"),"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314" s="35" t="n">
        <f aca="false">IF(C314="","",IF(AND(G314="мастер участка",ISNUMBER(SEARCH("РЭО",E314))),29,IFERROR(INDEX(Соответствие!$B$2:$B$100,MATCH(G314,Соответствие!$A$2:$A$100,0)),"?")))</f>
        <v>32</v>
      </c>
      <c r="I314" s="39" t="str">
        <f aca="false">IF(C314="","",IFERROR(INDEX(Перечень!$C$6:$C$52,MATCH(H314,Перечень!$A$6:$A$52,0)),""))</f>
        <v>п.4.3.1, п.4.3.2, п.4.4, п.5.1, п.15</v>
      </c>
      <c r="J314" s="35" t="n">
        <f aca="false">IF(C314="","",IFERROR(INDEX(Перечень!$D$6:$D$52,MATCH(H314,Перечень!$A$6:$A$52,0)),12))</f>
        <v>12</v>
      </c>
      <c r="K314" s="40" t="n">
        <v>45922</v>
      </c>
      <c r="L314" s="40"/>
      <c r="M314" s="37" t="n">
        <f aca="false">IF(AND(K314="",L314=""),"",EDATE(MAX(K314,L314),J314))</f>
        <v>46287</v>
      </c>
      <c r="N314" s="41" t="str">
        <f aca="false">IF(C314="","",IFERROR(INDEX(Перечень!$F$6:$F$52,MATCH(H314,Перечень!$A$6:$A$52,0)),""))</f>
        <v>-</v>
      </c>
      <c r="O314" s="40"/>
      <c r="P314" s="37" t="str">
        <f aca="false">IF(O314="","",EDATE(O314,60))</f>
        <v/>
      </c>
      <c r="Q314" s="41" t="str">
        <f aca="false">IF(AND(K314&lt;&gt;"",F314&lt;&gt;"",K314&gt;F314),"Да","")</f>
        <v/>
      </c>
      <c r="R314" s="41" t="str">
        <f aca="true">IF(C314="","",IF(M314="","Нет сведений",IF(M314&lt;TODAY(),"Просрочен",IF(M314-TODAY()&lt;=30,"Истекает","В срок"))))</f>
        <v>Просрочен</v>
      </c>
      <c r="S314" s="41" t="str">
        <f aca="false">IF(AND(N314="Да",O314=""),"Не пройдено","")</f>
        <v/>
      </c>
    </row>
    <row r="315" customFormat="false" ht="14.25" hidden="false" customHeight="false" outlineLevel="0" collapsed="false">
      <c r="A315" s="35" t="n">
        <f aca="false">IF(C315="","",ROW()-5)</f>
        <v>310</v>
      </c>
      <c r="B315" s="36" t="s">
        <v>109</v>
      </c>
      <c r="C315" s="36" t="s">
        <v>559</v>
      </c>
      <c r="D315" s="36" t="s">
        <v>291</v>
      </c>
      <c r="E315" s="36" t="s">
        <v>292</v>
      </c>
      <c r="F315" s="37" t="n">
        <v>45932</v>
      </c>
      <c r="G315" s="38" t="str">
        <f aca="false">IF(C315="","",IF(TRIM(SUBSTITUTE(SUBSTITUTE(SUBSTITUTE(SUBSTITUTE(SUBSTITUTE(SUBSTITUTE(SUBSTITUTE(SUBSTITUTE(SUBSTITUTE(SUBSTITUTE(SUBSTITUTE(LOWER(TRIM(D315)),"ё","е"),"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категории",""))="инженер",IF(AND(ISNUMBER(SEARCH("техническ",E315)),ISNUMBER(SEARCH("контрол",E315))),"инженер отк",IF(ISNUMBER(SEARCH("диспетч",E315)),"инженер пдо",TRIM(SUBSTITUTE(SUBSTITUTE(SUBSTITUTE(SUBSTITUTE(SUBSTITUTE(SUBSTITUTE(SUBSTITUTE(SUBSTITUTE(SUBSTITUTE(SUBSTITUTE(SUBSTITUTE(LOWER(TRIM(D315)),"ё","е"),"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инженер",IF(ISNUMBER(SEARCH("диспетч",E315)),"ведущий инженер пдо",TRIM(SUBSTITUTE(SUBSTITUTE(SUBSTITUTE(SUBSTITUTE(SUBSTITUTE(SUBSTITUTE(SUBSTITUTE(SUBSTITUTE(SUBSTITUTE(SUBSTITUTE(SUBSTITUTE(LOWER(TRIM(D315)),"ё","е"),"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отк",TRIM(SUBSTITUTE(SUBSTITUTE(SUBSTITUTE(SUBSTITUTE(SUBSTITUTE(SUBSTITUTE(SUBSTITUTE(SUBSTITUTE(SUBSTITUTE(SUBSTITUTE(SUBSTITUTE(LOWER(TRIM(D315)),"ё","е")," -","-"),"- ","-")," 2 разряда","")," 3 разряда","")," 4 разряда","")," 5 разряда","")," 6 разряда","")," 1 категории","")," 2 категории","")," 3 категории",""))))))</f>
        <v>слесарь механосборочных работ</v>
      </c>
      <c r="H315" s="35" t="n">
        <f aca="false">IF(C315="","",IF(AND(G315="мастер участка",ISNUMBER(SEARCH("РЭО",E315))),29,IFERROR(INDEX(Соответствие!$B$2:$B$100,MATCH(G315,Соответствие!$A$2:$A$100,0)),"?")))</f>
        <v>32</v>
      </c>
      <c r="I315" s="39" t="str">
        <f aca="false">IF(C315="","",IFERROR(INDEX(Перечень!$C$6:$C$52,MATCH(H315,Перечень!$A$6:$A$52,0)),""))</f>
        <v>п.4.3.1, п.4.3.2, п.4.4, п.5.1, п.15</v>
      </c>
      <c r="J315" s="35" t="n">
        <f aca="false">IF(C315="","",IFERROR(INDEX(Перечень!$D$6:$D$52,MATCH(H315,Перечень!$A$6:$A$52,0)),12))</f>
        <v>12</v>
      </c>
      <c r="K315" s="40" t="n">
        <v>45926</v>
      </c>
      <c r="L315" s="40"/>
      <c r="M315" s="37" t="n">
        <f aca="false">IF(AND(K315="",L315=""),"",EDATE(MAX(K315,L315),J315))</f>
        <v>46291</v>
      </c>
      <c r="N315" s="41" t="str">
        <f aca="false">IF(C315="","",IFERROR(INDEX(Перечень!$F$6:$F$52,MATCH(H315,Перечень!$A$6:$A$52,0)),""))</f>
        <v>-</v>
      </c>
      <c r="O315" s="40"/>
      <c r="P315" s="37" t="str">
        <f aca="false">IF(O315="","",EDATE(O315,60))</f>
        <v/>
      </c>
      <c r="Q315" s="41" t="str">
        <f aca="false">IF(AND(K315&lt;&gt;"",F315&lt;&gt;"",K315&gt;F315),"Да","")</f>
        <v/>
      </c>
      <c r="R315" s="41" t="str">
        <f aca="true">IF(C315="","",IF(M315="","Нет сведений",IF(M315&lt;TODAY(),"Просрочен",IF(M315-TODAY()&lt;=30,"Истекает","В срок"))))</f>
        <v>Просрочен</v>
      </c>
      <c r="S315" s="41" t="str">
        <f aca="false">IF(AND(N315="Да",O315=""),"Не пройдено","")</f>
        <v/>
      </c>
    </row>
    <row r="316" customFormat="false" ht="14.25" hidden="false" customHeight="false" outlineLevel="0" collapsed="false">
      <c r="A316" s="35" t="n">
        <f aca="false">IF(C316="","",ROW()-5)</f>
        <v>311</v>
      </c>
      <c r="B316" s="36" t="s">
        <v>109</v>
      </c>
      <c r="C316" s="36" t="s">
        <v>560</v>
      </c>
      <c r="D316" s="36" t="s">
        <v>164</v>
      </c>
      <c r="E316" s="36" t="s">
        <v>561</v>
      </c>
      <c r="F316" s="37" t="n">
        <v>42494</v>
      </c>
      <c r="G316" s="38" t="str">
        <f aca="false">IF(C316="","",IF(TRIM(SUBSTITUTE(SUBSTITUTE(SUBSTITUTE(SUBSTITUTE(SUBSTITUTE(SUBSTITUTE(SUBSTITUTE(SUBSTITUTE(SUBSTITUTE(SUBSTITUTE(SUBSTITUTE(LOWER(TRIM(D316)),"ё","е"),"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категории",""))="инженер",IF(AND(ISNUMBER(SEARCH("техническ",E316)),ISNUMBER(SEARCH("контрол",E316))),"инженер отк",IF(ISNUMBER(SEARCH("диспетч",E316)),"инженер пдо",TRIM(SUBSTITUTE(SUBSTITUTE(SUBSTITUTE(SUBSTITUTE(SUBSTITUTE(SUBSTITUTE(SUBSTITUTE(SUBSTITUTE(SUBSTITUTE(SUBSTITUTE(SUBSTITUTE(LOWER(TRIM(D316)),"ё","е"),"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инженер",IF(ISNUMBER(SEARCH("диспетч",E316)),"ведущий инженер пдо",TRIM(SUBSTITUTE(SUBSTITUTE(SUBSTITUTE(SUBSTITUTE(SUBSTITUTE(SUBSTITUTE(SUBSTITUTE(SUBSTITUTE(SUBSTITUTE(SUBSTITUTE(SUBSTITUTE(LOWER(TRIM(D316)),"ё","е"),"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отк",TRIM(SUBSTITUTE(SUBSTITUTE(SUBSTITUTE(SUBSTITUTE(SUBSTITUTE(SUBSTITUTE(SUBSTITUTE(SUBSTITUTE(SUBSTITUTE(SUBSTITUTE(SUBSTITUTE(LOWER(TRIM(D316)),"ё","е"),"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16" s="35" t="n">
        <f aca="false">IF(C316="","",IF(AND(G316="мастер участка",ISNUMBER(SEARCH("РЭО",E316))),29,IFERROR(INDEX(Соответствие!$B$2:$B$100,MATCH(G316,Соответствие!$A$2:$A$100,0)),"?")))</f>
        <v>19</v>
      </c>
      <c r="I316" s="39" t="str">
        <f aca="false">IF(C316="","",IFERROR(INDEX(Перечень!$C$6:$C$52,MATCH(H316,Перечень!$A$6:$A$52,0)),""))</f>
        <v>п.4.3.1, п.4.3.2, п.4.4, п.5.1, п.6.2, п.15</v>
      </c>
      <c r="J316" s="35" t="n">
        <f aca="false">IF(C316="","",IFERROR(INDEX(Перечень!$D$6:$D$52,MATCH(H316,Перечень!$A$6:$A$52,0)),12))</f>
        <v>12</v>
      </c>
      <c r="K316" s="40"/>
      <c r="L316" s="40"/>
      <c r="M316" s="37" t="str">
        <f aca="false">IF(AND(K316="",L316=""),"",EDATE(MAX(K316,L316),J316))</f>
        <v/>
      </c>
      <c r="N316" s="41" t="str">
        <f aca="false">IF(C316="","",IFERROR(INDEX(Перечень!$F$6:$F$52,MATCH(H316,Перечень!$A$6:$A$52,0)),""))</f>
        <v>-</v>
      </c>
      <c r="O316" s="40"/>
      <c r="P316" s="37" t="str">
        <f aca="false">IF(O316="","",EDATE(O316,60))</f>
        <v/>
      </c>
      <c r="Q316" s="41" t="str">
        <f aca="false">IF(AND(K316&lt;&gt;"",F316&lt;&gt;"",K316&gt;F316),"Да","")</f>
        <v/>
      </c>
      <c r="R316" s="41" t="str">
        <f aca="true">IF(C316="","",IF(M316="","Нет сведений",IF(M316&lt;TODAY(),"Просрочен",IF(M316-TODAY()&lt;=30,"Истекает","В срок"))))</f>
        <v>Нет сведений</v>
      </c>
      <c r="S316" s="41" t="str">
        <f aca="false">IF(AND(N316="Да",O316=""),"Не пройдено","")</f>
        <v/>
      </c>
    </row>
    <row r="317" customFormat="false" ht="14.25" hidden="false" customHeight="false" outlineLevel="0" collapsed="false">
      <c r="A317" s="35" t="n">
        <f aca="false">IF(C317="","",ROW()-5)</f>
        <v>312</v>
      </c>
      <c r="B317" s="36" t="s">
        <v>109</v>
      </c>
      <c r="C317" s="36" t="s">
        <v>562</v>
      </c>
      <c r="D317" s="36" t="s">
        <v>225</v>
      </c>
      <c r="E317" s="36" t="s">
        <v>561</v>
      </c>
      <c r="F317" s="37" t="n">
        <v>45560</v>
      </c>
      <c r="G317" s="38" t="str">
        <f aca="false">IF(C317="","",IF(TRIM(SUBSTITUTE(SUBSTITUTE(SUBSTITUTE(SUBSTITUTE(SUBSTITUTE(SUBSTITUTE(SUBSTITUTE(SUBSTITUTE(SUBSTITUTE(SUBSTITUTE(SUBSTITUTE(LOWER(TRIM(D317)),"ё","е"),"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категории",""))="инженер",IF(AND(ISNUMBER(SEARCH("техническ",E317)),ISNUMBER(SEARCH("контрол",E317))),"инженер отк",IF(ISNUMBER(SEARCH("диспетч",E317)),"инженер пдо",TRIM(SUBSTITUTE(SUBSTITUTE(SUBSTITUTE(SUBSTITUTE(SUBSTITUTE(SUBSTITUTE(SUBSTITUTE(SUBSTITUTE(SUBSTITUTE(SUBSTITUTE(SUBSTITUTE(LOWER(TRIM(D317)),"ё","е"),"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инженер",IF(ISNUMBER(SEARCH("диспетч",E317)),"ведущий инженер пдо",TRIM(SUBSTITUTE(SUBSTITUTE(SUBSTITUTE(SUBSTITUTE(SUBSTITUTE(SUBSTITUTE(SUBSTITUTE(SUBSTITUTE(SUBSTITUTE(SUBSTITUTE(SUBSTITUTE(LOWER(TRIM(D317)),"ё","е"),"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отк",TRIM(SUBSTITUTE(SUBSTITUTE(SUBSTITUTE(SUBSTITUTE(SUBSTITUTE(SUBSTITUTE(SUBSTITUTE(SUBSTITUTE(SUBSTITUTE(SUBSTITUTE(SUBSTITUTE(LOWER(TRIM(D317)),"ё","е"),"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17" s="35" t="n">
        <f aca="false">IF(C317="","",IF(AND(G317="мастер участка",ISNUMBER(SEARCH("РЭО",E317))),29,IFERROR(INDEX(Соответствие!$B$2:$B$100,MATCH(G317,Соответствие!$A$2:$A$100,0)),"?")))</f>
        <v>19</v>
      </c>
      <c r="I317" s="39" t="str">
        <f aca="false">IF(C317="","",IFERROR(INDEX(Перечень!$C$6:$C$52,MATCH(H317,Перечень!$A$6:$A$52,0)),""))</f>
        <v>п.4.3.1, п.4.3.2, п.4.4, п.5.1, п.6.2, п.15</v>
      </c>
      <c r="J317" s="35" t="n">
        <f aca="false">IF(C317="","",IFERROR(INDEX(Перечень!$D$6:$D$52,MATCH(H317,Перечень!$A$6:$A$52,0)),12))</f>
        <v>12</v>
      </c>
      <c r="K317" s="40"/>
      <c r="L317" s="40"/>
      <c r="M317" s="37" t="str">
        <f aca="false">IF(AND(K317="",L317=""),"",EDATE(MAX(K317,L317),J317))</f>
        <v/>
      </c>
      <c r="N317" s="41" t="str">
        <f aca="false">IF(C317="","",IFERROR(INDEX(Перечень!$F$6:$F$52,MATCH(H317,Перечень!$A$6:$A$52,0)),""))</f>
        <v>-</v>
      </c>
      <c r="O317" s="40"/>
      <c r="P317" s="37" t="str">
        <f aca="false">IF(O317="","",EDATE(O317,60))</f>
        <v/>
      </c>
      <c r="Q317" s="41" t="str">
        <f aca="false">IF(AND(K317&lt;&gt;"",F317&lt;&gt;"",K317&gt;F317),"Да","")</f>
        <v/>
      </c>
      <c r="R317" s="41" t="str">
        <f aca="true">IF(C317="","",IF(M317="","Нет сведений",IF(M317&lt;TODAY(),"Просрочен",IF(M317-TODAY()&lt;=30,"Истекает","В срок"))))</f>
        <v>Нет сведений</v>
      </c>
      <c r="S317" s="41" t="str">
        <f aca="false">IF(AND(N317="Да",O317=""),"Не пройдено","")</f>
        <v/>
      </c>
    </row>
    <row r="318" customFormat="false" ht="14.25" hidden="false" customHeight="false" outlineLevel="0" collapsed="false">
      <c r="A318" s="35" t="n">
        <f aca="false">IF(C318="","",ROW()-5)</f>
        <v>313</v>
      </c>
      <c r="B318" s="36" t="s">
        <v>109</v>
      </c>
      <c r="C318" s="36" t="s">
        <v>563</v>
      </c>
      <c r="D318" s="36" t="s">
        <v>225</v>
      </c>
      <c r="E318" s="36" t="s">
        <v>561</v>
      </c>
      <c r="F318" s="37" t="n">
        <v>45937</v>
      </c>
      <c r="G318" s="38" t="str">
        <f aca="false">IF(C318="","",IF(TRIM(SUBSTITUTE(SUBSTITUTE(SUBSTITUTE(SUBSTITUTE(SUBSTITUTE(SUBSTITUTE(SUBSTITUTE(SUBSTITUTE(SUBSTITUTE(SUBSTITUTE(SUBSTITUTE(LOWER(TRIM(D318)),"ё","е"),"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категории",""))="инженер",IF(AND(ISNUMBER(SEARCH("техническ",E318)),ISNUMBER(SEARCH("контрол",E318))),"инженер отк",IF(ISNUMBER(SEARCH("диспетч",E318)),"инженер пдо",TRIM(SUBSTITUTE(SUBSTITUTE(SUBSTITUTE(SUBSTITUTE(SUBSTITUTE(SUBSTITUTE(SUBSTITUTE(SUBSTITUTE(SUBSTITUTE(SUBSTITUTE(SUBSTITUTE(LOWER(TRIM(D318)),"ё","е"),"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инженер",IF(ISNUMBER(SEARCH("диспетч",E318)),"ведущий инженер пдо",TRIM(SUBSTITUTE(SUBSTITUTE(SUBSTITUTE(SUBSTITUTE(SUBSTITUTE(SUBSTITUTE(SUBSTITUTE(SUBSTITUTE(SUBSTITUTE(SUBSTITUTE(SUBSTITUTE(LOWER(TRIM(D318)),"ё","е"),"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отк",TRIM(SUBSTITUTE(SUBSTITUTE(SUBSTITUTE(SUBSTITUTE(SUBSTITUTE(SUBSTITUTE(SUBSTITUTE(SUBSTITUTE(SUBSTITUTE(SUBSTITUTE(SUBSTITUTE(LOWER(TRIM(D318)),"ё","е"),"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18" s="35" t="n">
        <f aca="false">IF(C318="","",IF(AND(G318="мастер участка",ISNUMBER(SEARCH("РЭО",E318))),29,IFERROR(INDEX(Соответствие!$B$2:$B$100,MATCH(G318,Соответствие!$A$2:$A$100,0)),"?")))</f>
        <v>19</v>
      </c>
      <c r="I318" s="39" t="str">
        <f aca="false">IF(C318="","",IFERROR(INDEX(Перечень!$C$6:$C$52,MATCH(H318,Перечень!$A$6:$A$52,0)),""))</f>
        <v>п.4.3.1, п.4.3.2, п.4.4, п.5.1, п.6.2, п.15</v>
      </c>
      <c r="J318" s="35" t="n">
        <f aca="false">IF(C318="","",IFERROR(INDEX(Перечень!$D$6:$D$52,MATCH(H318,Перечень!$A$6:$A$52,0)),12))</f>
        <v>12</v>
      </c>
      <c r="K318" s="40" t="n">
        <v>45932</v>
      </c>
      <c r="L318" s="40"/>
      <c r="M318" s="37" t="n">
        <f aca="false">IF(AND(K318="",L318=""),"",EDATE(MAX(K318,L318),J318))</f>
        <v>46297</v>
      </c>
      <c r="N318" s="41" t="str">
        <f aca="false">IF(C318="","",IFERROR(INDEX(Перечень!$F$6:$F$52,MATCH(H318,Перечень!$A$6:$A$52,0)),""))</f>
        <v>-</v>
      </c>
      <c r="O318" s="40"/>
      <c r="P318" s="37" t="str">
        <f aca="false">IF(O318="","",EDATE(O318,60))</f>
        <v/>
      </c>
      <c r="Q318" s="41" t="str">
        <f aca="false">IF(AND(K318&lt;&gt;"",F318&lt;&gt;"",K318&gt;F318),"Да","")</f>
        <v/>
      </c>
      <c r="R318" s="41" t="str">
        <f aca="true">IF(C318="","",IF(M318="","Нет сведений",IF(M318&lt;TODAY(),"Просрочен",IF(M318-TODAY()&lt;=30,"Истекает","В срок"))))</f>
        <v>Просрочен</v>
      </c>
      <c r="S318" s="41" t="str">
        <f aca="false">IF(AND(N318="Да",O318=""),"Не пройдено","")</f>
        <v/>
      </c>
    </row>
    <row r="319" customFormat="false" ht="14.25" hidden="false" customHeight="false" outlineLevel="0" collapsed="false">
      <c r="A319" s="35" t="n">
        <f aca="false">IF(C319="","",ROW()-5)</f>
        <v>314</v>
      </c>
      <c r="B319" s="36" t="s">
        <v>109</v>
      </c>
      <c r="C319" s="36" t="s">
        <v>564</v>
      </c>
      <c r="D319" s="36" t="s">
        <v>225</v>
      </c>
      <c r="E319" s="36" t="s">
        <v>561</v>
      </c>
      <c r="F319" s="37" t="n">
        <v>46167</v>
      </c>
      <c r="G319" s="38" t="str">
        <f aca="false">IF(C319="","",IF(TRIM(SUBSTITUTE(SUBSTITUTE(SUBSTITUTE(SUBSTITUTE(SUBSTITUTE(SUBSTITUTE(SUBSTITUTE(SUBSTITUTE(SUBSTITUTE(SUBSTITUTE(SUBSTITUTE(LOWER(TRIM(D319)),"ё","е"),"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категории",""))="инженер",IF(AND(ISNUMBER(SEARCH("техническ",E319)),ISNUMBER(SEARCH("контрол",E319))),"инженер отк",IF(ISNUMBER(SEARCH("диспетч",E319)),"инженер пдо",TRIM(SUBSTITUTE(SUBSTITUTE(SUBSTITUTE(SUBSTITUTE(SUBSTITUTE(SUBSTITUTE(SUBSTITUTE(SUBSTITUTE(SUBSTITUTE(SUBSTITUTE(SUBSTITUTE(LOWER(TRIM(D319)),"ё","е"),"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категории","")))),IF(TRIM(SUBSTITUTE(SUBSTITUTE(SUBSTITUTE(SUBSTITUTE(SUBSTITUTE(SUBSTITUTE(SUBSTITUTE(SUBSTITUTE(SUBSTITUTE(SUBSTITUTE(SUBSTITUTE(LOWER(TRIM(D319)),"ё","е"),"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инженер",IF(ISNUMBER(SEARCH("диспетч",E319)),"ведущий инженер пдо",TRIM(SUBSTITUTE(SUBSTITUTE(SUBSTITUTE(SUBSTITUTE(SUBSTITUTE(SUBSTITUTE(SUBSTITUTE(SUBSTITUTE(SUBSTITUTE(SUBSTITUTE(SUBSTITUTE(LOWER(TRIM(D319)),"ё","е"),"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категории",""))),IF(TRIM(SUBSTITUTE(SUBSTITUTE(SUBSTITUTE(SUBSTITUTE(SUBSTITUTE(SUBSTITUTE(SUBSTITUTE(SUBSTITUTE(SUBSTITUTE(SUBSTITUTE(SUBSTITUTE(LOWER(TRIM(D319)),"ё","е"),"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отк",TRIM(SUBSTITUTE(SUBSTITUTE(SUBSTITUTE(SUBSTITUTE(SUBSTITUTE(SUBSTITUTE(SUBSTITUTE(SUBSTITUTE(SUBSTITUTE(SUBSTITUTE(SUBSTITUTE(LOWER(TRIM(D319)),"ё","е"),"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19" s="35" t="n">
        <f aca="false">IF(C319="","",IF(AND(G319="мастер участка",ISNUMBER(SEARCH("РЭО",E319))),29,IFERROR(INDEX(Соответствие!$B$2:$B$100,MATCH(G319,Соответствие!$A$2:$A$100,0)),"?")))</f>
        <v>19</v>
      </c>
      <c r="I319" s="39" t="str">
        <f aca="false">IF(C319="","",IFERROR(INDEX(Перечень!$C$6:$C$52,MATCH(H319,Перечень!$A$6:$A$52,0)),""))</f>
        <v>п.4.3.1, п.4.3.2, п.4.4, п.5.1, п.6.2, п.15</v>
      </c>
      <c r="J319" s="35" t="n">
        <f aca="false">IF(C319="","",IFERROR(INDEX(Перечень!$D$6:$D$52,MATCH(H319,Перечень!$A$6:$A$52,0)),12))</f>
        <v>12</v>
      </c>
      <c r="K319" s="40" t="n">
        <v>46161</v>
      </c>
      <c r="L319" s="40"/>
      <c r="M319" s="37" t="n">
        <f aca="false">IF(AND(K319="",L319=""),"",EDATE(MAX(K319,L319),J319))</f>
        <v>46526</v>
      </c>
      <c r="N319" s="41" t="str">
        <f aca="false">IF(C319="","",IFERROR(INDEX(Перечень!$F$6:$F$52,MATCH(H319,Перечень!$A$6:$A$52,0)),""))</f>
        <v>-</v>
      </c>
      <c r="O319" s="40"/>
      <c r="P319" s="37" t="str">
        <f aca="false">IF(O319="","",EDATE(O319,60))</f>
        <v/>
      </c>
      <c r="Q319" s="41" t="str">
        <f aca="false">IF(AND(K319&lt;&gt;"",F319&lt;&gt;"",K319&gt;F319),"Да","")</f>
        <v/>
      </c>
      <c r="R319" s="41" t="str">
        <f aca="true">IF(C319="","",IF(M319="","Нет сведений",IF(M319&lt;TODAY(),"Просрочен",IF(M319-TODAY()&lt;=30,"Истекает","В срок"))))</f>
        <v>В срок</v>
      </c>
      <c r="S319" s="41" t="str">
        <f aca="false">IF(AND(N319="Да",O319=""),"Не пройдено","")</f>
        <v/>
      </c>
    </row>
    <row r="320" customFormat="false" ht="14.25" hidden="false" customHeight="false" outlineLevel="0" collapsed="false">
      <c r="A320" s="35" t="n">
        <f aca="false">IF(C320="","",ROW()-5)</f>
        <v>315</v>
      </c>
      <c r="B320" s="36" t="s">
        <v>109</v>
      </c>
      <c r="C320" s="36" t="s">
        <v>565</v>
      </c>
      <c r="D320" s="36" t="s">
        <v>225</v>
      </c>
      <c r="E320" s="36" t="s">
        <v>561</v>
      </c>
      <c r="F320" s="37" t="n">
        <v>45545</v>
      </c>
      <c r="G320" s="38" t="str">
        <f aca="false">IF(C320="","",IF(TRIM(SUBSTITUTE(SUBSTITUTE(SUBSTITUTE(SUBSTITUTE(SUBSTITUTE(SUBSTITUTE(SUBSTITUTE(SUBSTITUTE(SUBSTITUTE(SUBSTITUTE(SUBSTITUTE(LOWER(TRIM(D320)),"ё","е"),"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категории",""))="инженер",IF(AND(ISNUMBER(SEARCH("техническ",E320)),ISNUMBER(SEARCH("контрол",E320))),"инженер отк",IF(ISNUMBER(SEARCH("диспетч",E320)),"инженер пдо",TRIM(SUBSTITUTE(SUBSTITUTE(SUBSTITUTE(SUBSTITUTE(SUBSTITUTE(SUBSTITUTE(SUBSTITUTE(SUBSTITUTE(SUBSTITUTE(SUBSTITUTE(SUBSTITUTE(LOWER(TRIM(D320)),"ё","е"),"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инженер",IF(ISNUMBER(SEARCH("диспетч",E320)),"ведущий инженер пдо",TRIM(SUBSTITUTE(SUBSTITUTE(SUBSTITUTE(SUBSTITUTE(SUBSTITUTE(SUBSTITUTE(SUBSTITUTE(SUBSTITUTE(SUBSTITUTE(SUBSTITUTE(SUBSTITUTE(LOWER(TRIM(D320)),"ё","е"),"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отк",TRIM(SUBSTITUTE(SUBSTITUTE(SUBSTITUTE(SUBSTITUTE(SUBSTITUTE(SUBSTITUTE(SUBSTITUTE(SUBSTITUTE(SUBSTITUTE(SUBSTITUTE(SUBSTITUTE(LOWER(TRIM(D320)),"ё","е"),"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20" s="35" t="n">
        <f aca="false">IF(C320="","",IF(AND(G320="мастер участка",ISNUMBER(SEARCH("РЭО",E320))),29,IFERROR(INDEX(Соответствие!$B$2:$B$100,MATCH(G320,Соответствие!$A$2:$A$100,0)),"?")))</f>
        <v>19</v>
      </c>
      <c r="I320" s="39" t="str">
        <f aca="false">IF(C320="","",IFERROR(INDEX(Перечень!$C$6:$C$52,MATCH(H320,Перечень!$A$6:$A$52,0)),""))</f>
        <v>п.4.3.1, п.4.3.2, п.4.4, п.5.1, п.6.2, п.15</v>
      </c>
      <c r="J320" s="35" t="n">
        <f aca="false">IF(C320="","",IFERROR(INDEX(Перечень!$D$6:$D$52,MATCH(H320,Перечень!$A$6:$A$52,0)),12))</f>
        <v>12</v>
      </c>
      <c r="K320" s="40"/>
      <c r="L320" s="40"/>
      <c r="M320" s="37" t="str">
        <f aca="false">IF(AND(K320="",L320=""),"",EDATE(MAX(K320,L320),J320))</f>
        <v/>
      </c>
      <c r="N320" s="41" t="str">
        <f aca="false">IF(C320="","",IFERROR(INDEX(Перечень!$F$6:$F$52,MATCH(H320,Перечень!$A$6:$A$52,0)),""))</f>
        <v>-</v>
      </c>
      <c r="O320" s="40"/>
      <c r="P320" s="37" t="str">
        <f aca="false">IF(O320="","",EDATE(O320,60))</f>
        <v/>
      </c>
      <c r="Q320" s="41" t="str">
        <f aca="false">IF(AND(K320&lt;&gt;"",F320&lt;&gt;"",K320&gt;F320),"Да","")</f>
        <v/>
      </c>
      <c r="R320" s="41" t="str">
        <f aca="true">IF(C320="","",IF(M320="","Нет сведений",IF(M320&lt;TODAY(),"Просрочен",IF(M320-TODAY()&lt;=30,"Истекает","В срок"))))</f>
        <v>Нет сведений</v>
      </c>
      <c r="S320" s="41" t="str">
        <f aca="false">IF(AND(N320="Да",O320=""),"Не пройдено","")</f>
        <v/>
      </c>
    </row>
    <row r="321" customFormat="false" ht="14.25" hidden="false" customHeight="false" outlineLevel="0" collapsed="false">
      <c r="A321" s="35" t="n">
        <f aca="false">IF(C321="","",ROW()-5)</f>
        <v>316</v>
      </c>
      <c r="B321" s="36" t="s">
        <v>109</v>
      </c>
      <c r="C321" s="36" t="s">
        <v>566</v>
      </c>
      <c r="D321" s="36" t="s">
        <v>168</v>
      </c>
      <c r="E321" s="36" t="s">
        <v>561</v>
      </c>
      <c r="F321" s="37" t="n">
        <v>44602</v>
      </c>
      <c r="G321" s="38" t="str">
        <f aca="false">IF(C321="","",IF(TRIM(SUBSTITUTE(SUBSTITUTE(SUBSTITUTE(SUBSTITUTE(SUBSTITUTE(SUBSTITUTE(SUBSTITUTE(SUBSTITUTE(SUBSTITUTE(SUBSTITUTE(SUBSTITUTE(LOWER(TRIM(D321)),"ё","е"),"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категории",""))="инженер",IF(AND(ISNUMBER(SEARCH("техническ",E321)),ISNUMBER(SEARCH("контрол",E321))),"инженер отк",IF(ISNUMBER(SEARCH("диспетч",E321)),"инженер пдо",TRIM(SUBSTITUTE(SUBSTITUTE(SUBSTITUTE(SUBSTITUTE(SUBSTITUTE(SUBSTITUTE(SUBSTITUTE(SUBSTITUTE(SUBSTITUTE(SUBSTITUTE(SUBSTITUTE(LOWER(TRIM(D321)),"ё","е"),"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инженер",IF(ISNUMBER(SEARCH("диспетч",E321)),"ведущий инженер пдо",TRIM(SUBSTITUTE(SUBSTITUTE(SUBSTITUTE(SUBSTITUTE(SUBSTITUTE(SUBSTITUTE(SUBSTITUTE(SUBSTITUTE(SUBSTITUTE(SUBSTITUTE(SUBSTITUTE(LOWER(TRIM(D321)),"ё","е"),"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отк",TRIM(SUBSTITUTE(SUBSTITUTE(SUBSTITUTE(SUBSTITUTE(SUBSTITUTE(SUBSTITUTE(SUBSTITUTE(SUBSTITUTE(SUBSTITUTE(SUBSTITUTE(SUBSTITUTE(LOWER(TRIM(D321)),"ё","е"),"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21" s="35" t="n">
        <f aca="false">IF(C321="","",IF(AND(G321="мастер участка",ISNUMBER(SEARCH("РЭО",E321))),29,IFERROR(INDEX(Соответствие!$B$2:$B$100,MATCH(G321,Соответствие!$A$2:$A$100,0)),"?")))</f>
        <v>19</v>
      </c>
      <c r="I321" s="39" t="str">
        <f aca="false">IF(C321="","",IFERROR(INDEX(Перечень!$C$6:$C$52,MATCH(H321,Перечень!$A$6:$A$52,0)),""))</f>
        <v>п.4.3.1, п.4.3.2, п.4.4, п.5.1, п.6.2, п.15</v>
      </c>
      <c r="J321" s="35" t="n">
        <f aca="false">IF(C321="","",IFERROR(INDEX(Перечень!$D$6:$D$52,MATCH(H321,Перечень!$A$6:$A$52,0)),12))</f>
        <v>12</v>
      </c>
      <c r="K321" s="40"/>
      <c r="L321" s="40"/>
      <c r="M321" s="37" t="str">
        <f aca="false">IF(AND(K321="",L321=""),"",EDATE(MAX(K321,L321),J321))</f>
        <v/>
      </c>
      <c r="N321" s="41" t="str">
        <f aca="false">IF(C321="","",IFERROR(INDEX(Перечень!$F$6:$F$52,MATCH(H321,Перечень!$A$6:$A$52,0)),""))</f>
        <v>-</v>
      </c>
      <c r="O321" s="40"/>
      <c r="P321" s="37" t="str">
        <f aca="false">IF(O321="","",EDATE(O321,60))</f>
        <v/>
      </c>
      <c r="Q321" s="41" t="str">
        <f aca="false">IF(AND(K321&lt;&gt;"",F321&lt;&gt;"",K321&gt;F321),"Да","")</f>
        <v/>
      </c>
      <c r="R321" s="41" t="str">
        <f aca="true">IF(C321="","",IF(M321="","Нет сведений",IF(M321&lt;TODAY(),"Просрочен",IF(M321-TODAY()&lt;=30,"Истекает","В срок"))))</f>
        <v>Нет сведений</v>
      </c>
      <c r="S321" s="41" t="str">
        <f aca="false">IF(AND(N321="Да",O321=""),"Не пройдено","")</f>
        <v/>
      </c>
    </row>
    <row r="322" customFormat="false" ht="14.25" hidden="false" customHeight="false" outlineLevel="0" collapsed="false">
      <c r="A322" s="35" t="n">
        <f aca="false">IF(C322="","",ROW()-5)</f>
        <v>317</v>
      </c>
      <c r="B322" s="36" t="s">
        <v>109</v>
      </c>
      <c r="C322" s="36" t="s">
        <v>567</v>
      </c>
      <c r="D322" s="36" t="s">
        <v>168</v>
      </c>
      <c r="E322" s="36" t="s">
        <v>561</v>
      </c>
      <c r="F322" s="37" t="n">
        <v>45250</v>
      </c>
      <c r="G322" s="38" t="str">
        <f aca="false">IF(C322="","",IF(TRIM(SUBSTITUTE(SUBSTITUTE(SUBSTITUTE(SUBSTITUTE(SUBSTITUTE(SUBSTITUTE(SUBSTITUTE(SUBSTITUTE(SUBSTITUTE(SUBSTITUTE(SUBSTITUTE(LOWER(TRIM(D322)),"ё","е"),"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категории",""))="инженер",IF(AND(ISNUMBER(SEARCH("техническ",E322)),ISNUMBER(SEARCH("контрол",E322))),"инженер отк",IF(ISNUMBER(SEARCH("диспетч",E322)),"инженер пдо",TRIM(SUBSTITUTE(SUBSTITUTE(SUBSTITUTE(SUBSTITUTE(SUBSTITUTE(SUBSTITUTE(SUBSTITUTE(SUBSTITUTE(SUBSTITUTE(SUBSTITUTE(SUBSTITUTE(LOWER(TRIM(D322)),"ё","е"),"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инженер",IF(ISNUMBER(SEARCH("диспетч",E322)),"ведущий инженер пдо",TRIM(SUBSTITUTE(SUBSTITUTE(SUBSTITUTE(SUBSTITUTE(SUBSTITUTE(SUBSTITUTE(SUBSTITUTE(SUBSTITUTE(SUBSTITUTE(SUBSTITUTE(SUBSTITUTE(LOWER(TRIM(D322)),"ё","е"),"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отк",TRIM(SUBSTITUTE(SUBSTITUTE(SUBSTITUTE(SUBSTITUTE(SUBSTITUTE(SUBSTITUTE(SUBSTITUTE(SUBSTITUTE(SUBSTITUTE(SUBSTITUTE(SUBSTITUTE(LOWER(TRIM(D322)),"ё","е"),"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22" s="35" t="n">
        <f aca="false">IF(C322="","",IF(AND(G322="мастер участка",ISNUMBER(SEARCH("РЭО",E322))),29,IFERROR(INDEX(Соответствие!$B$2:$B$100,MATCH(G322,Соответствие!$A$2:$A$100,0)),"?")))</f>
        <v>19</v>
      </c>
      <c r="I322" s="39" t="str">
        <f aca="false">IF(C322="","",IFERROR(INDEX(Перечень!$C$6:$C$52,MATCH(H322,Перечень!$A$6:$A$52,0)),""))</f>
        <v>п.4.3.1, п.4.3.2, п.4.4, п.5.1, п.6.2, п.15</v>
      </c>
      <c r="J322" s="35" t="n">
        <f aca="false">IF(C322="","",IFERROR(INDEX(Перечень!$D$6:$D$52,MATCH(H322,Перечень!$A$6:$A$52,0)),12))</f>
        <v>12</v>
      </c>
      <c r="K322" s="40"/>
      <c r="L322" s="40"/>
      <c r="M322" s="37" t="str">
        <f aca="false">IF(AND(K322="",L322=""),"",EDATE(MAX(K322,L322),J322))</f>
        <v/>
      </c>
      <c r="N322" s="41" t="str">
        <f aca="false">IF(C322="","",IFERROR(INDEX(Перечень!$F$6:$F$52,MATCH(H322,Перечень!$A$6:$A$52,0)),""))</f>
        <v>-</v>
      </c>
      <c r="O322" s="40"/>
      <c r="P322" s="37" t="str">
        <f aca="false">IF(O322="","",EDATE(O322,60))</f>
        <v/>
      </c>
      <c r="Q322" s="41" t="str">
        <f aca="false">IF(AND(K322&lt;&gt;"",F322&lt;&gt;"",K322&gt;F322),"Да","")</f>
        <v/>
      </c>
      <c r="R322" s="41" t="str">
        <f aca="true">IF(C322="","",IF(M322="","Нет сведений",IF(M322&lt;TODAY(),"Просрочен",IF(M322-TODAY()&lt;=30,"Истекает","В срок"))))</f>
        <v>Нет сведений</v>
      </c>
      <c r="S322" s="41" t="str">
        <f aca="false">IF(AND(N322="Да",O322=""),"Не пройдено","")</f>
        <v/>
      </c>
    </row>
    <row r="323" customFormat="false" ht="14.25" hidden="false" customHeight="false" outlineLevel="0" collapsed="false">
      <c r="A323" s="35" t="n">
        <f aca="false">IF(C323="","",ROW()-5)</f>
        <v>318</v>
      </c>
      <c r="B323" s="36" t="s">
        <v>109</v>
      </c>
      <c r="C323" s="36" t="s">
        <v>568</v>
      </c>
      <c r="D323" s="36" t="s">
        <v>171</v>
      </c>
      <c r="E323" s="36" t="s">
        <v>561</v>
      </c>
      <c r="F323" s="37" t="n">
        <v>45516</v>
      </c>
      <c r="G323" s="38" t="str">
        <f aca="false">IF(C323="","",IF(TRIM(SUBSTITUTE(SUBSTITUTE(SUBSTITUTE(SUBSTITUTE(SUBSTITUTE(SUBSTITUTE(SUBSTITUTE(SUBSTITUTE(SUBSTITUTE(SUBSTITUTE(SUBSTITUTE(LOWER(TRIM(D323)),"ё","е"),"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категории",""))="инженер",IF(AND(ISNUMBER(SEARCH("техническ",E323)),ISNUMBER(SEARCH("контрол",E323))),"инженер отк",IF(ISNUMBER(SEARCH("диспетч",E323)),"инженер пдо",TRIM(SUBSTITUTE(SUBSTITUTE(SUBSTITUTE(SUBSTITUTE(SUBSTITUTE(SUBSTITUTE(SUBSTITUTE(SUBSTITUTE(SUBSTITUTE(SUBSTITUTE(SUBSTITUTE(LOWER(TRIM(D323)),"ё","е"),"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инженер",IF(ISNUMBER(SEARCH("диспетч",E323)),"ведущий инженер пдо",TRIM(SUBSTITUTE(SUBSTITUTE(SUBSTITUTE(SUBSTITUTE(SUBSTITUTE(SUBSTITUTE(SUBSTITUTE(SUBSTITUTE(SUBSTITUTE(SUBSTITUTE(SUBSTITUTE(LOWER(TRIM(D323)),"ё","е"),"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отк",TRIM(SUBSTITUTE(SUBSTITUTE(SUBSTITUTE(SUBSTITUTE(SUBSTITUTE(SUBSTITUTE(SUBSTITUTE(SUBSTITUTE(SUBSTITUTE(SUBSTITUTE(SUBSTITUTE(LOWER(TRIM(D323)),"ё","е"),"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23" s="35" t="n">
        <f aca="false">IF(C323="","",IF(AND(G323="мастер участка",ISNUMBER(SEARCH("РЭО",E323))),29,IFERROR(INDEX(Соответствие!$B$2:$B$100,MATCH(G323,Соответствие!$A$2:$A$100,0)),"?")))</f>
        <v>19</v>
      </c>
      <c r="I323" s="39" t="str">
        <f aca="false">IF(C323="","",IFERROR(INDEX(Перечень!$C$6:$C$52,MATCH(H323,Перечень!$A$6:$A$52,0)),""))</f>
        <v>п.4.3.1, п.4.3.2, п.4.4, п.5.1, п.6.2, п.15</v>
      </c>
      <c r="J323" s="35" t="n">
        <f aca="false">IF(C323="","",IFERROR(INDEX(Перечень!$D$6:$D$52,MATCH(H323,Перечень!$A$6:$A$52,0)),12))</f>
        <v>12</v>
      </c>
      <c r="K323" s="40"/>
      <c r="L323" s="40"/>
      <c r="M323" s="37" t="str">
        <f aca="false">IF(AND(K323="",L323=""),"",EDATE(MAX(K323,L323),J323))</f>
        <v/>
      </c>
      <c r="N323" s="41" t="str">
        <f aca="false">IF(C323="","",IFERROR(INDEX(Перечень!$F$6:$F$52,MATCH(H323,Перечень!$A$6:$A$52,0)),""))</f>
        <v>-</v>
      </c>
      <c r="O323" s="40"/>
      <c r="P323" s="37" t="str">
        <f aca="false">IF(O323="","",EDATE(O323,60))</f>
        <v/>
      </c>
      <c r="Q323" s="41" t="str">
        <f aca="false">IF(AND(K323&lt;&gt;"",F323&lt;&gt;"",K323&gt;F323),"Да","")</f>
        <v/>
      </c>
      <c r="R323" s="41" t="str">
        <f aca="true">IF(C323="","",IF(M323="","Нет сведений",IF(M323&lt;TODAY(),"Просрочен",IF(M323-TODAY()&lt;=30,"Истекает","В срок"))))</f>
        <v>Нет сведений</v>
      </c>
      <c r="S323" s="41" t="str">
        <f aca="false">IF(AND(N323="Да",O323=""),"Не пройдено","")</f>
        <v/>
      </c>
    </row>
    <row r="324" customFormat="false" ht="14.25" hidden="false" customHeight="false" outlineLevel="0" collapsed="false">
      <c r="A324" s="35" t="n">
        <f aca="false">IF(C324="","",ROW()-5)</f>
        <v>319</v>
      </c>
      <c r="B324" s="36" t="s">
        <v>109</v>
      </c>
      <c r="C324" s="36" t="s">
        <v>569</v>
      </c>
      <c r="D324" s="36" t="s">
        <v>171</v>
      </c>
      <c r="E324" s="36" t="s">
        <v>561</v>
      </c>
      <c r="F324" s="37" t="n">
        <v>45243</v>
      </c>
      <c r="G324" s="38" t="str">
        <f aca="false">IF(C324="","",IF(TRIM(SUBSTITUTE(SUBSTITUTE(SUBSTITUTE(SUBSTITUTE(SUBSTITUTE(SUBSTITUTE(SUBSTITUTE(SUBSTITUTE(SUBSTITUTE(SUBSTITUTE(SUBSTITUTE(LOWER(TRIM(D324)),"ё","е"),"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категории",""))="инженер",IF(AND(ISNUMBER(SEARCH("техническ",E324)),ISNUMBER(SEARCH("контрол",E324))),"инженер отк",IF(ISNUMBER(SEARCH("диспетч",E324)),"инженер пдо",TRIM(SUBSTITUTE(SUBSTITUTE(SUBSTITUTE(SUBSTITUTE(SUBSTITUTE(SUBSTITUTE(SUBSTITUTE(SUBSTITUTE(SUBSTITUTE(SUBSTITUTE(SUBSTITUTE(LOWER(TRIM(D324)),"ё","е"),"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инженер",IF(ISNUMBER(SEARCH("диспетч",E324)),"ведущий инженер пдо",TRIM(SUBSTITUTE(SUBSTITUTE(SUBSTITUTE(SUBSTITUTE(SUBSTITUTE(SUBSTITUTE(SUBSTITUTE(SUBSTITUTE(SUBSTITUTE(SUBSTITUTE(SUBSTITUTE(LOWER(TRIM(D324)),"ё","е"),"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отк",TRIM(SUBSTITUTE(SUBSTITUTE(SUBSTITUTE(SUBSTITUTE(SUBSTITUTE(SUBSTITUTE(SUBSTITUTE(SUBSTITUTE(SUBSTITUTE(SUBSTITUTE(SUBSTITUTE(LOWER(TRIM(D324)),"ё","е"),"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24" s="35" t="n">
        <f aca="false">IF(C324="","",IF(AND(G324="мастер участка",ISNUMBER(SEARCH("РЭО",E324))),29,IFERROR(INDEX(Соответствие!$B$2:$B$100,MATCH(G324,Соответствие!$A$2:$A$100,0)),"?")))</f>
        <v>19</v>
      </c>
      <c r="I324" s="39" t="str">
        <f aca="false">IF(C324="","",IFERROR(INDEX(Перечень!$C$6:$C$52,MATCH(H324,Перечень!$A$6:$A$52,0)),""))</f>
        <v>п.4.3.1, п.4.3.2, п.4.4, п.5.1, п.6.2, п.15</v>
      </c>
      <c r="J324" s="35" t="n">
        <f aca="false">IF(C324="","",IFERROR(INDEX(Перечень!$D$6:$D$52,MATCH(H324,Перечень!$A$6:$A$52,0)),12))</f>
        <v>12</v>
      </c>
      <c r="K324" s="40"/>
      <c r="L324" s="40"/>
      <c r="M324" s="37" t="str">
        <f aca="false">IF(AND(K324="",L324=""),"",EDATE(MAX(K324,L324),J324))</f>
        <v/>
      </c>
      <c r="N324" s="41" t="str">
        <f aca="false">IF(C324="","",IFERROR(INDEX(Перечень!$F$6:$F$52,MATCH(H324,Перечень!$A$6:$A$52,0)),""))</f>
        <v>-</v>
      </c>
      <c r="O324" s="40"/>
      <c r="P324" s="37" t="str">
        <f aca="false">IF(O324="","",EDATE(O324,60))</f>
        <v/>
      </c>
      <c r="Q324" s="41" t="str">
        <f aca="false">IF(AND(K324&lt;&gt;"",F324&lt;&gt;"",K324&gt;F324),"Да","")</f>
        <v/>
      </c>
      <c r="R324" s="41" t="str">
        <f aca="true">IF(C324="","",IF(M324="","Нет сведений",IF(M324&lt;TODAY(),"Просрочен",IF(M324-TODAY()&lt;=30,"Истекает","В срок"))))</f>
        <v>Нет сведений</v>
      </c>
      <c r="S324" s="41" t="str">
        <f aca="false">IF(AND(N324="Да",O324=""),"Не пройдено","")</f>
        <v/>
      </c>
    </row>
    <row r="325" customFormat="false" ht="14.25" hidden="false" customHeight="false" outlineLevel="0" collapsed="false">
      <c r="A325" s="35" t="n">
        <f aca="false">IF(C325="","",ROW()-5)</f>
        <v>320</v>
      </c>
      <c r="B325" s="36" t="s">
        <v>109</v>
      </c>
      <c r="C325" s="36" t="s">
        <v>570</v>
      </c>
      <c r="D325" s="36" t="s">
        <v>171</v>
      </c>
      <c r="E325" s="36" t="s">
        <v>561</v>
      </c>
      <c r="F325" s="37" t="n">
        <v>45544</v>
      </c>
      <c r="G325" s="38" t="str">
        <f aca="false">IF(C325="","",IF(TRIM(SUBSTITUTE(SUBSTITUTE(SUBSTITUTE(SUBSTITUTE(SUBSTITUTE(SUBSTITUTE(SUBSTITUTE(SUBSTITUTE(SUBSTITUTE(SUBSTITUTE(SUBSTITUTE(LOWER(TRIM(D325)),"ё","е"),"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категории",""))="инженер",IF(AND(ISNUMBER(SEARCH("техническ",E325)),ISNUMBER(SEARCH("контрол",E325))),"инженер отк",IF(ISNUMBER(SEARCH("диспетч",E325)),"инженер пдо",TRIM(SUBSTITUTE(SUBSTITUTE(SUBSTITUTE(SUBSTITUTE(SUBSTITUTE(SUBSTITUTE(SUBSTITUTE(SUBSTITUTE(SUBSTITUTE(SUBSTITUTE(SUBSTITUTE(LOWER(TRIM(D325)),"ё","е"),"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инженер",IF(ISNUMBER(SEARCH("диспетч",E325)),"ведущий инженер пдо",TRIM(SUBSTITUTE(SUBSTITUTE(SUBSTITUTE(SUBSTITUTE(SUBSTITUTE(SUBSTITUTE(SUBSTITUTE(SUBSTITUTE(SUBSTITUTE(SUBSTITUTE(SUBSTITUTE(LOWER(TRIM(D325)),"ё","е"),"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отк",TRIM(SUBSTITUTE(SUBSTITUTE(SUBSTITUTE(SUBSTITUTE(SUBSTITUTE(SUBSTITUTE(SUBSTITUTE(SUBSTITUTE(SUBSTITUTE(SUBSTITUTE(SUBSTITUTE(LOWER(TRIM(D325)),"ё","е"),"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25" s="35" t="n">
        <f aca="false">IF(C325="","",IF(AND(G325="мастер участка",ISNUMBER(SEARCH("РЭО",E325))),29,IFERROR(INDEX(Соответствие!$B$2:$B$100,MATCH(G325,Соответствие!$A$2:$A$100,0)),"?")))</f>
        <v>19</v>
      </c>
      <c r="I325" s="39" t="str">
        <f aca="false">IF(C325="","",IFERROR(INDEX(Перечень!$C$6:$C$52,MATCH(H325,Перечень!$A$6:$A$52,0)),""))</f>
        <v>п.4.3.1, п.4.3.2, п.4.4, п.5.1, п.6.2, п.15</v>
      </c>
      <c r="J325" s="35" t="n">
        <f aca="false">IF(C325="","",IFERROR(INDEX(Перечень!$D$6:$D$52,MATCH(H325,Перечень!$A$6:$A$52,0)),12))</f>
        <v>12</v>
      </c>
      <c r="K325" s="40"/>
      <c r="L325" s="40"/>
      <c r="M325" s="37" t="str">
        <f aca="false">IF(AND(K325="",L325=""),"",EDATE(MAX(K325,L325),J325))</f>
        <v/>
      </c>
      <c r="N325" s="41" t="str">
        <f aca="false">IF(C325="","",IFERROR(INDEX(Перечень!$F$6:$F$52,MATCH(H325,Перечень!$A$6:$A$52,0)),""))</f>
        <v>-</v>
      </c>
      <c r="O325" s="40"/>
      <c r="P325" s="37" t="str">
        <f aca="false">IF(O325="","",EDATE(O325,60))</f>
        <v/>
      </c>
      <c r="Q325" s="41" t="str">
        <f aca="false">IF(AND(K325&lt;&gt;"",F325&lt;&gt;"",K325&gt;F325),"Да","")</f>
        <v/>
      </c>
      <c r="R325" s="41" t="str">
        <f aca="true">IF(C325="","",IF(M325="","Нет сведений",IF(M325&lt;TODAY(),"Просрочен",IF(M325-TODAY()&lt;=30,"Истекает","В срок"))))</f>
        <v>Нет сведений</v>
      </c>
      <c r="S325" s="41" t="str">
        <f aca="false">IF(AND(N325="Да",O325=""),"Не пройдено","")</f>
        <v/>
      </c>
    </row>
    <row r="326" customFormat="false" ht="14.25" hidden="false" customHeight="false" outlineLevel="0" collapsed="false">
      <c r="A326" s="35" t="n">
        <f aca="false">IF(C326="","",ROW()-5)</f>
        <v>321</v>
      </c>
      <c r="B326" s="36" t="s">
        <v>109</v>
      </c>
      <c r="C326" s="36" t="s">
        <v>571</v>
      </c>
      <c r="D326" s="36" t="s">
        <v>171</v>
      </c>
      <c r="E326" s="36" t="s">
        <v>561</v>
      </c>
      <c r="F326" s="37" t="n">
        <v>45551</v>
      </c>
      <c r="G326" s="38" t="str">
        <f aca="false">IF(C326="","",IF(TRIM(SUBSTITUTE(SUBSTITUTE(SUBSTITUTE(SUBSTITUTE(SUBSTITUTE(SUBSTITUTE(SUBSTITUTE(SUBSTITUTE(SUBSTITUTE(SUBSTITUTE(SUBSTITUTE(LOWER(TRIM(D326)),"ё","е"),"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категории",""))="инженер",IF(AND(ISNUMBER(SEARCH("техническ",E326)),ISNUMBER(SEARCH("контрол",E326))),"инженер отк",IF(ISNUMBER(SEARCH("диспетч",E326)),"инженер пдо",TRIM(SUBSTITUTE(SUBSTITUTE(SUBSTITUTE(SUBSTITUTE(SUBSTITUTE(SUBSTITUTE(SUBSTITUTE(SUBSTITUTE(SUBSTITUTE(SUBSTITUTE(SUBSTITUTE(LOWER(TRIM(D326)),"ё","е"),"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инженер",IF(ISNUMBER(SEARCH("диспетч",E326)),"ведущий инженер пдо",TRIM(SUBSTITUTE(SUBSTITUTE(SUBSTITUTE(SUBSTITUTE(SUBSTITUTE(SUBSTITUTE(SUBSTITUTE(SUBSTITUTE(SUBSTITUTE(SUBSTITUTE(SUBSTITUTE(LOWER(TRIM(D326)),"ё","е"),"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отк",TRIM(SUBSTITUTE(SUBSTITUTE(SUBSTITUTE(SUBSTITUTE(SUBSTITUTE(SUBSTITUTE(SUBSTITUTE(SUBSTITUTE(SUBSTITUTE(SUBSTITUTE(SUBSTITUTE(LOWER(TRIM(D326)),"ё","е"),"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26" s="35" t="n">
        <f aca="false">IF(C326="","",IF(AND(G326="мастер участка",ISNUMBER(SEARCH("РЭО",E326))),29,IFERROR(INDEX(Соответствие!$B$2:$B$100,MATCH(G326,Соответствие!$A$2:$A$100,0)),"?")))</f>
        <v>19</v>
      </c>
      <c r="I326" s="39" t="str">
        <f aca="false">IF(C326="","",IFERROR(INDEX(Перечень!$C$6:$C$52,MATCH(H326,Перечень!$A$6:$A$52,0)),""))</f>
        <v>п.4.3.1, п.4.3.2, п.4.4, п.5.1, п.6.2, п.15</v>
      </c>
      <c r="J326" s="35" t="n">
        <f aca="false">IF(C326="","",IFERROR(INDEX(Перечень!$D$6:$D$52,MATCH(H326,Перечень!$A$6:$A$52,0)),12))</f>
        <v>12</v>
      </c>
      <c r="K326" s="40"/>
      <c r="L326" s="40"/>
      <c r="M326" s="37" t="str">
        <f aca="false">IF(AND(K326="",L326=""),"",EDATE(MAX(K326,L326),J326))</f>
        <v/>
      </c>
      <c r="N326" s="41" t="str">
        <f aca="false">IF(C326="","",IFERROR(INDEX(Перечень!$F$6:$F$52,MATCH(H326,Перечень!$A$6:$A$52,0)),""))</f>
        <v>-</v>
      </c>
      <c r="O326" s="40"/>
      <c r="P326" s="37" t="str">
        <f aca="false">IF(O326="","",EDATE(O326,60))</f>
        <v/>
      </c>
      <c r="Q326" s="41" t="str">
        <f aca="false">IF(AND(K326&lt;&gt;"",F326&lt;&gt;"",K326&gt;F326),"Да","")</f>
        <v/>
      </c>
      <c r="R326" s="41" t="str">
        <f aca="true">IF(C326="","",IF(M326="","Нет сведений",IF(M326&lt;TODAY(),"Просрочен",IF(M326-TODAY()&lt;=30,"Истекает","В срок"))))</f>
        <v>Нет сведений</v>
      </c>
      <c r="S326" s="41" t="str">
        <f aca="false">IF(AND(N326="Да",O326=""),"Не пройдено","")</f>
        <v/>
      </c>
    </row>
    <row r="327" customFormat="false" ht="14.25" hidden="false" customHeight="false" outlineLevel="0" collapsed="false">
      <c r="A327" s="35" t="n">
        <f aca="false">IF(C327="","",ROW()-5)</f>
        <v>322</v>
      </c>
      <c r="B327" s="36" t="s">
        <v>109</v>
      </c>
      <c r="C327" s="36" t="s">
        <v>572</v>
      </c>
      <c r="D327" s="36" t="s">
        <v>573</v>
      </c>
      <c r="E327" s="36" t="s">
        <v>574</v>
      </c>
      <c r="F327" s="37" t="n">
        <v>44718</v>
      </c>
      <c r="G327" s="38" t="str">
        <f aca="false">IF(C327="","",IF(TRIM(SUBSTITUTE(SUBSTITUTE(SUBSTITUTE(SUBSTITUTE(SUBSTITUTE(SUBSTITUTE(SUBSTITUTE(SUBSTITUTE(SUBSTITUTE(SUBSTITUTE(SUBSTITUTE(LOWER(TRIM(D327)),"ё","е"),"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категории",""))="инженер",IF(AND(ISNUMBER(SEARCH("техническ",E327)),ISNUMBER(SEARCH("контрол",E327))),"инженер отк",IF(ISNUMBER(SEARCH("диспетч",E327)),"инженер пдо",TRIM(SUBSTITUTE(SUBSTITUTE(SUBSTITUTE(SUBSTITUTE(SUBSTITUTE(SUBSTITUTE(SUBSTITUTE(SUBSTITUTE(SUBSTITUTE(SUBSTITUTE(SUBSTITUTE(LOWER(TRIM(D327)),"ё","е"),"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инженер",IF(ISNUMBER(SEARCH("диспетч",E327)),"ведущий инженер пдо",TRIM(SUBSTITUTE(SUBSTITUTE(SUBSTITUTE(SUBSTITUTE(SUBSTITUTE(SUBSTITUTE(SUBSTITUTE(SUBSTITUTE(SUBSTITUTE(SUBSTITUTE(SUBSTITUTE(LOWER(TRIM(D327)),"ё","е"),"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отк",TRIM(SUBSTITUTE(SUBSTITUTE(SUBSTITUTE(SUBSTITUTE(SUBSTITUTE(SUBSTITUTE(SUBSTITUTE(SUBSTITUTE(SUBSTITUTE(SUBSTITUTE(SUBSTITUTE(LOWER(TRIM(D327)),"ё","е")," -","-"),"- ","-")," 2 разряда","")," 3 разряда","")," 4 разряда","")," 5 разряда","")," 6 разряда","")," 1 категории","")," 2 категории","")," 3 категории",""))))))</f>
        <v>старший специалист по пошиву</v>
      </c>
      <c r="H327" s="35" t="n">
        <f aca="false">IF(C327="","",IF(AND(G327="мастер участка",ISNUMBER(SEARCH("РЭО",E327))),29,IFERROR(INDEX(Соответствие!$B$2:$B$100,MATCH(G327,Соответствие!$A$2:$A$100,0)),"?")))</f>
        <v>44</v>
      </c>
      <c r="I327" s="39" t="str">
        <f aca="false">IF(C327="","",IFERROR(INDEX(Перечень!$C$6:$C$52,MATCH(H327,Перечень!$A$6:$A$52,0)),""))</f>
        <v>п.4.3.1, п.4.3.2, п.4.4, п.5.1, п.5.2, п.15</v>
      </c>
      <c r="J327" s="35" t="n">
        <f aca="false">IF(C327="","",IFERROR(INDEX(Перечень!$D$6:$D$52,MATCH(H327,Перечень!$A$6:$A$52,0)),12))</f>
        <v>12</v>
      </c>
      <c r="K327" s="40"/>
      <c r="L327" s="40"/>
      <c r="M327" s="37" t="str">
        <f aca="false">IF(AND(K327="",L327=""),"",EDATE(MAX(K327,L327),J327))</f>
        <v/>
      </c>
      <c r="N327" s="41" t="str">
        <f aca="false">IF(C327="","",IFERROR(INDEX(Перечень!$F$6:$F$52,MATCH(H327,Перечень!$A$6:$A$52,0)),""))</f>
        <v>-</v>
      </c>
      <c r="O327" s="40"/>
      <c r="P327" s="37" t="str">
        <f aca="false">IF(O327="","",EDATE(O327,60))</f>
        <v/>
      </c>
      <c r="Q327" s="41" t="str">
        <f aca="false">IF(AND(K327&lt;&gt;"",F327&lt;&gt;"",K327&gt;F327),"Да","")</f>
        <v/>
      </c>
      <c r="R327" s="41" t="str">
        <f aca="true">IF(C327="","",IF(M327="","Нет сведений",IF(M327&lt;TODAY(),"Просрочен",IF(M327-TODAY()&lt;=30,"Истекает","В срок"))))</f>
        <v>Нет сведений</v>
      </c>
      <c r="S327" s="41" t="str">
        <f aca="false">IF(AND(N327="Да",O327=""),"Не пройдено","")</f>
        <v/>
      </c>
    </row>
    <row r="328" customFormat="false" ht="14.25" hidden="false" customHeight="false" outlineLevel="0" collapsed="false">
      <c r="A328" s="35" t="n">
        <f aca="false">IF(C328="","",ROW()-5)</f>
        <v>323</v>
      </c>
      <c r="B328" s="36" t="s">
        <v>109</v>
      </c>
      <c r="C328" s="36" t="s">
        <v>575</v>
      </c>
      <c r="D328" s="36" t="s">
        <v>573</v>
      </c>
      <c r="E328" s="36" t="s">
        <v>574</v>
      </c>
      <c r="F328" s="37" t="n">
        <v>45194</v>
      </c>
      <c r="G328" s="38" t="str">
        <f aca="false">IF(C328="","",IF(TRIM(SUBSTITUTE(SUBSTITUTE(SUBSTITUTE(SUBSTITUTE(SUBSTITUTE(SUBSTITUTE(SUBSTITUTE(SUBSTITUTE(SUBSTITUTE(SUBSTITUTE(SUBSTITUTE(LOWER(TRIM(D328)),"ё","е"),"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категории",""))="инженер",IF(AND(ISNUMBER(SEARCH("техническ",E328)),ISNUMBER(SEARCH("контрол",E328))),"инженер отк",IF(ISNUMBER(SEARCH("диспетч",E328)),"инженер пдо",TRIM(SUBSTITUTE(SUBSTITUTE(SUBSTITUTE(SUBSTITUTE(SUBSTITUTE(SUBSTITUTE(SUBSTITUTE(SUBSTITUTE(SUBSTITUTE(SUBSTITUTE(SUBSTITUTE(LOWER(TRIM(D328)),"ё","е"),"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инженер",IF(ISNUMBER(SEARCH("диспетч",E328)),"ведущий инженер пдо",TRIM(SUBSTITUTE(SUBSTITUTE(SUBSTITUTE(SUBSTITUTE(SUBSTITUTE(SUBSTITUTE(SUBSTITUTE(SUBSTITUTE(SUBSTITUTE(SUBSTITUTE(SUBSTITUTE(LOWER(TRIM(D328)),"ё","е"),"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отк",TRIM(SUBSTITUTE(SUBSTITUTE(SUBSTITUTE(SUBSTITUTE(SUBSTITUTE(SUBSTITUTE(SUBSTITUTE(SUBSTITUTE(SUBSTITUTE(SUBSTITUTE(SUBSTITUTE(LOWER(TRIM(D328)),"ё","е")," -","-"),"- ","-")," 2 разряда","")," 3 разряда","")," 4 разряда","")," 5 разряда","")," 6 разряда","")," 1 категории","")," 2 категории","")," 3 категории",""))))))</f>
        <v>старший специалист по пошиву</v>
      </c>
      <c r="H328" s="35" t="n">
        <f aca="false">IF(C328="","",IF(AND(G328="мастер участка",ISNUMBER(SEARCH("РЭО",E328))),29,IFERROR(INDEX(Соответствие!$B$2:$B$100,MATCH(G328,Соответствие!$A$2:$A$100,0)),"?")))</f>
        <v>44</v>
      </c>
      <c r="I328" s="39" t="str">
        <f aca="false">IF(C328="","",IFERROR(INDEX(Перечень!$C$6:$C$52,MATCH(H328,Перечень!$A$6:$A$52,0)),""))</f>
        <v>п.4.3.1, п.4.3.2, п.4.4, п.5.1, п.5.2, п.15</v>
      </c>
      <c r="J328" s="35" t="n">
        <f aca="false">IF(C328="","",IFERROR(INDEX(Перечень!$D$6:$D$52,MATCH(H328,Перечень!$A$6:$A$52,0)),12))</f>
        <v>12</v>
      </c>
      <c r="K328" s="40"/>
      <c r="L328" s="40"/>
      <c r="M328" s="37" t="str">
        <f aca="false">IF(AND(K328="",L328=""),"",EDATE(MAX(K328,L328),J328))</f>
        <v/>
      </c>
      <c r="N328" s="41" t="str">
        <f aca="false">IF(C328="","",IFERROR(INDEX(Перечень!$F$6:$F$52,MATCH(H328,Перечень!$A$6:$A$52,0)),""))</f>
        <v>-</v>
      </c>
      <c r="O328" s="40"/>
      <c r="P328" s="37" t="str">
        <f aca="false">IF(O328="","",EDATE(O328,60))</f>
        <v/>
      </c>
      <c r="Q328" s="41" t="str">
        <f aca="false">IF(AND(K328&lt;&gt;"",F328&lt;&gt;"",K328&gt;F328),"Да","")</f>
        <v/>
      </c>
      <c r="R328" s="41" t="str">
        <f aca="true">IF(C328="","",IF(M328="","Нет сведений",IF(M328&lt;TODAY(),"Просрочен",IF(M328-TODAY()&lt;=30,"Истекает","В срок"))))</f>
        <v>Нет сведений</v>
      </c>
      <c r="S328" s="41" t="str">
        <f aca="false">IF(AND(N328="Да",O328=""),"Не пройдено","")</f>
        <v/>
      </c>
    </row>
    <row r="329" customFormat="false" ht="14.25" hidden="false" customHeight="false" outlineLevel="0" collapsed="false">
      <c r="A329" s="35" t="n">
        <f aca="false">IF(C329="","",ROW()-5)</f>
        <v>324</v>
      </c>
      <c r="B329" s="36" t="s">
        <v>109</v>
      </c>
      <c r="C329" s="36" t="s">
        <v>576</v>
      </c>
      <c r="D329" s="36" t="s">
        <v>573</v>
      </c>
      <c r="E329" s="36" t="s">
        <v>574</v>
      </c>
      <c r="F329" s="37" t="n">
        <v>44621</v>
      </c>
      <c r="G329" s="38" t="str">
        <f aca="false">IF(C329="","",IF(TRIM(SUBSTITUTE(SUBSTITUTE(SUBSTITUTE(SUBSTITUTE(SUBSTITUTE(SUBSTITUTE(SUBSTITUTE(SUBSTITUTE(SUBSTITUTE(SUBSTITUTE(SUBSTITUTE(LOWER(TRIM(D329)),"ё","е"),"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категории",""))="инженер",IF(AND(ISNUMBER(SEARCH("техническ",E329)),ISNUMBER(SEARCH("контрол",E329))),"инженер отк",IF(ISNUMBER(SEARCH("диспетч",E329)),"инженер пдо",TRIM(SUBSTITUTE(SUBSTITUTE(SUBSTITUTE(SUBSTITUTE(SUBSTITUTE(SUBSTITUTE(SUBSTITUTE(SUBSTITUTE(SUBSTITUTE(SUBSTITUTE(SUBSTITUTE(LOWER(TRIM(D329)),"ё","е"),"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категории","")))),IF(TRIM(SUBSTITUTE(SUBSTITUTE(SUBSTITUTE(SUBSTITUTE(SUBSTITUTE(SUBSTITUTE(SUBSTITUTE(SUBSTITUTE(SUBSTITUTE(SUBSTITUTE(SUBSTITUTE(LOWER(TRIM(D329)),"ё","е"),"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инженер",IF(ISNUMBER(SEARCH("диспетч",E329)),"ведущий инженер пдо",TRIM(SUBSTITUTE(SUBSTITUTE(SUBSTITUTE(SUBSTITUTE(SUBSTITUTE(SUBSTITUTE(SUBSTITUTE(SUBSTITUTE(SUBSTITUTE(SUBSTITUTE(SUBSTITUTE(LOWER(TRIM(D329)),"ё","е"),"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категории",""))),IF(TRIM(SUBSTITUTE(SUBSTITUTE(SUBSTITUTE(SUBSTITUTE(SUBSTITUTE(SUBSTITUTE(SUBSTITUTE(SUBSTITUTE(SUBSTITUTE(SUBSTITUTE(SUBSTITUTE(LOWER(TRIM(D329)),"ё","е"),"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отк",TRIM(SUBSTITUTE(SUBSTITUTE(SUBSTITUTE(SUBSTITUTE(SUBSTITUTE(SUBSTITUTE(SUBSTITUTE(SUBSTITUTE(SUBSTITUTE(SUBSTITUTE(SUBSTITUTE(LOWER(TRIM(D329)),"ё","е")," -","-"),"- ","-")," 2 разряда","")," 3 разряда","")," 4 разряда","")," 5 разряда","")," 6 разряда","")," 1 категории","")," 2 категории","")," 3 категории",""))))))</f>
        <v>старший специалист по пошиву</v>
      </c>
      <c r="H329" s="35" t="n">
        <f aca="false">IF(C329="","",IF(AND(G329="мастер участка",ISNUMBER(SEARCH("РЭО",E329))),29,IFERROR(INDEX(Соответствие!$B$2:$B$100,MATCH(G329,Соответствие!$A$2:$A$100,0)),"?")))</f>
        <v>44</v>
      </c>
      <c r="I329" s="39" t="str">
        <f aca="false">IF(C329="","",IFERROR(INDEX(Перечень!$C$6:$C$52,MATCH(H329,Перечень!$A$6:$A$52,0)),""))</f>
        <v>п.4.3.1, п.4.3.2, п.4.4, п.5.1, п.5.2, п.15</v>
      </c>
      <c r="J329" s="35" t="n">
        <f aca="false">IF(C329="","",IFERROR(INDEX(Перечень!$D$6:$D$52,MATCH(H329,Перечень!$A$6:$A$52,0)),12))</f>
        <v>12</v>
      </c>
      <c r="K329" s="40"/>
      <c r="L329" s="40"/>
      <c r="M329" s="37" t="str">
        <f aca="false">IF(AND(K329="",L329=""),"",EDATE(MAX(K329,L329),J329))</f>
        <v/>
      </c>
      <c r="N329" s="41" t="str">
        <f aca="false">IF(C329="","",IFERROR(INDEX(Перечень!$F$6:$F$52,MATCH(H329,Перечень!$A$6:$A$52,0)),""))</f>
        <v>-</v>
      </c>
      <c r="O329" s="40"/>
      <c r="P329" s="37" t="str">
        <f aca="false">IF(O329="","",EDATE(O329,60))</f>
        <v/>
      </c>
      <c r="Q329" s="41" t="str">
        <f aca="false">IF(AND(K329&lt;&gt;"",F329&lt;&gt;"",K329&gt;F329),"Да","")</f>
        <v/>
      </c>
      <c r="R329" s="41" t="str">
        <f aca="true">IF(C329="","",IF(M329="","Нет сведений",IF(M329&lt;TODAY(),"Просрочен",IF(M329-TODAY()&lt;=30,"Истекает","В срок"))))</f>
        <v>Нет сведений</v>
      </c>
      <c r="S329" s="41" t="str">
        <f aca="false">IF(AND(N329="Да",O329=""),"Не пройдено","")</f>
        <v/>
      </c>
    </row>
    <row r="330" customFormat="false" ht="14.25" hidden="false" customHeight="false" outlineLevel="0" collapsed="false">
      <c r="A330" s="35" t="n">
        <f aca="false">IF(C330="","",ROW()-5)</f>
        <v>325</v>
      </c>
      <c r="B330" s="36" t="s">
        <v>109</v>
      </c>
      <c r="C330" s="36" t="s">
        <v>577</v>
      </c>
      <c r="D330" s="36" t="s">
        <v>573</v>
      </c>
      <c r="E330" s="36" t="s">
        <v>574</v>
      </c>
      <c r="F330" s="37" t="n">
        <v>43132</v>
      </c>
      <c r="G330" s="38" t="str">
        <f aca="false">IF(C330="","",IF(TRIM(SUBSTITUTE(SUBSTITUTE(SUBSTITUTE(SUBSTITUTE(SUBSTITUTE(SUBSTITUTE(SUBSTITUTE(SUBSTITUTE(SUBSTITUTE(SUBSTITUTE(SUBSTITUTE(LOWER(TRIM(D330)),"ё","е"),"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категории",""))="инженер",IF(AND(ISNUMBER(SEARCH("техническ",E330)),ISNUMBER(SEARCH("контрол",E330))),"инженер отк",IF(ISNUMBER(SEARCH("диспетч",E330)),"инженер пдо",TRIM(SUBSTITUTE(SUBSTITUTE(SUBSTITUTE(SUBSTITUTE(SUBSTITUTE(SUBSTITUTE(SUBSTITUTE(SUBSTITUTE(SUBSTITUTE(SUBSTITUTE(SUBSTITUTE(LOWER(TRIM(D330)),"ё","е"),"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инженер",IF(ISNUMBER(SEARCH("диспетч",E330)),"ведущий инженер пдо",TRIM(SUBSTITUTE(SUBSTITUTE(SUBSTITUTE(SUBSTITUTE(SUBSTITUTE(SUBSTITUTE(SUBSTITUTE(SUBSTITUTE(SUBSTITUTE(SUBSTITUTE(SUBSTITUTE(LOWER(TRIM(D330)),"ё","е"),"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отк",TRIM(SUBSTITUTE(SUBSTITUTE(SUBSTITUTE(SUBSTITUTE(SUBSTITUTE(SUBSTITUTE(SUBSTITUTE(SUBSTITUTE(SUBSTITUTE(SUBSTITUTE(SUBSTITUTE(LOWER(TRIM(D330)),"ё","е")," -","-"),"- ","-")," 2 разряда","")," 3 разряда","")," 4 разряда","")," 5 разряда","")," 6 разряда","")," 1 категории","")," 2 категории","")," 3 категории",""))))))</f>
        <v>старший специалист по пошиву</v>
      </c>
      <c r="H330" s="35" t="n">
        <f aca="false">IF(C330="","",IF(AND(G330="мастер участка",ISNUMBER(SEARCH("РЭО",E330))),29,IFERROR(INDEX(Соответствие!$B$2:$B$100,MATCH(G330,Соответствие!$A$2:$A$100,0)),"?")))</f>
        <v>44</v>
      </c>
      <c r="I330" s="39" t="str">
        <f aca="false">IF(C330="","",IFERROR(INDEX(Перечень!$C$6:$C$52,MATCH(H330,Перечень!$A$6:$A$52,0)),""))</f>
        <v>п.4.3.1, п.4.3.2, п.4.4, п.5.1, п.5.2, п.15</v>
      </c>
      <c r="J330" s="35" t="n">
        <f aca="false">IF(C330="","",IFERROR(INDEX(Перечень!$D$6:$D$52,MATCH(H330,Перечень!$A$6:$A$52,0)),12))</f>
        <v>12</v>
      </c>
      <c r="K330" s="40"/>
      <c r="L330" s="40"/>
      <c r="M330" s="37" t="str">
        <f aca="false">IF(AND(K330="",L330=""),"",EDATE(MAX(K330,L330),J330))</f>
        <v/>
      </c>
      <c r="N330" s="41" t="str">
        <f aca="false">IF(C330="","",IFERROR(INDEX(Перечень!$F$6:$F$52,MATCH(H330,Перечень!$A$6:$A$52,0)),""))</f>
        <v>-</v>
      </c>
      <c r="O330" s="40"/>
      <c r="P330" s="37" t="str">
        <f aca="false">IF(O330="","",EDATE(O330,60))</f>
        <v/>
      </c>
      <c r="Q330" s="41" t="str">
        <f aca="false">IF(AND(K330&lt;&gt;"",F330&lt;&gt;"",K330&gt;F330),"Да","")</f>
        <v/>
      </c>
      <c r="R330" s="41" t="str">
        <f aca="true">IF(C330="","",IF(M330="","Нет сведений",IF(M330&lt;TODAY(),"Просрочен",IF(M330-TODAY()&lt;=30,"Истекает","В срок"))))</f>
        <v>Нет сведений</v>
      </c>
      <c r="S330" s="41" t="str">
        <f aca="false">IF(AND(N330="Да",O330=""),"Не пройдено","")</f>
        <v/>
      </c>
    </row>
    <row r="331" customFormat="false" ht="14.25" hidden="false" customHeight="false" outlineLevel="0" collapsed="false">
      <c r="A331" s="35" t="n">
        <f aca="false">IF(C331="","",ROW()-5)</f>
        <v>326</v>
      </c>
      <c r="B331" s="36" t="s">
        <v>109</v>
      </c>
      <c r="C331" s="36" t="s">
        <v>578</v>
      </c>
      <c r="D331" s="36" t="s">
        <v>573</v>
      </c>
      <c r="E331" s="36" t="s">
        <v>574</v>
      </c>
      <c r="F331" s="37" t="n">
        <v>40088</v>
      </c>
      <c r="G331" s="38" t="str">
        <f aca="false">IF(C331="","",IF(TRIM(SUBSTITUTE(SUBSTITUTE(SUBSTITUTE(SUBSTITUTE(SUBSTITUTE(SUBSTITUTE(SUBSTITUTE(SUBSTITUTE(SUBSTITUTE(SUBSTITUTE(SUBSTITUTE(LOWER(TRIM(D331)),"ё","е"),"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категории",""))="инженер",IF(AND(ISNUMBER(SEARCH("техническ",E331)),ISNUMBER(SEARCH("контрол",E331))),"инженер отк",IF(ISNUMBER(SEARCH("диспетч",E331)),"инженер пдо",TRIM(SUBSTITUTE(SUBSTITUTE(SUBSTITUTE(SUBSTITUTE(SUBSTITUTE(SUBSTITUTE(SUBSTITUTE(SUBSTITUTE(SUBSTITUTE(SUBSTITUTE(SUBSTITUTE(LOWER(TRIM(D331)),"ё","е"),"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инженер",IF(ISNUMBER(SEARCH("диспетч",E331)),"ведущий инженер пдо",TRIM(SUBSTITUTE(SUBSTITUTE(SUBSTITUTE(SUBSTITUTE(SUBSTITUTE(SUBSTITUTE(SUBSTITUTE(SUBSTITUTE(SUBSTITUTE(SUBSTITUTE(SUBSTITUTE(LOWER(TRIM(D331)),"ё","е"),"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отк",TRIM(SUBSTITUTE(SUBSTITUTE(SUBSTITUTE(SUBSTITUTE(SUBSTITUTE(SUBSTITUTE(SUBSTITUTE(SUBSTITUTE(SUBSTITUTE(SUBSTITUTE(SUBSTITUTE(LOWER(TRIM(D331)),"ё","е")," -","-"),"- ","-")," 2 разряда","")," 3 разряда","")," 4 разряда","")," 5 разряда","")," 6 разряда","")," 1 категории","")," 2 категории","")," 3 категории",""))))))</f>
        <v>старший специалист по пошиву</v>
      </c>
      <c r="H331" s="35" t="n">
        <f aca="false">IF(C331="","",IF(AND(G331="мастер участка",ISNUMBER(SEARCH("РЭО",E331))),29,IFERROR(INDEX(Соответствие!$B$2:$B$100,MATCH(G331,Соответствие!$A$2:$A$100,0)),"?")))</f>
        <v>44</v>
      </c>
      <c r="I331" s="39" t="str">
        <f aca="false">IF(C331="","",IFERROR(INDEX(Перечень!$C$6:$C$52,MATCH(H331,Перечень!$A$6:$A$52,0)),""))</f>
        <v>п.4.3.1, п.4.3.2, п.4.4, п.5.1, п.5.2, п.15</v>
      </c>
      <c r="J331" s="35" t="n">
        <f aca="false">IF(C331="","",IFERROR(INDEX(Перечень!$D$6:$D$52,MATCH(H331,Перечень!$A$6:$A$52,0)),12))</f>
        <v>12</v>
      </c>
      <c r="K331" s="40"/>
      <c r="L331" s="40"/>
      <c r="M331" s="37" t="str">
        <f aca="false">IF(AND(K331="",L331=""),"",EDATE(MAX(K331,L331),J331))</f>
        <v/>
      </c>
      <c r="N331" s="41" t="str">
        <f aca="false">IF(C331="","",IFERROR(INDEX(Перечень!$F$6:$F$52,MATCH(H331,Перечень!$A$6:$A$52,0)),""))</f>
        <v>-</v>
      </c>
      <c r="O331" s="40"/>
      <c r="P331" s="37" t="str">
        <f aca="false">IF(O331="","",EDATE(O331,60))</f>
        <v/>
      </c>
      <c r="Q331" s="41" t="str">
        <f aca="false">IF(AND(K331&lt;&gt;"",F331&lt;&gt;"",K331&gt;F331),"Да","")</f>
        <v/>
      </c>
      <c r="R331" s="41" t="str">
        <f aca="true">IF(C331="","",IF(M331="","Нет сведений",IF(M331&lt;TODAY(),"Просрочен",IF(M331-TODAY()&lt;=30,"Истекает","В срок"))))</f>
        <v>Нет сведений</v>
      </c>
      <c r="S331" s="41" t="str">
        <f aca="false">IF(AND(N331="Да",O331=""),"Не пройдено","")</f>
        <v/>
      </c>
    </row>
    <row r="332" customFormat="false" ht="14.25" hidden="false" customHeight="false" outlineLevel="0" collapsed="false">
      <c r="A332" s="35" t="n">
        <f aca="false">IF(C332="","",ROW()-5)</f>
        <v>327</v>
      </c>
      <c r="B332" s="36" t="s">
        <v>109</v>
      </c>
      <c r="C332" s="36" t="s">
        <v>579</v>
      </c>
      <c r="D332" s="36" t="s">
        <v>580</v>
      </c>
      <c r="E332" s="36" t="s">
        <v>574</v>
      </c>
      <c r="F332" s="37" t="n">
        <v>45497</v>
      </c>
      <c r="G332" s="38" t="str">
        <f aca="false">IF(C332="","",IF(TRIM(SUBSTITUTE(SUBSTITUTE(SUBSTITUTE(SUBSTITUTE(SUBSTITUTE(SUBSTITUTE(SUBSTITUTE(SUBSTITUTE(SUBSTITUTE(SUBSTITUTE(SUBSTITUTE(LOWER(TRIM(D332)),"ё","е"),"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категории",""))="инженер",IF(AND(ISNUMBER(SEARCH("техническ",E332)),ISNUMBER(SEARCH("контрол",E332))),"инженер отк",IF(ISNUMBER(SEARCH("диспетч",E332)),"инженер пдо",TRIM(SUBSTITUTE(SUBSTITUTE(SUBSTITUTE(SUBSTITUTE(SUBSTITUTE(SUBSTITUTE(SUBSTITUTE(SUBSTITUTE(SUBSTITUTE(SUBSTITUTE(SUBSTITUTE(LOWER(TRIM(D332)),"ё","е"),"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инженер",IF(ISNUMBER(SEARCH("диспетч",E332)),"ведущий инженер пдо",TRIM(SUBSTITUTE(SUBSTITUTE(SUBSTITUTE(SUBSTITUTE(SUBSTITUTE(SUBSTITUTE(SUBSTITUTE(SUBSTITUTE(SUBSTITUTE(SUBSTITUTE(SUBSTITUTE(LOWER(TRIM(D332)),"ё","е"),"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отк",TRIM(SUBSTITUTE(SUBSTITUTE(SUBSTITUTE(SUBSTITUTE(SUBSTITUTE(SUBSTITUTE(SUBSTITUTE(SUBSTITUTE(SUBSTITUTE(SUBSTITUTE(SUBSTITUTE(LOWER(TRIM(D332)),"ё","е")," -","-"),"- ","-")," 2 разряда","")," 3 разряда","")," 4 разряда","")," 5 разряда","")," 6 разряда","")," 1 категории","")," 2 категории","")," 3 категории",""))))))</f>
        <v>специалист по пошиву</v>
      </c>
      <c r="H332" s="35" t="n">
        <f aca="false">IF(C332="","",IF(AND(G332="мастер участка",ISNUMBER(SEARCH("РЭО",E332))),29,IFERROR(INDEX(Соответствие!$B$2:$B$100,MATCH(G332,Соответствие!$A$2:$A$100,0)),"?")))</f>
        <v>44</v>
      </c>
      <c r="I332" s="39" t="str">
        <f aca="false">IF(C332="","",IFERROR(INDEX(Перечень!$C$6:$C$52,MATCH(H332,Перечень!$A$6:$A$52,0)),""))</f>
        <v>п.4.3.1, п.4.3.2, п.4.4, п.5.1, п.5.2, п.15</v>
      </c>
      <c r="J332" s="35" t="n">
        <f aca="false">IF(C332="","",IFERROR(INDEX(Перечень!$D$6:$D$52,MATCH(H332,Перечень!$A$6:$A$52,0)),12))</f>
        <v>12</v>
      </c>
      <c r="K332" s="40"/>
      <c r="L332" s="40"/>
      <c r="M332" s="37" t="str">
        <f aca="false">IF(AND(K332="",L332=""),"",EDATE(MAX(K332,L332),J332))</f>
        <v/>
      </c>
      <c r="N332" s="41" t="str">
        <f aca="false">IF(C332="","",IFERROR(INDEX(Перечень!$F$6:$F$52,MATCH(H332,Перечень!$A$6:$A$52,0)),""))</f>
        <v>-</v>
      </c>
      <c r="O332" s="40"/>
      <c r="P332" s="37" t="str">
        <f aca="false">IF(O332="","",EDATE(O332,60))</f>
        <v/>
      </c>
      <c r="Q332" s="41" t="str">
        <f aca="false">IF(AND(K332&lt;&gt;"",F332&lt;&gt;"",K332&gt;F332),"Да","")</f>
        <v/>
      </c>
      <c r="R332" s="41" t="str">
        <f aca="true">IF(C332="","",IF(M332="","Нет сведений",IF(M332&lt;TODAY(),"Просрочен",IF(M332-TODAY()&lt;=30,"Истекает","В срок"))))</f>
        <v>Нет сведений</v>
      </c>
      <c r="S332" s="41" t="str">
        <f aca="false">IF(AND(N332="Да",O332=""),"Не пройдено","")</f>
        <v/>
      </c>
    </row>
    <row r="333" customFormat="false" ht="14.25" hidden="false" customHeight="false" outlineLevel="0" collapsed="false">
      <c r="A333" s="35" t="n">
        <f aca="false">IF(C333="","",ROW()-5)</f>
        <v>328</v>
      </c>
      <c r="B333" s="36" t="s">
        <v>109</v>
      </c>
      <c r="C333" s="36" t="s">
        <v>581</v>
      </c>
      <c r="D333" s="36" t="s">
        <v>241</v>
      </c>
      <c r="E333" s="36" t="s">
        <v>574</v>
      </c>
      <c r="F333" s="37" t="n">
        <v>46057</v>
      </c>
      <c r="G333" s="38" t="str">
        <f aca="false">IF(C333="","",IF(TRIM(SUBSTITUTE(SUBSTITUTE(SUBSTITUTE(SUBSTITUTE(SUBSTITUTE(SUBSTITUTE(SUBSTITUTE(SUBSTITUTE(SUBSTITUTE(SUBSTITUTE(SUBSTITUTE(LOWER(TRIM(D333)),"ё","е"),"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категории",""))="инженер",IF(AND(ISNUMBER(SEARCH("техническ",E333)),ISNUMBER(SEARCH("контрол",E333))),"инженер отк",IF(ISNUMBER(SEARCH("диспетч",E333)),"инженер пдо",TRIM(SUBSTITUTE(SUBSTITUTE(SUBSTITUTE(SUBSTITUTE(SUBSTITUTE(SUBSTITUTE(SUBSTITUTE(SUBSTITUTE(SUBSTITUTE(SUBSTITUTE(SUBSTITUTE(LOWER(TRIM(D333)),"ё","е"),"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инженер",IF(ISNUMBER(SEARCH("диспетч",E333)),"ведущий инженер пдо",TRIM(SUBSTITUTE(SUBSTITUTE(SUBSTITUTE(SUBSTITUTE(SUBSTITUTE(SUBSTITUTE(SUBSTITUTE(SUBSTITUTE(SUBSTITUTE(SUBSTITUTE(SUBSTITUTE(LOWER(TRIM(D333)),"ё","е"),"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отк",TRIM(SUBSTITUTE(SUBSTITUTE(SUBSTITUTE(SUBSTITUTE(SUBSTITUTE(SUBSTITUTE(SUBSTITUTE(SUBSTITUTE(SUBSTITUTE(SUBSTITUTE(SUBSTITUTE(LOWER(TRIM(D333)),"ё","е")," -","-"),"- ","-")," 2 разряда","")," 3 разряда","")," 4 разряда","")," 5 разряда","")," 6 разряда","")," 1 категории","")," 2 категории","")," 3 категории",""))))))</f>
        <v>мастер участка</v>
      </c>
      <c r="H333" s="35" t="n">
        <f aca="false">IF(C333="","",IF(AND(G333="мастер участка",ISNUMBER(SEARCH("РЭО",E333))),29,IFERROR(INDEX(Соответствие!$B$2:$B$100,MATCH(G333,Соответствие!$A$2:$A$100,0)),"?")))</f>
        <v>18</v>
      </c>
      <c r="I333" s="39" t="str">
        <f aca="false">IF(C333="","",IFERROR(INDEX(Перечень!$C$6:$C$52,MATCH(H333,Перечень!$A$6:$A$52,0)),""))</f>
        <v>п.4.4, п.5.2</v>
      </c>
      <c r="J333" s="35" t="n">
        <f aca="false">IF(C333="","",IFERROR(INDEX(Перечень!$D$6:$D$52,MATCH(H333,Перечень!$A$6:$A$52,0)),12))</f>
        <v>12</v>
      </c>
      <c r="K333" s="40"/>
      <c r="L333" s="40"/>
      <c r="M333" s="37" t="str">
        <f aca="false">IF(AND(K333="",L333=""),"",EDATE(MAX(K333,L333),J333))</f>
        <v/>
      </c>
      <c r="N333" s="41" t="str">
        <f aca="false">IF(C333="","",IFERROR(INDEX(Перечень!$F$6:$F$52,MATCH(H333,Перечень!$A$6:$A$52,0)),""))</f>
        <v>-</v>
      </c>
      <c r="O333" s="40"/>
      <c r="P333" s="37" t="str">
        <f aca="false">IF(O333="","",EDATE(O333,60))</f>
        <v/>
      </c>
      <c r="Q333" s="41" t="str">
        <f aca="false">IF(AND(K333&lt;&gt;"",F333&lt;&gt;"",K333&gt;F333),"Да","")</f>
        <v/>
      </c>
      <c r="R333" s="41" t="str">
        <f aca="true">IF(C333="","",IF(M333="","Нет сведений",IF(M333&lt;TODAY(),"Просрочен",IF(M333-TODAY()&lt;=30,"Истекает","В срок"))))</f>
        <v>Нет сведений</v>
      </c>
      <c r="S333" s="41" t="str">
        <f aca="false">IF(AND(N333="Да",O333=""),"Не пройдено","")</f>
        <v/>
      </c>
    </row>
    <row r="334" customFormat="false" ht="14.25" hidden="false" customHeight="false" outlineLevel="0" collapsed="false">
      <c r="A334" s="35" t="n">
        <f aca="false">IF(C334="","",ROW()-5)</f>
        <v>329</v>
      </c>
      <c r="B334" s="36" t="s">
        <v>109</v>
      </c>
      <c r="C334" s="36" t="s">
        <v>582</v>
      </c>
      <c r="D334" s="36" t="s">
        <v>580</v>
      </c>
      <c r="E334" s="36" t="s">
        <v>574</v>
      </c>
      <c r="F334" s="37" t="n">
        <v>42156</v>
      </c>
      <c r="G334" s="38" t="str">
        <f aca="false">IF(C334="","",IF(TRIM(SUBSTITUTE(SUBSTITUTE(SUBSTITUTE(SUBSTITUTE(SUBSTITUTE(SUBSTITUTE(SUBSTITUTE(SUBSTITUTE(SUBSTITUTE(SUBSTITUTE(SUBSTITUTE(LOWER(TRIM(D334)),"ё","е"),"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категории",""))="инженер",IF(AND(ISNUMBER(SEARCH("техническ",E334)),ISNUMBER(SEARCH("контрол",E334))),"инженер отк",IF(ISNUMBER(SEARCH("диспетч",E334)),"инженер пдо",TRIM(SUBSTITUTE(SUBSTITUTE(SUBSTITUTE(SUBSTITUTE(SUBSTITUTE(SUBSTITUTE(SUBSTITUTE(SUBSTITUTE(SUBSTITUTE(SUBSTITUTE(SUBSTITUTE(LOWER(TRIM(D334)),"ё","е"),"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инженер",IF(ISNUMBER(SEARCH("диспетч",E334)),"ведущий инженер пдо",TRIM(SUBSTITUTE(SUBSTITUTE(SUBSTITUTE(SUBSTITUTE(SUBSTITUTE(SUBSTITUTE(SUBSTITUTE(SUBSTITUTE(SUBSTITUTE(SUBSTITUTE(SUBSTITUTE(LOWER(TRIM(D334)),"ё","е"),"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отк",TRIM(SUBSTITUTE(SUBSTITUTE(SUBSTITUTE(SUBSTITUTE(SUBSTITUTE(SUBSTITUTE(SUBSTITUTE(SUBSTITUTE(SUBSTITUTE(SUBSTITUTE(SUBSTITUTE(LOWER(TRIM(D334)),"ё","е")," -","-"),"- ","-")," 2 разряда","")," 3 разряда","")," 4 разряда","")," 5 разряда","")," 6 разряда","")," 1 категории","")," 2 категории","")," 3 категории",""))))))</f>
        <v>специалист по пошиву</v>
      </c>
      <c r="H334" s="35" t="n">
        <f aca="false">IF(C334="","",IF(AND(G334="мастер участка",ISNUMBER(SEARCH("РЭО",E334))),29,IFERROR(INDEX(Соответствие!$B$2:$B$100,MATCH(G334,Соответствие!$A$2:$A$100,0)),"?")))</f>
        <v>44</v>
      </c>
      <c r="I334" s="39" t="str">
        <f aca="false">IF(C334="","",IFERROR(INDEX(Перечень!$C$6:$C$52,MATCH(H334,Перечень!$A$6:$A$52,0)),""))</f>
        <v>п.4.3.1, п.4.3.2, п.4.4, п.5.1, п.5.2, п.15</v>
      </c>
      <c r="J334" s="35" t="n">
        <f aca="false">IF(C334="","",IFERROR(INDEX(Перечень!$D$6:$D$52,MATCH(H334,Перечень!$A$6:$A$52,0)),12))</f>
        <v>12</v>
      </c>
      <c r="K334" s="40"/>
      <c r="L334" s="40"/>
      <c r="M334" s="37" t="str">
        <f aca="false">IF(AND(K334="",L334=""),"",EDATE(MAX(K334,L334),J334))</f>
        <v/>
      </c>
      <c r="N334" s="41" t="str">
        <f aca="false">IF(C334="","",IFERROR(INDEX(Перечень!$F$6:$F$52,MATCH(H334,Перечень!$A$6:$A$52,0)),""))</f>
        <v>-</v>
      </c>
      <c r="O334" s="40"/>
      <c r="P334" s="37" t="str">
        <f aca="false">IF(O334="","",EDATE(O334,60))</f>
        <v/>
      </c>
      <c r="Q334" s="41" t="str">
        <f aca="false">IF(AND(K334&lt;&gt;"",F334&lt;&gt;"",K334&gt;F334),"Да","")</f>
        <v/>
      </c>
      <c r="R334" s="41" t="str">
        <f aca="true">IF(C334="","",IF(M334="","Нет сведений",IF(M334&lt;TODAY(),"Просрочен",IF(M334-TODAY()&lt;=30,"Истекает","В срок"))))</f>
        <v>Нет сведений</v>
      </c>
      <c r="S334" s="41" t="str">
        <f aca="false">IF(AND(N334="Да",O334=""),"Не пройдено","")</f>
        <v/>
      </c>
    </row>
    <row r="335" customFormat="false" ht="14.25" hidden="false" customHeight="false" outlineLevel="0" collapsed="false">
      <c r="A335" s="35" t="n">
        <f aca="false">IF(C335="","",ROW()-5)</f>
        <v>330</v>
      </c>
      <c r="B335" s="36" t="s">
        <v>109</v>
      </c>
      <c r="C335" s="36" t="s">
        <v>583</v>
      </c>
      <c r="D335" s="36" t="s">
        <v>580</v>
      </c>
      <c r="E335" s="36" t="s">
        <v>574</v>
      </c>
      <c r="F335" s="37" t="n">
        <v>45819</v>
      </c>
      <c r="G335" s="38" t="str">
        <f aca="false">IF(C335="","",IF(TRIM(SUBSTITUTE(SUBSTITUTE(SUBSTITUTE(SUBSTITUTE(SUBSTITUTE(SUBSTITUTE(SUBSTITUTE(SUBSTITUTE(SUBSTITUTE(SUBSTITUTE(SUBSTITUTE(LOWER(TRIM(D335)),"ё","е"),"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категории",""))="инженер",IF(AND(ISNUMBER(SEARCH("техническ",E335)),ISNUMBER(SEARCH("контрол",E335))),"инженер отк",IF(ISNUMBER(SEARCH("диспетч",E335)),"инженер пдо",TRIM(SUBSTITUTE(SUBSTITUTE(SUBSTITUTE(SUBSTITUTE(SUBSTITUTE(SUBSTITUTE(SUBSTITUTE(SUBSTITUTE(SUBSTITUTE(SUBSTITUTE(SUBSTITUTE(LOWER(TRIM(D335)),"ё","е"),"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инженер",IF(ISNUMBER(SEARCH("диспетч",E335)),"ведущий инженер пдо",TRIM(SUBSTITUTE(SUBSTITUTE(SUBSTITUTE(SUBSTITUTE(SUBSTITUTE(SUBSTITUTE(SUBSTITUTE(SUBSTITUTE(SUBSTITUTE(SUBSTITUTE(SUBSTITUTE(LOWER(TRIM(D335)),"ё","е"),"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отк",TRIM(SUBSTITUTE(SUBSTITUTE(SUBSTITUTE(SUBSTITUTE(SUBSTITUTE(SUBSTITUTE(SUBSTITUTE(SUBSTITUTE(SUBSTITUTE(SUBSTITUTE(SUBSTITUTE(LOWER(TRIM(D335)),"ё","е")," -","-"),"- ","-")," 2 разряда","")," 3 разряда","")," 4 разряда","")," 5 разряда","")," 6 разряда","")," 1 категории","")," 2 категории","")," 3 категории",""))))))</f>
        <v>специалист по пошиву</v>
      </c>
      <c r="H335" s="35" t="n">
        <f aca="false">IF(C335="","",IF(AND(G335="мастер участка",ISNUMBER(SEARCH("РЭО",E335))),29,IFERROR(INDEX(Соответствие!$B$2:$B$100,MATCH(G335,Соответствие!$A$2:$A$100,0)),"?")))</f>
        <v>44</v>
      </c>
      <c r="I335" s="39" t="str">
        <f aca="false">IF(C335="","",IFERROR(INDEX(Перечень!$C$6:$C$52,MATCH(H335,Перечень!$A$6:$A$52,0)),""))</f>
        <v>п.4.3.1, п.4.3.2, п.4.4, п.5.1, п.5.2, п.15</v>
      </c>
      <c r="J335" s="35" t="n">
        <f aca="false">IF(C335="","",IFERROR(INDEX(Перечень!$D$6:$D$52,MATCH(H335,Перечень!$A$6:$A$52,0)),12))</f>
        <v>12</v>
      </c>
      <c r="K335" s="40"/>
      <c r="L335" s="40"/>
      <c r="M335" s="37" t="str">
        <f aca="false">IF(AND(K335="",L335=""),"",EDATE(MAX(K335,L335),J335))</f>
        <v/>
      </c>
      <c r="N335" s="41" t="str">
        <f aca="false">IF(C335="","",IFERROR(INDEX(Перечень!$F$6:$F$52,MATCH(H335,Перечень!$A$6:$A$52,0)),""))</f>
        <v>-</v>
      </c>
      <c r="O335" s="40"/>
      <c r="P335" s="37" t="str">
        <f aca="false">IF(O335="","",EDATE(O335,60))</f>
        <v/>
      </c>
      <c r="Q335" s="41" t="str">
        <f aca="false">IF(AND(K335&lt;&gt;"",F335&lt;&gt;"",K335&gt;F335),"Да","")</f>
        <v/>
      </c>
      <c r="R335" s="41" t="str">
        <f aca="true">IF(C335="","",IF(M335="","Нет сведений",IF(M335&lt;TODAY(),"Просрочен",IF(M335-TODAY()&lt;=30,"Истекает","В срок"))))</f>
        <v>Нет сведений</v>
      </c>
      <c r="S335" s="41" t="str">
        <f aca="false">IF(AND(N335="Да",O335=""),"Не пройдено","")</f>
        <v/>
      </c>
    </row>
    <row r="336" customFormat="false" ht="14.25" hidden="false" customHeight="false" outlineLevel="0" collapsed="false">
      <c r="A336" s="35" t="n">
        <f aca="false">IF(C336="","",ROW()-5)</f>
        <v>331</v>
      </c>
      <c r="B336" s="36" t="s">
        <v>109</v>
      </c>
      <c r="C336" s="36" t="s">
        <v>584</v>
      </c>
      <c r="D336" s="36" t="s">
        <v>580</v>
      </c>
      <c r="E336" s="36" t="s">
        <v>574</v>
      </c>
      <c r="F336" s="37" t="n">
        <v>45968</v>
      </c>
      <c r="G336" s="38" t="str">
        <f aca="false">IF(C336="","",IF(TRIM(SUBSTITUTE(SUBSTITUTE(SUBSTITUTE(SUBSTITUTE(SUBSTITUTE(SUBSTITUTE(SUBSTITUTE(SUBSTITUTE(SUBSTITUTE(SUBSTITUTE(SUBSTITUTE(LOWER(TRIM(D336)),"ё","е"),"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категории",""))="инженер",IF(AND(ISNUMBER(SEARCH("техническ",E336)),ISNUMBER(SEARCH("контрол",E336))),"инженер отк",IF(ISNUMBER(SEARCH("диспетч",E336)),"инженер пдо",TRIM(SUBSTITUTE(SUBSTITUTE(SUBSTITUTE(SUBSTITUTE(SUBSTITUTE(SUBSTITUTE(SUBSTITUTE(SUBSTITUTE(SUBSTITUTE(SUBSTITUTE(SUBSTITUTE(LOWER(TRIM(D336)),"ё","е"),"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инженер",IF(ISNUMBER(SEARCH("диспетч",E336)),"ведущий инженер пдо",TRIM(SUBSTITUTE(SUBSTITUTE(SUBSTITUTE(SUBSTITUTE(SUBSTITUTE(SUBSTITUTE(SUBSTITUTE(SUBSTITUTE(SUBSTITUTE(SUBSTITUTE(SUBSTITUTE(LOWER(TRIM(D336)),"ё","е"),"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отк",TRIM(SUBSTITUTE(SUBSTITUTE(SUBSTITUTE(SUBSTITUTE(SUBSTITUTE(SUBSTITUTE(SUBSTITUTE(SUBSTITUTE(SUBSTITUTE(SUBSTITUTE(SUBSTITUTE(LOWER(TRIM(D336)),"ё","е")," -","-"),"- ","-")," 2 разряда","")," 3 разряда","")," 4 разряда","")," 5 разряда","")," 6 разряда","")," 1 категории","")," 2 категории","")," 3 категории",""))))))</f>
        <v>специалист по пошиву</v>
      </c>
      <c r="H336" s="35" t="n">
        <f aca="false">IF(C336="","",IF(AND(G336="мастер участка",ISNUMBER(SEARCH("РЭО",E336))),29,IFERROR(INDEX(Соответствие!$B$2:$B$100,MATCH(G336,Соответствие!$A$2:$A$100,0)),"?")))</f>
        <v>44</v>
      </c>
      <c r="I336" s="39" t="str">
        <f aca="false">IF(C336="","",IFERROR(INDEX(Перечень!$C$6:$C$52,MATCH(H336,Перечень!$A$6:$A$52,0)),""))</f>
        <v>п.4.3.1, п.4.3.2, п.4.4, п.5.1, п.5.2, п.15</v>
      </c>
      <c r="J336" s="35" t="n">
        <f aca="false">IF(C336="","",IFERROR(INDEX(Перечень!$D$6:$D$52,MATCH(H336,Перечень!$A$6:$A$52,0)),12))</f>
        <v>12</v>
      </c>
      <c r="K336" s="40" t="n">
        <v>45957</v>
      </c>
      <c r="L336" s="40"/>
      <c r="M336" s="37" t="n">
        <f aca="false">IF(AND(K336="",L336=""),"",EDATE(MAX(K336,L336),J336))</f>
        <v>46322</v>
      </c>
      <c r="N336" s="41" t="str">
        <f aca="false">IF(C336="","",IFERROR(INDEX(Перечень!$F$6:$F$52,MATCH(H336,Перечень!$A$6:$A$52,0)),""))</f>
        <v>-</v>
      </c>
      <c r="O336" s="40"/>
      <c r="P336" s="37" t="str">
        <f aca="false">IF(O336="","",EDATE(O336,60))</f>
        <v/>
      </c>
      <c r="Q336" s="41" t="str">
        <f aca="false">IF(AND(K336&lt;&gt;"",F336&lt;&gt;"",K336&gt;F336),"Да","")</f>
        <v/>
      </c>
      <c r="R336" s="41" t="str">
        <f aca="true">IF(C336="","",IF(M336="","Нет сведений",IF(M336&lt;TODAY(),"Просрочен",IF(M336-TODAY()&lt;=30,"Истекает","В срок"))))</f>
        <v>Истекает</v>
      </c>
      <c r="S336" s="41" t="str">
        <f aca="false">IF(AND(N336="Да",O336=""),"Не пройдено","")</f>
        <v/>
      </c>
    </row>
    <row r="337" customFormat="false" ht="14.25" hidden="false" customHeight="false" outlineLevel="0" collapsed="false">
      <c r="A337" s="35" t="n">
        <f aca="false">IF(C337="","",ROW()-5)</f>
        <v>332</v>
      </c>
      <c r="B337" s="36" t="s">
        <v>109</v>
      </c>
      <c r="C337" s="36" t="s">
        <v>585</v>
      </c>
      <c r="D337" s="36" t="s">
        <v>580</v>
      </c>
      <c r="E337" s="36" t="s">
        <v>574</v>
      </c>
      <c r="F337" s="37" t="n">
        <v>46077</v>
      </c>
      <c r="G337" s="38" t="str">
        <f aca="false">IF(C337="","",IF(TRIM(SUBSTITUTE(SUBSTITUTE(SUBSTITUTE(SUBSTITUTE(SUBSTITUTE(SUBSTITUTE(SUBSTITUTE(SUBSTITUTE(SUBSTITUTE(SUBSTITUTE(SUBSTITUTE(LOWER(TRIM(D337)),"ё","е"),"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категории",""))="инженер",IF(AND(ISNUMBER(SEARCH("техническ",E337)),ISNUMBER(SEARCH("контрол",E337))),"инженер отк",IF(ISNUMBER(SEARCH("диспетч",E337)),"инженер пдо",TRIM(SUBSTITUTE(SUBSTITUTE(SUBSTITUTE(SUBSTITUTE(SUBSTITUTE(SUBSTITUTE(SUBSTITUTE(SUBSTITUTE(SUBSTITUTE(SUBSTITUTE(SUBSTITUTE(LOWER(TRIM(D337)),"ё","е"),"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инженер",IF(ISNUMBER(SEARCH("диспетч",E337)),"ведущий инженер пдо",TRIM(SUBSTITUTE(SUBSTITUTE(SUBSTITUTE(SUBSTITUTE(SUBSTITUTE(SUBSTITUTE(SUBSTITUTE(SUBSTITUTE(SUBSTITUTE(SUBSTITUTE(SUBSTITUTE(LOWER(TRIM(D337)),"ё","е"),"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отк",TRIM(SUBSTITUTE(SUBSTITUTE(SUBSTITUTE(SUBSTITUTE(SUBSTITUTE(SUBSTITUTE(SUBSTITUTE(SUBSTITUTE(SUBSTITUTE(SUBSTITUTE(SUBSTITUTE(LOWER(TRIM(D337)),"ё","е")," -","-"),"- ","-")," 2 разряда","")," 3 разряда","")," 4 разряда","")," 5 разряда","")," 6 разряда","")," 1 категории","")," 2 категории","")," 3 категории",""))))))</f>
        <v>специалист по пошиву</v>
      </c>
      <c r="H337" s="35" t="n">
        <f aca="false">IF(C337="","",IF(AND(G337="мастер участка",ISNUMBER(SEARCH("РЭО",E337))),29,IFERROR(INDEX(Соответствие!$B$2:$B$100,MATCH(G337,Соответствие!$A$2:$A$100,0)),"?")))</f>
        <v>44</v>
      </c>
      <c r="I337" s="39" t="str">
        <f aca="false">IF(C337="","",IFERROR(INDEX(Перечень!$C$6:$C$52,MATCH(H337,Перечень!$A$6:$A$52,0)),""))</f>
        <v>п.4.3.1, п.4.3.2, п.4.4, п.5.1, п.5.2, п.15</v>
      </c>
      <c r="J337" s="35" t="n">
        <f aca="false">IF(C337="","",IFERROR(INDEX(Перечень!$D$6:$D$52,MATCH(H337,Перечень!$A$6:$A$52,0)),12))</f>
        <v>12</v>
      </c>
      <c r="K337" s="40"/>
      <c r="L337" s="40"/>
      <c r="M337" s="37" t="str">
        <f aca="false">IF(AND(K337="",L337=""),"",EDATE(MAX(K337,L337),J337))</f>
        <v/>
      </c>
      <c r="N337" s="41" t="str">
        <f aca="false">IF(C337="","",IFERROR(INDEX(Перечень!$F$6:$F$52,MATCH(H337,Перечень!$A$6:$A$52,0)),""))</f>
        <v>-</v>
      </c>
      <c r="O337" s="40"/>
      <c r="P337" s="37" t="str">
        <f aca="false">IF(O337="","",EDATE(O337,60))</f>
        <v/>
      </c>
      <c r="Q337" s="41" t="str">
        <f aca="false">IF(AND(K337&lt;&gt;"",F337&lt;&gt;"",K337&gt;F337),"Да","")</f>
        <v/>
      </c>
      <c r="R337" s="41" t="str">
        <f aca="true">IF(C337="","",IF(M337="","Нет сведений",IF(M337&lt;TODAY(),"Просрочен",IF(M337-TODAY()&lt;=30,"Истекает","В срок"))))</f>
        <v>Нет сведений</v>
      </c>
      <c r="S337" s="41" t="str">
        <f aca="false">IF(AND(N337="Да",O337=""),"Не пройдено","")</f>
        <v/>
      </c>
    </row>
    <row r="338" customFormat="false" ht="14.25" hidden="false" customHeight="false" outlineLevel="0" collapsed="false">
      <c r="A338" s="35" t="n">
        <f aca="false">IF(C338="","",ROW()-5)</f>
        <v>333</v>
      </c>
      <c r="B338" s="36" t="s">
        <v>109</v>
      </c>
      <c r="C338" s="36" t="s">
        <v>586</v>
      </c>
      <c r="D338" s="36" t="s">
        <v>580</v>
      </c>
      <c r="E338" s="36" t="s">
        <v>574</v>
      </c>
      <c r="F338" s="37" t="n">
        <v>42380</v>
      </c>
      <c r="G338" s="38" t="str">
        <f aca="false">IF(C338="","",IF(TRIM(SUBSTITUTE(SUBSTITUTE(SUBSTITUTE(SUBSTITUTE(SUBSTITUTE(SUBSTITUTE(SUBSTITUTE(SUBSTITUTE(SUBSTITUTE(SUBSTITUTE(SUBSTITUTE(LOWER(TRIM(D338)),"ё","е"),"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категории",""))="инженер",IF(AND(ISNUMBER(SEARCH("техническ",E338)),ISNUMBER(SEARCH("контрол",E338))),"инженер отк",IF(ISNUMBER(SEARCH("диспетч",E338)),"инженер пдо",TRIM(SUBSTITUTE(SUBSTITUTE(SUBSTITUTE(SUBSTITUTE(SUBSTITUTE(SUBSTITUTE(SUBSTITUTE(SUBSTITUTE(SUBSTITUTE(SUBSTITUTE(SUBSTITUTE(LOWER(TRIM(D338)),"ё","е"),"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инженер",IF(ISNUMBER(SEARCH("диспетч",E338)),"ведущий инженер пдо",TRIM(SUBSTITUTE(SUBSTITUTE(SUBSTITUTE(SUBSTITUTE(SUBSTITUTE(SUBSTITUTE(SUBSTITUTE(SUBSTITUTE(SUBSTITUTE(SUBSTITUTE(SUBSTITUTE(LOWER(TRIM(D338)),"ё","е"),"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отк",TRIM(SUBSTITUTE(SUBSTITUTE(SUBSTITUTE(SUBSTITUTE(SUBSTITUTE(SUBSTITUTE(SUBSTITUTE(SUBSTITUTE(SUBSTITUTE(SUBSTITUTE(SUBSTITUTE(LOWER(TRIM(D338)),"ё","е")," -","-"),"- ","-")," 2 разряда","")," 3 разряда","")," 4 разряда","")," 5 разряда","")," 6 разряда","")," 1 категории","")," 2 категории","")," 3 категории",""))))))</f>
        <v>специалист по пошиву</v>
      </c>
      <c r="H338" s="35" t="n">
        <f aca="false">IF(C338="","",IF(AND(G338="мастер участка",ISNUMBER(SEARCH("РЭО",E338))),29,IFERROR(INDEX(Соответствие!$B$2:$B$100,MATCH(G338,Соответствие!$A$2:$A$100,0)),"?")))</f>
        <v>44</v>
      </c>
      <c r="I338" s="39" t="str">
        <f aca="false">IF(C338="","",IFERROR(INDEX(Перечень!$C$6:$C$52,MATCH(H338,Перечень!$A$6:$A$52,0)),""))</f>
        <v>п.4.3.1, п.4.3.2, п.4.4, п.5.1, п.5.2, п.15</v>
      </c>
      <c r="J338" s="35" t="n">
        <f aca="false">IF(C338="","",IFERROR(INDEX(Перечень!$D$6:$D$52,MATCH(H338,Перечень!$A$6:$A$52,0)),12))</f>
        <v>12</v>
      </c>
      <c r="K338" s="40"/>
      <c r="L338" s="40"/>
      <c r="M338" s="37" t="str">
        <f aca="false">IF(AND(K338="",L338=""),"",EDATE(MAX(K338,L338),J338))</f>
        <v/>
      </c>
      <c r="N338" s="41" t="str">
        <f aca="false">IF(C338="","",IFERROR(INDEX(Перечень!$F$6:$F$52,MATCH(H338,Перечень!$A$6:$A$52,0)),""))</f>
        <v>-</v>
      </c>
      <c r="O338" s="40"/>
      <c r="P338" s="37" t="str">
        <f aca="false">IF(O338="","",EDATE(O338,60))</f>
        <v/>
      </c>
      <c r="Q338" s="41" t="str">
        <f aca="false">IF(AND(K338&lt;&gt;"",F338&lt;&gt;"",K338&gt;F338),"Да","")</f>
        <v/>
      </c>
      <c r="R338" s="41" t="str">
        <f aca="true">IF(C338="","",IF(M338="","Нет сведений",IF(M338&lt;TODAY(),"Просрочен",IF(M338-TODAY()&lt;=30,"Истекает","В срок"))))</f>
        <v>Нет сведений</v>
      </c>
      <c r="S338" s="41" t="str">
        <f aca="false">IF(AND(N338="Да",O338=""),"Не пройдено","")</f>
        <v/>
      </c>
    </row>
    <row r="339" customFormat="false" ht="14.25" hidden="false" customHeight="false" outlineLevel="0" collapsed="false">
      <c r="A339" s="35" t="n">
        <f aca="false">IF(C339="","",ROW()-5)</f>
        <v>334</v>
      </c>
      <c r="B339" s="36" t="s">
        <v>109</v>
      </c>
      <c r="C339" s="36" t="s">
        <v>587</v>
      </c>
      <c r="D339" s="36" t="s">
        <v>588</v>
      </c>
      <c r="E339" s="36" t="s">
        <v>574</v>
      </c>
      <c r="F339" s="37" t="n">
        <v>45859</v>
      </c>
      <c r="G339" s="38" t="str">
        <f aca="false">IF(C339="","",IF(TRIM(SUBSTITUTE(SUBSTITUTE(SUBSTITUTE(SUBSTITUTE(SUBSTITUTE(SUBSTITUTE(SUBSTITUTE(SUBSTITUTE(SUBSTITUTE(SUBSTITUTE(SUBSTITUTE(LOWER(TRIM(D339)),"ё","е"),"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категории",""))="инженер",IF(AND(ISNUMBER(SEARCH("техническ",E339)),ISNUMBER(SEARCH("контрол",E339))),"инженер отк",IF(ISNUMBER(SEARCH("диспетч",E339)),"инженер пдо",TRIM(SUBSTITUTE(SUBSTITUTE(SUBSTITUTE(SUBSTITUTE(SUBSTITUTE(SUBSTITUTE(SUBSTITUTE(SUBSTITUTE(SUBSTITUTE(SUBSTITUTE(SUBSTITUTE(LOWER(TRIM(D339)),"ё","е"),"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категории","")))),IF(TRIM(SUBSTITUTE(SUBSTITUTE(SUBSTITUTE(SUBSTITUTE(SUBSTITUTE(SUBSTITUTE(SUBSTITUTE(SUBSTITUTE(SUBSTITUTE(SUBSTITUTE(SUBSTITUTE(LOWER(TRIM(D339)),"ё","е"),"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инженер",IF(ISNUMBER(SEARCH("диспетч",E339)),"ведущий инженер пдо",TRIM(SUBSTITUTE(SUBSTITUTE(SUBSTITUTE(SUBSTITUTE(SUBSTITUTE(SUBSTITUTE(SUBSTITUTE(SUBSTITUTE(SUBSTITUTE(SUBSTITUTE(SUBSTITUTE(LOWER(TRIM(D339)),"ё","е"),"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категории",""))),IF(TRIM(SUBSTITUTE(SUBSTITUTE(SUBSTITUTE(SUBSTITUTE(SUBSTITUTE(SUBSTITUTE(SUBSTITUTE(SUBSTITUTE(SUBSTITUTE(SUBSTITUTE(SUBSTITUTE(LOWER(TRIM(D339)),"ё","е"),"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отк",TRIM(SUBSTITUTE(SUBSTITUTE(SUBSTITUTE(SUBSTITUTE(SUBSTITUTE(SUBSTITUTE(SUBSTITUTE(SUBSTITUTE(SUBSTITUTE(SUBSTITUTE(SUBSTITUTE(LOWER(TRIM(D339)),"ё","е")," -","-"),"- ","-")," 2 разряда","")," 3 разряда","")," 4 разряда","")," 5 разряда","")," 6 разряда","")," 1 категории","")," 2 категории","")," 3 категории",""))))))</f>
        <v>специалист по пошиву</v>
      </c>
      <c r="H339" s="35" t="n">
        <f aca="false">IF(C339="","",IF(AND(G339="мастер участка",ISNUMBER(SEARCH("РЭО",E339))),29,IFERROR(INDEX(Соответствие!$B$2:$B$100,MATCH(G339,Соответствие!$A$2:$A$100,0)),"?")))</f>
        <v>44</v>
      </c>
      <c r="I339" s="39" t="str">
        <f aca="false">IF(C339="","",IFERROR(INDEX(Перечень!$C$6:$C$52,MATCH(H339,Перечень!$A$6:$A$52,0)),""))</f>
        <v>п.4.3.1, п.4.3.2, п.4.4, п.5.1, п.5.2, п.15</v>
      </c>
      <c r="J339" s="35" t="n">
        <f aca="false">IF(C339="","",IFERROR(INDEX(Перечень!$D$6:$D$52,MATCH(H339,Перечень!$A$6:$A$52,0)),12))</f>
        <v>12</v>
      </c>
      <c r="K339" s="40"/>
      <c r="L339" s="40"/>
      <c r="M339" s="37" t="str">
        <f aca="false">IF(AND(K339="",L339=""),"",EDATE(MAX(K339,L339),J339))</f>
        <v/>
      </c>
      <c r="N339" s="41" t="str">
        <f aca="false">IF(C339="","",IFERROR(INDEX(Перечень!$F$6:$F$52,MATCH(H339,Перечень!$A$6:$A$52,0)),""))</f>
        <v>-</v>
      </c>
      <c r="O339" s="40"/>
      <c r="P339" s="37" t="str">
        <f aca="false">IF(O339="","",EDATE(O339,60))</f>
        <v/>
      </c>
      <c r="Q339" s="41" t="str">
        <f aca="false">IF(AND(K339&lt;&gt;"",F339&lt;&gt;"",K339&gt;F339),"Да","")</f>
        <v/>
      </c>
      <c r="R339" s="41" t="str">
        <f aca="true">IF(C339="","",IF(M339="","Нет сведений",IF(M339&lt;TODAY(),"Просрочен",IF(M339-TODAY()&lt;=30,"Истекает","В срок"))))</f>
        <v>Нет сведений</v>
      </c>
      <c r="S339" s="41" t="str">
        <f aca="false">IF(AND(N339="Да",O339=""),"Не пройдено","")</f>
        <v/>
      </c>
    </row>
    <row r="340" customFormat="false" ht="14.25" hidden="false" customHeight="false" outlineLevel="0" collapsed="false">
      <c r="A340" s="35" t="n">
        <f aca="false">IF(C340="","",ROW()-5)</f>
        <v>335</v>
      </c>
      <c r="B340" s="36" t="s">
        <v>109</v>
      </c>
      <c r="C340" s="36" t="s">
        <v>589</v>
      </c>
      <c r="D340" s="36" t="s">
        <v>588</v>
      </c>
      <c r="E340" s="36" t="s">
        <v>574</v>
      </c>
      <c r="F340" s="37" t="n">
        <v>45034</v>
      </c>
      <c r="G340" s="38" t="str">
        <f aca="false">IF(C340="","",IF(TRIM(SUBSTITUTE(SUBSTITUTE(SUBSTITUTE(SUBSTITUTE(SUBSTITUTE(SUBSTITUTE(SUBSTITUTE(SUBSTITUTE(SUBSTITUTE(SUBSTITUTE(SUBSTITUTE(LOWER(TRIM(D340)),"ё","е"),"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категории",""))="инженер",IF(AND(ISNUMBER(SEARCH("техническ",E340)),ISNUMBER(SEARCH("контрол",E340))),"инженер отк",IF(ISNUMBER(SEARCH("диспетч",E340)),"инженер пдо",TRIM(SUBSTITUTE(SUBSTITUTE(SUBSTITUTE(SUBSTITUTE(SUBSTITUTE(SUBSTITUTE(SUBSTITUTE(SUBSTITUTE(SUBSTITUTE(SUBSTITUTE(SUBSTITUTE(LOWER(TRIM(D340)),"ё","е"),"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инженер",IF(ISNUMBER(SEARCH("диспетч",E340)),"ведущий инженер пдо",TRIM(SUBSTITUTE(SUBSTITUTE(SUBSTITUTE(SUBSTITUTE(SUBSTITUTE(SUBSTITUTE(SUBSTITUTE(SUBSTITUTE(SUBSTITUTE(SUBSTITUTE(SUBSTITUTE(LOWER(TRIM(D340)),"ё","е"),"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отк",TRIM(SUBSTITUTE(SUBSTITUTE(SUBSTITUTE(SUBSTITUTE(SUBSTITUTE(SUBSTITUTE(SUBSTITUTE(SUBSTITUTE(SUBSTITUTE(SUBSTITUTE(SUBSTITUTE(LOWER(TRIM(D340)),"ё","е")," -","-"),"- ","-")," 2 разряда","")," 3 разряда","")," 4 разряда","")," 5 разряда","")," 6 разряда","")," 1 категории","")," 2 категории","")," 3 категории",""))))))</f>
        <v>специалист по пошиву</v>
      </c>
      <c r="H340" s="35" t="n">
        <f aca="false">IF(C340="","",IF(AND(G340="мастер участка",ISNUMBER(SEARCH("РЭО",E340))),29,IFERROR(INDEX(Соответствие!$B$2:$B$100,MATCH(G340,Соответствие!$A$2:$A$100,0)),"?")))</f>
        <v>44</v>
      </c>
      <c r="I340" s="39" t="str">
        <f aca="false">IF(C340="","",IFERROR(INDEX(Перечень!$C$6:$C$52,MATCH(H340,Перечень!$A$6:$A$52,0)),""))</f>
        <v>п.4.3.1, п.4.3.2, п.4.4, п.5.1, п.5.2, п.15</v>
      </c>
      <c r="J340" s="35" t="n">
        <f aca="false">IF(C340="","",IFERROR(INDEX(Перечень!$D$6:$D$52,MATCH(H340,Перечень!$A$6:$A$52,0)),12))</f>
        <v>12</v>
      </c>
      <c r="K340" s="40"/>
      <c r="L340" s="40"/>
      <c r="M340" s="37" t="str">
        <f aca="false">IF(AND(K340="",L340=""),"",EDATE(MAX(K340,L340),J340))</f>
        <v/>
      </c>
      <c r="N340" s="41" t="str">
        <f aca="false">IF(C340="","",IFERROR(INDEX(Перечень!$F$6:$F$52,MATCH(H340,Перечень!$A$6:$A$52,0)),""))</f>
        <v>-</v>
      </c>
      <c r="O340" s="40"/>
      <c r="P340" s="37" t="str">
        <f aca="false">IF(O340="","",EDATE(O340,60))</f>
        <v/>
      </c>
      <c r="Q340" s="41" t="str">
        <f aca="false">IF(AND(K340&lt;&gt;"",F340&lt;&gt;"",K340&gt;F340),"Да","")</f>
        <v/>
      </c>
      <c r="R340" s="41" t="str">
        <f aca="true">IF(C340="","",IF(M340="","Нет сведений",IF(M340&lt;TODAY(),"Просрочен",IF(M340-TODAY()&lt;=30,"Истекает","В срок"))))</f>
        <v>Нет сведений</v>
      </c>
      <c r="S340" s="41" t="str">
        <f aca="false">IF(AND(N340="Да",O340=""),"Не пройдено","")</f>
        <v/>
      </c>
    </row>
    <row r="341" customFormat="false" ht="14.25" hidden="false" customHeight="false" outlineLevel="0" collapsed="false">
      <c r="A341" s="35" t="n">
        <f aca="false">IF(C341="","",ROW()-5)</f>
        <v>336</v>
      </c>
      <c r="B341" s="36" t="s">
        <v>109</v>
      </c>
      <c r="C341" s="36" t="s">
        <v>590</v>
      </c>
      <c r="D341" s="36" t="s">
        <v>588</v>
      </c>
      <c r="E341" s="36" t="s">
        <v>574</v>
      </c>
      <c r="F341" s="37" t="n">
        <v>46300</v>
      </c>
      <c r="G341" s="38" t="str">
        <f aca="false">IF(C341="","",IF(TRIM(SUBSTITUTE(SUBSTITUTE(SUBSTITUTE(SUBSTITUTE(SUBSTITUTE(SUBSTITUTE(SUBSTITUTE(SUBSTITUTE(SUBSTITUTE(SUBSTITUTE(SUBSTITUTE(LOWER(TRIM(D341)),"ё","е"),"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категории",""))="инженер",IF(AND(ISNUMBER(SEARCH("техническ",E341)),ISNUMBER(SEARCH("контрол",E341))),"инженер отк",IF(ISNUMBER(SEARCH("диспетч",E341)),"инженер пдо",TRIM(SUBSTITUTE(SUBSTITUTE(SUBSTITUTE(SUBSTITUTE(SUBSTITUTE(SUBSTITUTE(SUBSTITUTE(SUBSTITUTE(SUBSTITUTE(SUBSTITUTE(SUBSTITUTE(LOWER(TRIM(D341)),"ё","е"),"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инженер",IF(ISNUMBER(SEARCH("диспетч",E341)),"ведущий инженер пдо",TRIM(SUBSTITUTE(SUBSTITUTE(SUBSTITUTE(SUBSTITUTE(SUBSTITUTE(SUBSTITUTE(SUBSTITUTE(SUBSTITUTE(SUBSTITUTE(SUBSTITUTE(SUBSTITUTE(LOWER(TRIM(D341)),"ё","е"),"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отк",TRIM(SUBSTITUTE(SUBSTITUTE(SUBSTITUTE(SUBSTITUTE(SUBSTITUTE(SUBSTITUTE(SUBSTITUTE(SUBSTITUTE(SUBSTITUTE(SUBSTITUTE(SUBSTITUTE(LOWER(TRIM(D341)),"ё","е")," -","-"),"- ","-")," 2 разряда","")," 3 разряда","")," 4 разряда","")," 5 разряда","")," 6 разряда","")," 1 категории","")," 2 категории","")," 3 категории",""))))))</f>
        <v>специалист по пошиву</v>
      </c>
      <c r="H341" s="35" t="n">
        <f aca="false">IF(C341="","",IF(AND(G341="мастер участка",ISNUMBER(SEARCH("РЭО",E341))),29,IFERROR(INDEX(Соответствие!$B$2:$B$100,MATCH(G341,Соответствие!$A$2:$A$100,0)),"?")))</f>
        <v>44</v>
      </c>
      <c r="I341" s="39" t="str">
        <f aca="false">IF(C341="","",IFERROR(INDEX(Перечень!$C$6:$C$52,MATCH(H341,Перечень!$A$6:$A$52,0)),""))</f>
        <v>п.4.3.1, п.4.3.2, п.4.4, п.5.1, п.5.2, п.15</v>
      </c>
      <c r="J341" s="35" t="n">
        <f aca="false">IF(C341="","",IFERROR(INDEX(Перечень!$D$6:$D$52,MATCH(H341,Перечень!$A$6:$A$52,0)),12))</f>
        <v>12</v>
      </c>
      <c r="K341" s="40" t="n">
        <v>46296</v>
      </c>
      <c r="L341" s="40"/>
      <c r="M341" s="37" t="n">
        <f aca="false">IF(AND(K341="",L341=""),"",EDATE(MAX(K341,L341),J341))</f>
        <v>46661</v>
      </c>
      <c r="N341" s="41" t="str">
        <f aca="false">IF(C341="","",IFERROR(INDEX(Перечень!$F$6:$F$52,MATCH(H341,Перечень!$A$6:$A$52,0)),""))</f>
        <v>-</v>
      </c>
      <c r="O341" s="40"/>
      <c r="P341" s="37" t="str">
        <f aca="false">IF(O341="","",EDATE(O341,60))</f>
        <v/>
      </c>
      <c r="Q341" s="41" t="str">
        <f aca="false">IF(AND(K341&lt;&gt;"",F341&lt;&gt;"",K341&gt;F341),"Да","")</f>
        <v/>
      </c>
      <c r="R341" s="41" t="str">
        <f aca="true">IF(C341="","",IF(M341="","Нет сведений",IF(M341&lt;TODAY(),"Просрочен",IF(M341-TODAY()&lt;=30,"Истекает","В срок"))))</f>
        <v>В срок</v>
      </c>
      <c r="S341" s="41" t="str">
        <f aca="false">IF(AND(N341="Да",O341=""),"Не пройдено","")</f>
        <v/>
      </c>
    </row>
    <row r="342" customFormat="false" ht="14.25" hidden="false" customHeight="false" outlineLevel="0" collapsed="false">
      <c r="A342" s="35" t="n">
        <f aca="false">IF(C342="","",ROW()-5)</f>
        <v>337</v>
      </c>
      <c r="B342" s="36" t="s">
        <v>109</v>
      </c>
      <c r="C342" s="36" t="s">
        <v>591</v>
      </c>
      <c r="D342" s="36" t="s">
        <v>258</v>
      </c>
      <c r="E342" s="36" t="s">
        <v>254</v>
      </c>
      <c r="F342" s="37" t="n">
        <v>46223</v>
      </c>
      <c r="G342" s="38" t="str">
        <f aca="false">IF(C342="","",IF(TRIM(SUBSTITUTE(SUBSTITUTE(SUBSTITUTE(SUBSTITUTE(SUBSTITUTE(SUBSTITUTE(SUBSTITUTE(SUBSTITUTE(SUBSTITUTE(SUBSTITUTE(SUBSTITUTE(LOWER(TRIM(D342)),"ё","е"),"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категории",""))="инженер",IF(AND(ISNUMBER(SEARCH("техническ",E342)),ISNUMBER(SEARCH("контрол",E342))),"инженер отк",IF(ISNUMBER(SEARCH("диспетч",E342)),"инженер пдо",TRIM(SUBSTITUTE(SUBSTITUTE(SUBSTITUTE(SUBSTITUTE(SUBSTITUTE(SUBSTITUTE(SUBSTITUTE(SUBSTITUTE(SUBSTITUTE(SUBSTITUTE(SUBSTITUTE(LOWER(TRIM(D342)),"ё","е"),"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инженер",IF(ISNUMBER(SEARCH("диспетч",E342)),"ведущий инженер пдо",TRIM(SUBSTITUTE(SUBSTITUTE(SUBSTITUTE(SUBSTITUTE(SUBSTITUTE(SUBSTITUTE(SUBSTITUTE(SUBSTITUTE(SUBSTITUTE(SUBSTITUTE(SUBSTITUTE(LOWER(TRIM(D342)),"ё","е"),"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отк",TRIM(SUBSTITUTE(SUBSTITUTE(SUBSTITUTE(SUBSTITUTE(SUBSTITUTE(SUBSTITUTE(SUBSTITUTE(SUBSTITUTE(SUBSTITUTE(SUBSTITUTE(SUBSTITUTE(LOWER(TRIM(D342)),"ё","е")," -","-"),"- ","-")," 2 разряда","")," 3 разряда","")," 4 разряда","")," 5 разряда","")," 6 разряда","")," 1 категории","")," 2 категории","")," 3 категории",""))))))</f>
        <v>диспетчер</v>
      </c>
      <c r="H342" s="35" t="n">
        <f aca="false">IF(C342="","",IF(AND(G342="мастер участка",ISNUMBER(SEARCH("РЭО",E342))),29,IFERROR(INDEX(Соответствие!$B$2:$B$100,MATCH(G342,Соответствие!$A$2:$A$100,0)),"?")))</f>
        <v>28</v>
      </c>
      <c r="I342" s="39" t="str">
        <f aca="false">IF(C342="","",IFERROR(INDEX(Перечень!$C$6:$C$52,MATCH(H342,Перечень!$A$6:$A$52,0)),""))</f>
        <v>п.4.4, п.5.2</v>
      </c>
      <c r="J342" s="35" t="n">
        <f aca="false">IF(C342="","",IFERROR(INDEX(Перечень!$D$6:$D$52,MATCH(H342,Перечень!$A$6:$A$52,0)),12))</f>
        <v>12</v>
      </c>
      <c r="K342" s="40" t="n">
        <v>46219</v>
      </c>
      <c r="L342" s="40"/>
      <c r="M342" s="37" t="n">
        <f aca="false">IF(AND(K342="",L342=""),"",EDATE(MAX(K342,L342),J342))</f>
        <v>46584</v>
      </c>
      <c r="N342" s="41" t="str">
        <f aca="false">IF(C342="","",IFERROR(INDEX(Перечень!$F$6:$F$52,MATCH(H342,Перечень!$A$6:$A$52,0)),""))</f>
        <v>-</v>
      </c>
      <c r="O342" s="40"/>
      <c r="P342" s="37" t="str">
        <f aca="false">IF(O342="","",EDATE(O342,60))</f>
        <v/>
      </c>
      <c r="Q342" s="41" t="str">
        <f aca="false">IF(AND(K342&lt;&gt;"",F342&lt;&gt;"",K342&gt;F342),"Да","")</f>
        <v/>
      </c>
      <c r="R342" s="41" t="str">
        <f aca="true">IF(C342="","",IF(M342="","Нет сведений",IF(M342&lt;TODAY(),"Просрочен",IF(M342-TODAY()&lt;=30,"Истекает","В срок"))))</f>
        <v>В срок</v>
      </c>
      <c r="S342" s="41" t="str">
        <f aca="false">IF(AND(N342="Да",O342=""),"Не пройдено","")</f>
        <v/>
      </c>
    </row>
    <row r="343" customFormat="false" ht="14.25" hidden="false" customHeight="false" outlineLevel="0" collapsed="false">
      <c r="A343" s="35" t="n">
        <f aca="false">IF(C343="","",ROW()-5)</f>
        <v>338</v>
      </c>
      <c r="B343" s="36" t="s">
        <v>109</v>
      </c>
      <c r="C343" s="36" t="s">
        <v>592</v>
      </c>
      <c r="D343" s="36" t="s">
        <v>258</v>
      </c>
      <c r="E343" s="36" t="s">
        <v>254</v>
      </c>
      <c r="F343" s="37" t="n">
        <v>46155</v>
      </c>
      <c r="G343" s="38" t="str">
        <f aca="false">IF(C343="","",IF(TRIM(SUBSTITUTE(SUBSTITUTE(SUBSTITUTE(SUBSTITUTE(SUBSTITUTE(SUBSTITUTE(SUBSTITUTE(SUBSTITUTE(SUBSTITUTE(SUBSTITUTE(SUBSTITUTE(LOWER(TRIM(D343)),"ё","е"),"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категории",""))="инженер",IF(AND(ISNUMBER(SEARCH("техническ",E343)),ISNUMBER(SEARCH("контрол",E343))),"инженер отк",IF(ISNUMBER(SEARCH("диспетч",E343)),"инженер пдо",TRIM(SUBSTITUTE(SUBSTITUTE(SUBSTITUTE(SUBSTITUTE(SUBSTITUTE(SUBSTITUTE(SUBSTITUTE(SUBSTITUTE(SUBSTITUTE(SUBSTITUTE(SUBSTITUTE(LOWER(TRIM(D343)),"ё","е"),"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инженер",IF(ISNUMBER(SEARCH("диспетч",E343)),"ведущий инженер пдо",TRIM(SUBSTITUTE(SUBSTITUTE(SUBSTITUTE(SUBSTITUTE(SUBSTITUTE(SUBSTITUTE(SUBSTITUTE(SUBSTITUTE(SUBSTITUTE(SUBSTITUTE(SUBSTITUTE(LOWER(TRIM(D343)),"ё","е"),"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отк",TRIM(SUBSTITUTE(SUBSTITUTE(SUBSTITUTE(SUBSTITUTE(SUBSTITUTE(SUBSTITUTE(SUBSTITUTE(SUBSTITUTE(SUBSTITUTE(SUBSTITUTE(SUBSTITUTE(LOWER(TRIM(D343)),"ё","е")," -","-"),"- ","-")," 2 разряда","")," 3 разряда","")," 4 разряда","")," 5 разряда","")," 6 разряда","")," 1 категории","")," 2 категории","")," 3 категории",""))))))</f>
        <v>диспетчер</v>
      </c>
      <c r="H343" s="35" t="n">
        <f aca="false">IF(C343="","",IF(AND(G343="мастер участка",ISNUMBER(SEARCH("РЭО",E343))),29,IFERROR(INDEX(Соответствие!$B$2:$B$100,MATCH(G343,Соответствие!$A$2:$A$100,0)),"?")))</f>
        <v>28</v>
      </c>
      <c r="I343" s="39" t="str">
        <f aca="false">IF(C343="","",IFERROR(INDEX(Перечень!$C$6:$C$52,MATCH(H343,Перечень!$A$6:$A$52,0)),""))</f>
        <v>п.4.4, п.5.2</v>
      </c>
      <c r="J343" s="35" t="n">
        <f aca="false">IF(C343="","",IFERROR(INDEX(Перечень!$D$6:$D$52,MATCH(H343,Перечень!$A$6:$A$52,0)),12))</f>
        <v>12</v>
      </c>
      <c r="K343" s="40"/>
      <c r="L343" s="40"/>
      <c r="M343" s="37" t="str">
        <f aca="false">IF(AND(K343="",L343=""),"",EDATE(MAX(K343,L343),J343))</f>
        <v/>
      </c>
      <c r="N343" s="41" t="str">
        <f aca="false">IF(C343="","",IFERROR(INDEX(Перечень!$F$6:$F$52,MATCH(H343,Перечень!$A$6:$A$52,0)),""))</f>
        <v>-</v>
      </c>
      <c r="O343" s="40"/>
      <c r="P343" s="37" t="str">
        <f aca="false">IF(O343="","",EDATE(O343,60))</f>
        <v/>
      </c>
      <c r="Q343" s="41" t="str">
        <f aca="false">IF(AND(K343&lt;&gt;"",F343&lt;&gt;"",K343&gt;F343),"Да","")</f>
        <v/>
      </c>
      <c r="R343" s="41" t="str">
        <f aca="true">IF(C343="","",IF(M343="","Нет сведений",IF(M343&lt;TODAY(),"Просрочен",IF(M343-TODAY()&lt;=30,"Истекает","В срок"))))</f>
        <v>Нет сведений</v>
      </c>
      <c r="S343" s="41" t="str">
        <f aca="false">IF(AND(N343="Да",O343=""),"Не пройдено","")</f>
        <v/>
      </c>
    </row>
    <row r="344" customFormat="false" ht="14.25" hidden="false" customHeight="false" outlineLevel="0" collapsed="false">
      <c r="A344" s="35" t="n">
        <f aca="false">IF(C344="","",ROW()-5)</f>
        <v>339</v>
      </c>
      <c r="B344" s="36" t="s">
        <v>109</v>
      </c>
      <c r="C344" s="36" t="s">
        <v>593</v>
      </c>
      <c r="D344" s="36" t="s">
        <v>266</v>
      </c>
      <c r="E344" s="36" t="s">
        <v>254</v>
      </c>
      <c r="F344" s="37" t="n">
        <v>46156</v>
      </c>
      <c r="G344" s="38" t="str">
        <f aca="false">IF(C344="","",IF(TRIM(SUBSTITUTE(SUBSTITUTE(SUBSTITUTE(SUBSTITUTE(SUBSTITUTE(SUBSTITUTE(SUBSTITUTE(SUBSTITUTE(SUBSTITUTE(SUBSTITUTE(SUBSTITUTE(LOWER(TRIM(D344)),"ё","е"),"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категории",""))="инженер",IF(AND(ISNUMBER(SEARCH("техническ",E344)),ISNUMBER(SEARCH("контрол",E344))),"инженер отк",IF(ISNUMBER(SEARCH("диспетч",E344)),"инженер пдо",TRIM(SUBSTITUTE(SUBSTITUTE(SUBSTITUTE(SUBSTITUTE(SUBSTITUTE(SUBSTITUTE(SUBSTITUTE(SUBSTITUTE(SUBSTITUTE(SUBSTITUTE(SUBSTITUTE(LOWER(TRIM(D344)),"ё","е"),"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инженер",IF(ISNUMBER(SEARCH("диспетч",E344)),"ведущий инженер пдо",TRIM(SUBSTITUTE(SUBSTITUTE(SUBSTITUTE(SUBSTITUTE(SUBSTITUTE(SUBSTITUTE(SUBSTITUTE(SUBSTITUTE(SUBSTITUTE(SUBSTITUTE(SUBSTITUTE(LOWER(TRIM(D344)),"ё","е"),"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отк",TRIM(SUBSTITUTE(SUBSTITUTE(SUBSTITUTE(SUBSTITUTE(SUBSTITUTE(SUBSTITUTE(SUBSTITUTE(SUBSTITUTE(SUBSTITUTE(SUBSTITUTE(SUBSTITUTE(LOWER(TRIM(D344)),"ё","е")," -","-"),"- ","-")," 2 разряда","")," 3 разряда","")," 4 разряда","")," 5 разряда","")," 6 разряда","")," 1 категории","")," 2 категории","")," 3 категории",""))))))</f>
        <v>ведущий диспетчер</v>
      </c>
      <c r="H344" s="35" t="n">
        <f aca="false">IF(C344="","",IF(AND(G344="мастер участка",ISNUMBER(SEARCH("РЭО",E344))),29,IFERROR(INDEX(Соответствие!$B$2:$B$100,MATCH(G344,Соответствие!$A$2:$A$100,0)),"?")))</f>
        <v>28</v>
      </c>
      <c r="I344" s="39" t="str">
        <f aca="false">IF(C344="","",IFERROR(INDEX(Перечень!$C$6:$C$52,MATCH(H344,Перечень!$A$6:$A$52,0)),""))</f>
        <v>п.4.4, п.5.2</v>
      </c>
      <c r="J344" s="35" t="n">
        <f aca="false">IF(C344="","",IFERROR(INDEX(Перечень!$D$6:$D$52,MATCH(H344,Перечень!$A$6:$A$52,0)),12))</f>
        <v>12</v>
      </c>
      <c r="K344" s="40"/>
      <c r="L344" s="40"/>
      <c r="M344" s="37" t="str">
        <f aca="false">IF(AND(K344="",L344=""),"",EDATE(MAX(K344,L344),J344))</f>
        <v/>
      </c>
      <c r="N344" s="41" t="str">
        <f aca="false">IF(C344="","",IFERROR(INDEX(Перечень!$F$6:$F$52,MATCH(H344,Перечень!$A$6:$A$52,0)),""))</f>
        <v>-</v>
      </c>
      <c r="O344" s="40"/>
      <c r="P344" s="37" t="str">
        <f aca="false">IF(O344="","",EDATE(O344,60))</f>
        <v/>
      </c>
      <c r="Q344" s="41" t="str">
        <f aca="false">IF(AND(K344&lt;&gt;"",F344&lt;&gt;"",K344&gt;F344),"Да","")</f>
        <v/>
      </c>
      <c r="R344" s="41" t="str">
        <f aca="true">IF(C344="","",IF(M344="","Нет сведений",IF(M344&lt;TODAY(),"Просрочен",IF(M344-TODAY()&lt;=30,"Истекает","В срок"))))</f>
        <v>Нет сведений</v>
      </c>
      <c r="S344" s="41" t="str">
        <f aca="false">IF(AND(N344="Да",O344=""),"Не пройдено","")</f>
        <v/>
      </c>
    </row>
    <row r="345" customFormat="false" ht="14.25" hidden="false" customHeight="false" outlineLevel="0" collapsed="false">
      <c r="A345" s="35" t="n">
        <f aca="false">IF(C345="","",ROW()-5)</f>
        <v>340</v>
      </c>
      <c r="B345" s="36" t="s">
        <v>109</v>
      </c>
      <c r="C345" s="36" t="s">
        <v>594</v>
      </c>
      <c r="D345" s="36" t="s">
        <v>256</v>
      </c>
      <c r="E345" s="36" t="s">
        <v>254</v>
      </c>
      <c r="F345" s="37" t="n">
        <v>40931</v>
      </c>
      <c r="G345" s="38" t="str">
        <f aca="false">IF(C345="","",IF(TRIM(SUBSTITUTE(SUBSTITUTE(SUBSTITUTE(SUBSTITUTE(SUBSTITUTE(SUBSTITUTE(SUBSTITUTE(SUBSTITUTE(SUBSTITUTE(SUBSTITUTE(SUBSTITUTE(LOWER(TRIM(D345)),"ё","е"),"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категории",""))="инженер",IF(AND(ISNUMBER(SEARCH("техническ",E345)),ISNUMBER(SEARCH("контрол",E345))),"инженер отк",IF(ISNUMBER(SEARCH("диспетч",E345)),"инженер пдо",TRIM(SUBSTITUTE(SUBSTITUTE(SUBSTITUTE(SUBSTITUTE(SUBSTITUTE(SUBSTITUTE(SUBSTITUTE(SUBSTITUTE(SUBSTITUTE(SUBSTITUTE(SUBSTITUTE(LOWER(TRIM(D345)),"ё","е"),"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инженер",IF(ISNUMBER(SEARCH("диспетч",E345)),"ведущий инженер пдо",TRIM(SUBSTITUTE(SUBSTITUTE(SUBSTITUTE(SUBSTITUTE(SUBSTITUTE(SUBSTITUTE(SUBSTITUTE(SUBSTITUTE(SUBSTITUTE(SUBSTITUTE(SUBSTITUTE(LOWER(TRIM(D345)),"ё","е"),"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отк",TRIM(SUBSTITUTE(SUBSTITUTE(SUBSTITUTE(SUBSTITUTE(SUBSTITUTE(SUBSTITUTE(SUBSTITUTE(SUBSTITUTE(SUBSTITUTE(SUBSTITUTE(SUBSTITUTE(LOWER(TRIM(D345)),"ё","е")," -","-"),"- ","-")," 2 разряда","")," 3 разряда","")," 4 разряда","")," 5 разряда","")," 6 разряда","")," 1 категории","")," 2 категории","")," 3 категории",""))))))</f>
        <v>ведущий инженер пдо</v>
      </c>
      <c r="H345" s="35" t="n">
        <f aca="false">IF(C345="","",IF(AND(G345="мастер участка",ISNUMBER(SEARCH("РЭО",E345))),29,IFERROR(INDEX(Соответствие!$B$2:$B$100,MATCH(G345,Соответствие!$A$2:$A$100,0)),"?")))</f>
        <v>27</v>
      </c>
      <c r="I345" s="39" t="str">
        <f aca="false">IF(C345="","",IFERROR(INDEX(Перечень!$C$6:$C$52,MATCH(H345,Перечень!$A$6:$A$52,0)),""))</f>
        <v>п.4.4, п.5.2</v>
      </c>
      <c r="J345" s="35" t="n">
        <f aca="false">IF(C345="","",IFERROR(INDEX(Перечень!$D$6:$D$52,MATCH(H345,Перечень!$A$6:$A$52,0)),12))</f>
        <v>12</v>
      </c>
      <c r="K345" s="40"/>
      <c r="L345" s="40"/>
      <c r="M345" s="37" t="str">
        <f aca="false">IF(AND(K345="",L345=""),"",EDATE(MAX(K345,L345),J345))</f>
        <v/>
      </c>
      <c r="N345" s="41" t="str">
        <f aca="false">IF(C345="","",IFERROR(INDEX(Перечень!$F$6:$F$52,MATCH(H345,Перечень!$A$6:$A$52,0)),""))</f>
        <v>-</v>
      </c>
      <c r="O345" s="40"/>
      <c r="P345" s="37" t="str">
        <f aca="false">IF(O345="","",EDATE(O345,60))</f>
        <v/>
      </c>
      <c r="Q345" s="41" t="str">
        <f aca="false">IF(AND(K345&lt;&gt;"",F345&lt;&gt;"",K345&gt;F345),"Да","")</f>
        <v/>
      </c>
      <c r="R345" s="41" t="str">
        <f aca="true">IF(C345="","",IF(M345="","Нет сведений",IF(M345&lt;TODAY(),"Просрочен",IF(M345-TODAY()&lt;=30,"Истекает","В срок"))))</f>
        <v>Нет сведений</v>
      </c>
      <c r="S345" s="41" t="str">
        <f aca="false">IF(AND(N345="Да",O345=""),"Не пройдено","")</f>
        <v/>
      </c>
    </row>
    <row r="346" customFormat="false" ht="14.25" hidden="false" customHeight="false" outlineLevel="0" collapsed="false">
      <c r="A346" s="35" t="n">
        <f aca="false">IF(C346="","",ROW()-5)</f>
        <v>341</v>
      </c>
      <c r="B346" s="36" t="s">
        <v>109</v>
      </c>
      <c r="C346" s="36" t="s">
        <v>595</v>
      </c>
      <c r="D346" s="36" t="s">
        <v>258</v>
      </c>
      <c r="E346" s="36" t="s">
        <v>254</v>
      </c>
      <c r="F346" s="37" t="n">
        <v>46310</v>
      </c>
      <c r="G346" s="38" t="str">
        <f aca="false">IF(C346="","",IF(TRIM(SUBSTITUTE(SUBSTITUTE(SUBSTITUTE(SUBSTITUTE(SUBSTITUTE(SUBSTITUTE(SUBSTITUTE(SUBSTITUTE(SUBSTITUTE(SUBSTITUTE(SUBSTITUTE(LOWER(TRIM(D346)),"ё","е"),"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категории",""))="инженер",IF(AND(ISNUMBER(SEARCH("техническ",E346)),ISNUMBER(SEARCH("контрол",E346))),"инженер отк",IF(ISNUMBER(SEARCH("диспетч",E346)),"инженер пдо",TRIM(SUBSTITUTE(SUBSTITUTE(SUBSTITUTE(SUBSTITUTE(SUBSTITUTE(SUBSTITUTE(SUBSTITUTE(SUBSTITUTE(SUBSTITUTE(SUBSTITUTE(SUBSTITUTE(LOWER(TRIM(D346)),"ё","е"),"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инженер",IF(ISNUMBER(SEARCH("диспетч",E346)),"ведущий инженер пдо",TRIM(SUBSTITUTE(SUBSTITUTE(SUBSTITUTE(SUBSTITUTE(SUBSTITUTE(SUBSTITUTE(SUBSTITUTE(SUBSTITUTE(SUBSTITUTE(SUBSTITUTE(SUBSTITUTE(LOWER(TRIM(D346)),"ё","е"),"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отк",TRIM(SUBSTITUTE(SUBSTITUTE(SUBSTITUTE(SUBSTITUTE(SUBSTITUTE(SUBSTITUTE(SUBSTITUTE(SUBSTITUTE(SUBSTITUTE(SUBSTITUTE(SUBSTITUTE(LOWER(TRIM(D346)),"ё","е")," -","-"),"- ","-")," 2 разряда","")," 3 разряда","")," 4 разряда","")," 5 разряда","")," 6 разряда","")," 1 категории","")," 2 категории","")," 3 категории",""))))))</f>
        <v>диспетчер</v>
      </c>
      <c r="H346" s="35" t="n">
        <f aca="false">IF(C346="","",IF(AND(G346="мастер участка",ISNUMBER(SEARCH("РЭО",E346))),29,IFERROR(INDEX(Соответствие!$B$2:$B$100,MATCH(G346,Соответствие!$A$2:$A$100,0)),"?")))</f>
        <v>28</v>
      </c>
      <c r="I346" s="39" t="str">
        <f aca="false">IF(C346="","",IFERROR(INDEX(Перечень!$C$6:$C$52,MATCH(H346,Перечень!$A$6:$A$52,0)),""))</f>
        <v>п.4.4, п.5.2</v>
      </c>
      <c r="J346" s="35" t="n">
        <f aca="false">IF(C346="","",IFERROR(INDEX(Перечень!$D$6:$D$52,MATCH(H346,Перечень!$A$6:$A$52,0)),12))</f>
        <v>12</v>
      </c>
      <c r="K346" s="40" t="n">
        <v>46296</v>
      </c>
      <c r="L346" s="40"/>
      <c r="M346" s="37" t="n">
        <f aca="false">IF(AND(K346="",L346=""),"",EDATE(MAX(K346,L346),J346))</f>
        <v>46661</v>
      </c>
      <c r="N346" s="41" t="str">
        <f aca="false">IF(C346="","",IFERROR(INDEX(Перечень!$F$6:$F$52,MATCH(H346,Перечень!$A$6:$A$52,0)),""))</f>
        <v>-</v>
      </c>
      <c r="O346" s="40"/>
      <c r="P346" s="37" t="str">
        <f aca="false">IF(O346="","",EDATE(O346,60))</f>
        <v/>
      </c>
      <c r="Q346" s="41" t="str">
        <f aca="false">IF(AND(K346&lt;&gt;"",F346&lt;&gt;"",K346&gt;F346),"Да","")</f>
        <v/>
      </c>
      <c r="R346" s="41" t="str">
        <f aca="true">IF(C346="","",IF(M346="","Нет сведений",IF(M346&lt;TODAY(),"Просрочен",IF(M346-TODAY()&lt;=30,"Истекает","В срок"))))</f>
        <v>В срок</v>
      </c>
      <c r="S346" s="41" t="str">
        <f aca="false">IF(AND(N346="Да",O346=""),"Не пройдено","")</f>
        <v/>
      </c>
    </row>
    <row r="347" customFormat="false" ht="14.25" hidden="false" customHeight="false" outlineLevel="0" collapsed="false">
      <c r="A347" s="35" t="n">
        <f aca="false">IF(C347="","",ROW()-5)</f>
        <v>342</v>
      </c>
      <c r="B347" s="36" t="s">
        <v>109</v>
      </c>
      <c r="C347" s="36" t="s">
        <v>596</v>
      </c>
      <c r="D347" s="36" t="s">
        <v>454</v>
      </c>
      <c r="E347" s="36" t="s">
        <v>251</v>
      </c>
      <c r="F347" s="37" t="n">
        <v>45265</v>
      </c>
      <c r="G347" s="38" t="str">
        <f aca="false">IF(C347="","",IF(TRIM(SUBSTITUTE(SUBSTITUTE(SUBSTITUTE(SUBSTITUTE(SUBSTITUTE(SUBSTITUTE(SUBSTITUTE(SUBSTITUTE(SUBSTITUTE(SUBSTITUTE(SUBSTITUTE(LOWER(TRIM(D347)),"ё","е"),"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категории",""))="инженер",IF(AND(ISNUMBER(SEARCH("техническ",E347)),ISNUMBER(SEARCH("контрол",E347))),"инженер отк",IF(ISNUMBER(SEARCH("диспетч",E347)),"инженер пдо",TRIM(SUBSTITUTE(SUBSTITUTE(SUBSTITUTE(SUBSTITUTE(SUBSTITUTE(SUBSTITUTE(SUBSTITUTE(SUBSTITUTE(SUBSTITUTE(SUBSTITUTE(SUBSTITUTE(LOWER(TRIM(D347)),"ё","е"),"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инженер",IF(ISNUMBER(SEARCH("диспетч",E347)),"ведущий инженер пдо",TRIM(SUBSTITUTE(SUBSTITUTE(SUBSTITUTE(SUBSTITUTE(SUBSTITUTE(SUBSTITUTE(SUBSTITUTE(SUBSTITUTE(SUBSTITUTE(SUBSTITUTE(SUBSTITUTE(LOWER(TRIM(D347)),"ё","е"),"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отк",TRIM(SUBSTITUTE(SUBSTITUTE(SUBSTITUTE(SUBSTITUTE(SUBSTITUTE(SUBSTITUTE(SUBSTITUTE(SUBSTITUTE(SUBSTITUTE(SUBSTITUTE(SUBSTITUTE(LOWER(TRIM(D347)),"ё","е")," -","-"),"- ","-")," 2 разряда","")," 3 разряда","")," 4 разряда","")," 5 разряда","")," 6 разряда","")," 1 категории","")," 2 категории","")," 3 категории",""))))))</f>
        <v>старший кладовщик</v>
      </c>
      <c r="H347" s="35" t="n">
        <f aca="false">IF(C347="","",IF(AND(G347="мастер участка",ISNUMBER(SEARCH("РЭО",E347))),29,IFERROR(INDEX(Соответствие!$B$2:$B$100,MATCH(G347,Соответствие!$A$2:$A$100,0)),"?")))</f>
        <v>14</v>
      </c>
      <c r="I347" s="39" t="str">
        <f aca="false">IF(C347="","",IFERROR(INDEX(Перечень!$C$6:$C$52,MATCH(H347,Перечень!$A$6:$A$52,0)),""))</f>
        <v>п.4.4, п.5.1, п.6.2</v>
      </c>
      <c r="J347" s="35" t="n">
        <f aca="false">IF(C347="","",IFERROR(INDEX(Перечень!$D$6:$D$52,MATCH(H347,Перечень!$A$6:$A$52,0)),12))</f>
        <v>12</v>
      </c>
      <c r="K347" s="40"/>
      <c r="L347" s="40"/>
      <c r="M347" s="37" t="str">
        <f aca="false">IF(AND(K347="",L347=""),"",EDATE(MAX(K347,L347),J347))</f>
        <v/>
      </c>
      <c r="N347" s="41" t="str">
        <f aca="false">IF(C347="","",IFERROR(INDEX(Перечень!$F$6:$F$52,MATCH(H347,Перечень!$A$6:$A$52,0)),""))</f>
        <v>-</v>
      </c>
      <c r="O347" s="40"/>
      <c r="P347" s="37" t="str">
        <f aca="false">IF(O347="","",EDATE(O347,60))</f>
        <v/>
      </c>
      <c r="Q347" s="41" t="str">
        <f aca="false">IF(AND(K347&lt;&gt;"",F347&lt;&gt;"",K347&gt;F347),"Да","")</f>
        <v/>
      </c>
      <c r="R347" s="41" t="str">
        <f aca="true">IF(C347="","",IF(M347="","Нет сведений",IF(M347&lt;TODAY(),"Просрочен",IF(M347-TODAY()&lt;=30,"Истекает","В срок"))))</f>
        <v>Нет сведений</v>
      </c>
      <c r="S347" s="41" t="str">
        <f aca="false">IF(AND(N347="Да",O347=""),"Не пройдено","")</f>
        <v/>
      </c>
    </row>
    <row r="348" customFormat="false" ht="14.25" hidden="false" customHeight="false" outlineLevel="0" collapsed="false">
      <c r="A348" s="35" t="n">
        <f aca="false">IF(C348="","",ROW()-5)</f>
        <v>343</v>
      </c>
      <c r="B348" s="36" t="s">
        <v>109</v>
      </c>
      <c r="C348" s="36" t="s">
        <v>597</v>
      </c>
      <c r="D348" s="36" t="s">
        <v>206</v>
      </c>
      <c r="E348" s="36" t="s">
        <v>251</v>
      </c>
      <c r="F348" s="37" t="n">
        <v>45252</v>
      </c>
      <c r="G348" s="38" t="str">
        <f aca="false">IF(C348="","",IF(TRIM(SUBSTITUTE(SUBSTITUTE(SUBSTITUTE(SUBSTITUTE(SUBSTITUTE(SUBSTITUTE(SUBSTITUTE(SUBSTITUTE(SUBSTITUTE(SUBSTITUTE(SUBSTITUTE(LOWER(TRIM(D348)),"ё","е"),"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категории",""))="инженер",IF(AND(ISNUMBER(SEARCH("техническ",E348)),ISNUMBER(SEARCH("контрол",E348))),"инженер отк",IF(ISNUMBER(SEARCH("диспетч",E348)),"инженер пдо",TRIM(SUBSTITUTE(SUBSTITUTE(SUBSTITUTE(SUBSTITUTE(SUBSTITUTE(SUBSTITUTE(SUBSTITUTE(SUBSTITUTE(SUBSTITUTE(SUBSTITUTE(SUBSTITUTE(LOWER(TRIM(D348)),"ё","е"),"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инженер",IF(ISNUMBER(SEARCH("диспетч",E348)),"ведущий инженер пдо",TRIM(SUBSTITUTE(SUBSTITUTE(SUBSTITUTE(SUBSTITUTE(SUBSTITUTE(SUBSTITUTE(SUBSTITUTE(SUBSTITUTE(SUBSTITUTE(SUBSTITUTE(SUBSTITUTE(LOWER(TRIM(D348)),"ё","е"),"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отк",TRIM(SUBSTITUTE(SUBSTITUTE(SUBSTITUTE(SUBSTITUTE(SUBSTITUTE(SUBSTITUTE(SUBSTITUTE(SUBSTITUTE(SUBSTITUTE(SUBSTITUTE(SUBSTITUTE(LOWER(TRIM(D348)),"ё","е")," -","-"),"- ","-")," 2 разряда","")," 3 разряда","")," 4 разряда","")," 5 разряда","")," 6 разряда","")," 1 категории","")," 2 категории","")," 3 категории",""))))))</f>
        <v>кладовщик</v>
      </c>
      <c r="H348" s="35" t="n">
        <f aca="false">IF(C348="","",IF(AND(G348="мастер участка",ISNUMBER(SEARCH("РЭО",E348))),29,IFERROR(INDEX(Соответствие!$B$2:$B$100,MATCH(G348,Соответствие!$A$2:$A$100,0)),"?")))</f>
        <v>14</v>
      </c>
      <c r="I348" s="39" t="str">
        <f aca="false">IF(C348="","",IFERROR(INDEX(Перечень!$C$6:$C$52,MATCH(H348,Перечень!$A$6:$A$52,0)),""))</f>
        <v>п.4.4, п.5.1, п.6.2</v>
      </c>
      <c r="J348" s="35" t="n">
        <f aca="false">IF(C348="","",IFERROR(INDEX(Перечень!$D$6:$D$52,MATCH(H348,Перечень!$A$6:$A$52,0)),12))</f>
        <v>12</v>
      </c>
      <c r="K348" s="40"/>
      <c r="L348" s="40"/>
      <c r="M348" s="37" t="str">
        <f aca="false">IF(AND(K348="",L348=""),"",EDATE(MAX(K348,L348),J348))</f>
        <v/>
      </c>
      <c r="N348" s="41" t="str">
        <f aca="false">IF(C348="","",IFERROR(INDEX(Перечень!$F$6:$F$52,MATCH(H348,Перечень!$A$6:$A$52,0)),""))</f>
        <v>-</v>
      </c>
      <c r="O348" s="40"/>
      <c r="P348" s="37" t="str">
        <f aca="false">IF(O348="","",EDATE(O348,60))</f>
        <v/>
      </c>
      <c r="Q348" s="41" t="str">
        <f aca="false">IF(AND(K348&lt;&gt;"",F348&lt;&gt;"",K348&gt;F348),"Да","")</f>
        <v/>
      </c>
      <c r="R348" s="41" t="str">
        <f aca="true">IF(C348="","",IF(M348="","Нет сведений",IF(M348&lt;TODAY(),"Просрочен",IF(M348-TODAY()&lt;=30,"Истекает","В срок"))))</f>
        <v>Нет сведений</v>
      </c>
      <c r="S348" s="41" t="str">
        <f aca="false">IF(AND(N348="Да",O348=""),"Не пройдено","")</f>
        <v/>
      </c>
    </row>
    <row r="349" customFormat="false" ht="14.25" hidden="false" customHeight="false" outlineLevel="0" collapsed="false">
      <c r="A349" s="35" t="n">
        <f aca="false">IF(C349="","",ROW()-5)</f>
        <v>344</v>
      </c>
      <c r="B349" s="36" t="s">
        <v>109</v>
      </c>
      <c r="C349" s="36" t="s">
        <v>598</v>
      </c>
      <c r="D349" s="36" t="s">
        <v>206</v>
      </c>
      <c r="E349" s="36" t="s">
        <v>251</v>
      </c>
      <c r="F349" s="37" t="n">
        <v>46141</v>
      </c>
      <c r="G349" s="38" t="str">
        <f aca="false">IF(C349="","",IF(TRIM(SUBSTITUTE(SUBSTITUTE(SUBSTITUTE(SUBSTITUTE(SUBSTITUTE(SUBSTITUTE(SUBSTITUTE(SUBSTITUTE(SUBSTITUTE(SUBSTITUTE(SUBSTITUTE(LOWER(TRIM(D349)),"ё","е"),"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категории",""))="инженер",IF(AND(ISNUMBER(SEARCH("техническ",E349)),ISNUMBER(SEARCH("контрол",E349))),"инженер отк",IF(ISNUMBER(SEARCH("диспетч",E349)),"инженер пдо",TRIM(SUBSTITUTE(SUBSTITUTE(SUBSTITUTE(SUBSTITUTE(SUBSTITUTE(SUBSTITUTE(SUBSTITUTE(SUBSTITUTE(SUBSTITUTE(SUBSTITUTE(SUBSTITUTE(LOWER(TRIM(D349)),"ё","е"),"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категории","")))),IF(TRIM(SUBSTITUTE(SUBSTITUTE(SUBSTITUTE(SUBSTITUTE(SUBSTITUTE(SUBSTITUTE(SUBSTITUTE(SUBSTITUTE(SUBSTITUTE(SUBSTITUTE(SUBSTITUTE(LOWER(TRIM(D349)),"ё","е"),"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инженер",IF(ISNUMBER(SEARCH("диспетч",E349)),"ведущий инженер пдо",TRIM(SUBSTITUTE(SUBSTITUTE(SUBSTITUTE(SUBSTITUTE(SUBSTITUTE(SUBSTITUTE(SUBSTITUTE(SUBSTITUTE(SUBSTITUTE(SUBSTITUTE(SUBSTITUTE(LOWER(TRIM(D349)),"ё","е"),"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категории",""))),IF(TRIM(SUBSTITUTE(SUBSTITUTE(SUBSTITUTE(SUBSTITUTE(SUBSTITUTE(SUBSTITUTE(SUBSTITUTE(SUBSTITUTE(SUBSTITUTE(SUBSTITUTE(SUBSTITUTE(LOWER(TRIM(D349)),"ё","е"),"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отк",TRIM(SUBSTITUTE(SUBSTITUTE(SUBSTITUTE(SUBSTITUTE(SUBSTITUTE(SUBSTITUTE(SUBSTITUTE(SUBSTITUTE(SUBSTITUTE(SUBSTITUTE(SUBSTITUTE(LOWER(TRIM(D349)),"ё","е")," -","-"),"- ","-")," 2 разряда","")," 3 разряда","")," 4 разряда","")," 5 разряда","")," 6 разряда","")," 1 категории","")," 2 категории","")," 3 категории",""))))))</f>
        <v>кладовщик</v>
      </c>
      <c r="H349" s="35" t="n">
        <f aca="false">IF(C349="","",IF(AND(G349="мастер участка",ISNUMBER(SEARCH("РЭО",E349))),29,IFERROR(INDEX(Соответствие!$B$2:$B$100,MATCH(G349,Соответствие!$A$2:$A$100,0)),"?")))</f>
        <v>14</v>
      </c>
      <c r="I349" s="39" t="str">
        <f aca="false">IF(C349="","",IFERROR(INDEX(Перечень!$C$6:$C$52,MATCH(H349,Перечень!$A$6:$A$52,0)),""))</f>
        <v>п.4.4, п.5.1, п.6.2</v>
      </c>
      <c r="J349" s="35" t="n">
        <f aca="false">IF(C349="","",IFERROR(INDEX(Перечень!$D$6:$D$52,MATCH(H349,Перечень!$A$6:$A$52,0)),12))</f>
        <v>12</v>
      </c>
      <c r="K349" s="40" t="n">
        <v>46139</v>
      </c>
      <c r="L349" s="40"/>
      <c r="M349" s="37" t="n">
        <f aca="false">IF(AND(K349="",L349=""),"",EDATE(MAX(K349,L349),J349))</f>
        <v>46504</v>
      </c>
      <c r="N349" s="41" t="str">
        <f aca="false">IF(C349="","",IFERROR(INDEX(Перечень!$F$6:$F$52,MATCH(H349,Перечень!$A$6:$A$52,0)),""))</f>
        <v>-</v>
      </c>
      <c r="O349" s="40"/>
      <c r="P349" s="37" t="str">
        <f aca="false">IF(O349="","",EDATE(O349,60))</f>
        <v/>
      </c>
      <c r="Q349" s="41" t="str">
        <f aca="false">IF(AND(K349&lt;&gt;"",F349&lt;&gt;"",K349&gt;F349),"Да","")</f>
        <v/>
      </c>
      <c r="R349" s="41" t="str">
        <f aca="true">IF(C349="","",IF(M349="","Нет сведений",IF(M349&lt;TODAY(),"Просрочен",IF(M349-TODAY()&lt;=30,"Истекает","В срок"))))</f>
        <v>В срок</v>
      </c>
      <c r="S349" s="41" t="str">
        <f aca="false">IF(AND(N349="Да",O349=""),"Не пройдено","")</f>
        <v/>
      </c>
    </row>
    <row r="350" customFormat="false" ht="14.25" hidden="false" customHeight="false" outlineLevel="0" collapsed="false">
      <c r="A350" s="35" t="n">
        <f aca="false">IF(C350="","",ROW()-5)</f>
        <v>345</v>
      </c>
      <c r="B350" s="36" t="s">
        <v>109</v>
      </c>
      <c r="C350" s="36" t="s">
        <v>599</v>
      </c>
      <c r="D350" s="36" t="s">
        <v>466</v>
      </c>
      <c r="E350" s="36" t="s">
        <v>251</v>
      </c>
      <c r="F350" s="37" t="n">
        <v>46268</v>
      </c>
      <c r="G350" s="38" t="str">
        <f aca="false">IF(C350="","",IF(TRIM(SUBSTITUTE(SUBSTITUTE(SUBSTITUTE(SUBSTITUTE(SUBSTITUTE(SUBSTITUTE(SUBSTITUTE(SUBSTITUTE(SUBSTITUTE(SUBSTITUTE(SUBSTITUTE(LOWER(TRIM(D350)),"ё","е"),"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категории",""))="инженер",IF(AND(ISNUMBER(SEARCH("техническ",E350)),ISNUMBER(SEARCH("контрол",E350))),"инженер отк",IF(ISNUMBER(SEARCH("диспетч",E350)),"инженер пдо",TRIM(SUBSTITUTE(SUBSTITUTE(SUBSTITUTE(SUBSTITUTE(SUBSTITUTE(SUBSTITUTE(SUBSTITUTE(SUBSTITUTE(SUBSTITUTE(SUBSTITUTE(SUBSTITUTE(LOWER(TRIM(D350)),"ё","е"),"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инженер",IF(ISNUMBER(SEARCH("диспетч",E350)),"ведущий инженер пдо",TRIM(SUBSTITUTE(SUBSTITUTE(SUBSTITUTE(SUBSTITUTE(SUBSTITUTE(SUBSTITUTE(SUBSTITUTE(SUBSTITUTE(SUBSTITUTE(SUBSTITUTE(SUBSTITUTE(LOWER(TRIM(D350)),"ё","е"),"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отк",TRIM(SUBSTITUTE(SUBSTITUTE(SUBSTITUTE(SUBSTITUTE(SUBSTITUTE(SUBSTITUTE(SUBSTITUTE(SUBSTITUTE(SUBSTITUTE(SUBSTITUTE(SUBSTITUTE(LOWER(TRIM(D350)),"ё","е")," -","-"),"- ","-")," 2 разряда","")," 3 разряда","")," 4 разряда","")," 5 разряда","")," 6 разряда","")," 1 категории","")," 2 категории","")," 3 категории",""))))))</f>
        <v>кладовщик-комплектовщик</v>
      </c>
      <c r="H350" s="35" t="n">
        <f aca="false">IF(C350="","",IF(AND(G350="мастер участка",ISNUMBER(SEARCH("РЭО",E350))),29,IFERROR(INDEX(Соответствие!$B$2:$B$100,MATCH(G350,Соответствие!$A$2:$A$100,0)),"?")))</f>
        <v>46</v>
      </c>
      <c r="I350" s="39" t="str">
        <f aca="false">IF(C350="","",IFERROR(INDEX(Перечень!$C$6:$C$52,MATCH(H350,Перечень!$A$6:$A$52,0)),""))</f>
        <v>п.4.3.1, п.4.3.2, п.4.4, п.5.1, п.6.2, п.18.1</v>
      </c>
      <c r="J350" s="35" t="n">
        <f aca="false">IF(C350="","",IFERROR(INDEX(Перечень!$D$6:$D$52,MATCH(H350,Перечень!$A$6:$A$52,0)),12))</f>
        <v>12</v>
      </c>
      <c r="K350" s="40" t="n">
        <v>46266</v>
      </c>
      <c r="L350" s="40"/>
      <c r="M350" s="37" t="n">
        <f aca="false">IF(AND(K350="",L350=""),"",EDATE(MAX(K350,L350),J350))</f>
        <v>46631</v>
      </c>
      <c r="N350" s="41" t="str">
        <f aca="false">IF(C350="","",IFERROR(INDEX(Перечень!$F$6:$F$52,MATCH(H350,Перечень!$A$6:$A$52,0)),""))</f>
        <v>Да</v>
      </c>
      <c r="O350" s="40"/>
      <c r="P350" s="37" t="str">
        <f aca="false">IF(O350="","",EDATE(O350,60))</f>
        <v/>
      </c>
      <c r="Q350" s="41" t="str">
        <f aca="false">IF(AND(K350&lt;&gt;"",F350&lt;&gt;"",K350&gt;F350),"Да","")</f>
        <v/>
      </c>
      <c r="R350" s="41" t="str">
        <f aca="true">IF(C350="","",IF(M350="","Нет сведений",IF(M350&lt;TODAY(),"Просрочен",IF(M350-TODAY()&lt;=30,"Истекает","В срок"))))</f>
        <v>В срок</v>
      </c>
      <c r="S350" s="41" t="str">
        <f aca="false">IF(AND(N350="Да",O350=""),"Не пройдено","")</f>
        <v>Не пройдено</v>
      </c>
    </row>
    <row r="351" customFormat="false" ht="14.25" hidden="false" customHeight="false" outlineLevel="0" collapsed="false">
      <c r="A351" s="35" t="n">
        <f aca="false">IF(C351="","",ROW()-5)</f>
        <v>346</v>
      </c>
      <c r="B351" s="36" t="s">
        <v>109</v>
      </c>
      <c r="C351" s="36" t="s">
        <v>600</v>
      </c>
      <c r="D351" s="36" t="s">
        <v>466</v>
      </c>
      <c r="E351" s="36" t="s">
        <v>251</v>
      </c>
      <c r="F351" s="37" t="n">
        <v>46140</v>
      </c>
      <c r="G351" s="38" t="str">
        <f aca="false">IF(C351="","",IF(TRIM(SUBSTITUTE(SUBSTITUTE(SUBSTITUTE(SUBSTITUTE(SUBSTITUTE(SUBSTITUTE(SUBSTITUTE(SUBSTITUTE(SUBSTITUTE(SUBSTITUTE(SUBSTITUTE(LOWER(TRIM(D351)),"ё","е"),"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категории",""))="инженер",IF(AND(ISNUMBER(SEARCH("техническ",E351)),ISNUMBER(SEARCH("контрол",E351))),"инженер отк",IF(ISNUMBER(SEARCH("диспетч",E351)),"инженер пдо",TRIM(SUBSTITUTE(SUBSTITUTE(SUBSTITUTE(SUBSTITUTE(SUBSTITUTE(SUBSTITUTE(SUBSTITUTE(SUBSTITUTE(SUBSTITUTE(SUBSTITUTE(SUBSTITUTE(LOWER(TRIM(D351)),"ё","е"),"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инженер",IF(ISNUMBER(SEARCH("диспетч",E351)),"ведущий инженер пдо",TRIM(SUBSTITUTE(SUBSTITUTE(SUBSTITUTE(SUBSTITUTE(SUBSTITUTE(SUBSTITUTE(SUBSTITUTE(SUBSTITUTE(SUBSTITUTE(SUBSTITUTE(SUBSTITUTE(LOWER(TRIM(D351)),"ё","е"),"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отк",TRIM(SUBSTITUTE(SUBSTITUTE(SUBSTITUTE(SUBSTITUTE(SUBSTITUTE(SUBSTITUTE(SUBSTITUTE(SUBSTITUTE(SUBSTITUTE(SUBSTITUTE(SUBSTITUTE(LOWER(TRIM(D351)),"ё","е")," -","-"),"- ","-")," 2 разряда","")," 3 разряда","")," 4 разряда","")," 5 разряда","")," 6 разряда","")," 1 категории","")," 2 категории","")," 3 категории",""))))))</f>
        <v>кладовщик-комплектовщик</v>
      </c>
      <c r="H351" s="35" t="n">
        <f aca="false">IF(C351="","",IF(AND(G351="мастер участка",ISNUMBER(SEARCH("РЭО",E351))),29,IFERROR(INDEX(Соответствие!$B$2:$B$100,MATCH(G351,Соответствие!$A$2:$A$100,0)),"?")))</f>
        <v>46</v>
      </c>
      <c r="I351" s="39" t="str">
        <f aca="false">IF(C351="","",IFERROR(INDEX(Перечень!$C$6:$C$52,MATCH(H351,Перечень!$A$6:$A$52,0)),""))</f>
        <v>п.4.3.1, п.4.3.2, п.4.4, п.5.1, п.6.2, п.18.1</v>
      </c>
      <c r="J351" s="35" t="n">
        <f aca="false">IF(C351="","",IFERROR(INDEX(Перечень!$D$6:$D$52,MATCH(H351,Перечень!$A$6:$A$52,0)),12))</f>
        <v>12</v>
      </c>
      <c r="K351" s="40" t="n">
        <v>46139</v>
      </c>
      <c r="L351" s="40"/>
      <c r="M351" s="37" t="n">
        <f aca="false">IF(AND(K351="",L351=""),"",EDATE(MAX(K351,L351),J351))</f>
        <v>46504</v>
      </c>
      <c r="N351" s="41" t="str">
        <f aca="false">IF(C351="","",IFERROR(INDEX(Перечень!$F$6:$F$52,MATCH(H351,Перечень!$A$6:$A$52,0)),""))</f>
        <v>Да</v>
      </c>
      <c r="O351" s="40"/>
      <c r="P351" s="37" t="str">
        <f aca="false">IF(O351="","",EDATE(O351,60))</f>
        <v/>
      </c>
      <c r="Q351" s="41" t="str">
        <f aca="false">IF(AND(K351&lt;&gt;"",F351&lt;&gt;"",K351&gt;F351),"Да","")</f>
        <v/>
      </c>
      <c r="R351" s="41" t="str">
        <f aca="true">IF(C351="","",IF(M351="","Нет сведений",IF(M351&lt;TODAY(),"Просрочен",IF(M351-TODAY()&lt;=30,"Истекает","В срок"))))</f>
        <v>В срок</v>
      </c>
      <c r="S351" s="41" t="str">
        <f aca="false">IF(AND(N351="Да",O351=""),"Не пройдено","")</f>
        <v>Не пройдено</v>
      </c>
    </row>
    <row r="352" customFormat="false" ht="14.25" hidden="false" customHeight="false" outlineLevel="0" collapsed="false">
      <c r="A352" s="35" t="n">
        <f aca="false">IF(C352="","",ROW()-5)</f>
        <v>347</v>
      </c>
      <c r="B352" s="36" t="s">
        <v>109</v>
      </c>
      <c r="C352" s="36" t="s">
        <v>601</v>
      </c>
      <c r="D352" s="36" t="s">
        <v>466</v>
      </c>
      <c r="E352" s="36" t="s">
        <v>251</v>
      </c>
      <c r="F352" s="37" t="n">
        <v>46246</v>
      </c>
      <c r="G352" s="38" t="str">
        <f aca="false">IF(C352="","",IF(TRIM(SUBSTITUTE(SUBSTITUTE(SUBSTITUTE(SUBSTITUTE(SUBSTITUTE(SUBSTITUTE(SUBSTITUTE(SUBSTITUTE(SUBSTITUTE(SUBSTITUTE(SUBSTITUTE(LOWER(TRIM(D352)),"ё","е"),"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категории",""))="инженер",IF(AND(ISNUMBER(SEARCH("техническ",E352)),ISNUMBER(SEARCH("контрол",E352))),"инженер отк",IF(ISNUMBER(SEARCH("диспетч",E352)),"инженер пдо",TRIM(SUBSTITUTE(SUBSTITUTE(SUBSTITUTE(SUBSTITUTE(SUBSTITUTE(SUBSTITUTE(SUBSTITUTE(SUBSTITUTE(SUBSTITUTE(SUBSTITUTE(SUBSTITUTE(LOWER(TRIM(D352)),"ё","е"),"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инженер",IF(ISNUMBER(SEARCH("диспетч",E352)),"ведущий инженер пдо",TRIM(SUBSTITUTE(SUBSTITUTE(SUBSTITUTE(SUBSTITUTE(SUBSTITUTE(SUBSTITUTE(SUBSTITUTE(SUBSTITUTE(SUBSTITUTE(SUBSTITUTE(SUBSTITUTE(LOWER(TRIM(D352)),"ё","е"),"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отк",TRIM(SUBSTITUTE(SUBSTITUTE(SUBSTITUTE(SUBSTITUTE(SUBSTITUTE(SUBSTITUTE(SUBSTITUTE(SUBSTITUTE(SUBSTITUTE(SUBSTITUTE(SUBSTITUTE(LOWER(TRIM(D352)),"ё","е")," -","-"),"- ","-")," 2 разряда","")," 3 разряда","")," 4 разряда","")," 5 разряда","")," 6 разряда","")," 1 категории","")," 2 категории","")," 3 категории",""))))))</f>
        <v>кладовщик-комплектовщик</v>
      </c>
      <c r="H352" s="35" t="n">
        <f aca="false">IF(C352="","",IF(AND(G352="мастер участка",ISNUMBER(SEARCH("РЭО",E352))),29,IFERROR(INDEX(Соответствие!$B$2:$B$100,MATCH(G352,Соответствие!$A$2:$A$100,0)),"?")))</f>
        <v>46</v>
      </c>
      <c r="I352" s="39" t="str">
        <f aca="false">IF(C352="","",IFERROR(INDEX(Перечень!$C$6:$C$52,MATCH(H352,Перечень!$A$6:$A$52,0)),""))</f>
        <v>п.4.3.1, п.4.3.2, п.4.4, п.5.1, п.6.2, п.18.1</v>
      </c>
      <c r="J352" s="35" t="n">
        <f aca="false">IF(C352="","",IFERROR(INDEX(Перечень!$D$6:$D$52,MATCH(H352,Перечень!$A$6:$A$52,0)),12))</f>
        <v>12</v>
      </c>
      <c r="K352" s="40" t="n">
        <v>46241</v>
      </c>
      <c r="L352" s="40"/>
      <c r="M352" s="37" t="n">
        <f aca="false">IF(AND(K352="",L352=""),"",EDATE(MAX(K352,L352),J352))</f>
        <v>46606</v>
      </c>
      <c r="N352" s="41" t="str">
        <f aca="false">IF(C352="","",IFERROR(INDEX(Перечень!$F$6:$F$52,MATCH(H352,Перечень!$A$6:$A$52,0)),""))</f>
        <v>Да</v>
      </c>
      <c r="O352" s="40"/>
      <c r="P352" s="37" t="str">
        <f aca="false">IF(O352="","",EDATE(O352,60))</f>
        <v/>
      </c>
      <c r="Q352" s="41" t="str">
        <f aca="false">IF(AND(K352&lt;&gt;"",F352&lt;&gt;"",K352&gt;F352),"Да","")</f>
        <v/>
      </c>
      <c r="R352" s="41" t="str">
        <f aca="true">IF(C352="","",IF(M352="","Нет сведений",IF(M352&lt;TODAY(),"Просрочен",IF(M352-TODAY()&lt;=30,"Истекает","В срок"))))</f>
        <v>В срок</v>
      </c>
      <c r="S352" s="41" t="str">
        <f aca="false">IF(AND(N352="Да",O352=""),"Не пройдено","")</f>
        <v>Не пройдено</v>
      </c>
    </row>
    <row r="353" customFormat="false" ht="14.25" hidden="false" customHeight="false" outlineLevel="0" collapsed="false">
      <c r="A353" s="35" t="n">
        <f aca="false">IF(C353="","",ROW()-5)</f>
        <v>348</v>
      </c>
      <c r="B353" s="36" t="s">
        <v>109</v>
      </c>
      <c r="C353" s="36" t="s">
        <v>602</v>
      </c>
      <c r="D353" s="36" t="s">
        <v>137</v>
      </c>
      <c r="E353" s="36" t="s">
        <v>142</v>
      </c>
      <c r="F353" s="37" t="n">
        <v>46162</v>
      </c>
      <c r="G353" s="38" t="str">
        <f aca="false">IF(C353="","",IF(TRIM(SUBSTITUTE(SUBSTITUTE(SUBSTITUTE(SUBSTITUTE(SUBSTITUTE(SUBSTITUTE(SUBSTITUTE(SUBSTITUTE(SUBSTITUTE(SUBSTITUTE(SUBSTITUTE(LOWER(TRIM(D353)),"ё","е"),"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категории",""))="инженер",IF(AND(ISNUMBER(SEARCH("техническ",E353)),ISNUMBER(SEARCH("контрол",E353))),"инженер отк",IF(ISNUMBER(SEARCH("диспетч",E353)),"инженер пдо",TRIM(SUBSTITUTE(SUBSTITUTE(SUBSTITUTE(SUBSTITUTE(SUBSTITUTE(SUBSTITUTE(SUBSTITUTE(SUBSTITUTE(SUBSTITUTE(SUBSTITUTE(SUBSTITUTE(LOWER(TRIM(D353)),"ё","е"),"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инженер",IF(ISNUMBER(SEARCH("диспетч",E353)),"ведущий инженер пдо",TRIM(SUBSTITUTE(SUBSTITUTE(SUBSTITUTE(SUBSTITUTE(SUBSTITUTE(SUBSTITUTE(SUBSTITUTE(SUBSTITUTE(SUBSTITUTE(SUBSTITUTE(SUBSTITUTE(LOWER(TRIM(D353)),"ё","е"),"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отк",TRIM(SUBSTITUTE(SUBSTITUTE(SUBSTITUTE(SUBSTITUTE(SUBSTITUTE(SUBSTITUTE(SUBSTITUTE(SUBSTITUTE(SUBSTITUTE(SUBSTITUTE(SUBSTITUTE(LOWER(TRIM(D353)),"ё","е")," -","-"),"- ","-")," 2 разряда","")," 3 разряда","")," 4 разряда","")," 5 разряда","")," 6 разряда","")," 1 категории","")," 2 категории","")," 3 категории",""))))))</f>
        <v>инженер отк</v>
      </c>
      <c r="H353" s="35" t="n">
        <f aca="false">IF(C353="","",IF(AND(G353="мастер участка",ISNUMBER(SEARCH("РЭО",E353))),29,IFERROR(INDEX(Соответствие!$B$2:$B$100,MATCH(G353,Соответствие!$A$2:$A$100,0)),"?")))</f>
        <v>13</v>
      </c>
      <c r="I353" s="39" t="str">
        <f aca="false">IF(C353="","",IFERROR(INDEX(Перечень!$C$6:$C$52,MATCH(H353,Перечень!$A$6:$A$52,0)),""))</f>
        <v>п.4.4, п.5.2</v>
      </c>
      <c r="J353" s="35" t="n">
        <f aca="false">IF(C353="","",IFERROR(INDEX(Перечень!$D$6:$D$52,MATCH(H353,Перечень!$A$6:$A$52,0)),12))</f>
        <v>12</v>
      </c>
      <c r="K353" s="40" t="n">
        <v>46146</v>
      </c>
      <c r="L353" s="40"/>
      <c r="M353" s="37" t="n">
        <f aca="false">IF(AND(K353="",L353=""),"",EDATE(MAX(K353,L353),J353))</f>
        <v>46511</v>
      </c>
      <c r="N353" s="41" t="str">
        <f aca="false">IF(C353="","",IFERROR(INDEX(Перечень!$F$6:$F$52,MATCH(H353,Перечень!$A$6:$A$52,0)),""))</f>
        <v>-</v>
      </c>
      <c r="O353" s="40"/>
      <c r="P353" s="37" t="str">
        <f aca="false">IF(O353="","",EDATE(O353,60))</f>
        <v/>
      </c>
      <c r="Q353" s="41" t="str">
        <f aca="false">IF(AND(K353&lt;&gt;"",F353&lt;&gt;"",K353&gt;F353),"Да","")</f>
        <v/>
      </c>
      <c r="R353" s="41" t="str">
        <f aca="true">IF(C353="","",IF(M353="","Нет сведений",IF(M353&lt;TODAY(),"Просрочен",IF(M353-TODAY()&lt;=30,"Истекает","В срок"))))</f>
        <v>В срок</v>
      </c>
      <c r="S353" s="41" t="str">
        <f aca="false">IF(AND(N353="Да",O353=""),"Не пройдено","")</f>
        <v/>
      </c>
    </row>
    <row r="354" customFormat="false" ht="14.25" hidden="false" customHeight="false" outlineLevel="0" collapsed="false">
      <c r="A354" s="35" t="n">
        <f aca="false">IF(C354="","",ROW()-5)</f>
        <v>349</v>
      </c>
      <c r="B354" s="36" t="s">
        <v>109</v>
      </c>
      <c r="C354" s="36" t="s">
        <v>603</v>
      </c>
      <c r="D354" s="36" t="s">
        <v>140</v>
      </c>
      <c r="E354" s="36" t="s">
        <v>142</v>
      </c>
      <c r="F354" s="37" t="n">
        <v>44713</v>
      </c>
      <c r="G354" s="38" t="str">
        <f aca="false">IF(C354="","",IF(TRIM(SUBSTITUTE(SUBSTITUTE(SUBSTITUTE(SUBSTITUTE(SUBSTITUTE(SUBSTITUTE(SUBSTITUTE(SUBSTITUTE(SUBSTITUTE(SUBSTITUTE(SUBSTITUTE(LOWER(TRIM(D354)),"ё","е"),"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категории",""))="инженер",IF(AND(ISNUMBER(SEARCH("техническ",E354)),ISNUMBER(SEARCH("контрол",E354))),"инженер отк",IF(ISNUMBER(SEARCH("диспетч",E354)),"инженер пдо",TRIM(SUBSTITUTE(SUBSTITUTE(SUBSTITUTE(SUBSTITUTE(SUBSTITUTE(SUBSTITUTE(SUBSTITUTE(SUBSTITUTE(SUBSTITUTE(SUBSTITUTE(SUBSTITUTE(LOWER(TRIM(D354)),"ё","е"),"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инженер",IF(ISNUMBER(SEARCH("диспетч",E354)),"ведущий инженер пдо",TRIM(SUBSTITUTE(SUBSTITUTE(SUBSTITUTE(SUBSTITUTE(SUBSTITUTE(SUBSTITUTE(SUBSTITUTE(SUBSTITUTE(SUBSTITUTE(SUBSTITUTE(SUBSTITUTE(LOWER(TRIM(D354)),"ё","е"),"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отк",TRIM(SUBSTITUTE(SUBSTITUTE(SUBSTITUTE(SUBSTITUTE(SUBSTITUTE(SUBSTITUTE(SUBSTITUTE(SUBSTITUTE(SUBSTITUTE(SUBSTITUTE(SUBSTITUTE(LOWER(TRIM(D354)),"ё","е")," -","-"),"- ","-")," 2 разряда","")," 3 разряда","")," 4 разряда","")," 5 разряда","")," 6 разряда","")," 1 категории","")," 2 категории","")," 3 категории",""))))))</f>
        <v>инженер отк</v>
      </c>
      <c r="H354" s="35" t="n">
        <f aca="false">IF(C354="","",IF(AND(G354="мастер участка",ISNUMBER(SEARCH("РЭО",E354))),29,IFERROR(INDEX(Соответствие!$B$2:$B$100,MATCH(G354,Соответствие!$A$2:$A$100,0)),"?")))</f>
        <v>13</v>
      </c>
      <c r="I354" s="39" t="str">
        <f aca="false">IF(C354="","",IFERROR(INDEX(Перечень!$C$6:$C$52,MATCH(H354,Перечень!$A$6:$A$52,0)),""))</f>
        <v>п.4.4, п.5.2</v>
      </c>
      <c r="J354" s="35" t="n">
        <f aca="false">IF(C354="","",IFERROR(INDEX(Перечень!$D$6:$D$52,MATCH(H354,Перечень!$A$6:$A$52,0)),12))</f>
        <v>12</v>
      </c>
      <c r="K354" s="40"/>
      <c r="L354" s="40"/>
      <c r="M354" s="37" t="str">
        <f aca="false">IF(AND(K354="",L354=""),"",EDATE(MAX(K354,L354),J354))</f>
        <v/>
      </c>
      <c r="N354" s="41" t="str">
        <f aca="false">IF(C354="","",IFERROR(INDEX(Перечень!$F$6:$F$52,MATCH(H354,Перечень!$A$6:$A$52,0)),""))</f>
        <v>-</v>
      </c>
      <c r="O354" s="40"/>
      <c r="P354" s="37" t="str">
        <f aca="false">IF(O354="","",EDATE(O354,60))</f>
        <v/>
      </c>
      <c r="Q354" s="41" t="str">
        <f aca="false">IF(AND(K354&lt;&gt;"",F354&lt;&gt;"",K354&gt;F354),"Да","")</f>
        <v/>
      </c>
      <c r="R354" s="41" t="str">
        <f aca="true">IF(C354="","",IF(M354="","Нет сведений",IF(M354&lt;TODAY(),"Просрочен",IF(M354-TODAY()&lt;=30,"Истекает","В срок"))))</f>
        <v>Нет сведений</v>
      </c>
      <c r="S354" s="41" t="str">
        <f aca="false">IF(AND(N354="Да",O354=""),"Не пройдено","")</f>
        <v/>
      </c>
    </row>
    <row r="355" customFormat="false" ht="14.25" hidden="false" customHeight="false" outlineLevel="0" collapsed="false">
      <c r="A355" s="35" t="n">
        <f aca="false">IF(C355="","",ROW()-5)</f>
        <v>350</v>
      </c>
      <c r="B355" s="36" t="s">
        <v>109</v>
      </c>
      <c r="C355" s="36" t="s">
        <v>604</v>
      </c>
      <c r="D355" s="36" t="s">
        <v>144</v>
      </c>
      <c r="E355" s="36" t="s">
        <v>142</v>
      </c>
      <c r="F355" s="37" t="n">
        <v>46162</v>
      </c>
      <c r="G355" s="38" t="str">
        <f aca="false">IF(C355="","",IF(TRIM(SUBSTITUTE(SUBSTITUTE(SUBSTITUTE(SUBSTITUTE(SUBSTITUTE(SUBSTITUTE(SUBSTITUTE(SUBSTITUTE(SUBSTITUTE(SUBSTITUTE(SUBSTITUTE(LOWER(TRIM(D355)),"ё","е"),"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категории",""))="инженер",IF(AND(ISNUMBER(SEARCH("техническ",E355)),ISNUMBER(SEARCH("контрол",E355))),"инженер отк",IF(ISNUMBER(SEARCH("диспетч",E355)),"инженер пдо",TRIM(SUBSTITUTE(SUBSTITUTE(SUBSTITUTE(SUBSTITUTE(SUBSTITUTE(SUBSTITUTE(SUBSTITUTE(SUBSTITUTE(SUBSTITUTE(SUBSTITUTE(SUBSTITUTE(LOWER(TRIM(D355)),"ё","е"),"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инженер",IF(ISNUMBER(SEARCH("диспетч",E355)),"ведущий инженер пдо",TRIM(SUBSTITUTE(SUBSTITUTE(SUBSTITUTE(SUBSTITUTE(SUBSTITUTE(SUBSTITUTE(SUBSTITUTE(SUBSTITUTE(SUBSTITUTE(SUBSTITUTE(SUBSTITUTE(LOWER(TRIM(D355)),"ё","е"),"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отк",TRIM(SUBSTITUTE(SUBSTITUTE(SUBSTITUTE(SUBSTITUTE(SUBSTITUTE(SUBSTITUTE(SUBSTITUTE(SUBSTITUTE(SUBSTITUTE(SUBSTITUTE(SUBSTITUTE(LOWER(TRIM(D355)),"ё","е")," -","-"),"- ","-")," 2 разряда","")," 3 разряда","")," 4 разряда","")," 5 разряда","")," 6 разряда","")," 1 категории","")," 2 категории","")," 3 категории",""))))))</f>
        <v>инженер отк</v>
      </c>
      <c r="H355" s="35" t="n">
        <f aca="false">IF(C355="","",IF(AND(G355="мастер участка",ISNUMBER(SEARCH("РЭО",E355))),29,IFERROR(INDEX(Соответствие!$B$2:$B$100,MATCH(G355,Соответствие!$A$2:$A$100,0)),"?")))</f>
        <v>13</v>
      </c>
      <c r="I355" s="39" t="str">
        <f aca="false">IF(C355="","",IFERROR(INDEX(Перечень!$C$6:$C$52,MATCH(H355,Перечень!$A$6:$A$52,0)),""))</f>
        <v>п.4.4, п.5.2</v>
      </c>
      <c r="J355" s="35" t="n">
        <f aca="false">IF(C355="","",IFERROR(INDEX(Перечень!$D$6:$D$52,MATCH(H355,Перечень!$A$6:$A$52,0)),12))</f>
        <v>12</v>
      </c>
      <c r="K355" s="40" t="n">
        <v>46148</v>
      </c>
      <c r="L355" s="40"/>
      <c r="M355" s="37" t="n">
        <f aca="false">IF(AND(K355="",L355=""),"",EDATE(MAX(K355,L355),J355))</f>
        <v>46513</v>
      </c>
      <c r="N355" s="41" t="str">
        <f aca="false">IF(C355="","",IFERROR(INDEX(Перечень!$F$6:$F$52,MATCH(H355,Перечень!$A$6:$A$52,0)),""))</f>
        <v>-</v>
      </c>
      <c r="O355" s="40"/>
      <c r="P355" s="37" t="str">
        <f aca="false">IF(O355="","",EDATE(O355,60))</f>
        <v/>
      </c>
      <c r="Q355" s="41" t="str">
        <f aca="false">IF(AND(K355&lt;&gt;"",F355&lt;&gt;"",K355&gt;F355),"Да","")</f>
        <v/>
      </c>
      <c r="R355" s="41" t="str">
        <f aca="true">IF(C355="","",IF(M355="","Нет сведений",IF(M355&lt;TODAY(),"Просрочен",IF(M355-TODAY()&lt;=30,"Истекает","В срок"))))</f>
        <v>В срок</v>
      </c>
      <c r="S355" s="41" t="str">
        <f aca="false">IF(AND(N355="Да",O355=""),"Не пройдено","")</f>
        <v/>
      </c>
    </row>
    <row r="356" customFormat="false" ht="14.25" hidden="false" customHeight="false" outlineLevel="0" collapsed="false">
      <c r="A356" s="35" t="n">
        <f aca="false">IF(C356="","",ROW()-5)</f>
        <v>351</v>
      </c>
      <c r="B356" s="36" t="s">
        <v>104</v>
      </c>
      <c r="C356" s="36" t="s">
        <v>605</v>
      </c>
      <c r="D356" s="36" t="s">
        <v>258</v>
      </c>
      <c r="E356" s="36" t="s">
        <v>606</v>
      </c>
      <c r="F356" s="37" t="n">
        <v>46245</v>
      </c>
      <c r="G356" s="38" t="str">
        <f aca="false">IF(C356="","",IF(TRIM(SUBSTITUTE(SUBSTITUTE(SUBSTITUTE(SUBSTITUTE(SUBSTITUTE(SUBSTITUTE(SUBSTITUTE(SUBSTITUTE(SUBSTITUTE(SUBSTITUTE(SUBSTITUTE(LOWER(TRIM(D356)),"ё","е"),"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категории",""))="инженер",IF(AND(ISNUMBER(SEARCH("техническ",E356)),ISNUMBER(SEARCH("контрол",E356))),"инженер отк",IF(ISNUMBER(SEARCH("диспетч",E356)),"инженер пдо",TRIM(SUBSTITUTE(SUBSTITUTE(SUBSTITUTE(SUBSTITUTE(SUBSTITUTE(SUBSTITUTE(SUBSTITUTE(SUBSTITUTE(SUBSTITUTE(SUBSTITUTE(SUBSTITUTE(LOWER(TRIM(D356)),"ё","е"),"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инженер",IF(ISNUMBER(SEARCH("диспетч",E356)),"ведущий инженер пдо",TRIM(SUBSTITUTE(SUBSTITUTE(SUBSTITUTE(SUBSTITUTE(SUBSTITUTE(SUBSTITUTE(SUBSTITUTE(SUBSTITUTE(SUBSTITUTE(SUBSTITUTE(SUBSTITUTE(LOWER(TRIM(D356)),"ё","е"),"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отк",TRIM(SUBSTITUTE(SUBSTITUTE(SUBSTITUTE(SUBSTITUTE(SUBSTITUTE(SUBSTITUTE(SUBSTITUTE(SUBSTITUTE(SUBSTITUTE(SUBSTITUTE(SUBSTITUTE(LOWER(TRIM(D356)),"ё","е")," -","-"),"- ","-")," 2 разряда","")," 3 разряда","")," 4 разряда","")," 5 разряда","")," 6 разряда","")," 1 категории","")," 2 категории","")," 3 категории",""))))))</f>
        <v>диспетчер</v>
      </c>
      <c r="H356" s="35" t="n">
        <f aca="false">IF(C356="","",IF(AND(G356="мастер участка",ISNUMBER(SEARCH("РЭО",E356))),29,IFERROR(INDEX(Соответствие!$B$2:$B$100,MATCH(G356,Соответствие!$A$2:$A$100,0)),"?")))</f>
        <v>28</v>
      </c>
      <c r="I356" s="39" t="str">
        <f aca="false">IF(C356="","",IFERROR(INDEX(Перечень!$C$6:$C$52,MATCH(H356,Перечень!$A$6:$A$52,0)),""))</f>
        <v>п.4.4, п.5.2</v>
      </c>
      <c r="J356" s="35" t="n">
        <f aca="false">IF(C356="","",IFERROR(INDEX(Перечень!$D$6:$D$52,MATCH(H356,Перечень!$A$6:$A$52,0)),12))</f>
        <v>12</v>
      </c>
      <c r="K356" s="40"/>
      <c r="L356" s="40"/>
      <c r="M356" s="37" t="str">
        <f aca="false">IF(AND(K356="",L356=""),"",EDATE(MAX(K356,L356),J356))</f>
        <v/>
      </c>
      <c r="N356" s="41" t="str">
        <f aca="false">IF(C356="","",IFERROR(INDEX(Перечень!$F$6:$F$52,MATCH(H356,Перечень!$A$6:$A$52,0)),""))</f>
        <v>-</v>
      </c>
      <c r="O356" s="40"/>
      <c r="P356" s="37" t="str">
        <f aca="false">IF(O356="","",EDATE(O356,60))</f>
        <v/>
      </c>
      <c r="Q356" s="41" t="str">
        <f aca="false">IF(AND(K356&lt;&gt;"",F356&lt;&gt;"",K356&gt;F356),"Да","")</f>
        <v/>
      </c>
      <c r="R356" s="41" t="str">
        <f aca="true">IF(C356="","",IF(M356="","Нет сведений",IF(M356&lt;TODAY(),"Просрочен",IF(M356-TODAY()&lt;=30,"Истекает","В срок"))))</f>
        <v>Нет сведений</v>
      </c>
      <c r="S356" s="41" t="str">
        <f aca="false">IF(AND(N356="Да",O356=""),"Не пройдено","")</f>
        <v/>
      </c>
    </row>
    <row r="357" customFormat="false" ht="14.25" hidden="false" customHeight="false" outlineLevel="0" collapsed="false">
      <c r="A357" s="35" t="n">
        <f aca="false">IF(C357="","",ROW()-5)</f>
        <v>352</v>
      </c>
      <c r="B357" s="36" t="s">
        <v>104</v>
      </c>
      <c r="C357" s="36" t="s">
        <v>607</v>
      </c>
      <c r="D357" s="36" t="s">
        <v>258</v>
      </c>
      <c r="E357" s="36" t="s">
        <v>606</v>
      </c>
      <c r="F357" s="37" t="n">
        <v>46300</v>
      </c>
      <c r="G357" s="38" t="str">
        <f aca="false">IF(C357="","",IF(TRIM(SUBSTITUTE(SUBSTITUTE(SUBSTITUTE(SUBSTITUTE(SUBSTITUTE(SUBSTITUTE(SUBSTITUTE(SUBSTITUTE(SUBSTITUTE(SUBSTITUTE(SUBSTITUTE(LOWER(TRIM(D357)),"ё","е"),"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категории",""))="инженер",IF(AND(ISNUMBER(SEARCH("техническ",E357)),ISNUMBER(SEARCH("контрол",E357))),"инженер отк",IF(ISNUMBER(SEARCH("диспетч",E357)),"инженер пдо",TRIM(SUBSTITUTE(SUBSTITUTE(SUBSTITUTE(SUBSTITUTE(SUBSTITUTE(SUBSTITUTE(SUBSTITUTE(SUBSTITUTE(SUBSTITUTE(SUBSTITUTE(SUBSTITUTE(LOWER(TRIM(D357)),"ё","е"),"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инженер",IF(ISNUMBER(SEARCH("диспетч",E357)),"ведущий инженер пдо",TRIM(SUBSTITUTE(SUBSTITUTE(SUBSTITUTE(SUBSTITUTE(SUBSTITUTE(SUBSTITUTE(SUBSTITUTE(SUBSTITUTE(SUBSTITUTE(SUBSTITUTE(SUBSTITUTE(LOWER(TRIM(D357)),"ё","е"),"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отк",TRIM(SUBSTITUTE(SUBSTITUTE(SUBSTITUTE(SUBSTITUTE(SUBSTITUTE(SUBSTITUTE(SUBSTITUTE(SUBSTITUTE(SUBSTITUTE(SUBSTITUTE(SUBSTITUTE(LOWER(TRIM(D357)),"ё","е")," -","-"),"- ","-")," 2 разряда","")," 3 разряда","")," 4 разряда","")," 5 разряда","")," 6 разряда","")," 1 категории","")," 2 категории","")," 3 категории",""))))))</f>
        <v>диспетчер</v>
      </c>
      <c r="H357" s="35" t="n">
        <f aca="false">IF(C357="","",IF(AND(G357="мастер участка",ISNUMBER(SEARCH("РЭО",E357))),29,IFERROR(INDEX(Соответствие!$B$2:$B$100,MATCH(G357,Соответствие!$A$2:$A$100,0)),"?")))</f>
        <v>28</v>
      </c>
      <c r="I357" s="39" t="str">
        <f aca="false">IF(C357="","",IFERROR(INDEX(Перечень!$C$6:$C$52,MATCH(H357,Перечень!$A$6:$A$52,0)),""))</f>
        <v>п.4.4, п.5.2</v>
      </c>
      <c r="J357" s="35" t="n">
        <f aca="false">IF(C357="","",IFERROR(INDEX(Перечень!$D$6:$D$52,MATCH(H357,Перечень!$A$6:$A$52,0)),12))</f>
        <v>12</v>
      </c>
      <c r="K357" s="40" t="n">
        <v>46296</v>
      </c>
      <c r="L357" s="40"/>
      <c r="M357" s="37" t="n">
        <f aca="false">IF(AND(K357="",L357=""),"",EDATE(MAX(K357,L357),J357))</f>
        <v>46661</v>
      </c>
      <c r="N357" s="41" t="str">
        <f aca="false">IF(C357="","",IFERROR(INDEX(Перечень!$F$6:$F$52,MATCH(H357,Перечень!$A$6:$A$52,0)),""))</f>
        <v>-</v>
      </c>
      <c r="O357" s="40"/>
      <c r="P357" s="37" t="str">
        <f aca="false">IF(O357="","",EDATE(O357,60))</f>
        <v/>
      </c>
      <c r="Q357" s="41" t="str">
        <f aca="false">IF(AND(K357&lt;&gt;"",F357&lt;&gt;"",K357&gt;F357),"Да","")</f>
        <v/>
      </c>
      <c r="R357" s="41" t="str">
        <f aca="true">IF(C357="","",IF(M357="","Нет сведений",IF(M357&lt;TODAY(),"Просрочен",IF(M357-TODAY()&lt;=30,"Истекает","В срок"))))</f>
        <v>В срок</v>
      </c>
      <c r="S357" s="41" t="str">
        <f aca="false">IF(AND(N357="Да",O357=""),"Не пройдено","")</f>
        <v/>
      </c>
    </row>
    <row r="358" customFormat="false" ht="14.25" hidden="false" customHeight="false" outlineLevel="0" collapsed="false">
      <c r="A358" s="35" t="n">
        <f aca="false">IF(C358="","",ROW()-5)</f>
        <v>353</v>
      </c>
      <c r="B358" s="36" t="s">
        <v>104</v>
      </c>
      <c r="C358" s="36" t="s">
        <v>608</v>
      </c>
      <c r="D358" s="36" t="s">
        <v>206</v>
      </c>
      <c r="E358" s="36" t="s">
        <v>207</v>
      </c>
      <c r="F358" s="37" t="n">
        <v>46260</v>
      </c>
      <c r="G358" s="38" t="str">
        <f aca="false">IF(C358="","",IF(TRIM(SUBSTITUTE(SUBSTITUTE(SUBSTITUTE(SUBSTITUTE(SUBSTITUTE(SUBSTITUTE(SUBSTITUTE(SUBSTITUTE(SUBSTITUTE(SUBSTITUTE(SUBSTITUTE(LOWER(TRIM(D358)),"ё","е"),"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категории",""))="инженер",IF(AND(ISNUMBER(SEARCH("техническ",E358)),ISNUMBER(SEARCH("контрол",E358))),"инженер отк",IF(ISNUMBER(SEARCH("диспетч",E358)),"инженер пдо",TRIM(SUBSTITUTE(SUBSTITUTE(SUBSTITUTE(SUBSTITUTE(SUBSTITUTE(SUBSTITUTE(SUBSTITUTE(SUBSTITUTE(SUBSTITUTE(SUBSTITUTE(SUBSTITUTE(LOWER(TRIM(D358)),"ё","е"),"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инженер",IF(ISNUMBER(SEARCH("диспетч",E358)),"ведущий инженер пдо",TRIM(SUBSTITUTE(SUBSTITUTE(SUBSTITUTE(SUBSTITUTE(SUBSTITUTE(SUBSTITUTE(SUBSTITUTE(SUBSTITUTE(SUBSTITUTE(SUBSTITUTE(SUBSTITUTE(LOWER(TRIM(D358)),"ё","е"),"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отк",TRIM(SUBSTITUTE(SUBSTITUTE(SUBSTITUTE(SUBSTITUTE(SUBSTITUTE(SUBSTITUTE(SUBSTITUTE(SUBSTITUTE(SUBSTITUTE(SUBSTITUTE(SUBSTITUTE(LOWER(TRIM(D358)),"ё","е")," -","-"),"- ","-")," 2 разряда","")," 3 разряда","")," 4 разряда","")," 5 разряда","")," 6 разряда","")," 1 категории","")," 2 категории","")," 3 категории",""))))))</f>
        <v>кладовщик</v>
      </c>
      <c r="H358" s="35" t="n">
        <f aca="false">IF(C358="","",IF(AND(G358="мастер участка",ISNUMBER(SEARCH("РЭО",E358))),29,IFERROR(INDEX(Соответствие!$B$2:$B$100,MATCH(G358,Соответствие!$A$2:$A$100,0)),"?")))</f>
        <v>14</v>
      </c>
      <c r="I358" s="39" t="str">
        <f aca="false">IF(C358="","",IFERROR(INDEX(Перечень!$C$6:$C$52,MATCH(H358,Перечень!$A$6:$A$52,0)),""))</f>
        <v>п.4.4, п.5.1, п.6.2</v>
      </c>
      <c r="J358" s="35" t="n">
        <f aca="false">IF(C358="","",IFERROR(INDEX(Перечень!$D$6:$D$52,MATCH(H358,Перечень!$A$6:$A$52,0)),12))</f>
        <v>12</v>
      </c>
      <c r="K358" s="40" t="n">
        <v>46260</v>
      </c>
      <c r="L358" s="40"/>
      <c r="M358" s="37" t="n">
        <f aca="false">IF(AND(K358="",L358=""),"",EDATE(MAX(K358,L358),J358))</f>
        <v>46625</v>
      </c>
      <c r="N358" s="41" t="str">
        <f aca="false">IF(C358="","",IFERROR(INDEX(Перечень!$F$6:$F$52,MATCH(H358,Перечень!$A$6:$A$52,0)),""))</f>
        <v>-</v>
      </c>
      <c r="O358" s="40"/>
      <c r="P358" s="37" t="str">
        <f aca="false">IF(O358="","",EDATE(O358,60))</f>
        <v/>
      </c>
      <c r="Q358" s="41" t="str">
        <f aca="false">IF(AND(K358&lt;&gt;"",F358&lt;&gt;"",K358&gt;F358),"Да","")</f>
        <v/>
      </c>
      <c r="R358" s="41" t="str">
        <f aca="true">IF(C358="","",IF(M358="","Нет сведений",IF(M358&lt;TODAY(),"Просрочен",IF(M358-TODAY()&lt;=30,"Истекает","В срок"))))</f>
        <v>В срок</v>
      </c>
      <c r="S358" s="41" t="str">
        <f aca="false">IF(AND(N358="Да",O358=""),"Не пройдено","")</f>
        <v/>
      </c>
    </row>
    <row r="359" customFormat="false" ht="14.25" hidden="false" customHeight="false" outlineLevel="0" collapsed="false">
      <c r="A359" s="35" t="n">
        <f aca="false">IF(C359="","",ROW()-5)</f>
        <v>354</v>
      </c>
      <c r="B359" s="36" t="s">
        <v>104</v>
      </c>
      <c r="C359" s="36" t="s">
        <v>609</v>
      </c>
      <c r="D359" s="36" t="s">
        <v>137</v>
      </c>
      <c r="E359" s="36" t="s">
        <v>610</v>
      </c>
      <c r="F359" s="37" t="n">
        <v>41351</v>
      </c>
      <c r="G359" s="38" t="str">
        <f aca="false">IF(C359="","",IF(TRIM(SUBSTITUTE(SUBSTITUTE(SUBSTITUTE(SUBSTITUTE(SUBSTITUTE(SUBSTITUTE(SUBSTITUTE(SUBSTITUTE(SUBSTITUTE(SUBSTITUTE(SUBSTITUTE(LOWER(TRIM(D359)),"ё","е"),"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категории",""))="инженер",IF(AND(ISNUMBER(SEARCH("техническ",E359)),ISNUMBER(SEARCH("контрол",E359))),"инженер отк",IF(ISNUMBER(SEARCH("диспетч",E359)),"инженер пдо",TRIM(SUBSTITUTE(SUBSTITUTE(SUBSTITUTE(SUBSTITUTE(SUBSTITUTE(SUBSTITUTE(SUBSTITUTE(SUBSTITUTE(SUBSTITUTE(SUBSTITUTE(SUBSTITUTE(LOWER(TRIM(D359)),"ё","е"),"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категории","")))),IF(TRIM(SUBSTITUTE(SUBSTITUTE(SUBSTITUTE(SUBSTITUTE(SUBSTITUTE(SUBSTITUTE(SUBSTITUTE(SUBSTITUTE(SUBSTITUTE(SUBSTITUTE(SUBSTITUTE(LOWER(TRIM(D359)),"ё","е"),"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инженер",IF(ISNUMBER(SEARCH("диспетч",E359)),"ведущий инженер пдо",TRIM(SUBSTITUTE(SUBSTITUTE(SUBSTITUTE(SUBSTITUTE(SUBSTITUTE(SUBSTITUTE(SUBSTITUTE(SUBSTITUTE(SUBSTITUTE(SUBSTITUTE(SUBSTITUTE(LOWER(TRIM(D359)),"ё","е"),"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категории",""))),IF(TRIM(SUBSTITUTE(SUBSTITUTE(SUBSTITUTE(SUBSTITUTE(SUBSTITUTE(SUBSTITUTE(SUBSTITUTE(SUBSTITUTE(SUBSTITUTE(SUBSTITUTE(SUBSTITUTE(LOWER(TRIM(D359)),"ё","е"),"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отк",TRIM(SUBSTITUTE(SUBSTITUTE(SUBSTITUTE(SUBSTITUTE(SUBSTITUTE(SUBSTITUTE(SUBSTITUTE(SUBSTITUTE(SUBSTITUTE(SUBSTITUTE(SUBSTITUTE(LOWER(TRIM(D359)),"ё","е")," -","-"),"- ","-")," 2 разряда","")," 3 разряда","")," 4 разряда","")," 5 разряда","")," 6 разряда","")," 1 категории","")," 2 категории","")," 3 категории",""))))))</f>
        <v>инженер отк</v>
      </c>
      <c r="H359" s="35" t="n">
        <f aca="false">IF(C359="","",IF(AND(G359="мастер участка",ISNUMBER(SEARCH("РЭО",E359))),29,IFERROR(INDEX(Соответствие!$B$2:$B$100,MATCH(G359,Соответствие!$A$2:$A$100,0)),"?")))</f>
        <v>13</v>
      </c>
      <c r="I359" s="39" t="str">
        <f aca="false">IF(C359="","",IFERROR(INDEX(Перечень!$C$6:$C$52,MATCH(H359,Перечень!$A$6:$A$52,0)),""))</f>
        <v>п.4.4, п.5.2</v>
      </c>
      <c r="J359" s="35" t="n">
        <f aca="false">IF(C359="","",IFERROR(INDEX(Перечень!$D$6:$D$52,MATCH(H359,Перечень!$A$6:$A$52,0)),12))</f>
        <v>12</v>
      </c>
      <c r="K359" s="40"/>
      <c r="L359" s="40"/>
      <c r="M359" s="37" t="str">
        <f aca="false">IF(AND(K359="",L359=""),"",EDATE(MAX(K359,L359),J359))</f>
        <v/>
      </c>
      <c r="N359" s="41" t="str">
        <f aca="false">IF(C359="","",IFERROR(INDEX(Перечень!$F$6:$F$52,MATCH(H359,Перечень!$A$6:$A$52,0)),""))</f>
        <v>-</v>
      </c>
      <c r="O359" s="40"/>
      <c r="P359" s="37" t="str">
        <f aca="false">IF(O359="","",EDATE(O359,60))</f>
        <v/>
      </c>
      <c r="Q359" s="41" t="str">
        <f aca="false">IF(AND(K359&lt;&gt;"",F359&lt;&gt;"",K359&gt;F359),"Да","")</f>
        <v/>
      </c>
      <c r="R359" s="41" t="str">
        <f aca="true">IF(C359="","",IF(M359="","Нет сведений",IF(M359&lt;TODAY(),"Просрочен",IF(M359-TODAY()&lt;=30,"Истекает","В срок"))))</f>
        <v>Нет сведений</v>
      </c>
      <c r="S359" s="41" t="str">
        <f aca="false">IF(AND(N359="Да",O359=""),"Не пройдено","")</f>
        <v/>
      </c>
    </row>
    <row r="360" customFormat="false" ht="14.25" hidden="false" customHeight="false" outlineLevel="0" collapsed="false">
      <c r="A360" s="35" t="n">
        <f aca="false">IF(C360="","",ROW()-5)</f>
        <v>355</v>
      </c>
      <c r="B360" s="36" t="s">
        <v>104</v>
      </c>
      <c r="C360" s="36" t="s">
        <v>611</v>
      </c>
      <c r="D360" s="36" t="s">
        <v>146</v>
      </c>
      <c r="E360" s="36" t="s">
        <v>610</v>
      </c>
      <c r="F360" s="37" t="n">
        <v>45852</v>
      </c>
      <c r="G360" s="38" t="str">
        <f aca="false">IF(C360="","",IF(TRIM(SUBSTITUTE(SUBSTITUTE(SUBSTITUTE(SUBSTITUTE(SUBSTITUTE(SUBSTITUTE(SUBSTITUTE(SUBSTITUTE(SUBSTITUTE(SUBSTITUTE(SUBSTITUTE(LOWER(TRIM(D360)),"ё","е"),"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категории",""))="инженер",IF(AND(ISNUMBER(SEARCH("техническ",E360)),ISNUMBER(SEARCH("контрол",E360))),"инженер отк",IF(ISNUMBER(SEARCH("диспетч",E360)),"инженер пдо",TRIM(SUBSTITUTE(SUBSTITUTE(SUBSTITUTE(SUBSTITUTE(SUBSTITUTE(SUBSTITUTE(SUBSTITUTE(SUBSTITUTE(SUBSTITUTE(SUBSTITUTE(SUBSTITUTE(LOWER(TRIM(D360)),"ё","е"),"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инженер",IF(ISNUMBER(SEARCH("диспетч",E360)),"ведущий инженер пдо",TRIM(SUBSTITUTE(SUBSTITUTE(SUBSTITUTE(SUBSTITUTE(SUBSTITUTE(SUBSTITUTE(SUBSTITUTE(SUBSTITUTE(SUBSTITUTE(SUBSTITUTE(SUBSTITUTE(LOWER(TRIM(D360)),"ё","е"),"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отк",TRIM(SUBSTITUTE(SUBSTITUTE(SUBSTITUTE(SUBSTITUTE(SUBSTITUTE(SUBSTITUTE(SUBSTITUTE(SUBSTITUTE(SUBSTITUTE(SUBSTITUTE(SUBSTITUTE(LOWER(TRIM(D360)),"ё","е")," -","-"),"- ","-")," 2 разряда","")," 3 разряда","")," 4 разряда","")," 5 разряда","")," 6 разряда","")," 1 категории","")," 2 категории","")," 3 категории",""))))))</f>
        <v>контролер отк</v>
      </c>
      <c r="H360" s="35" t="n">
        <f aca="false">IF(C360="","",IF(AND(G360="мастер участка",ISNUMBER(SEARCH("РЭО",E360))),29,IFERROR(INDEX(Соответствие!$B$2:$B$100,MATCH(G360,Соответствие!$A$2:$A$100,0)),"?")))</f>
        <v>13</v>
      </c>
      <c r="I360" s="39" t="str">
        <f aca="false">IF(C360="","",IFERROR(INDEX(Перечень!$C$6:$C$52,MATCH(H360,Перечень!$A$6:$A$52,0)),""))</f>
        <v>п.4.4, п.5.2</v>
      </c>
      <c r="J360" s="35" t="n">
        <f aca="false">IF(C360="","",IFERROR(INDEX(Перечень!$D$6:$D$52,MATCH(H360,Перечень!$A$6:$A$52,0)),12))</f>
        <v>12</v>
      </c>
      <c r="K360" s="40"/>
      <c r="L360" s="40"/>
      <c r="M360" s="37" t="str">
        <f aca="false">IF(AND(K360="",L360=""),"",EDATE(MAX(K360,L360),J360))</f>
        <v/>
      </c>
      <c r="N360" s="41" t="str">
        <f aca="false">IF(C360="","",IFERROR(INDEX(Перечень!$F$6:$F$52,MATCH(H360,Перечень!$A$6:$A$52,0)),""))</f>
        <v>-</v>
      </c>
      <c r="O360" s="40"/>
      <c r="P360" s="37" t="str">
        <f aca="false">IF(O360="","",EDATE(O360,60))</f>
        <v/>
      </c>
      <c r="Q360" s="41" t="str">
        <f aca="false">IF(AND(K360&lt;&gt;"",F360&lt;&gt;"",K360&gt;F360),"Да","")</f>
        <v/>
      </c>
      <c r="R360" s="41" t="str">
        <f aca="true">IF(C360="","",IF(M360="","Нет сведений",IF(M360&lt;TODAY(),"Просрочен",IF(M360-TODAY()&lt;=30,"Истекает","В срок"))))</f>
        <v>Нет сведений</v>
      </c>
      <c r="S360" s="41" t="str">
        <f aca="false">IF(AND(N360="Да",O360=""),"Не пройдено","")</f>
        <v/>
      </c>
    </row>
    <row r="361" customFormat="false" ht="14.25" hidden="false" customHeight="false" outlineLevel="0" collapsed="false">
      <c r="A361" s="35" t="n">
        <f aca="false">IF(C361="","",ROW()-5)</f>
        <v>356</v>
      </c>
      <c r="B361" s="36" t="s">
        <v>107</v>
      </c>
      <c r="C361" s="36" t="s">
        <v>612</v>
      </c>
      <c r="D361" s="36" t="s">
        <v>354</v>
      </c>
      <c r="E361" s="36" t="s">
        <v>318</v>
      </c>
      <c r="F361" s="37" t="n">
        <v>46286</v>
      </c>
      <c r="G361" s="38" t="str">
        <f aca="false">IF(C361="","",IF(TRIM(SUBSTITUTE(SUBSTITUTE(SUBSTITUTE(SUBSTITUTE(SUBSTITUTE(SUBSTITUTE(SUBSTITUTE(SUBSTITUTE(SUBSTITUTE(SUBSTITUTE(SUBSTITUTE(LOWER(TRIM(D361)),"ё","е"),"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категории",""))="инженер",IF(AND(ISNUMBER(SEARCH("техническ",E361)),ISNUMBER(SEARCH("контрол",E361))),"инженер отк",IF(ISNUMBER(SEARCH("диспетч",E361)),"инженер пдо",TRIM(SUBSTITUTE(SUBSTITUTE(SUBSTITUTE(SUBSTITUTE(SUBSTITUTE(SUBSTITUTE(SUBSTITUTE(SUBSTITUTE(SUBSTITUTE(SUBSTITUTE(SUBSTITUTE(LOWER(TRIM(D361)),"ё","е"),"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инженер",IF(ISNUMBER(SEARCH("диспетч",E361)),"ведущий инженер пдо",TRIM(SUBSTITUTE(SUBSTITUTE(SUBSTITUTE(SUBSTITUTE(SUBSTITUTE(SUBSTITUTE(SUBSTITUTE(SUBSTITUTE(SUBSTITUTE(SUBSTITUTE(SUBSTITUTE(LOWER(TRIM(D361)),"ё","е"),"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отк",TRIM(SUBSTITUTE(SUBSTITUTE(SUBSTITUTE(SUBSTITUTE(SUBSTITUTE(SUBSTITUTE(SUBSTITUTE(SUBSTITUTE(SUBSTITUTE(SUBSTITUTE(SUBSTITUTE(LOWER(TRIM(D361)),"ё","е")," -","-"),"- ","-")," 2 разряда","")," 3 разряда","")," 4 разряда","")," 5 разряда","")," 6 разряда","")," 1 категории","")," 2 категории","")," 3 категории",""))))))</f>
        <v>сборщик стеклопластиковых изделий</v>
      </c>
      <c r="H361" s="35" t="n">
        <f aca="false">IF(C361="","",IF(AND(G361="мастер участка",ISNUMBER(SEARCH("РЭО",E361))),29,IFERROR(INDEX(Соответствие!$B$2:$B$100,MATCH(G361,Соответствие!$A$2:$A$100,0)),"?")))</f>
        <v>26</v>
      </c>
      <c r="I361" s="39" t="str">
        <f aca="false">IF(C361="","",IFERROR(INDEX(Перечень!$C$6:$C$52,MATCH(H361,Перечень!$A$6:$A$52,0)),""))</f>
        <v>п.1.37.1, п.3.1.8.3, п.4.3.1, п.4.4, п.5.1, п.15</v>
      </c>
      <c r="J361" s="35" t="n">
        <f aca="false">IF(C361="","",IFERROR(INDEX(Перечень!$D$6:$D$52,MATCH(H361,Перечень!$A$6:$A$52,0)),12))</f>
        <v>12</v>
      </c>
      <c r="K361" s="40" t="n">
        <v>46280</v>
      </c>
      <c r="L361" s="40"/>
      <c r="M361" s="37" t="n">
        <f aca="false">IF(AND(K361="",L361=""),"",EDATE(MAX(K361,L361),J361))</f>
        <v>46645</v>
      </c>
      <c r="N361" s="41" t="str">
        <f aca="false">IF(C361="","",IFERROR(INDEX(Перечень!$F$6:$F$52,MATCH(H361,Перечень!$A$6:$A$52,0)),""))</f>
        <v>Нет</v>
      </c>
      <c r="O361" s="40"/>
      <c r="P361" s="37" t="str">
        <f aca="false">IF(O361="","",EDATE(O361,60))</f>
        <v/>
      </c>
      <c r="Q361" s="41" t="str">
        <f aca="false">IF(AND(K361&lt;&gt;"",F361&lt;&gt;"",K361&gt;F361),"Да","")</f>
        <v/>
      </c>
      <c r="R361" s="41" t="str">
        <f aca="true">IF(C361="","",IF(M361="","Нет сведений",IF(M361&lt;TODAY(),"Просрочен",IF(M361-TODAY()&lt;=30,"Истекает","В срок"))))</f>
        <v>В срок</v>
      </c>
      <c r="S361" s="41" t="str">
        <f aca="false">IF(AND(N361="Да",O361=""),"Не пройдено","")</f>
        <v/>
      </c>
    </row>
    <row r="362" customFormat="false" ht="14.25" hidden="false" customHeight="false" outlineLevel="0" collapsed="false">
      <c r="A362" s="35" t="n">
        <f aca="false">IF(C362="","",ROW()-5)</f>
        <v>357</v>
      </c>
      <c r="B362" s="36" t="s">
        <v>107</v>
      </c>
      <c r="C362" s="36" t="s">
        <v>613</v>
      </c>
      <c r="D362" s="36" t="s">
        <v>326</v>
      </c>
      <c r="E362" s="36" t="s">
        <v>318</v>
      </c>
      <c r="F362" s="37" t="n">
        <v>46163</v>
      </c>
      <c r="G362" s="38" t="str">
        <f aca="false">IF(C362="","",IF(TRIM(SUBSTITUTE(SUBSTITUTE(SUBSTITUTE(SUBSTITUTE(SUBSTITUTE(SUBSTITUTE(SUBSTITUTE(SUBSTITUTE(SUBSTITUTE(SUBSTITUTE(SUBSTITUTE(LOWER(TRIM(D362)),"ё","е"),"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категории",""))="инженер",IF(AND(ISNUMBER(SEARCH("техническ",E362)),ISNUMBER(SEARCH("контрол",E362))),"инженер отк",IF(ISNUMBER(SEARCH("диспетч",E362)),"инженер пдо",TRIM(SUBSTITUTE(SUBSTITUTE(SUBSTITUTE(SUBSTITUTE(SUBSTITUTE(SUBSTITUTE(SUBSTITUTE(SUBSTITUTE(SUBSTITUTE(SUBSTITUTE(SUBSTITUTE(LOWER(TRIM(D362)),"ё","е"),"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инженер",IF(ISNUMBER(SEARCH("диспетч",E362)),"ведущий инженер пдо",TRIM(SUBSTITUTE(SUBSTITUTE(SUBSTITUTE(SUBSTITUTE(SUBSTITUTE(SUBSTITUTE(SUBSTITUTE(SUBSTITUTE(SUBSTITUTE(SUBSTITUTE(SUBSTITUTE(LOWER(TRIM(D362)),"ё","е"),"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отк",TRIM(SUBSTITUTE(SUBSTITUTE(SUBSTITUTE(SUBSTITUTE(SUBSTITUTE(SUBSTITUTE(SUBSTITUTE(SUBSTITUTE(SUBSTITUTE(SUBSTITUTE(SUBSTITUTE(LOWER(TRIM(D362)),"ё","е"),"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362" s="35" t="n">
        <f aca="false">IF(C362="","",IF(AND(G362="мастер участка",ISNUMBER(SEARCH("РЭО",E362))),29,IFERROR(INDEX(Соответствие!$B$2:$B$100,MATCH(G362,Соответствие!$A$2:$A$100,0)),"?")))</f>
        <v>21</v>
      </c>
      <c r="I362" s="39" t="str">
        <f aca="false">IF(C362="","",IFERROR(INDEX(Перечень!$C$6:$C$52,MATCH(H362,Перечень!$A$6:$A$52,0)),""))</f>
        <v>п.1.49.2, п.1.49.14, п.4.3.1, п.4.3.2, п.4.4, п.5.1, п.15</v>
      </c>
      <c r="J362" s="35" t="n">
        <f aca="false">IF(C362="","",IFERROR(INDEX(Перечень!$D$6:$D$52,MATCH(H362,Перечень!$A$6:$A$52,0)),12))</f>
        <v>12</v>
      </c>
      <c r="K362" s="40"/>
      <c r="L362" s="40"/>
      <c r="M362" s="37" t="str">
        <f aca="false">IF(AND(K362="",L362=""),"",EDATE(MAX(K362,L362),J362))</f>
        <v/>
      </c>
      <c r="N362" s="41" t="str">
        <f aca="false">IF(C362="","",IFERROR(INDEX(Перечень!$F$6:$F$52,MATCH(H362,Перечень!$A$6:$A$52,0)),""))</f>
        <v>-</v>
      </c>
      <c r="O362" s="40"/>
      <c r="P362" s="37" t="str">
        <f aca="false">IF(O362="","",EDATE(O362,60))</f>
        <v/>
      </c>
      <c r="Q362" s="41" t="str">
        <f aca="false">IF(AND(K362&lt;&gt;"",F362&lt;&gt;"",K362&gt;F362),"Да","")</f>
        <v/>
      </c>
      <c r="R362" s="41" t="str">
        <f aca="true">IF(C362="","",IF(M362="","Нет сведений",IF(M362&lt;TODAY(),"Просрочен",IF(M362-TODAY()&lt;=30,"Истекает","В срок"))))</f>
        <v>Нет сведений</v>
      </c>
      <c r="S362" s="41" t="str">
        <f aca="false">IF(AND(N362="Да",O362=""),"Не пройдено","")</f>
        <v/>
      </c>
    </row>
    <row r="363" customFormat="false" ht="14.25" hidden="false" customHeight="false" outlineLevel="0" collapsed="false">
      <c r="A363" s="35" t="n">
        <f aca="false">IF(C363="","",ROW()-5)</f>
        <v>358</v>
      </c>
      <c r="B363" s="36" t="s">
        <v>107</v>
      </c>
      <c r="C363" s="36" t="s">
        <v>614</v>
      </c>
      <c r="D363" s="36" t="s">
        <v>326</v>
      </c>
      <c r="E363" s="36" t="s">
        <v>318</v>
      </c>
      <c r="F363" s="37" t="n">
        <v>46314</v>
      </c>
      <c r="G363" s="38" t="str">
        <f aca="false">IF(C363="","",IF(TRIM(SUBSTITUTE(SUBSTITUTE(SUBSTITUTE(SUBSTITUTE(SUBSTITUTE(SUBSTITUTE(SUBSTITUTE(SUBSTITUTE(SUBSTITUTE(SUBSTITUTE(SUBSTITUTE(LOWER(TRIM(D363)),"ё","е"),"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категории",""))="инженер",IF(AND(ISNUMBER(SEARCH("техническ",E363)),ISNUMBER(SEARCH("контрол",E363))),"инженер отк",IF(ISNUMBER(SEARCH("диспетч",E363)),"инженер пдо",TRIM(SUBSTITUTE(SUBSTITUTE(SUBSTITUTE(SUBSTITUTE(SUBSTITUTE(SUBSTITUTE(SUBSTITUTE(SUBSTITUTE(SUBSTITUTE(SUBSTITUTE(SUBSTITUTE(LOWER(TRIM(D363)),"ё","е"),"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инженер",IF(ISNUMBER(SEARCH("диспетч",E363)),"ведущий инженер пдо",TRIM(SUBSTITUTE(SUBSTITUTE(SUBSTITUTE(SUBSTITUTE(SUBSTITUTE(SUBSTITUTE(SUBSTITUTE(SUBSTITUTE(SUBSTITUTE(SUBSTITUTE(SUBSTITUTE(LOWER(TRIM(D363)),"ё","е"),"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отк",TRIM(SUBSTITUTE(SUBSTITUTE(SUBSTITUTE(SUBSTITUTE(SUBSTITUTE(SUBSTITUTE(SUBSTITUTE(SUBSTITUTE(SUBSTITUTE(SUBSTITUTE(SUBSTITUTE(LOWER(TRIM(D363)),"ё","е"),"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363" s="35" t="n">
        <f aca="false">IF(C363="","",IF(AND(G363="мастер участка",ISNUMBER(SEARCH("РЭО",E363))),29,IFERROR(INDEX(Соответствие!$B$2:$B$100,MATCH(G363,Соответствие!$A$2:$A$100,0)),"?")))</f>
        <v>21</v>
      </c>
      <c r="I363" s="39" t="str">
        <f aca="false">IF(C363="","",IFERROR(INDEX(Перечень!$C$6:$C$52,MATCH(H363,Перечень!$A$6:$A$52,0)),""))</f>
        <v>п.1.49.2, п.1.49.14, п.4.3.1, п.4.3.2, п.4.4, п.5.1, п.15</v>
      </c>
      <c r="J363" s="35" t="n">
        <f aca="false">IF(C363="","",IFERROR(INDEX(Перечень!$D$6:$D$52,MATCH(H363,Перечень!$A$6:$A$52,0)),12))</f>
        <v>12</v>
      </c>
      <c r="K363" s="40" t="n">
        <v>46296</v>
      </c>
      <c r="L363" s="40"/>
      <c r="M363" s="37" t="n">
        <f aca="false">IF(AND(K363="",L363=""),"",EDATE(MAX(K363,L363),J363))</f>
        <v>46661</v>
      </c>
      <c r="N363" s="41" t="str">
        <f aca="false">IF(C363="","",IFERROR(INDEX(Перечень!$F$6:$F$52,MATCH(H363,Перечень!$A$6:$A$52,0)),""))</f>
        <v>-</v>
      </c>
      <c r="O363" s="40"/>
      <c r="P363" s="37" t="str">
        <f aca="false">IF(O363="","",EDATE(O363,60))</f>
        <v/>
      </c>
      <c r="Q363" s="41" t="str">
        <f aca="false">IF(AND(K363&lt;&gt;"",F363&lt;&gt;"",K363&gt;F363),"Да","")</f>
        <v/>
      </c>
      <c r="R363" s="41" t="str">
        <f aca="true">IF(C363="","",IF(M363="","Нет сведений",IF(M363&lt;TODAY(),"Просрочен",IF(M363-TODAY()&lt;=30,"Истекает","В срок"))))</f>
        <v>В срок</v>
      </c>
      <c r="S363" s="41" t="str">
        <f aca="false">IF(AND(N363="Да",O363=""),"Не пройдено","")</f>
        <v/>
      </c>
    </row>
    <row r="364" customFormat="false" ht="14.25" hidden="false" customHeight="false" outlineLevel="0" collapsed="false">
      <c r="A364" s="35" t="n">
        <f aca="false">IF(C364="","",ROW()-5)</f>
        <v>359</v>
      </c>
      <c r="B364" s="36" t="s">
        <v>107</v>
      </c>
      <c r="C364" s="36" t="s">
        <v>615</v>
      </c>
      <c r="D364" s="36" t="s">
        <v>326</v>
      </c>
      <c r="E364" s="36" t="s">
        <v>318</v>
      </c>
      <c r="F364" s="37" t="n">
        <v>46301</v>
      </c>
      <c r="G364" s="38" t="str">
        <f aca="false">IF(C364="","",IF(TRIM(SUBSTITUTE(SUBSTITUTE(SUBSTITUTE(SUBSTITUTE(SUBSTITUTE(SUBSTITUTE(SUBSTITUTE(SUBSTITUTE(SUBSTITUTE(SUBSTITUTE(SUBSTITUTE(LOWER(TRIM(D364)),"ё","е"),"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категории",""))="инженер",IF(AND(ISNUMBER(SEARCH("техническ",E364)),ISNUMBER(SEARCH("контрол",E364))),"инженер отк",IF(ISNUMBER(SEARCH("диспетч",E364)),"инженер пдо",TRIM(SUBSTITUTE(SUBSTITUTE(SUBSTITUTE(SUBSTITUTE(SUBSTITUTE(SUBSTITUTE(SUBSTITUTE(SUBSTITUTE(SUBSTITUTE(SUBSTITUTE(SUBSTITUTE(LOWER(TRIM(D364)),"ё","е"),"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инженер",IF(ISNUMBER(SEARCH("диспетч",E364)),"ведущий инженер пдо",TRIM(SUBSTITUTE(SUBSTITUTE(SUBSTITUTE(SUBSTITUTE(SUBSTITUTE(SUBSTITUTE(SUBSTITUTE(SUBSTITUTE(SUBSTITUTE(SUBSTITUTE(SUBSTITUTE(LOWER(TRIM(D364)),"ё","е"),"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отк",TRIM(SUBSTITUTE(SUBSTITUTE(SUBSTITUTE(SUBSTITUTE(SUBSTITUTE(SUBSTITUTE(SUBSTITUTE(SUBSTITUTE(SUBSTITUTE(SUBSTITUTE(SUBSTITUTE(LOWER(TRIM(D364)),"ё","е")," -","-"),"- ","-")," 2 разряда","")," 3 разряда","")," 4 разряда","")," 5 разряда","")," 6 разряда","")," 1 категории","")," 2 категории","")," 3 категории",""))))))</f>
        <v>техник-сборщик</v>
      </c>
      <c r="H364" s="35" t="n">
        <f aca="false">IF(C364="","",IF(AND(G364="мастер участка",ISNUMBER(SEARCH("РЭО",E364))),29,IFERROR(INDEX(Соответствие!$B$2:$B$100,MATCH(G364,Соответствие!$A$2:$A$100,0)),"?")))</f>
        <v>21</v>
      </c>
      <c r="I364" s="39" t="str">
        <f aca="false">IF(C364="","",IFERROR(INDEX(Перечень!$C$6:$C$52,MATCH(H364,Перечень!$A$6:$A$52,0)),""))</f>
        <v>п.1.49.2, п.1.49.14, п.4.3.1, п.4.3.2, п.4.4, п.5.1, п.15</v>
      </c>
      <c r="J364" s="35" t="n">
        <f aca="false">IF(C364="","",IFERROR(INDEX(Перечень!$D$6:$D$52,MATCH(H364,Перечень!$A$6:$A$52,0)),12))</f>
        <v>12</v>
      </c>
      <c r="K364" s="40" t="n">
        <v>46296</v>
      </c>
      <c r="L364" s="40"/>
      <c r="M364" s="37" t="n">
        <f aca="false">IF(AND(K364="",L364=""),"",EDATE(MAX(K364,L364),J364))</f>
        <v>46661</v>
      </c>
      <c r="N364" s="41" t="str">
        <f aca="false">IF(C364="","",IFERROR(INDEX(Перечень!$F$6:$F$52,MATCH(H364,Перечень!$A$6:$A$52,0)),""))</f>
        <v>-</v>
      </c>
      <c r="O364" s="40"/>
      <c r="P364" s="37" t="str">
        <f aca="false">IF(O364="","",EDATE(O364,60))</f>
        <v/>
      </c>
      <c r="Q364" s="41" t="str">
        <f aca="false">IF(AND(K364&lt;&gt;"",F364&lt;&gt;"",K364&gt;F364),"Да","")</f>
        <v/>
      </c>
      <c r="R364" s="41" t="str">
        <f aca="true">IF(C364="","",IF(M364="","Нет сведений",IF(M364&lt;TODAY(),"Просрочен",IF(M364-TODAY()&lt;=30,"Истекает","В срок"))))</f>
        <v>В срок</v>
      </c>
      <c r="S364" s="41" t="str">
        <f aca="false">IF(AND(N364="Да",O364=""),"Не пройдено","")</f>
        <v/>
      </c>
    </row>
    <row r="365" customFormat="false" ht="14.25" hidden="false" customHeight="false" outlineLevel="0" collapsed="false">
      <c r="A365" s="35" t="n">
        <f aca="false">IF(C365="","",ROW()-5)</f>
        <v>360</v>
      </c>
      <c r="B365" s="36" t="s">
        <v>107</v>
      </c>
      <c r="C365" s="36" t="s">
        <v>616</v>
      </c>
      <c r="D365" s="36" t="s">
        <v>395</v>
      </c>
      <c r="E365" s="36" t="s">
        <v>372</v>
      </c>
      <c r="F365" s="37" t="n">
        <v>46267</v>
      </c>
      <c r="G365" s="38" t="str">
        <f aca="false">IF(C365="","",IF(TRIM(SUBSTITUTE(SUBSTITUTE(SUBSTITUTE(SUBSTITUTE(SUBSTITUTE(SUBSTITUTE(SUBSTITUTE(SUBSTITUTE(SUBSTITUTE(SUBSTITUTE(SUBSTITUTE(LOWER(TRIM(D365)),"ё","е"),"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категории",""))="инженер",IF(AND(ISNUMBER(SEARCH("техническ",E365)),ISNUMBER(SEARCH("контрол",E365))),"инженер отк",IF(ISNUMBER(SEARCH("диспетч",E365)),"инженер пдо",TRIM(SUBSTITUTE(SUBSTITUTE(SUBSTITUTE(SUBSTITUTE(SUBSTITUTE(SUBSTITUTE(SUBSTITUTE(SUBSTITUTE(SUBSTITUTE(SUBSTITUTE(SUBSTITUTE(LOWER(TRIM(D365)),"ё","е"),"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инженер",IF(ISNUMBER(SEARCH("диспетч",E365)),"ведущий инженер пдо",TRIM(SUBSTITUTE(SUBSTITUTE(SUBSTITUTE(SUBSTITUTE(SUBSTITUTE(SUBSTITUTE(SUBSTITUTE(SUBSTITUTE(SUBSTITUTE(SUBSTITUTE(SUBSTITUTE(LOWER(TRIM(D365)),"ё","е"),"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отк",TRIM(SUBSTITUTE(SUBSTITUTE(SUBSTITUTE(SUBSTITUTE(SUBSTITUTE(SUBSTITUTE(SUBSTITUTE(SUBSTITUTE(SUBSTITUTE(SUBSTITUTE(SUBSTITUTE(LOWER(TRIM(D365)),"ё","е")," -","-"),"- ","-")," 2 разряда","")," 3 разряда","")," 4 разряда","")," 5 разряда","")," 6 разряда","")," 1 категории","")," 2 категории","")," 3 категории",""))))))</f>
        <v>техник</v>
      </c>
      <c r="H365" s="35" t="n">
        <f aca="false">IF(C365="","",IF(AND(G365="мастер участка",ISNUMBER(SEARCH("РЭО",E365))),29,IFERROR(INDEX(Соответствие!$B$2:$B$100,MATCH(G365,Соответствие!$A$2:$A$100,0)),"?")))</f>
        <v>36</v>
      </c>
      <c r="I365" s="39" t="str">
        <f aca="false">IF(C365="","",IFERROR(INDEX(Перечень!$C$6:$C$52,MATCH(H365,Перечень!$A$6:$A$52,0)),""))</f>
        <v>п.1.14.2, п.1.36, п.1.37.1, п.1.45.1, п.1.45.2, п.1.50, п.4.3.1, п.4.4, п.5.1, п.17</v>
      </c>
      <c r="J365" s="35" t="n">
        <f aca="false">IF(C365="","",IFERROR(INDEX(Перечень!$D$6:$D$52,MATCH(H365,Перечень!$A$6:$A$52,0)),12))</f>
        <v>12</v>
      </c>
      <c r="K365" s="40" t="n">
        <v>46262</v>
      </c>
      <c r="L365" s="40"/>
      <c r="M365" s="37" t="n">
        <f aca="false">IF(AND(K365="",L365=""),"",EDATE(MAX(K365,L365),J365))</f>
        <v>46627</v>
      </c>
      <c r="N365" s="41" t="str">
        <f aca="false">IF(C365="","",IFERROR(INDEX(Перечень!$F$6:$F$52,MATCH(H365,Перечень!$A$6:$A$52,0)),""))</f>
        <v>-</v>
      </c>
      <c r="O365" s="40"/>
      <c r="P365" s="37" t="str">
        <f aca="false">IF(O365="","",EDATE(O365,60))</f>
        <v/>
      </c>
      <c r="Q365" s="41" t="str">
        <f aca="false">IF(AND(K365&lt;&gt;"",F365&lt;&gt;"",K365&gt;F365),"Да","")</f>
        <v/>
      </c>
      <c r="R365" s="41" t="str">
        <f aca="true">IF(C365="","",IF(M365="","Нет сведений",IF(M365&lt;TODAY(),"Просрочен",IF(M365-TODAY()&lt;=30,"Истекает","В срок"))))</f>
        <v>В срок</v>
      </c>
      <c r="S365" s="41" t="str">
        <f aca="false">IF(AND(N365="Да",O365=""),"Не пройдено","")</f>
        <v/>
      </c>
    </row>
    <row r="366" customFormat="false" ht="14.25" hidden="false" customHeight="false" outlineLevel="0" collapsed="false">
      <c r="A366" s="35" t="n">
        <f aca="false">IF(C366="","",ROW()-5)</f>
        <v>361</v>
      </c>
      <c r="B366" s="36" t="s">
        <v>107</v>
      </c>
      <c r="C366" s="36" t="s">
        <v>617</v>
      </c>
      <c r="D366" s="36" t="s">
        <v>241</v>
      </c>
      <c r="E366" s="36" t="s">
        <v>274</v>
      </c>
      <c r="F366" s="37" t="n">
        <v>46290</v>
      </c>
      <c r="G366" s="38" t="str">
        <f aca="false">IF(C366="","",IF(TRIM(SUBSTITUTE(SUBSTITUTE(SUBSTITUTE(SUBSTITUTE(SUBSTITUTE(SUBSTITUTE(SUBSTITUTE(SUBSTITUTE(SUBSTITUTE(SUBSTITUTE(SUBSTITUTE(LOWER(TRIM(D366)),"ё","е"),"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категории",""))="инженер",IF(AND(ISNUMBER(SEARCH("техническ",E366)),ISNUMBER(SEARCH("контрол",E366))),"инженер отк",IF(ISNUMBER(SEARCH("диспетч",E366)),"инженер пдо",TRIM(SUBSTITUTE(SUBSTITUTE(SUBSTITUTE(SUBSTITUTE(SUBSTITUTE(SUBSTITUTE(SUBSTITUTE(SUBSTITUTE(SUBSTITUTE(SUBSTITUTE(SUBSTITUTE(LOWER(TRIM(D366)),"ё","е"),"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инженер",IF(ISNUMBER(SEARCH("диспетч",E366)),"ведущий инженер пдо",TRIM(SUBSTITUTE(SUBSTITUTE(SUBSTITUTE(SUBSTITUTE(SUBSTITUTE(SUBSTITUTE(SUBSTITUTE(SUBSTITUTE(SUBSTITUTE(SUBSTITUTE(SUBSTITUTE(LOWER(TRIM(D366)),"ё","е"),"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отк",TRIM(SUBSTITUTE(SUBSTITUTE(SUBSTITUTE(SUBSTITUTE(SUBSTITUTE(SUBSTITUTE(SUBSTITUTE(SUBSTITUTE(SUBSTITUTE(SUBSTITUTE(SUBSTITUTE(LOWER(TRIM(D366)),"ё","е")," -","-"),"- ","-")," 2 разряда","")," 3 разряда","")," 4 разряда","")," 5 разряда","")," 6 разряда","")," 1 категории","")," 2 категории","")," 3 категории",""))))))</f>
        <v>мастер участка</v>
      </c>
      <c r="H366" s="35" t="n">
        <f aca="false">IF(C366="","",IF(AND(G366="мастер участка",ISNUMBER(SEARCH("РЭО",E366))),29,IFERROR(INDEX(Соответствие!$B$2:$B$100,MATCH(G366,Соответствие!$A$2:$A$100,0)),"?")))</f>
        <v>18</v>
      </c>
      <c r="I366" s="39" t="str">
        <f aca="false">IF(C366="","",IFERROR(INDEX(Перечень!$C$6:$C$52,MATCH(H366,Перечень!$A$6:$A$52,0)),""))</f>
        <v>п.4.4, п.5.2</v>
      </c>
      <c r="J366" s="35" t="n">
        <f aca="false">IF(C366="","",IFERROR(INDEX(Перечень!$D$6:$D$52,MATCH(H366,Перечень!$A$6:$A$52,0)),12))</f>
        <v>12</v>
      </c>
      <c r="K366" s="40" t="n">
        <v>46286</v>
      </c>
      <c r="L366" s="40"/>
      <c r="M366" s="37" t="n">
        <f aca="false">IF(AND(K366="",L366=""),"",EDATE(MAX(K366,L366),J366))</f>
        <v>46651</v>
      </c>
      <c r="N366" s="41" t="str">
        <f aca="false">IF(C366="","",IFERROR(INDEX(Перечень!$F$6:$F$52,MATCH(H366,Перечень!$A$6:$A$52,0)),""))</f>
        <v>-</v>
      </c>
      <c r="O366" s="40"/>
      <c r="P366" s="37" t="str">
        <f aca="false">IF(O366="","",EDATE(O366,60))</f>
        <v/>
      </c>
      <c r="Q366" s="41" t="str">
        <f aca="false">IF(AND(K366&lt;&gt;"",F366&lt;&gt;"",K366&gt;F366),"Да","")</f>
        <v/>
      </c>
      <c r="R366" s="41" t="str">
        <f aca="true">IF(C366="","",IF(M366="","Нет сведений",IF(M366&lt;TODAY(),"Просрочен",IF(M366-TODAY()&lt;=30,"Истекает","В срок"))))</f>
        <v>В срок</v>
      </c>
      <c r="S366" s="41" t="str">
        <f aca="false">IF(AND(N366="Да",O366=""),"Не пройдено","")</f>
        <v/>
      </c>
    </row>
    <row r="367" customFormat="false" ht="14.25" hidden="false" customHeight="false" outlineLevel="0" collapsed="false">
      <c r="A367" s="35" t="n">
        <f aca="false">IF(C367="","",ROW()-5)</f>
        <v>362</v>
      </c>
      <c r="B367" s="36" t="s">
        <v>107</v>
      </c>
      <c r="C367" s="36" t="s">
        <v>618</v>
      </c>
      <c r="D367" s="36" t="s">
        <v>328</v>
      </c>
      <c r="E367" s="36" t="s">
        <v>274</v>
      </c>
      <c r="F367" s="37" t="n">
        <v>46286</v>
      </c>
      <c r="G367" s="38" t="str">
        <f aca="false">IF(C367="","",IF(TRIM(SUBSTITUTE(SUBSTITUTE(SUBSTITUTE(SUBSTITUTE(SUBSTITUTE(SUBSTITUTE(SUBSTITUTE(SUBSTITUTE(SUBSTITUTE(SUBSTITUTE(SUBSTITUTE(LOWER(TRIM(D367)),"ё","е"),"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категории",""))="инженер",IF(AND(ISNUMBER(SEARCH("техническ",E367)),ISNUMBER(SEARCH("контрол",E367))),"инженер отк",IF(ISNUMBER(SEARCH("диспетч",E367)),"инженер пдо",TRIM(SUBSTITUTE(SUBSTITUTE(SUBSTITUTE(SUBSTITUTE(SUBSTITUTE(SUBSTITUTE(SUBSTITUTE(SUBSTITUTE(SUBSTITUTE(SUBSTITUTE(SUBSTITUTE(LOWER(TRIM(D367)),"ё","е"),"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инженер",IF(ISNUMBER(SEARCH("диспетч",E367)),"ведущий инженер пдо",TRIM(SUBSTITUTE(SUBSTITUTE(SUBSTITUTE(SUBSTITUTE(SUBSTITUTE(SUBSTITUTE(SUBSTITUTE(SUBSTITUTE(SUBSTITUTE(SUBSTITUTE(SUBSTITUTE(LOWER(TRIM(D367)),"ё","е"),"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отк",TRIM(SUBSTITUTE(SUBSTITUTE(SUBSTITUTE(SUBSTITUTE(SUBSTITUTE(SUBSTITUTE(SUBSTITUTE(SUBSTITUTE(SUBSTITUTE(SUBSTITUTE(SUBSTITUTE(LOWER(TRIM(D367)),"ё","е")," -","-"),"- ","-")," 2 разряда","")," 3 разряда","")," 4 разряда","")," 5 разряда","")," 6 разряда","")," 1 категории","")," 2 категории","")," 3 категории",""))))))</f>
        <v>оператор станков с чпу</v>
      </c>
      <c r="H367" s="35" t="n">
        <f aca="false">IF(C367="","",IF(AND(G367="мастер участка",ISNUMBER(SEARCH("РЭО",E367))),29,IFERROR(INDEX(Соответствие!$B$2:$B$100,MATCH(G367,Соответствие!$A$2:$A$100,0)),"?")))</f>
        <v>30</v>
      </c>
      <c r="I367" s="39" t="str">
        <f aca="false">IF(C367="","",IFERROR(INDEX(Перечень!$C$6:$C$52,MATCH(H367,Перечень!$A$6:$A$52,0)),""))</f>
        <v>п.4.3.1, п.4.3.2, п.4.4, п.5.1, п.5.2, п.15</v>
      </c>
      <c r="J367" s="35" t="n">
        <f aca="false">IF(C367="","",IFERROR(INDEX(Перечень!$D$6:$D$52,MATCH(H367,Перечень!$A$6:$A$52,0)),12))</f>
        <v>12</v>
      </c>
      <c r="K367" s="40" t="n">
        <v>46279</v>
      </c>
      <c r="L367" s="40"/>
      <c r="M367" s="37" t="n">
        <f aca="false">IF(AND(K367="",L367=""),"",EDATE(MAX(K367,L367),J367))</f>
        <v>46644</v>
      </c>
      <c r="N367" s="41" t="str">
        <f aca="false">IF(C367="","",IFERROR(INDEX(Перечень!$F$6:$F$52,MATCH(H367,Перечень!$A$6:$A$52,0)),""))</f>
        <v>-</v>
      </c>
      <c r="O367" s="40"/>
      <c r="P367" s="37" t="str">
        <f aca="false">IF(O367="","",EDATE(O367,60))</f>
        <v/>
      </c>
      <c r="Q367" s="41" t="str">
        <f aca="false">IF(AND(K367&lt;&gt;"",F367&lt;&gt;"",K367&gt;F367),"Да","")</f>
        <v/>
      </c>
      <c r="R367" s="41" t="str">
        <f aca="true">IF(C367="","",IF(M367="","Нет сведений",IF(M367&lt;TODAY(),"Просрочен",IF(M367-TODAY()&lt;=30,"Истекает","В срок"))))</f>
        <v>В срок</v>
      </c>
      <c r="S367" s="41" t="str">
        <f aca="false">IF(AND(N367="Да",O367=""),"Не пройдено","")</f>
        <v/>
      </c>
    </row>
    <row r="368" customFormat="false" ht="14.25" hidden="false" customHeight="false" outlineLevel="0" collapsed="false">
      <c r="A368" s="35" t="n">
        <f aca="false">IF(C368="","",ROW()-5)</f>
        <v>363</v>
      </c>
      <c r="B368" s="36" t="s">
        <v>107</v>
      </c>
      <c r="C368" s="36" t="s">
        <v>619</v>
      </c>
      <c r="D368" s="36" t="s">
        <v>620</v>
      </c>
      <c r="E368" s="36" t="s">
        <v>274</v>
      </c>
      <c r="F368" s="37" t="n">
        <v>46296</v>
      </c>
      <c r="G368" s="38" t="str">
        <f aca="false">IF(C368="","",IF(TRIM(SUBSTITUTE(SUBSTITUTE(SUBSTITUTE(SUBSTITUTE(SUBSTITUTE(SUBSTITUTE(SUBSTITUTE(SUBSTITUTE(SUBSTITUTE(SUBSTITUTE(SUBSTITUTE(LOWER(TRIM(D368)),"ё","е"),"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категории",""))="инженер",IF(AND(ISNUMBER(SEARCH("техническ",E368)),ISNUMBER(SEARCH("контрол",E368))),"инженер отк",IF(ISNUMBER(SEARCH("диспетч",E368)),"инженер пдо",TRIM(SUBSTITUTE(SUBSTITUTE(SUBSTITUTE(SUBSTITUTE(SUBSTITUTE(SUBSTITUTE(SUBSTITUTE(SUBSTITUTE(SUBSTITUTE(SUBSTITUTE(SUBSTITUTE(LOWER(TRIM(D368)),"ё","е"),"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инженер",IF(ISNUMBER(SEARCH("диспетч",E368)),"ведущий инженер пдо",TRIM(SUBSTITUTE(SUBSTITUTE(SUBSTITUTE(SUBSTITUTE(SUBSTITUTE(SUBSTITUTE(SUBSTITUTE(SUBSTITUTE(SUBSTITUTE(SUBSTITUTE(SUBSTITUTE(LOWER(TRIM(D368)),"ё","е"),"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отк",TRIM(SUBSTITUTE(SUBSTITUTE(SUBSTITUTE(SUBSTITUTE(SUBSTITUTE(SUBSTITUTE(SUBSTITUTE(SUBSTITUTE(SUBSTITUTE(SUBSTITUTE(SUBSTITUTE(LOWER(TRIM(D368)),"ё","е")," -","-"),"- ","-")," 2 разряда","")," 3 разряда","")," 4 разряда","")," 5 разряда","")," 6 разряда","")," 1 категории","")," 2 категории","")," 3 категории",""))))))</f>
        <v>оператор станков с чпу</v>
      </c>
      <c r="H368" s="35" t="n">
        <f aca="false">IF(C368="","",IF(AND(G368="мастер участка",ISNUMBER(SEARCH("РЭО",E368))),29,IFERROR(INDEX(Соответствие!$B$2:$B$100,MATCH(G368,Соответствие!$A$2:$A$100,0)),"?")))</f>
        <v>30</v>
      </c>
      <c r="I368" s="39" t="str">
        <f aca="false">IF(C368="","",IFERROR(INDEX(Перечень!$C$6:$C$52,MATCH(H368,Перечень!$A$6:$A$52,0)),""))</f>
        <v>п.4.3.1, п.4.3.2, п.4.4, п.5.1, п.5.2, п.15</v>
      </c>
      <c r="J368" s="35" t="n">
        <f aca="false">IF(C368="","",IFERROR(INDEX(Перечень!$D$6:$D$52,MATCH(H368,Перечень!$A$6:$A$52,0)),12))</f>
        <v>12</v>
      </c>
      <c r="K368" s="40" t="n">
        <v>46287</v>
      </c>
      <c r="L368" s="40"/>
      <c r="M368" s="37" t="n">
        <f aca="false">IF(AND(K368="",L368=""),"",EDATE(MAX(K368,L368),J368))</f>
        <v>46652</v>
      </c>
      <c r="N368" s="41" t="str">
        <f aca="false">IF(C368="","",IFERROR(INDEX(Перечень!$F$6:$F$52,MATCH(H368,Перечень!$A$6:$A$52,0)),""))</f>
        <v>-</v>
      </c>
      <c r="O368" s="40"/>
      <c r="P368" s="37" t="str">
        <f aca="false">IF(O368="","",EDATE(O368,60))</f>
        <v/>
      </c>
      <c r="Q368" s="41" t="str">
        <f aca="false">IF(AND(K368&lt;&gt;"",F368&lt;&gt;"",K368&gt;F368),"Да","")</f>
        <v/>
      </c>
      <c r="R368" s="41" t="str">
        <f aca="true">IF(C368="","",IF(M368="","Нет сведений",IF(M368&lt;TODAY(),"Просрочен",IF(M368-TODAY()&lt;=30,"Истекает","В срок"))))</f>
        <v>В срок</v>
      </c>
      <c r="S368" s="41" t="str">
        <f aca="false">IF(AND(N368="Да",O368=""),"Не пройдено","")</f>
        <v/>
      </c>
    </row>
    <row r="369" customFormat="false" ht="14.25" hidden="false" customHeight="false" outlineLevel="0" collapsed="false">
      <c r="A369" s="35" t="n">
        <f aca="false">IF(C369="","",ROW()-5)</f>
        <v>364</v>
      </c>
      <c r="B369" s="36" t="s">
        <v>109</v>
      </c>
      <c r="C369" s="36" t="s">
        <v>621</v>
      </c>
      <c r="D369" s="36" t="s">
        <v>622</v>
      </c>
      <c r="E369" s="36" t="s">
        <v>402</v>
      </c>
      <c r="F369" s="37" t="n">
        <v>46296</v>
      </c>
      <c r="G369" s="38" t="str">
        <f aca="false">IF(C369="","",IF(TRIM(SUBSTITUTE(SUBSTITUTE(SUBSTITUTE(SUBSTITUTE(SUBSTITUTE(SUBSTITUTE(SUBSTITUTE(SUBSTITUTE(SUBSTITUTE(SUBSTITUTE(SUBSTITUTE(LOWER(TRIM(D369)),"ё","е"),"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категории",""))="инженер",IF(AND(ISNUMBER(SEARCH("техническ",E369)),ISNUMBER(SEARCH("контрол",E369))),"инженер отк",IF(ISNUMBER(SEARCH("диспетч",E369)),"инженер пдо",TRIM(SUBSTITUTE(SUBSTITUTE(SUBSTITUTE(SUBSTITUTE(SUBSTITUTE(SUBSTITUTE(SUBSTITUTE(SUBSTITUTE(SUBSTITUTE(SUBSTITUTE(SUBSTITUTE(LOWER(TRIM(D369)),"ё","е"),"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категории","")))),IF(TRIM(SUBSTITUTE(SUBSTITUTE(SUBSTITUTE(SUBSTITUTE(SUBSTITUTE(SUBSTITUTE(SUBSTITUTE(SUBSTITUTE(SUBSTITUTE(SUBSTITUTE(SUBSTITUTE(LOWER(TRIM(D369)),"ё","е"),"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инженер",IF(ISNUMBER(SEARCH("диспетч",E369)),"ведущий инженер пдо",TRIM(SUBSTITUTE(SUBSTITUTE(SUBSTITUTE(SUBSTITUTE(SUBSTITUTE(SUBSTITUTE(SUBSTITUTE(SUBSTITUTE(SUBSTITUTE(SUBSTITUTE(SUBSTITUTE(LOWER(TRIM(D369)),"ё","е"),"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категории",""))),IF(TRIM(SUBSTITUTE(SUBSTITUTE(SUBSTITUTE(SUBSTITUTE(SUBSTITUTE(SUBSTITUTE(SUBSTITUTE(SUBSTITUTE(SUBSTITUTE(SUBSTITUTE(SUBSTITUTE(LOWER(TRIM(D369)),"ё","е"),"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отк",TRIM(SUBSTITUTE(SUBSTITUTE(SUBSTITUTE(SUBSTITUTE(SUBSTITUTE(SUBSTITUTE(SUBSTITUTE(SUBSTITUTE(SUBSTITUTE(SUBSTITUTE(SUBSTITUTE(LOWER(TRIM(D369)),"ё","е")," -","-"),"- ","-")," 2 разряда","")," 3 разряда","")," 4 разряда","")," 5 разряда","")," 6 разряда","")," 1 категории","")," 2 категории","")," 3 категории",""))))))</f>
        <v>инженер-механик</v>
      </c>
      <c r="H369" s="35" t="n">
        <f aca="false">IF(C369="","",IF(AND(G369="мастер участка",ISNUMBER(SEARCH("РЭО",E369))),29,IFERROR(INDEX(Соответствие!$B$2:$B$100,MATCH(G369,Соответствие!$A$2:$A$100,0)),"?")))</f>
        <v>11</v>
      </c>
      <c r="I369" s="39" t="str">
        <f aca="false">IF(C369="","",IFERROR(INDEX(Перечень!$C$6:$C$52,MATCH(H369,Перечень!$A$6:$A$52,0)),""))</f>
        <v>п.4.3.1, п.4.3.2, п.4.4, п.4.6, п.5.1, п.6.2</v>
      </c>
      <c r="J369" s="35" t="n">
        <f aca="false">IF(C369="","",IFERROR(INDEX(Перечень!$D$6:$D$52,MATCH(H369,Перечень!$A$6:$A$52,0)),12))</f>
        <v>12</v>
      </c>
      <c r="K369" s="40" t="n">
        <v>46287</v>
      </c>
      <c r="L369" s="40"/>
      <c r="M369" s="37" t="n">
        <f aca="false">IF(AND(K369="",L369=""),"",EDATE(MAX(K369,L369),J369))</f>
        <v>46652</v>
      </c>
      <c r="N369" s="41" t="str">
        <f aca="false">IF(C369="","",IFERROR(INDEX(Перечень!$F$6:$F$52,MATCH(H369,Перечень!$A$6:$A$52,0)),""))</f>
        <v>-</v>
      </c>
      <c r="O369" s="40"/>
      <c r="P369" s="37" t="str">
        <f aca="false">IF(O369="","",EDATE(O369,60))</f>
        <v/>
      </c>
      <c r="Q369" s="41" t="str">
        <f aca="false">IF(AND(K369&lt;&gt;"",F369&lt;&gt;"",K369&gt;F369),"Да","")</f>
        <v/>
      </c>
      <c r="R369" s="41" t="str">
        <f aca="true">IF(C369="","",IF(M369="","Нет сведений",IF(M369&lt;TODAY(),"Просрочен",IF(M369-TODAY()&lt;=30,"Истекает","В срок"))))</f>
        <v>В срок</v>
      </c>
      <c r="S369" s="41" t="str">
        <f aca="false">IF(AND(N369="Да",O369=""),"Не пройдено","")</f>
        <v/>
      </c>
    </row>
    <row r="370" customFormat="false" ht="14.25" hidden="false" customHeight="false" outlineLevel="0" collapsed="false">
      <c r="A370" s="35" t="n">
        <f aca="false">IF(C370="","",ROW()-5)</f>
        <v>365</v>
      </c>
      <c r="B370" s="36" t="s">
        <v>109</v>
      </c>
      <c r="C370" s="36" t="s">
        <v>623</v>
      </c>
      <c r="D370" s="36" t="s">
        <v>206</v>
      </c>
      <c r="E370" s="36" t="s">
        <v>251</v>
      </c>
      <c r="F370" s="37" t="n">
        <v>46297</v>
      </c>
      <c r="G370" s="38" t="str">
        <f aca="false">IF(C370="","",IF(TRIM(SUBSTITUTE(SUBSTITUTE(SUBSTITUTE(SUBSTITUTE(SUBSTITUTE(SUBSTITUTE(SUBSTITUTE(SUBSTITUTE(SUBSTITUTE(SUBSTITUTE(SUBSTITUTE(LOWER(TRIM(D370)),"ё","е"),"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категории",""))="инженер",IF(AND(ISNUMBER(SEARCH("техническ",E370)),ISNUMBER(SEARCH("контрол",E370))),"инженер отк",IF(ISNUMBER(SEARCH("диспетч",E370)),"инженер пдо",TRIM(SUBSTITUTE(SUBSTITUTE(SUBSTITUTE(SUBSTITUTE(SUBSTITUTE(SUBSTITUTE(SUBSTITUTE(SUBSTITUTE(SUBSTITUTE(SUBSTITUTE(SUBSTITUTE(LOWER(TRIM(D370)),"ё","е"),"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категории","")))),IF(TRIM(SUBSTITUTE(SUBSTITUTE(SUBSTITUTE(SUBSTITUTE(SUBSTITUTE(SUBSTITUTE(SUBSTITUTE(SUBSTITUTE(SUBSTITUTE(SUBSTITUTE(SUBSTITUTE(LOWER(TRIM(D370)),"ё","е"),"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инженер",IF(ISNUMBER(SEARCH("диспетч",E370)),"ведущий инженер пдо",TRIM(SUBSTITUTE(SUBSTITUTE(SUBSTITUTE(SUBSTITUTE(SUBSTITUTE(SUBSTITUTE(SUBSTITUTE(SUBSTITUTE(SUBSTITUTE(SUBSTITUTE(SUBSTITUTE(LOWER(TRIM(D370)),"ё","е"),"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категории",""))),IF(TRIM(SUBSTITUTE(SUBSTITUTE(SUBSTITUTE(SUBSTITUTE(SUBSTITUTE(SUBSTITUTE(SUBSTITUTE(SUBSTITUTE(SUBSTITUTE(SUBSTITUTE(SUBSTITUTE(LOWER(TRIM(D370)),"ё","е"),"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отк",TRIM(SUBSTITUTE(SUBSTITUTE(SUBSTITUTE(SUBSTITUTE(SUBSTITUTE(SUBSTITUTE(SUBSTITUTE(SUBSTITUTE(SUBSTITUTE(SUBSTITUTE(SUBSTITUTE(LOWER(TRIM(D370)),"ё","е")," -","-"),"- ","-")," 2 разряда","")," 3 разряда","")," 4 разряда","")," 5 разряда","")," 6 разряда","")," 1 категории","")," 2 категории","")," 3 категории",""))))))</f>
        <v>кладовщик</v>
      </c>
      <c r="H370" s="35" t="n">
        <f aca="false">IF(C370="","",IF(AND(G370="мастер участка",ISNUMBER(SEARCH("РЭО",E370))),29,IFERROR(INDEX(Соответствие!$B$2:$B$100,MATCH(G370,Соответствие!$A$2:$A$100,0)),"?")))</f>
        <v>14</v>
      </c>
      <c r="I370" s="39" t="str">
        <f aca="false">IF(C370="","",IFERROR(INDEX(Перечень!$C$6:$C$52,MATCH(H370,Перечень!$A$6:$A$52,0)),""))</f>
        <v>п.4.4, п.5.1, п.6.2</v>
      </c>
      <c r="J370" s="35" t="n">
        <f aca="false">IF(C370="","",IFERROR(INDEX(Перечень!$D$6:$D$52,MATCH(H370,Перечень!$A$6:$A$52,0)),12))</f>
        <v>12</v>
      </c>
      <c r="K370" s="40" t="n">
        <v>46294</v>
      </c>
      <c r="L370" s="40"/>
      <c r="M370" s="37" t="n">
        <f aca="false">IF(AND(K370="",L370=""),"",EDATE(MAX(K370,L370),J370))</f>
        <v>46659</v>
      </c>
      <c r="N370" s="41" t="str">
        <f aca="false">IF(C370="","",IFERROR(INDEX(Перечень!$F$6:$F$52,MATCH(H370,Перечень!$A$6:$A$52,0)),""))</f>
        <v>-</v>
      </c>
      <c r="O370" s="40"/>
      <c r="P370" s="37" t="str">
        <f aca="false">IF(O370="","",EDATE(O370,60))</f>
        <v/>
      </c>
      <c r="Q370" s="41" t="str">
        <f aca="false">IF(AND(K370&lt;&gt;"",F370&lt;&gt;"",K370&gt;F370),"Да","")</f>
        <v/>
      </c>
      <c r="R370" s="41" t="str">
        <f aca="true">IF(C370="","",IF(M370="","Нет сведений",IF(M370&lt;TODAY(),"Просрочен",IF(M370-TODAY()&lt;=30,"Истекает","В срок"))))</f>
        <v>В срок</v>
      </c>
      <c r="S370" s="41" t="str">
        <f aca="false">IF(AND(N370="Да",O370=""),"Не пройдено","")</f>
        <v/>
      </c>
    </row>
    <row r="371" customFormat="false" ht="14.25" hidden="false" customHeight="false" outlineLevel="0" collapsed="false">
      <c r="A371" s="35" t="n">
        <f aca="false">IF(C371="","",ROW()-5)</f>
        <v>366</v>
      </c>
      <c r="B371" s="36" t="s">
        <v>104</v>
      </c>
      <c r="C371" s="36" t="s">
        <v>624</v>
      </c>
      <c r="D371" s="36" t="s">
        <v>500</v>
      </c>
      <c r="E371" s="36" t="s">
        <v>209</v>
      </c>
      <c r="F371" s="37" t="n">
        <v>46293</v>
      </c>
      <c r="G371" s="38" t="str">
        <f aca="false">IF(C371="","",IF(TRIM(SUBSTITUTE(SUBSTITUTE(SUBSTITUTE(SUBSTITUTE(SUBSTITUTE(SUBSTITUTE(SUBSTITUTE(SUBSTITUTE(SUBSTITUTE(SUBSTITUTE(SUBSTITUTE(LOWER(TRIM(D371)),"ё","е"),"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категории",""))="инженер",IF(AND(ISNUMBER(SEARCH("техническ",E371)),ISNUMBER(SEARCH("контрол",E371))),"инженер отк",IF(ISNUMBER(SEARCH("диспетч",E371)),"инженер пдо",TRIM(SUBSTITUTE(SUBSTITUTE(SUBSTITUTE(SUBSTITUTE(SUBSTITUTE(SUBSTITUTE(SUBSTITUTE(SUBSTITUTE(SUBSTITUTE(SUBSTITUTE(SUBSTITUTE(LOWER(TRIM(D371)),"ё","е"),"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категории","")))),IF(TRIM(SUBSTITUTE(SUBSTITUTE(SUBSTITUTE(SUBSTITUTE(SUBSTITUTE(SUBSTITUTE(SUBSTITUTE(SUBSTITUTE(SUBSTITUTE(SUBSTITUTE(SUBSTITUTE(LOWER(TRIM(D371)),"ё","е"),"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инженер",IF(ISNUMBER(SEARCH("диспетч",E371)),"ведущий инженер пдо",TRIM(SUBSTITUTE(SUBSTITUTE(SUBSTITUTE(SUBSTITUTE(SUBSTITUTE(SUBSTITUTE(SUBSTITUTE(SUBSTITUTE(SUBSTITUTE(SUBSTITUTE(SUBSTITUTE(LOWER(TRIM(D371)),"ё","е"),"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категории",""))),IF(TRIM(SUBSTITUTE(SUBSTITUTE(SUBSTITUTE(SUBSTITUTE(SUBSTITUTE(SUBSTITUTE(SUBSTITUTE(SUBSTITUTE(SUBSTITUTE(SUBSTITUTE(SUBSTITUTE(LOWER(TRIM(D371)),"ё","е"),"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отк",TRIM(SUBSTITUTE(SUBSTITUTE(SUBSTITUTE(SUBSTITUTE(SUBSTITUTE(SUBSTITUTE(SUBSTITUTE(SUBSTITUTE(SUBSTITUTE(SUBSTITUTE(SUBSTITUTE(LOWER(TRIM(D371)),"ё","е")," -","-"),"- ","-")," 2 разряда","")," 3 разряда","")," 4 разряда","")," 5 разряда","")," 6 разряда","")," 1 категории","")," 2 категории","")," 3 категории",""))))))</f>
        <v>электромонтажник</v>
      </c>
      <c r="H371" s="35" t="n">
        <f aca="false">IF(C371="","",IF(AND(G371="мастер участка",ISNUMBER(SEARCH("РЭО",E371))),29,IFERROR(INDEX(Соответствие!$B$2:$B$100,MATCH(G371,Соответствие!$A$2:$A$100,0)),"?")))</f>
        <v>20</v>
      </c>
      <c r="I371" s="39" t="str">
        <f aca="false">IF(C371="","",IFERROR(INDEX(Перечень!$C$6:$C$52,MATCH(H371,Перечень!$A$6:$A$52,0)),""))</f>
        <v>п.4.3.1, п.4.3.2, п.4.4, п.4.9, п.5.1, п.5.2, п.6.2, п.9</v>
      </c>
      <c r="J371" s="35" t="n">
        <f aca="false">IF(C371="","",IFERROR(INDEX(Перечень!$D$6:$D$52,MATCH(H371,Перечень!$A$6:$A$52,0)),12))</f>
        <v>12</v>
      </c>
      <c r="K371" s="40"/>
      <c r="L371" s="40"/>
      <c r="M371" s="37" t="str">
        <f aca="false">IF(AND(K371="",L371=""),"",EDATE(MAX(K371,L371),J371))</f>
        <v/>
      </c>
      <c r="N371" s="41" t="str">
        <f aca="false">IF(C371="","",IFERROR(INDEX(Перечень!$F$6:$F$52,MATCH(H371,Перечень!$A$6:$A$52,0)),""))</f>
        <v>Да</v>
      </c>
      <c r="O371" s="40"/>
      <c r="P371" s="37" t="str">
        <f aca="false">IF(O371="","",EDATE(O371,60))</f>
        <v/>
      </c>
      <c r="Q371" s="41" t="str">
        <f aca="false">IF(AND(K371&lt;&gt;"",F371&lt;&gt;"",K371&gt;F371),"Да","")</f>
        <v/>
      </c>
      <c r="R371" s="41" t="str">
        <f aca="true">IF(C371="","",IF(M371="","Нет сведений",IF(M371&lt;TODAY(),"Просрочен",IF(M371-TODAY()&lt;=30,"Истекает","В срок"))))</f>
        <v>Нет сведений</v>
      </c>
      <c r="S371" s="41" t="str">
        <f aca="false">IF(AND(N371="Да",O371=""),"Не пройдено","")</f>
        <v>Не пройдено</v>
      </c>
    </row>
    <row r="372" customFormat="false" ht="14.25" hidden="false" customHeight="false" outlineLevel="0" collapsed="false">
      <c r="A372" s="35" t="n">
        <f aca="false">IF(C372="","",ROW()-5)</f>
        <v>367</v>
      </c>
      <c r="B372" s="36" t="s">
        <v>104</v>
      </c>
      <c r="C372" s="36" t="s">
        <v>625</v>
      </c>
      <c r="D372" s="36" t="s">
        <v>168</v>
      </c>
      <c r="E372" s="36" t="s">
        <v>184</v>
      </c>
      <c r="F372" s="37" t="n">
        <v>46296</v>
      </c>
      <c r="G372" s="38" t="str">
        <f aca="false">IF(C372="","",IF(TRIM(SUBSTITUTE(SUBSTITUTE(SUBSTITUTE(SUBSTITUTE(SUBSTITUTE(SUBSTITUTE(SUBSTITUTE(SUBSTITUTE(SUBSTITUTE(SUBSTITUTE(SUBSTITUTE(LOWER(TRIM(D372)),"ё","е"),"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категории",""))="инженер",IF(AND(ISNUMBER(SEARCH("техническ",E372)),ISNUMBER(SEARCH("контрол",E372))),"инженер отк",IF(ISNUMBER(SEARCH("диспетч",E372)),"инженер пдо",TRIM(SUBSTITUTE(SUBSTITUTE(SUBSTITUTE(SUBSTITUTE(SUBSTITUTE(SUBSTITUTE(SUBSTITUTE(SUBSTITUTE(SUBSTITUTE(SUBSTITUTE(SUBSTITUTE(LOWER(TRIM(D372)),"ё","е"),"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категории","")))),IF(TRIM(SUBSTITUTE(SUBSTITUTE(SUBSTITUTE(SUBSTITUTE(SUBSTITUTE(SUBSTITUTE(SUBSTITUTE(SUBSTITUTE(SUBSTITUTE(SUBSTITUTE(SUBSTITUTE(LOWER(TRIM(D372)),"ё","е"),"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инженер",IF(ISNUMBER(SEARCH("диспетч",E372)),"ведущий инженер пдо",TRIM(SUBSTITUTE(SUBSTITUTE(SUBSTITUTE(SUBSTITUTE(SUBSTITUTE(SUBSTITUTE(SUBSTITUTE(SUBSTITUTE(SUBSTITUTE(SUBSTITUTE(SUBSTITUTE(LOWER(TRIM(D372)),"ё","е"),"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категории",""))),IF(TRIM(SUBSTITUTE(SUBSTITUTE(SUBSTITUTE(SUBSTITUTE(SUBSTITUTE(SUBSTITUTE(SUBSTITUTE(SUBSTITUTE(SUBSTITUTE(SUBSTITUTE(SUBSTITUTE(LOWER(TRIM(D372)),"ё","е"),"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отк",TRIM(SUBSTITUTE(SUBSTITUTE(SUBSTITUTE(SUBSTITUTE(SUBSTITUTE(SUBSTITUTE(SUBSTITUTE(SUBSTITUTE(SUBSTITUTE(SUBSTITUTE(SUBSTITUTE(LOWER(TRIM(D372)),"ё","е"),"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72" s="35" t="n">
        <f aca="false">IF(C372="","",IF(AND(G372="мастер участка",ISNUMBER(SEARCH("РЭО",E372))),29,IFERROR(INDEX(Соответствие!$B$2:$B$100,MATCH(G372,Соответствие!$A$2:$A$100,0)),"?")))</f>
        <v>19</v>
      </c>
      <c r="I372" s="39" t="str">
        <f aca="false">IF(C372="","",IFERROR(INDEX(Перечень!$C$6:$C$52,MATCH(H372,Перечень!$A$6:$A$52,0)),""))</f>
        <v>п.4.3.1, п.4.3.2, п.4.4, п.5.1, п.6.2, п.15</v>
      </c>
      <c r="J372" s="35" t="n">
        <f aca="false">IF(C372="","",IFERROR(INDEX(Перечень!$D$6:$D$52,MATCH(H372,Перечень!$A$6:$A$52,0)),12))</f>
        <v>12</v>
      </c>
      <c r="K372" s="40"/>
      <c r="L372" s="40"/>
      <c r="M372" s="37" t="str">
        <f aca="false">IF(AND(K372="",L372=""),"",EDATE(MAX(K372,L372),J372))</f>
        <v/>
      </c>
      <c r="N372" s="41" t="str">
        <f aca="false">IF(C372="","",IFERROR(INDEX(Перечень!$F$6:$F$52,MATCH(H372,Перечень!$A$6:$A$52,0)),""))</f>
        <v>-</v>
      </c>
      <c r="O372" s="40"/>
      <c r="P372" s="37" t="str">
        <f aca="false">IF(O372="","",EDATE(O372,60))</f>
        <v/>
      </c>
      <c r="Q372" s="41" t="str">
        <f aca="false">IF(AND(K372&lt;&gt;"",F372&lt;&gt;"",K372&gt;F372),"Да","")</f>
        <v/>
      </c>
      <c r="R372" s="41" t="str">
        <f aca="true">IF(C372="","",IF(M372="","Нет сведений",IF(M372&lt;TODAY(),"Просрочен",IF(M372-TODAY()&lt;=30,"Истекает","В срок"))))</f>
        <v>Нет сведений</v>
      </c>
      <c r="S372" s="41" t="str">
        <f aca="false">IF(AND(N372="Да",O372=""),"Не пройдено","")</f>
        <v/>
      </c>
    </row>
    <row r="373" customFormat="false" ht="14.25" hidden="false" customHeight="false" outlineLevel="0" collapsed="false">
      <c r="A373" s="35" t="n">
        <f aca="false">IF(C373="","",ROW()-5)</f>
        <v>368</v>
      </c>
      <c r="B373" s="36" t="s">
        <v>104</v>
      </c>
      <c r="C373" s="36" t="s">
        <v>626</v>
      </c>
      <c r="D373" s="36" t="s">
        <v>168</v>
      </c>
      <c r="E373" s="36" t="s">
        <v>184</v>
      </c>
      <c r="F373" s="37" t="n">
        <v>46286</v>
      </c>
      <c r="G373" s="38" t="str">
        <f aca="false">IF(C373="","",IF(TRIM(SUBSTITUTE(SUBSTITUTE(SUBSTITUTE(SUBSTITUTE(SUBSTITUTE(SUBSTITUTE(SUBSTITUTE(SUBSTITUTE(SUBSTITUTE(SUBSTITUTE(SUBSTITUTE(LOWER(TRIM(D373)),"ё","е"),"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категории",""))="инженер",IF(AND(ISNUMBER(SEARCH("техническ",E373)),ISNUMBER(SEARCH("контрол",E373))),"инженер отк",IF(ISNUMBER(SEARCH("диспетч",E373)),"инженер пдо",TRIM(SUBSTITUTE(SUBSTITUTE(SUBSTITUTE(SUBSTITUTE(SUBSTITUTE(SUBSTITUTE(SUBSTITUTE(SUBSTITUTE(SUBSTITUTE(SUBSTITUTE(SUBSTITUTE(LOWER(TRIM(D373)),"ё","е"),"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категории","")))),IF(TRIM(SUBSTITUTE(SUBSTITUTE(SUBSTITUTE(SUBSTITUTE(SUBSTITUTE(SUBSTITUTE(SUBSTITUTE(SUBSTITUTE(SUBSTITUTE(SUBSTITUTE(SUBSTITUTE(LOWER(TRIM(D373)),"ё","е"),"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инженер",IF(ISNUMBER(SEARCH("диспетч",E373)),"ведущий инженер пдо",TRIM(SUBSTITUTE(SUBSTITUTE(SUBSTITUTE(SUBSTITUTE(SUBSTITUTE(SUBSTITUTE(SUBSTITUTE(SUBSTITUTE(SUBSTITUTE(SUBSTITUTE(SUBSTITUTE(LOWER(TRIM(D373)),"ё","е"),"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категории",""))),IF(TRIM(SUBSTITUTE(SUBSTITUTE(SUBSTITUTE(SUBSTITUTE(SUBSTITUTE(SUBSTITUTE(SUBSTITUTE(SUBSTITUTE(SUBSTITUTE(SUBSTITUTE(SUBSTITUTE(LOWER(TRIM(D373)),"ё","е"),"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отк",TRIM(SUBSTITUTE(SUBSTITUTE(SUBSTITUTE(SUBSTITUTE(SUBSTITUTE(SUBSTITUTE(SUBSTITUTE(SUBSTITUTE(SUBSTITUTE(SUBSTITUTE(SUBSTITUTE(LOWER(TRIM(D373)),"ё","е")," -","-"),"- ","-")," 2 разряда","")," 3 разряда","")," 4 разряда","")," 5 разряда","")," 6 разряда","")," 1 категории","")," 2 категории","")," 3 категории",""))))))</f>
        <v>слесарь-сборщик</v>
      </c>
      <c r="H373" s="35" t="n">
        <f aca="false">IF(C373="","",IF(AND(G373="мастер участка",ISNUMBER(SEARCH("РЭО",E373))),29,IFERROR(INDEX(Соответствие!$B$2:$B$100,MATCH(G373,Соответствие!$A$2:$A$100,0)),"?")))</f>
        <v>19</v>
      </c>
      <c r="I373" s="39" t="str">
        <f aca="false">IF(C373="","",IFERROR(INDEX(Перечень!$C$6:$C$52,MATCH(H373,Перечень!$A$6:$A$52,0)),""))</f>
        <v>п.4.3.1, п.4.3.2, п.4.4, п.5.1, п.6.2, п.15</v>
      </c>
      <c r="J373" s="35" t="n">
        <f aca="false">IF(C373="","",IFERROR(INDEX(Перечень!$D$6:$D$52,MATCH(H373,Перечень!$A$6:$A$52,0)),12))</f>
        <v>12</v>
      </c>
      <c r="K373" s="40" t="n">
        <v>46276</v>
      </c>
      <c r="L373" s="40"/>
      <c r="M373" s="37" t="n">
        <f aca="false">IF(AND(K373="",L373=""),"",EDATE(MAX(K373,L373),J373))</f>
        <v>46641</v>
      </c>
      <c r="N373" s="41" t="str">
        <f aca="false">IF(C373="","",IFERROR(INDEX(Перечень!$F$6:$F$52,MATCH(H373,Перечень!$A$6:$A$52,0)),""))</f>
        <v>-</v>
      </c>
      <c r="O373" s="40"/>
      <c r="P373" s="37" t="str">
        <f aca="false">IF(O373="","",EDATE(O373,60))</f>
        <v/>
      </c>
      <c r="Q373" s="41" t="str">
        <f aca="false">IF(AND(K373&lt;&gt;"",F373&lt;&gt;"",K373&gt;F373),"Да","")</f>
        <v/>
      </c>
      <c r="R373" s="41" t="str">
        <f aca="true">IF(C373="","",IF(M373="","Нет сведений",IF(M373&lt;TODAY(),"Просрочен",IF(M373-TODAY()&lt;=30,"Истекает","В срок"))))</f>
        <v>В срок</v>
      </c>
      <c r="S373" s="41" t="str">
        <f aca="false">IF(AND(N373="Да",O373=""),"Не пройдено","")</f>
        <v/>
      </c>
    </row>
    <row r="374" customFormat="false" ht="14.25" hidden="false" customHeight="false" outlineLevel="0" collapsed="false">
      <c r="A374" s="35" t="n">
        <f aca="false">IF(C374="","",ROW()-5)</f>
        <v>369</v>
      </c>
      <c r="B374" s="36" t="s">
        <v>104</v>
      </c>
      <c r="C374" s="36" t="s">
        <v>627</v>
      </c>
      <c r="D374" s="36" t="s">
        <v>206</v>
      </c>
      <c r="E374" s="36" t="s">
        <v>207</v>
      </c>
      <c r="F374" s="37" t="n">
        <v>46269</v>
      </c>
      <c r="G374" s="38" t="str">
        <f aca="false">IF(C374="","",IF(TRIM(SUBSTITUTE(SUBSTITUTE(SUBSTITUTE(SUBSTITUTE(SUBSTITUTE(SUBSTITUTE(SUBSTITUTE(SUBSTITUTE(SUBSTITUTE(SUBSTITUTE(SUBSTITUTE(LOWER(TRIM(D374)),"ё","е"),"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категории",""))="инженер",IF(AND(ISNUMBER(SEARCH("техническ",E374)),ISNUMBER(SEARCH("контрол",E374))),"инженер отк",IF(ISNUMBER(SEARCH("диспетч",E374)),"инженер пдо",TRIM(SUBSTITUTE(SUBSTITUTE(SUBSTITUTE(SUBSTITUTE(SUBSTITUTE(SUBSTITUTE(SUBSTITUTE(SUBSTITUTE(SUBSTITUTE(SUBSTITUTE(SUBSTITUTE(LOWER(TRIM(D374)),"ё","е"),"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категории","")))),IF(TRIM(SUBSTITUTE(SUBSTITUTE(SUBSTITUTE(SUBSTITUTE(SUBSTITUTE(SUBSTITUTE(SUBSTITUTE(SUBSTITUTE(SUBSTITUTE(SUBSTITUTE(SUBSTITUTE(LOWER(TRIM(D374)),"ё","е"),"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инженер",IF(ISNUMBER(SEARCH("диспетч",E374)),"ведущий инженер пдо",TRIM(SUBSTITUTE(SUBSTITUTE(SUBSTITUTE(SUBSTITUTE(SUBSTITUTE(SUBSTITUTE(SUBSTITUTE(SUBSTITUTE(SUBSTITUTE(SUBSTITUTE(SUBSTITUTE(LOWER(TRIM(D374)),"ё","е"),"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категории",""))),IF(TRIM(SUBSTITUTE(SUBSTITUTE(SUBSTITUTE(SUBSTITUTE(SUBSTITUTE(SUBSTITUTE(SUBSTITUTE(SUBSTITUTE(SUBSTITUTE(SUBSTITUTE(SUBSTITUTE(LOWER(TRIM(D374)),"ё","е"),"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отк",TRIM(SUBSTITUTE(SUBSTITUTE(SUBSTITUTE(SUBSTITUTE(SUBSTITUTE(SUBSTITUTE(SUBSTITUTE(SUBSTITUTE(SUBSTITUTE(SUBSTITUTE(SUBSTITUTE(LOWER(TRIM(D374)),"ё","е")," -","-"),"- ","-")," 2 разряда","")," 3 разряда","")," 4 разряда","")," 5 разряда","")," 6 разряда","")," 1 категории","")," 2 категории","")," 3 категории",""))))))</f>
        <v>кладовщик</v>
      </c>
      <c r="H374" s="35" t="n">
        <f aca="false">IF(C374="","",IF(AND(G374="мастер участка",ISNUMBER(SEARCH("РЭО",E374))),29,IFERROR(INDEX(Соответствие!$B$2:$B$100,MATCH(G374,Соответствие!$A$2:$A$100,0)),"?")))</f>
        <v>14</v>
      </c>
      <c r="I374" s="39" t="str">
        <f aca="false">IF(C374="","",IFERROR(INDEX(Перечень!$C$6:$C$52,MATCH(H374,Перечень!$A$6:$A$52,0)),""))</f>
        <v>п.4.4, п.5.1, п.6.2</v>
      </c>
      <c r="J374" s="35" t="n">
        <f aca="false">IF(C374="","",IFERROR(INDEX(Перечень!$D$6:$D$52,MATCH(H374,Перечень!$A$6:$A$52,0)),12))</f>
        <v>12</v>
      </c>
      <c r="K374" s="40" t="n">
        <v>46266</v>
      </c>
      <c r="L374" s="40"/>
      <c r="M374" s="37" t="n">
        <f aca="false">IF(AND(K374="",L374=""),"",EDATE(MAX(K374,L374),J374))</f>
        <v>46631</v>
      </c>
      <c r="N374" s="41" t="str">
        <f aca="false">IF(C374="","",IFERROR(INDEX(Перечень!$F$6:$F$52,MATCH(H374,Перечень!$A$6:$A$52,0)),""))</f>
        <v>-</v>
      </c>
      <c r="O374" s="40"/>
      <c r="P374" s="37" t="str">
        <f aca="false">IF(O374="","",EDATE(O374,60))</f>
        <v/>
      </c>
      <c r="Q374" s="41" t="str">
        <f aca="false">IF(AND(K374&lt;&gt;"",F374&lt;&gt;"",K374&gt;F374),"Да","")</f>
        <v/>
      </c>
      <c r="R374" s="41" t="str">
        <f aca="true">IF(C374="","",IF(M374="","Нет сведений",IF(M374&lt;TODAY(),"Просрочен",IF(M374-TODAY()&lt;=30,"Истекает","В срок"))))</f>
        <v>В срок</v>
      </c>
      <c r="S374" s="41" t="str">
        <f aca="false">IF(AND(N374="Да",O374=""),"Не пройдено","")</f>
        <v/>
      </c>
    </row>
    <row r="375" customFormat="false" ht="14.25" hidden="false" customHeight="false" outlineLevel="0" collapsed="false">
      <c r="A375" s="35" t="str">
        <f aca="false">IF(C375="","",ROW()-5)</f>
        <v/>
      </c>
      <c r="B375" s="36"/>
      <c r="C375" s="36"/>
      <c r="D375" s="36"/>
      <c r="E375" s="36"/>
      <c r="F375" s="37"/>
      <c r="G375" s="38" t="str">
        <f aca="false">IF(C375="","",IF(TRIM(SUBSTITUTE(SUBSTITUTE(SUBSTITUTE(SUBSTITUTE(SUBSTITUTE(SUBSTITUTE(SUBSTITUTE(SUBSTITUTE(SUBSTITUTE(SUBSTITUTE(SUBSTITUTE(LOWER(TRIM(D375)),"ё","е"),"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категории",""))="инженер",IF(AND(ISNUMBER(SEARCH("техническ",E375)),ISNUMBER(SEARCH("контрол",E375))),"инженер отк",IF(ISNUMBER(SEARCH("диспетч",E375)),"инженер пдо",TRIM(SUBSTITUTE(SUBSTITUTE(SUBSTITUTE(SUBSTITUTE(SUBSTITUTE(SUBSTITUTE(SUBSTITUTE(SUBSTITUTE(SUBSTITUTE(SUBSTITUTE(SUBSTITUTE(LOWER(TRIM(D375)),"ё","е"),"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категории","")))),IF(TRIM(SUBSTITUTE(SUBSTITUTE(SUBSTITUTE(SUBSTITUTE(SUBSTITUTE(SUBSTITUTE(SUBSTITUTE(SUBSTITUTE(SUBSTITUTE(SUBSTITUTE(SUBSTITUTE(LOWER(TRIM(D375)),"ё","е"),"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инженер",IF(ISNUMBER(SEARCH("диспетч",E375)),"ведущий инженер пдо",TRIM(SUBSTITUTE(SUBSTITUTE(SUBSTITUTE(SUBSTITUTE(SUBSTITUTE(SUBSTITUTE(SUBSTITUTE(SUBSTITUTE(SUBSTITUTE(SUBSTITUTE(SUBSTITUTE(LOWER(TRIM(D375)),"ё","е"),"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категории",""))),IF(TRIM(SUBSTITUTE(SUBSTITUTE(SUBSTITUTE(SUBSTITUTE(SUBSTITUTE(SUBSTITUTE(SUBSTITUTE(SUBSTITUTE(SUBSTITUTE(SUBSTITUTE(SUBSTITUTE(LOWER(TRIM(D375)),"ё","е"),"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отк",TRIM(SUBSTITUTE(SUBSTITUTE(SUBSTITUTE(SUBSTITUTE(SUBSTITUTE(SUBSTITUTE(SUBSTITUTE(SUBSTITUTE(SUBSTITUTE(SUBSTITUTE(SUBSTITUTE(LOWER(TRIM(D375)),"ё","е"),"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75" s="35" t="str">
        <f aca="false">IF(C375="","",IF(AND(G375="мастер участка",ISNUMBER(SEARCH("РЭО",E375))),29,IFERROR(INDEX(Соответствие!$B$2:$B$100,MATCH(G375,Соответствие!$A$2:$A$100,0)),"?")))</f>
        <v/>
      </c>
      <c r="I375" s="39" t="str">
        <f aca="false">IF(C375="","",IFERROR(INDEX(Перечень!$C$6:$C$52,MATCH(H375,Перечень!$A$6:$A$52,0)),""))</f>
        <v/>
      </c>
      <c r="J375" s="35" t="str">
        <f aca="false">IF(C375="","",IFERROR(INDEX(Перечень!$D$6:$D$52,MATCH(H375,Перечень!$A$6:$A$52,0)),12))</f>
        <v/>
      </c>
      <c r="K375" s="40"/>
      <c r="L375" s="40"/>
      <c r="M375" s="37" t="str">
        <f aca="false">IF(AND(K375="",L375=""),"",EDATE(MAX(K375,L375),J375))</f>
        <v/>
      </c>
      <c r="N375" s="41" t="str">
        <f aca="false">IF(C375="","",IFERROR(INDEX(Перечень!$F$6:$F$52,MATCH(H375,Перечень!$A$6:$A$52,0)),""))</f>
        <v/>
      </c>
      <c r="O375" s="40"/>
      <c r="P375" s="37" t="str">
        <f aca="false">IF(O375="","",EDATE(O375,60))</f>
        <v/>
      </c>
      <c r="Q375" s="41" t="str">
        <f aca="false">IF(AND(K375&lt;&gt;"",F375&lt;&gt;"",K375&gt;F375),"Да","")</f>
        <v/>
      </c>
      <c r="R375" s="41" t="str">
        <f aca="true">IF(C375="","",IF(M375="","Нет сведений",IF(M375&lt;TODAY(),"Просрочен",IF(M375-TODAY()&lt;=30,"Истекает","В срок"))))</f>
        <v/>
      </c>
      <c r="S375" s="41" t="str">
        <f aca="false">IF(AND(N375="Да",O375=""),"Не пройдено","")</f>
        <v/>
      </c>
    </row>
    <row r="376" customFormat="false" ht="14.25" hidden="false" customHeight="false" outlineLevel="0" collapsed="false">
      <c r="A376" s="35" t="str">
        <f aca="false">IF(C376="","",ROW()-5)</f>
        <v/>
      </c>
      <c r="B376" s="36"/>
      <c r="C376" s="36"/>
      <c r="D376" s="36"/>
      <c r="E376" s="36"/>
      <c r="F376" s="37"/>
      <c r="G376" s="38" t="str">
        <f aca="false">IF(C376="","",IF(TRIM(SUBSTITUTE(SUBSTITUTE(SUBSTITUTE(SUBSTITUTE(SUBSTITUTE(SUBSTITUTE(SUBSTITUTE(SUBSTITUTE(SUBSTITUTE(SUBSTITUTE(SUBSTITUTE(LOWER(TRIM(D376)),"ё","е"),"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категории",""))="инженер",IF(AND(ISNUMBER(SEARCH("техническ",E376)),ISNUMBER(SEARCH("контрол",E376))),"инженер отк",IF(ISNUMBER(SEARCH("диспетч",E376)),"инженер пдо",TRIM(SUBSTITUTE(SUBSTITUTE(SUBSTITUTE(SUBSTITUTE(SUBSTITUTE(SUBSTITUTE(SUBSTITUTE(SUBSTITUTE(SUBSTITUTE(SUBSTITUTE(SUBSTITUTE(LOWER(TRIM(D376)),"ё","е"),"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категории","")))),IF(TRIM(SUBSTITUTE(SUBSTITUTE(SUBSTITUTE(SUBSTITUTE(SUBSTITUTE(SUBSTITUTE(SUBSTITUTE(SUBSTITUTE(SUBSTITUTE(SUBSTITUTE(SUBSTITUTE(LOWER(TRIM(D376)),"ё","е"),"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инженер",IF(ISNUMBER(SEARCH("диспетч",E376)),"ведущий инженер пдо",TRIM(SUBSTITUTE(SUBSTITUTE(SUBSTITUTE(SUBSTITUTE(SUBSTITUTE(SUBSTITUTE(SUBSTITUTE(SUBSTITUTE(SUBSTITUTE(SUBSTITUTE(SUBSTITUTE(LOWER(TRIM(D376)),"ё","е"),"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категории",""))),IF(TRIM(SUBSTITUTE(SUBSTITUTE(SUBSTITUTE(SUBSTITUTE(SUBSTITUTE(SUBSTITUTE(SUBSTITUTE(SUBSTITUTE(SUBSTITUTE(SUBSTITUTE(SUBSTITUTE(LOWER(TRIM(D376)),"ё","е"),"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отк",TRIM(SUBSTITUTE(SUBSTITUTE(SUBSTITUTE(SUBSTITUTE(SUBSTITUTE(SUBSTITUTE(SUBSTITUTE(SUBSTITUTE(SUBSTITUTE(SUBSTITUTE(SUBSTITUTE(LOWER(TRIM(D376)),"ё","е"),"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76" s="35" t="str">
        <f aca="false">IF(C376="","",IF(AND(G376="мастер участка",ISNUMBER(SEARCH("РЭО",E376))),29,IFERROR(INDEX(Соответствие!$B$2:$B$100,MATCH(G376,Соответствие!$A$2:$A$100,0)),"?")))</f>
        <v/>
      </c>
      <c r="I376" s="39" t="str">
        <f aca="false">IF(C376="","",IFERROR(INDEX(Перечень!$C$6:$C$52,MATCH(H376,Перечень!$A$6:$A$52,0)),""))</f>
        <v/>
      </c>
      <c r="J376" s="35" t="str">
        <f aca="false">IF(C376="","",IFERROR(INDEX(Перечень!$D$6:$D$52,MATCH(H376,Перечень!$A$6:$A$52,0)),12))</f>
        <v/>
      </c>
      <c r="K376" s="40"/>
      <c r="L376" s="40"/>
      <c r="M376" s="37" t="str">
        <f aca="false">IF(AND(K376="",L376=""),"",EDATE(MAX(K376,L376),J376))</f>
        <v/>
      </c>
      <c r="N376" s="41" t="str">
        <f aca="false">IF(C376="","",IFERROR(INDEX(Перечень!$F$6:$F$52,MATCH(H376,Перечень!$A$6:$A$52,0)),""))</f>
        <v/>
      </c>
      <c r="O376" s="40"/>
      <c r="P376" s="37" t="str">
        <f aca="false">IF(O376="","",EDATE(O376,60))</f>
        <v/>
      </c>
      <c r="Q376" s="41" t="str">
        <f aca="false">IF(AND(K376&lt;&gt;"",F376&lt;&gt;"",K376&gt;F376),"Да","")</f>
        <v/>
      </c>
      <c r="R376" s="41" t="str">
        <f aca="true">IF(C376="","",IF(M376="","Нет сведений",IF(M376&lt;TODAY(),"Просрочен",IF(M376-TODAY()&lt;=30,"Истекает","В срок"))))</f>
        <v/>
      </c>
      <c r="S376" s="41" t="str">
        <f aca="false">IF(AND(N376="Да",O376=""),"Не пройдено","")</f>
        <v/>
      </c>
    </row>
    <row r="377" customFormat="false" ht="14.25" hidden="false" customHeight="false" outlineLevel="0" collapsed="false">
      <c r="A377" s="35" t="str">
        <f aca="false">IF(C377="","",ROW()-5)</f>
        <v/>
      </c>
      <c r="B377" s="36"/>
      <c r="C377" s="36"/>
      <c r="D377" s="36"/>
      <c r="E377" s="36"/>
      <c r="F377" s="37"/>
      <c r="G377" s="38" t="str">
        <f aca="false">IF(C377="","",IF(TRIM(SUBSTITUTE(SUBSTITUTE(SUBSTITUTE(SUBSTITUTE(SUBSTITUTE(SUBSTITUTE(SUBSTITUTE(SUBSTITUTE(SUBSTITUTE(SUBSTITUTE(SUBSTITUTE(LOWER(TRIM(D377)),"ё","е"),"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категории",""))="инженер",IF(AND(ISNUMBER(SEARCH("техническ",E377)),ISNUMBER(SEARCH("контрол",E377))),"инженер отк",IF(ISNUMBER(SEARCH("диспетч",E377)),"инженер пдо",TRIM(SUBSTITUTE(SUBSTITUTE(SUBSTITUTE(SUBSTITUTE(SUBSTITUTE(SUBSTITUTE(SUBSTITUTE(SUBSTITUTE(SUBSTITUTE(SUBSTITUTE(SUBSTITUTE(LOWER(TRIM(D377)),"ё","е"),"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категории","")))),IF(TRIM(SUBSTITUTE(SUBSTITUTE(SUBSTITUTE(SUBSTITUTE(SUBSTITUTE(SUBSTITUTE(SUBSTITUTE(SUBSTITUTE(SUBSTITUTE(SUBSTITUTE(SUBSTITUTE(LOWER(TRIM(D377)),"ё","е"),"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инженер",IF(ISNUMBER(SEARCH("диспетч",E377)),"ведущий инженер пдо",TRIM(SUBSTITUTE(SUBSTITUTE(SUBSTITUTE(SUBSTITUTE(SUBSTITUTE(SUBSTITUTE(SUBSTITUTE(SUBSTITUTE(SUBSTITUTE(SUBSTITUTE(SUBSTITUTE(LOWER(TRIM(D377)),"ё","е"),"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категории",""))),IF(TRIM(SUBSTITUTE(SUBSTITUTE(SUBSTITUTE(SUBSTITUTE(SUBSTITUTE(SUBSTITUTE(SUBSTITUTE(SUBSTITUTE(SUBSTITUTE(SUBSTITUTE(SUBSTITUTE(LOWER(TRIM(D377)),"ё","е"),"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отк",TRIM(SUBSTITUTE(SUBSTITUTE(SUBSTITUTE(SUBSTITUTE(SUBSTITUTE(SUBSTITUTE(SUBSTITUTE(SUBSTITUTE(SUBSTITUTE(SUBSTITUTE(SUBSTITUTE(LOWER(TRIM(D377)),"ё","е"),"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77" s="35" t="str">
        <f aca="false">IF(C377="","",IF(AND(G377="мастер участка",ISNUMBER(SEARCH("РЭО",E377))),29,IFERROR(INDEX(Соответствие!$B$2:$B$100,MATCH(G377,Соответствие!$A$2:$A$100,0)),"?")))</f>
        <v/>
      </c>
      <c r="I377" s="39" t="str">
        <f aca="false">IF(C377="","",IFERROR(INDEX(Перечень!$C$6:$C$52,MATCH(H377,Перечень!$A$6:$A$52,0)),""))</f>
        <v/>
      </c>
      <c r="J377" s="35" t="str">
        <f aca="false">IF(C377="","",IFERROR(INDEX(Перечень!$D$6:$D$52,MATCH(H377,Перечень!$A$6:$A$52,0)),12))</f>
        <v/>
      </c>
      <c r="K377" s="40"/>
      <c r="L377" s="40"/>
      <c r="M377" s="37" t="str">
        <f aca="false">IF(AND(K377="",L377=""),"",EDATE(MAX(K377,L377),J377))</f>
        <v/>
      </c>
      <c r="N377" s="41" t="str">
        <f aca="false">IF(C377="","",IFERROR(INDEX(Перечень!$F$6:$F$52,MATCH(H377,Перечень!$A$6:$A$52,0)),""))</f>
        <v/>
      </c>
      <c r="O377" s="40"/>
      <c r="P377" s="37" t="str">
        <f aca="false">IF(O377="","",EDATE(O377,60))</f>
        <v/>
      </c>
      <c r="Q377" s="41" t="str">
        <f aca="false">IF(AND(K377&lt;&gt;"",F377&lt;&gt;"",K377&gt;F377),"Да","")</f>
        <v/>
      </c>
      <c r="R377" s="41" t="str">
        <f aca="true">IF(C377="","",IF(M377="","Нет сведений",IF(M377&lt;TODAY(),"Просрочен",IF(M377-TODAY()&lt;=30,"Истекает","В срок"))))</f>
        <v/>
      </c>
      <c r="S377" s="41" t="str">
        <f aca="false">IF(AND(N377="Да",O377=""),"Не пройдено","")</f>
        <v/>
      </c>
    </row>
    <row r="378" customFormat="false" ht="14.25" hidden="false" customHeight="false" outlineLevel="0" collapsed="false">
      <c r="A378" s="35" t="str">
        <f aca="false">IF(C378="","",ROW()-5)</f>
        <v/>
      </c>
      <c r="B378" s="36"/>
      <c r="C378" s="36"/>
      <c r="D378" s="36"/>
      <c r="E378" s="36"/>
      <c r="F378" s="37"/>
      <c r="G378" s="38" t="str">
        <f aca="false">IF(C378="","",IF(TRIM(SUBSTITUTE(SUBSTITUTE(SUBSTITUTE(SUBSTITUTE(SUBSTITUTE(SUBSTITUTE(SUBSTITUTE(SUBSTITUTE(SUBSTITUTE(SUBSTITUTE(SUBSTITUTE(LOWER(TRIM(D378)),"ё","е"),"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категории",""))="инженер",IF(AND(ISNUMBER(SEARCH("техническ",E378)),ISNUMBER(SEARCH("контрол",E378))),"инженер отк",IF(ISNUMBER(SEARCH("диспетч",E378)),"инженер пдо",TRIM(SUBSTITUTE(SUBSTITUTE(SUBSTITUTE(SUBSTITUTE(SUBSTITUTE(SUBSTITUTE(SUBSTITUTE(SUBSTITUTE(SUBSTITUTE(SUBSTITUTE(SUBSTITUTE(LOWER(TRIM(D378)),"ё","е"),"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категории","")))),IF(TRIM(SUBSTITUTE(SUBSTITUTE(SUBSTITUTE(SUBSTITUTE(SUBSTITUTE(SUBSTITUTE(SUBSTITUTE(SUBSTITUTE(SUBSTITUTE(SUBSTITUTE(SUBSTITUTE(LOWER(TRIM(D378)),"ё","е"),"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инженер",IF(ISNUMBER(SEARCH("диспетч",E378)),"ведущий инженер пдо",TRIM(SUBSTITUTE(SUBSTITUTE(SUBSTITUTE(SUBSTITUTE(SUBSTITUTE(SUBSTITUTE(SUBSTITUTE(SUBSTITUTE(SUBSTITUTE(SUBSTITUTE(SUBSTITUTE(LOWER(TRIM(D378)),"ё","е"),"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категории",""))),IF(TRIM(SUBSTITUTE(SUBSTITUTE(SUBSTITUTE(SUBSTITUTE(SUBSTITUTE(SUBSTITUTE(SUBSTITUTE(SUBSTITUTE(SUBSTITUTE(SUBSTITUTE(SUBSTITUTE(LOWER(TRIM(D378)),"ё","е"),"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отк",TRIM(SUBSTITUTE(SUBSTITUTE(SUBSTITUTE(SUBSTITUTE(SUBSTITUTE(SUBSTITUTE(SUBSTITUTE(SUBSTITUTE(SUBSTITUTE(SUBSTITUTE(SUBSTITUTE(LOWER(TRIM(D378)),"ё","е"),"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78" s="35" t="str">
        <f aca="false">IF(C378="","",IF(AND(G378="мастер участка",ISNUMBER(SEARCH("РЭО",E378))),29,IFERROR(INDEX(Соответствие!$B$2:$B$100,MATCH(G378,Соответствие!$A$2:$A$100,0)),"?")))</f>
        <v/>
      </c>
      <c r="I378" s="39" t="str">
        <f aca="false">IF(C378="","",IFERROR(INDEX(Перечень!$C$6:$C$52,MATCH(H378,Перечень!$A$6:$A$52,0)),""))</f>
        <v/>
      </c>
      <c r="J378" s="35" t="str">
        <f aca="false">IF(C378="","",IFERROR(INDEX(Перечень!$D$6:$D$52,MATCH(H378,Перечень!$A$6:$A$52,0)),12))</f>
        <v/>
      </c>
      <c r="K378" s="40"/>
      <c r="L378" s="40"/>
      <c r="M378" s="37" t="str">
        <f aca="false">IF(AND(K378="",L378=""),"",EDATE(MAX(K378,L378),J378))</f>
        <v/>
      </c>
      <c r="N378" s="41" t="str">
        <f aca="false">IF(C378="","",IFERROR(INDEX(Перечень!$F$6:$F$52,MATCH(H378,Перечень!$A$6:$A$52,0)),""))</f>
        <v/>
      </c>
      <c r="O378" s="40"/>
      <c r="P378" s="37" t="str">
        <f aca="false">IF(O378="","",EDATE(O378,60))</f>
        <v/>
      </c>
      <c r="Q378" s="41" t="str">
        <f aca="false">IF(AND(K378&lt;&gt;"",F378&lt;&gt;"",K378&gt;F378),"Да","")</f>
        <v/>
      </c>
      <c r="R378" s="41" t="str">
        <f aca="true">IF(C378="","",IF(M378="","Нет сведений",IF(M378&lt;TODAY(),"Просрочен",IF(M378-TODAY()&lt;=30,"Истекает","В срок"))))</f>
        <v/>
      </c>
      <c r="S378" s="41" t="str">
        <f aca="false">IF(AND(N378="Да",O378=""),"Не пройдено","")</f>
        <v/>
      </c>
    </row>
    <row r="379" customFormat="false" ht="14.25" hidden="false" customHeight="false" outlineLevel="0" collapsed="false">
      <c r="A379" s="35" t="str">
        <f aca="false">IF(C379="","",ROW()-5)</f>
        <v/>
      </c>
      <c r="B379" s="36"/>
      <c r="C379" s="36"/>
      <c r="D379" s="36"/>
      <c r="E379" s="36"/>
      <c r="F379" s="37"/>
      <c r="G379" s="38" t="str">
        <f aca="false">IF(C379="","",IF(TRIM(SUBSTITUTE(SUBSTITUTE(SUBSTITUTE(SUBSTITUTE(SUBSTITUTE(SUBSTITUTE(SUBSTITUTE(SUBSTITUTE(SUBSTITUTE(SUBSTITUTE(SUBSTITUTE(LOWER(TRIM(D379)),"ё","е"),"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категории",""))="инженер",IF(AND(ISNUMBER(SEARCH("техническ",E379)),ISNUMBER(SEARCH("контрол",E379))),"инженер отк",IF(ISNUMBER(SEARCH("диспетч",E379)),"инженер пдо",TRIM(SUBSTITUTE(SUBSTITUTE(SUBSTITUTE(SUBSTITUTE(SUBSTITUTE(SUBSTITUTE(SUBSTITUTE(SUBSTITUTE(SUBSTITUTE(SUBSTITUTE(SUBSTITUTE(LOWER(TRIM(D379)),"ё","е"),"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категории","")))),IF(TRIM(SUBSTITUTE(SUBSTITUTE(SUBSTITUTE(SUBSTITUTE(SUBSTITUTE(SUBSTITUTE(SUBSTITUTE(SUBSTITUTE(SUBSTITUTE(SUBSTITUTE(SUBSTITUTE(LOWER(TRIM(D379)),"ё","е"),"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инженер",IF(ISNUMBER(SEARCH("диспетч",E379)),"ведущий инженер пдо",TRIM(SUBSTITUTE(SUBSTITUTE(SUBSTITUTE(SUBSTITUTE(SUBSTITUTE(SUBSTITUTE(SUBSTITUTE(SUBSTITUTE(SUBSTITUTE(SUBSTITUTE(SUBSTITUTE(LOWER(TRIM(D379)),"ё","е"),"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категории",""))),IF(TRIM(SUBSTITUTE(SUBSTITUTE(SUBSTITUTE(SUBSTITUTE(SUBSTITUTE(SUBSTITUTE(SUBSTITUTE(SUBSTITUTE(SUBSTITUTE(SUBSTITUTE(SUBSTITUTE(LOWER(TRIM(D379)),"ё","е"),"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отк",TRIM(SUBSTITUTE(SUBSTITUTE(SUBSTITUTE(SUBSTITUTE(SUBSTITUTE(SUBSTITUTE(SUBSTITUTE(SUBSTITUTE(SUBSTITUTE(SUBSTITUTE(SUBSTITUTE(LOWER(TRIM(D379)),"ё","е"),"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79" s="35" t="str">
        <f aca="false">IF(C379="","",IF(AND(G379="мастер участка",ISNUMBER(SEARCH("РЭО",E379))),29,IFERROR(INDEX(Соответствие!$B$2:$B$100,MATCH(G379,Соответствие!$A$2:$A$100,0)),"?")))</f>
        <v/>
      </c>
      <c r="I379" s="39" t="str">
        <f aca="false">IF(C379="","",IFERROR(INDEX(Перечень!$C$6:$C$52,MATCH(H379,Перечень!$A$6:$A$52,0)),""))</f>
        <v/>
      </c>
      <c r="J379" s="35" t="str">
        <f aca="false">IF(C379="","",IFERROR(INDEX(Перечень!$D$6:$D$52,MATCH(H379,Перечень!$A$6:$A$52,0)),12))</f>
        <v/>
      </c>
      <c r="K379" s="40"/>
      <c r="L379" s="40"/>
      <c r="M379" s="37" t="str">
        <f aca="false">IF(AND(K379="",L379=""),"",EDATE(MAX(K379,L379),J379))</f>
        <v/>
      </c>
      <c r="N379" s="41" t="str">
        <f aca="false">IF(C379="","",IFERROR(INDEX(Перечень!$F$6:$F$52,MATCH(H379,Перечень!$A$6:$A$52,0)),""))</f>
        <v/>
      </c>
      <c r="O379" s="40"/>
      <c r="P379" s="37" t="str">
        <f aca="false">IF(O379="","",EDATE(O379,60))</f>
        <v/>
      </c>
      <c r="Q379" s="41" t="str">
        <f aca="false">IF(AND(K379&lt;&gt;"",F379&lt;&gt;"",K379&gt;F379),"Да","")</f>
        <v/>
      </c>
      <c r="R379" s="41" t="str">
        <f aca="true">IF(C379="","",IF(M379="","Нет сведений",IF(M379&lt;TODAY(),"Просрочен",IF(M379-TODAY()&lt;=30,"Истекает","В срок"))))</f>
        <v/>
      </c>
      <c r="S379" s="41" t="str">
        <f aca="false">IF(AND(N379="Да",O379=""),"Не пройдено","")</f>
        <v/>
      </c>
    </row>
    <row r="380" customFormat="false" ht="14.25" hidden="false" customHeight="false" outlineLevel="0" collapsed="false">
      <c r="A380" s="35" t="str">
        <f aca="false">IF(C380="","",ROW()-5)</f>
        <v/>
      </c>
      <c r="B380" s="36"/>
      <c r="C380" s="36"/>
      <c r="D380" s="36"/>
      <c r="E380" s="36"/>
      <c r="F380" s="37"/>
      <c r="G380" s="38" t="str">
        <f aca="false">IF(C380="","",IF(TRIM(SUBSTITUTE(SUBSTITUTE(SUBSTITUTE(SUBSTITUTE(SUBSTITUTE(SUBSTITUTE(SUBSTITUTE(SUBSTITUTE(SUBSTITUTE(SUBSTITUTE(SUBSTITUTE(LOWER(TRIM(D380)),"ё","е"),"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категории",""))="инженер",IF(AND(ISNUMBER(SEARCH("техническ",E380)),ISNUMBER(SEARCH("контрол",E380))),"инженер отк",IF(ISNUMBER(SEARCH("диспетч",E380)),"инженер пдо",TRIM(SUBSTITUTE(SUBSTITUTE(SUBSTITUTE(SUBSTITUTE(SUBSTITUTE(SUBSTITUTE(SUBSTITUTE(SUBSTITUTE(SUBSTITUTE(SUBSTITUTE(SUBSTITUTE(LOWER(TRIM(D380)),"ё","е"),"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категории","")))),IF(TRIM(SUBSTITUTE(SUBSTITUTE(SUBSTITUTE(SUBSTITUTE(SUBSTITUTE(SUBSTITUTE(SUBSTITUTE(SUBSTITUTE(SUBSTITUTE(SUBSTITUTE(SUBSTITUTE(LOWER(TRIM(D380)),"ё","е"),"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инженер",IF(ISNUMBER(SEARCH("диспетч",E380)),"ведущий инженер пдо",TRIM(SUBSTITUTE(SUBSTITUTE(SUBSTITUTE(SUBSTITUTE(SUBSTITUTE(SUBSTITUTE(SUBSTITUTE(SUBSTITUTE(SUBSTITUTE(SUBSTITUTE(SUBSTITUTE(LOWER(TRIM(D380)),"ё","е"),"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категории",""))),IF(TRIM(SUBSTITUTE(SUBSTITUTE(SUBSTITUTE(SUBSTITUTE(SUBSTITUTE(SUBSTITUTE(SUBSTITUTE(SUBSTITUTE(SUBSTITUTE(SUBSTITUTE(SUBSTITUTE(LOWER(TRIM(D380)),"ё","е"),"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отк",TRIM(SUBSTITUTE(SUBSTITUTE(SUBSTITUTE(SUBSTITUTE(SUBSTITUTE(SUBSTITUTE(SUBSTITUTE(SUBSTITUTE(SUBSTITUTE(SUBSTITUTE(SUBSTITUTE(LOWER(TRIM(D380)),"ё","е"),"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80" s="35" t="str">
        <f aca="false">IF(C380="","",IF(AND(G380="мастер участка",ISNUMBER(SEARCH("РЭО",E380))),29,IFERROR(INDEX(Соответствие!$B$2:$B$100,MATCH(G380,Соответствие!$A$2:$A$100,0)),"?")))</f>
        <v/>
      </c>
      <c r="I380" s="39" t="str">
        <f aca="false">IF(C380="","",IFERROR(INDEX(Перечень!$C$6:$C$52,MATCH(H380,Перечень!$A$6:$A$52,0)),""))</f>
        <v/>
      </c>
      <c r="J380" s="35" t="str">
        <f aca="false">IF(C380="","",IFERROR(INDEX(Перечень!$D$6:$D$52,MATCH(H380,Перечень!$A$6:$A$52,0)),12))</f>
        <v/>
      </c>
      <c r="K380" s="40"/>
      <c r="L380" s="40"/>
      <c r="M380" s="37" t="str">
        <f aca="false">IF(AND(K380="",L380=""),"",EDATE(MAX(K380,L380),J380))</f>
        <v/>
      </c>
      <c r="N380" s="41" t="str">
        <f aca="false">IF(C380="","",IFERROR(INDEX(Перечень!$F$6:$F$52,MATCH(H380,Перечень!$A$6:$A$52,0)),""))</f>
        <v/>
      </c>
      <c r="O380" s="40"/>
      <c r="P380" s="37" t="str">
        <f aca="false">IF(O380="","",EDATE(O380,60))</f>
        <v/>
      </c>
      <c r="Q380" s="41" t="str">
        <f aca="false">IF(AND(K380&lt;&gt;"",F380&lt;&gt;"",K380&gt;F380),"Да","")</f>
        <v/>
      </c>
      <c r="R380" s="41" t="str">
        <f aca="true">IF(C380="","",IF(M380="","Нет сведений",IF(M380&lt;TODAY(),"Просрочен",IF(M380-TODAY()&lt;=30,"Истекает","В срок"))))</f>
        <v/>
      </c>
      <c r="S380" s="41" t="str">
        <f aca="false">IF(AND(N380="Да",O380=""),"Не пройдено","")</f>
        <v/>
      </c>
    </row>
    <row r="381" customFormat="false" ht="14.25" hidden="false" customHeight="false" outlineLevel="0" collapsed="false">
      <c r="A381" s="35" t="str">
        <f aca="false">IF(C381="","",ROW()-5)</f>
        <v/>
      </c>
      <c r="B381" s="36"/>
      <c r="C381" s="36"/>
      <c r="D381" s="36"/>
      <c r="E381" s="36"/>
      <c r="F381" s="37"/>
      <c r="G381" s="38" t="str">
        <f aca="false">IF(C381="","",IF(TRIM(SUBSTITUTE(SUBSTITUTE(SUBSTITUTE(SUBSTITUTE(SUBSTITUTE(SUBSTITUTE(SUBSTITUTE(SUBSTITUTE(SUBSTITUTE(SUBSTITUTE(SUBSTITUTE(LOWER(TRIM(D381)),"ё","е"),"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категории",""))="инженер",IF(AND(ISNUMBER(SEARCH("техническ",E381)),ISNUMBER(SEARCH("контрол",E381))),"инженер отк",IF(ISNUMBER(SEARCH("диспетч",E381)),"инженер пдо",TRIM(SUBSTITUTE(SUBSTITUTE(SUBSTITUTE(SUBSTITUTE(SUBSTITUTE(SUBSTITUTE(SUBSTITUTE(SUBSTITUTE(SUBSTITUTE(SUBSTITUTE(SUBSTITUTE(LOWER(TRIM(D381)),"ё","е"),"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категории","")))),IF(TRIM(SUBSTITUTE(SUBSTITUTE(SUBSTITUTE(SUBSTITUTE(SUBSTITUTE(SUBSTITUTE(SUBSTITUTE(SUBSTITUTE(SUBSTITUTE(SUBSTITUTE(SUBSTITUTE(LOWER(TRIM(D381)),"ё","е"),"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инженер",IF(ISNUMBER(SEARCH("диспетч",E381)),"ведущий инженер пдо",TRIM(SUBSTITUTE(SUBSTITUTE(SUBSTITUTE(SUBSTITUTE(SUBSTITUTE(SUBSTITUTE(SUBSTITUTE(SUBSTITUTE(SUBSTITUTE(SUBSTITUTE(SUBSTITUTE(LOWER(TRIM(D381)),"ё","е"),"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категории",""))),IF(TRIM(SUBSTITUTE(SUBSTITUTE(SUBSTITUTE(SUBSTITUTE(SUBSTITUTE(SUBSTITUTE(SUBSTITUTE(SUBSTITUTE(SUBSTITUTE(SUBSTITUTE(SUBSTITUTE(LOWER(TRIM(D381)),"ё","е"),"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отк",TRIM(SUBSTITUTE(SUBSTITUTE(SUBSTITUTE(SUBSTITUTE(SUBSTITUTE(SUBSTITUTE(SUBSTITUTE(SUBSTITUTE(SUBSTITUTE(SUBSTITUTE(SUBSTITUTE(LOWER(TRIM(D381)),"ё","е"),"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81" s="35" t="str">
        <f aca="false">IF(C381="","",IF(AND(G381="мастер участка",ISNUMBER(SEARCH("РЭО",E381))),29,IFERROR(INDEX(Соответствие!$B$2:$B$100,MATCH(G381,Соответствие!$A$2:$A$100,0)),"?")))</f>
        <v/>
      </c>
      <c r="I381" s="39" t="str">
        <f aca="false">IF(C381="","",IFERROR(INDEX(Перечень!$C$6:$C$52,MATCH(H381,Перечень!$A$6:$A$52,0)),""))</f>
        <v/>
      </c>
      <c r="J381" s="35" t="str">
        <f aca="false">IF(C381="","",IFERROR(INDEX(Перечень!$D$6:$D$52,MATCH(H381,Перечень!$A$6:$A$52,0)),12))</f>
        <v/>
      </c>
      <c r="K381" s="40"/>
      <c r="L381" s="40"/>
      <c r="M381" s="37" t="str">
        <f aca="false">IF(AND(K381="",L381=""),"",EDATE(MAX(K381,L381),J381))</f>
        <v/>
      </c>
      <c r="N381" s="41" t="str">
        <f aca="false">IF(C381="","",IFERROR(INDEX(Перечень!$F$6:$F$52,MATCH(H381,Перечень!$A$6:$A$52,0)),""))</f>
        <v/>
      </c>
      <c r="O381" s="40"/>
      <c r="P381" s="37" t="str">
        <f aca="false">IF(O381="","",EDATE(O381,60))</f>
        <v/>
      </c>
      <c r="Q381" s="41" t="str">
        <f aca="false">IF(AND(K381&lt;&gt;"",F381&lt;&gt;"",K381&gt;F381),"Да","")</f>
        <v/>
      </c>
      <c r="R381" s="41" t="str">
        <f aca="true">IF(C381="","",IF(M381="","Нет сведений",IF(M381&lt;TODAY(),"Просрочен",IF(M381-TODAY()&lt;=30,"Истекает","В срок"))))</f>
        <v/>
      </c>
      <c r="S381" s="41" t="str">
        <f aca="false">IF(AND(N381="Да",O381=""),"Не пройдено","")</f>
        <v/>
      </c>
    </row>
    <row r="382" customFormat="false" ht="14.25" hidden="false" customHeight="false" outlineLevel="0" collapsed="false">
      <c r="A382" s="35" t="str">
        <f aca="false">IF(C382="","",ROW()-5)</f>
        <v/>
      </c>
      <c r="B382" s="36"/>
      <c r="C382" s="36"/>
      <c r="D382" s="36"/>
      <c r="E382" s="36"/>
      <c r="F382" s="37"/>
      <c r="G382" s="38" t="str">
        <f aca="false">IF(C382="","",IF(TRIM(SUBSTITUTE(SUBSTITUTE(SUBSTITUTE(SUBSTITUTE(SUBSTITUTE(SUBSTITUTE(SUBSTITUTE(SUBSTITUTE(SUBSTITUTE(SUBSTITUTE(SUBSTITUTE(LOWER(TRIM(D382)),"ё","е"),"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категории",""))="инженер",IF(AND(ISNUMBER(SEARCH("техническ",E382)),ISNUMBER(SEARCH("контрол",E382))),"инженер отк",IF(ISNUMBER(SEARCH("диспетч",E382)),"инженер пдо",TRIM(SUBSTITUTE(SUBSTITUTE(SUBSTITUTE(SUBSTITUTE(SUBSTITUTE(SUBSTITUTE(SUBSTITUTE(SUBSTITUTE(SUBSTITUTE(SUBSTITUTE(SUBSTITUTE(LOWER(TRIM(D382)),"ё","е"),"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категории","")))),IF(TRIM(SUBSTITUTE(SUBSTITUTE(SUBSTITUTE(SUBSTITUTE(SUBSTITUTE(SUBSTITUTE(SUBSTITUTE(SUBSTITUTE(SUBSTITUTE(SUBSTITUTE(SUBSTITUTE(LOWER(TRIM(D382)),"ё","е"),"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инженер",IF(ISNUMBER(SEARCH("диспетч",E382)),"ведущий инженер пдо",TRIM(SUBSTITUTE(SUBSTITUTE(SUBSTITUTE(SUBSTITUTE(SUBSTITUTE(SUBSTITUTE(SUBSTITUTE(SUBSTITUTE(SUBSTITUTE(SUBSTITUTE(SUBSTITUTE(LOWER(TRIM(D382)),"ё","е"),"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категории",""))),IF(TRIM(SUBSTITUTE(SUBSTITUTE(SUBSTITUTE(SUBSTITUTE(SUBSTITUTE(SUBSTITUTE(SUBSTITUTE(SUBSTITUTE(SUBSTITUTE(SUBSTITUTE(SUBSTITUTE(LOWER(TRIM(D382)),"ё","е"),"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отк",TRIM(SUBSTITUTE(SUBSTITUTE(SUBSTITUTE(SUBSTITUTE(SUBSTITUTE(SUBSTITUTE(SUBSTITUTE(SUBSTITUTE(SUBSTITUTE(SUBSTITUTE(SUBSTITUTE(LOWER(TRIM(D382)),"ё","е"),"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82" s="35" t="str">
        <f aca="false">IF(C382="","",IF(AND(G382="мастер участка",ISNUMBER(SEARCH("РЭО",E382))),29,IFERROR(INDEX(Соответствие!$B$2:$B$100,MATCH(G382,Соответствие!$A$2:$A$100,0)),"?")))</f>
        <v/>
      </c>
      <c r="I382" s="39" t="str">
        <f aca="false">IF(C382="","",IFERROR(INDEX(Перечень!$C$6:$C$52,MATCH(H382,Перечень!$A$6:$A$52,0)),""))</f>
        <v/>
      </c>
      <c r="J382" s="35" t="str">
        <f aca="false">IF(C382="","",IFERROR(INDEX(Перечень!$D$6:$D$52,MATCH(H382,Перечень!$A$6:$A$52,0)),12))</f>
        <v/>
      </c>
      <c r="K382" s="40"/>
      <c r="L382" s="40"/>
      <c r="M382" s="37" t="str">
        <f aca="false">IF(AND(K382="",L382=""),"",EDATE(MAX(K382,L382),J382))</f>
        <v/>
      </c>
      <c r="N382" s="41" t="str">
        <f aca="false">IF(C382="","",IFERROR(INDEX(Перечень!$F$6:$F$52,MATCH(H382,Перечень!$A$6:$A$52,0)),""))</f>
        <v/>
      </c>
      <c r="O382" s="40"/>
      <c r="P382" s="37" t="str">
        <f aca="false">IF(O382="","",EDATE(O382,60))</f>
        <v/>
      </c>
      <c r="Q382" s="41" t="str">
        <f aca="false">IF(AND(K382&lt;&gt;"",F382&lt;&gt;"",K382&gt;F382),"Да","")</f>
        <v/>
      </c>
      <c r="R382" s="41" t="str">
        <f aca="true">IF(C382="","",IF(M382="","Нет сведений",IF(M382&lt;TODAY(),"Просрочен",IF(M382-TODAY()&lt;=30,"Истекает","В срок"))))</f>
        <v/>
      </c>
      <c r="S382" s="41" t="str">
        <f aca="false">IF(AND(N382="Да",O382=""),"Не пройдено","")</f>
        <v/>
      </c>
    </row>
    <row r="383" customFormat="false" ht="14.25" hidden="false" customHeight="false" outlineLevel="0" collapsed="false">
      <c r="A383" s="35" t="str">
        <f aca="false">IF(C383="","",ROW()-5)</f>
        <v/>
      </c>
      <c r="B383" s="36"/>
      <c r="C383" s="36"/>
      <c r="D383" s="36"/>
      <c r="E383" s="36"/>
      <c r="F383" s="37"/>
      <c r="G383" s="38" t="str">
        <f aca="false">IF(C383="","",IF(TRIM(SUBSTITUTE(SUBSTITUTE(SUBSTITUTE(SUBSTITUTE(SUBSTITUTE(SUBSTITUTE(SUBSTITUTE(SUBSTITUTE(SUBSTITUTE(SUBSTITUTE(SUBSTITUTE(LOWER(TRIM(D383)),"ё","е"),"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категории",""))="инженер",IF(AND(ISNUMBER(SEARCH("техническ",E383)),ISNUMBER(SEARCH("контрол",E383))),"инженер отк",IF(ISNUMBER(SEARCH("диспетч",E383)),"инженер пдо",TRIM(SUBSTITUTE(SUBSTITUTE(SUBSTITUTE(SUBSTITUTE(SUBSTITUTE(SUBSTITUTE(SUBSTITUTE(SUBSTITUTE(SUBSTITUTE(SUBSTITUTE(SUBSTITUTE(LOWER(TRIM(D383)),"ё","е"),"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категории","")))),IF(TRIM(SUBSTITUTE(SUBSTITUTE(SUBSTITUTE(SUBSTITUTE(SUBSTITUTE(SUBSTITUTE(SUBSTITUTE(SUBSTITUTE(SUBSTITUTE(SUBSTITUTE(SUBSTITUTE(LOWER(TRIM(D383)),"ё","е"),"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инженер",IF(ISNUMBER(SEARCH("диспетч",E383)),"ведущий инженер пдо",TRIM(SUBSTITUTE(SUBSTITUTE(SUBSTITUTE(SUBSTITUTE(SUBSTITUTE(SUBSTITUTE(SUBSTITUTE(SUBSTITUTE(SUBSTITUTE(SUBSTITUTE(SUBSTITUTE(LOWER(TRIM(D383)),"ё","е"),"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категории",""))),IF(TRIM(SUBSTITUTE(SUBSTITUTE(SUBSTITUTE(SUBSTITUTE(SUBSTITUTE(SUBSTITUTE(SUBSTITUTE(SUBSTITUTE(SUBSTITUTE(SUBSTITUTE(SUBSTITUTE(LOWER(TRIM(D383)),"ё","е"),"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отк",TRIM(SUBSTITUTE(SUBSTITUTE(SUBSTITUTE(SUBSTITUTE(SUBSTITUTE(SUBSTITUTE(SUBSTITUTE(SUBSTITUTE(SUBSTITUTE(SUBSTITUTE(SUBSTITUTE(LOWER(TRIM(D383)),"ё","е"),"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83" s="35" t="str">
        <f aca="false">IF(C383="","",IF(AND(G383="мастер участка",ISNUMBER(SEARCH("РЭО",E383))),29,IFERROR(INDEX(Соответствие!$B$2:$B$100,MATCH(G383,Соответствие!$A$2:$A$100,0)),"?")))</f>
        <v/>
      </c>
      <c r="I383" s="39" t="str">
        <f aca="false">IF(C383="","",IFERROR(INDEX(Перечень!$C$6:$C$52,MATCH(H383,Перечень!$A$6:$A$52,0)),""))</f>
        <v/>
      </c>
      <c r="J383" s="35" t="str">
        <f aca="false">IF(C383="","",IFERROR(INDEX(Перечень!$D$6:$D$52,MATCH(H383,Перечень!$A$6:$A$52,0)),12))</f>
        <v/>
      </c>
      <c r="K383" s="40"/>
      <c r="L383" s="40"/>
      <c r="M383" s="37" t="str">
        <f aca="false">IF(AND(K383="",L383=""),"",EDATE(MAX(K383,L383),J383))</f>
        <v/>
      </c>
      <c r="N383" s="41" t="str">
        <f aca="false">IF(C383="","",IFERROR(INDEX(Перечень!$F$6:$F$52,MATCH(H383,Перечень!$A$6:$A$52,0)),""))</f>
        <v/>
      </c>
      <c r="O383" s="40"/>
      <c r="P383" s="37" t="str">
        <f aca="false">IF(O383="","",EDATE(O383,60))</f>
        <v/>
      </c>
      <c r="Q383" s="41" t="str">
        <f aca="false">IF(AND(K383&lt;&gt;"",F383&lt;&gt;"",K383&gt;F383),"Да","")</f>
        <v/>
      </c>
      <c r="R383" s="41" t="str">
        <f aca="true">IF(C383="","",IF(M383="","Нет сведений",IF(M383&lt;TODAY(),"Просрочен",IF(M383-TODAY()&lt;=30,"Истекает","В срок"))))</f>
        <v/>
      </c>
      <c r="S383" s="41" t="str">
        <f aca="false">IF(AND(N383="Да",O383=""),"Не пройдено","")</f>
        <v/>
      </c>
    </row>
    <row r="384" customFormat="false" ht="14.25" hidden="false" customHeight="false" outlineLevel="0" collapsed="false">
      <c r="A384" s="35" t="str">
        <f aca="false">IF(C384="","",ROW()-5)</f>
        <v/>
      </c>
      <c r="B384" s="36"/>
      <c r="C384" s="36"/>
      <c r="D384" s="36"/>
      <c r="E384" s="36"/>
      <c r="F384" s="37"/>
      <c r="G384" s="38" t="str">
        <f aca="false">IF(C384="","",IF(TRIM(SUBSTITUTE(SUBSTITUTE(SUBSTITUTE(SUBSTITUTE(SUBSTITUTE(SUBSTITUTE(SUBSTITUTE(SUBSTITUTE(SUBSTITUTE(SUBSTITUTE(SUBSTITUTE(LOWER(TRIM(D384)),"ё","е"),"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категории",""))="инженер",IF(AND(ISNUMBER(SEARCH("техническ",E384)),ISNUMBER(SEARCH("контрол",E384))),"инженер отк",IF(ISNUMBER(SEARCH("диспетч",E384)),"инженер пдо",TRIM(SUBSTITUTE(SUBSTITUTE(SUBSTITUTE(SUBSTITUTE(SUBSTITUTE(SUBSTITUTE(SUBSTITUTE(SUBSTITUTE(SUBSTITUTE(SUBSTITUTE(SUBSTITUTE(LOWER(TRIM(D384)),"ё","е"),"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категории","")))),IF(TRIM(SUBSTITUTE(SUBSTITUTE(SUBSTITUTE(SUBSTITUTE(SUBSTITUTE(SUBSTITUTE(SUBSTITUTE(SUBSTITUTE(SUBSTITUTE(SUBSTITUTE(SUBSTITUTE(LOWER(TRIM(D384)),"ё","е"),"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инженер",IF(ISNUMBER(SEARCH("диспетч",E384)),"ведущий инженер пдо",TRIM(SUBSTITUTE(SUBSTITUTE(SUBSTITUTE(SUBSTITUTE(SUBSTITUTE(SUBSTITUTE(SUBSTITUTE(SUBSTITUTE(SUBSTITUTE(SUBSTITUTE(SUBSTITUTE(LOWER(TRIM(D384)),"ё","е"),"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категории",""))),IF(TRIM(SUBSTITUTE(SUBSTITUTE(SUBSTITUTE(SUBSTITUTE(SUBSTITUTE(SUBSTITUTE(SUBSTITUTE(SUBSTITUTE(SUBSTITUTE(SUBSTITUTE(SUBSTITUTE(LOWER(TRIM(D384)),"ё","е"),"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отк",TRIM(SUBSTITUTE(SUBSTITUTE(SUBSTITUTE(SUBSTITUTE(SUBSTITUTE(SUBSTITUTE(SUBSTITUTE(SUBSTITUTE(SUBSTITUTE(SUBSTITUTE(SUBSTITUTE(LOWER(TRIM(D384)),"ё","е"),"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84" s="35" t="str">
        <f aca="false">IF(C384="","",IF(AND(G384="мастер участка",ISNUMBER(SEARCH("РЭО",E384))),29,IFERROR(INDEX(Соответствие!$B$2:$B$100,MATCH(G384,Соответствие!$A$2:$A$100,0)),"?")))</f>
        <v/>
      </c>
      <c r="I384" s="39" t="str">
        <f aca="false">IF(C384="","",IFERROR(INDEX(Перечень!$C$6:$C$52,MATCH(H384,Перечень!$A$6:$A$52,0)),""))</f>
        <v/>
      </c>
      <c r="J384" s="35" t="str">
        <f aca="false">IF(C384="","",IFERROR(INDEX(Перечень!$D$6:$D$52,MATCH(H384,Перечень!$A$6:$A$52,0)),12))</f>
        <v/>
      </c>
      <c r="K384" s="40"/>
      <c r="L384" s="40"/>
      <c r="M384" s="37" t="str">
        <f aca="false">IF(AND(K384="",L384=""),"",EDATE(MAX(K384,L384),J384))</f>
        <v/>
      </c>
      <c r="N384" s="41" t="str">
        <f aca="false">IF(C384="","",IFERROR(INDEX(Перечень!$F$6:$F$52,MATCH(H384,Перечень!$A$6:$A$52,0)),""))</f>
        <v/>
      </c>
      <c r="O384" s="40"/>
      <c r="P384" s="37" t="str">
        <f aca="false">IF(O384="","",EDATE(O384,60))</f>
        <v/>
      </c>
      <c r="Q384" s="41" t="str">
        <f aca="false">IF(AND(K384&lt;&gt;"",F384&lt;&gt;"",K384&gt;F384),"Да","")</f>
        <v/>
      </c>
      <c r="R384" s="41" t="str">
        <f aca="true">IF(C384="","",IF(M384="","Нет сведений",IF(M384&lt;TODAY(),"Просрочен",IF(M384-TODAY()&lt;=30,"Истекает","В срок"))))</f>
        <v/>
      </c>
      <c r="S384" s="41" t="str">
        <f aca="false">IF(AND(N384="Да",O384=""),"Не пройдено","")</f>
        <v/>
      </c>
    </row>
    <row r="385" customFormat="false" ht="14.25" hidden="false" customHeight="false" outlineLevel="0" collapsed="false">
      <c r="A385" s="35" t="str">
        <f aca="false">IF(C385="","",ROW()-5)</f>
        <v/>
      </c>
      <c r="B385" s="36"/>
      <c r="C385" s="36"/>
      <c r="D385" s="36"/>
      <c r="E385" s="36"/>
      <c r="F385" s="37"/>
      <c r="G385" s="38" t="str">
        <f aca="false">IF(C385="","",IF(TRIM(SUBSTITUTE(SUBSTITUTE(SUBSTITUTE(SUBSTITUTE(SUBSTITUTE(SUBSTITUTE(SUBSTITUTE(SUBSTITUTE(SUBSTITUTE(SUBSTITUTE(SUBSTITUTE(LOWER(TRIM(D385)),"ё","е"),"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категории",""))="инженер",IF(AND(ISNUMBER(SEARCH("техническ",E385)),ISNUMBER(SEARCH("контрол",E385))),"инженер отк",IF(ISNUMBER(SEARCH("диспетч",E385)),"инженер пдо",TRIM(SUBSTITUTE(SUBSTITUTE(SUBSTITUTE(SUBSTITUTE(SUBSTITUTE(SUBSTITUTE(SUBSTITUTE(SUBSTITUTE(SUBSTITUTE(SUBSTITUTE(SUBSTITUTE(LOWER(TRIM(D385)),"ё","е"),"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категории","")))),IF(TRIM(SUBSTITUTE(SUBSTITUTE(SUBSTITUTE(SUBSTITUTE(SUBSTITUTE(SUBSTITUTE(SUBSTITUTE(SUBSTITUTE(SUBSTITUTE(SUBSTITUTE(SUBSTITUTE(LOWER(TRIM(D385)),"ё","е"),"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инженер",IF(ISNUMBER(SEARCH("диспетч",E385)),"ведущий инженер пдо",TRIM(SUBSTITUTE(SUBSTITUTE(SUBSTITUTE(SUBSTITUTE(SUBSTITUTE(SUBSTITUTE(SUBSTITUTE(SUBSTITUTE(SUBSTITUTE(SUBSTITUTE(SUBSTITUTE(LOWER(TRIM(D385)),"ё","е"),"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категории",""))),IF(TRIM(SUBSTITUTE(SUBSTITUTE(SUBSTITUTE(SUBSTITUTE(SUBSTITUTE(SUBSTITUTE(SUBSTITUTE(SUBSTITUTE(SUBSTITUTE(SUBSTITUTE(SUBSTITUTE(LOWER(TRIM(D385)),"ё","е"),"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отк",TRIM(SUBSTITUTE(SUBSTITUTE(SUBSTITUTE(SUBSTITUTE(SUBSTITUTE(SUBSTITUTE(SUBSTITUTE(SUBSTITUTE(SUBSTITUTE(SUBSTITUTE(SUBSTITUTE(LOWER(TRIM(D385)),"ё","е"),"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85" s="35" t="str">
        <f aca="false">IF(C385="","",IF(AND(G385="мастер участка",ISNUMBER(SEARCH("РЭО",E385))),29,IFERROR(INDEX(Соответствие!$B$2:$B$100,MATCH(G385,Соответствие!$A$2:$A$100,0)),"?")))</f>
        <v/>
      </c>
      <c r="I385" s="39" t="str">
        <f aca="false">IF(C385="","",IFERROR(INDEX(Перечень!$C$6:$C$52,MATCH(H385,Перечень!$A$6:$A$52,0)),""))</f>
        <v/>
      </c>
      <c r="J385" s="35" t="str">
        <f aca="false">IF(C385="","",IFERROR(INDEX(Перечень!$D$6:$D$52,MATCH(H385,Перечень!$A$6:$A$52,0)),12))</f>
        <v/>
      </c>
      <c r="K385" s="40"/>
      <c r="L385" s="40"/>
      <c r="M385" s="37" t="str">
        <f aca="false">IF(AND(K385="",L385=""),"",EDATE(MAX(K385,L385),J385))</f>
        <v/>
      </c>
      <c r="N385" s="41" t="str">
        <f aca="false">IF(C385="","",IFERROR(INDEX(Перечень!$F$6:$F$52,MATCH(H385,Перечень!$A$6:$A$52,0)),""))</f>
        <v/>
      </c>
      <c r="O385" s="40"/>
      <c r="P385" s="37" t="str">
        <f aca="false">IF(O385="","",EDATE(O385,60))</f>
        <v/>
      </c>
      <c r="Q385" s="41" t="str">
        <f aca="false">IF(AND(K385&lt;&gt;"",F385&lt;&gt;"",K385&gt;F385),"Да","")</f>
        <v/>
      </c>
      <c r="R385" s="41" t="str">
        <f aca="true">IF(C385="","",IF(M385="","Нет сведений",IF(M385&lt;TODAY(),"Просрочен",IF(M385-TODAY()&lt;=30,"Истекает","В срок"))))</f>
        <v/>
      </c>
      <c r="S385" s="41" t="str">
        <f aca="false">IF(AND(N385="Да",O385=""),"Не пройдено","")</f>
        <v/>
      </c>
    </row>
    <row r="386" customFormat="false" ht="14.25" hidden="false" customHeight="false" outlineLevel="0" collapsed="false">
      <c r="A386" s="35" t="str">
        <f aca="false">IF(C386="","",ROW()-5)</f>
        <v/>
      </c>
      <c r="B386" s="36"/>
      <c r="C386" s="36"/>
      <c r="D386" s="36"/>
      <c r="E386" s="36"/>
      <c r="F386" s="37"/>
      <c r="G386" s="38" t="str">
        <f aca="false">IF(C386="","",IF(TRIM(SUBSTITUTE(SUBSTITUTE(SUBSTITUTE(SUBSTITUTE(SUBSTITUTE(SUBSTITUTE(SUBSTITUTE(SUBSTITUTE(SUBSTITUTE(SUBSTITUTE(SUBSTITUTE(LOWER(TRIM(D386)),"ё","е"),"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категории",""))="инженер",IF(AND(ISNUMBER(SEARCH("техническ",E386)),ISNUMBER(SEARCH("контрол",E386))),"инженер отк",IF(ISNUMBER(SEARCH("диспетч",E386)),"инженер пдо",TRIM(SUBSTITUTE(SUBSTITUTE(SUBSTITUTE(SUBSTITUTE(SUBSTITUTE(SUBSTITUTE(SUBSTITUTE(SUBSTITUTE(SUBSTITUTE(SUBSTITUTE(SUBSTITUTE(LOWER(TRIM(D386)),"ё","е"),"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категории","")))),IF(TRIM(SUBSTITUTE(SUBSTITUTE(SUBSTITUTE(SUBSTITUTE(SUBSTITUTE(SUBSTITUTE(SUBSTITUTE(SUBSTITUTE(SUBSTITUTE(SUBSTITUTE(SUBSTITUTE(LOWER(TRIM(D386)),"ё","е"),"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инженер",IF(ISNUMBER(SEARCH("диспетч",E386)),"ведущий инженер пдо",TRIM(SUBSTITUTE(SUBSTITUTE(SUBSTITUTE(SUBSTITUTE(SUBSTITUTE(SUBSTITUTE(SUBSTITUTE(SUBSTITUTE(SUBSTITUTE(SUBSTITUTE(SUBSTITUTE(LOWER(TRIM(D386)),"ё","е"),"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категории",""))),IF(TRIM(SUBSTITUTE(SUBSTITUTE(SUBSTITUTE(SUBSTITUTE(SUBSTITUTE(SUBSTITUTE(SUBSTITUTE(SUBSTITUTE(SUBSTITUTE(SUBSTITUTE(SUBSTITUTE(LOWER(TRIM(D386)),"ё","е"),"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отк",TRIM(SUBSTITUTE(SUBSTITUTE(SUBSTITUTE(SUBSTITUTE(SUBSTITUTE(SUBSTITUTE(SUBSTITUTE(SUBSTITUTE(SUBSTITUTE(SUBSTITUTE(SUBSTITUTE(LOWER(TRIM(D386)),"ё","е"),"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86" s="35" t="str">
        <f aca="false">IF(C386="","",IF(AND(G386="мастер участка",ISNUMBER(SEARCH("РЭО",E386))),29,IFERROR(INDEX(Соответствие!$B$2:$B$100,MATCH(G386,Соответствие!$A$2:$A$100,0)),"?")))</f>
        <v/>
      </c>
      <c r="I386" s="39" t="str">
        <f aca="false">IF(C386="","",IFERROR(INDEX(Перечень!$C$6:$C$52,MATCH(H386,Перечень!$A$6:$A$52,0)),""))</f>
        <v/>
      </c>
      <c r="J386" s="35" t="str">
        <f aca="false">IF(C386="","",IFERROR(INDEX(Перечень!$D$6:$D$52,MATCH(H386,Перечень!$A$6:$A$52,0)),12))</f>
        <v/>
      </c>
      <c r="K386" s="40"/>
      <c r="L386" s="40"/>
      <c r="M386" s="37" t="str">
        <f aca="false">IF(AND(K386="",L386=""),"",EDATE(MAX(K386,L386),J386))</f>
        <v/>
      </c>
      <c r="N386" s="41" t="str">
        <f aca="false">IF(C386="","",IFERROR(INDEX(Перечень!$F$6:$F$52,MATCH(H386,Перечень!$A$6:$A$52,0)),""))</f>
        <v/>
      </c>
      <c r="O386" s="40"/>
      <c r="P386" s="37" t="str">
        <f aca="false">IF(O386="","",EDATE(O386,60))</f>
        <v/>
      </c>
      <c r="Q386" s="41" t="str">
        <f aca="false">IF(AND(K386&lt;&gt;"",F386&lt;&gt;"",K386&gt;F386),"Да","")</f>
        <v/>
      </c>
      <c r="R386" s="41" t="str">
        <f aca="true">IF(C386="","",IF(M386="","Нет сведений",IF(M386&lt;TODAY(),"Просрочен",IF(M386-TODAY()&lt;=30,"Истекает","В срок"))))</f>
        <v/>
      </c>
      <c r="S386" s="41" t="str">
        <f aca="false">IF(AND(N386="Да",O386=""),"Не пройдено","")</f>
        <v/>
      </c>
    </row>
    <row r="387" customFormat="false" ht="14.25" hidden="false" customHeight="false" outlineLevel="0" collapsed="false">
      <c r="A387" s="35" t="str">
        <f aca="false">IF(C387="","",ROW()-5)</f>
        <v/>
      </c>
      <c r="B387" s="36"/>
      <c r="C387" s="36"/>
      <c r="D387" s="36"/>
      <c r="E387" s="36"/>
      <c r="F387" s="37"/>
      <c r="G387" s="38" t="str">
        <f aca="false">IF(C387="","",IF(TRIM(SUBSTITUTE(SUBSTITUTE(SUBSTITUTE(SUBSTITUTE(SUBSTITUTE(SUBSTITUTE(SUBSTITUTE(SUBSTITUTE(SUBSTITUTE(SUBSTITUTE(SUBSTITUTE(LOWER(TRIM(D387)),"ё","е"),"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категории",""))="инженер",IF(AND(ISNUMBER(SEARCH("техническ",E387)),ISNUMBER(SEARCH("контрол",E387))),"инженер отк",IF(ISNUMBER(SEARCH("диспетч",E387)),"инженер пдо",TRIM(SUBSTITUTE(SUBSTITUTE(SUBSTITUTE(SUBSTITUTE(SUBSTITUTE(SUBSTITUTE(SUBSTITUTE(SUBSTITUTE(SUBSTITUTE(SUBSTITUTE(SUBSTITUTE(LOWER(TRIM(D387)),"ё","е"),"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категории","")))),IF(TRIM(SUBSTITUTE(SUBSTITUTE(SUBSTITUTE(SUBSTITUTE(SUBSTITUTE(SUBSTITUTE(SUBSTITUTE(SUBSTITUTE(SUBSTITUTE(SUBSTITUTE(SUBSTITUTE(LOWER(TRIM(D387)),"ё","е"),"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инженер",IF(ISNUMBER(SEARCH("диспетч",E387)),"ведущий инженер пдо",TRIM(SUBSTITUTE(SUBSTITUTE(SUBSTITUTE(SUBSTITUTE(SUBSTITUTE(SUBSTITUTE(SUBSTITUTE(SUBSTITUTE(SUBSTITUTE(SUBSTITUTE(SUBSTITUTE(LOWER(TRIM(D387)),"ё","е"),"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категории",""))),IF(TRIM(SUBSTITUTE(SUBSTITUTE(SUBSTITUTE(SUBSTITUTE(SUBSTITUTE(SUBSTITUTE(SUBSTITUTE(SUBSTITUTE(SUBSTITUTE(SUBSTITUTE(SUBSTITUTE(LOWER(TRIM(D387)),"ё","е"),"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отк",TRIM(SUBSTITUTE(SUBSTITUTE(SUBSTITUTE(SUBSTITUTE(SUBSTITUTE(SUBSTITUTE(SUBSTITUTE(SUBSTITUTE(SUBSTITUTE(SUBSTITUTE(SUBSTITUTE(LOWER(TRIM(D387)),"ё","е"),"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87" s="35" t="str">
        <f aca="false">IF(C387="","",IF(AND(G387="мастер участка",ISNUMBER(SEARCH("РЭО",E387))),29,IFERROR(INDEX(Соответствие!$B$2:$B$100,MATCH(G387,Соответствие!$A$2:$A$100,0)),"?")))</f>
        <v/>
      </c>
      <c r="I387" s="39" t="str">
        <f aca="false">IF(C387="","",IFERROR(INDEX(Перечень!$C$6:$C$52,MATCH(H387,Перечень!$A$6:$A$52,0)),""))</f>
        <v/>
      </c>
      <c r="J387" s="35" t="str">
        <f aca="false">IF(C387="","",IFERROR(INDEX(Перечень!$D$6:$D$52,MATCH(H387,Перечень!$A$6:$A$52,0)),12))</f>
        <v/>
      </c>
      <c r="K387" s="40"/>
      <c r="L387" s="40"/>
      <c r="M387" s="37" t="str">
        <f aca="false">IF(AND(K387="",L387=""),"",EDATE(MAX(K387,L387),J387))</f>
        <v/>
      </c>
      <c r="N387" s="41" t="str">
        <f aca="false">IF(C387="","",IFERROR(INDEX(Перечень!$F$6:$F$52,MATCH(H387,Перечень!$A$6:$A$52,0)),""))</f>
        <v/>
      </c>
      <c r="O387" s="40"/>
      <c r="P387" s="37" t="str">
        <f aca="false">IF(O387="","",EDATE(O387,60))</f>
        <v/>
      </c>
      <c r="Q387" s="41" t="str">
        <f aca="false">IF(AND(K387&lt;&gt;"",F387&lt;&gt;"",K387&gt;F387),"Да","")</f>
        <v/>
      </c>
      <c r="R387" s="41" t="str">
        <f aca="true">IF(C387="","",IF(M387="","Нет сведений",IF(M387&lt;TODAY(),"Просрочен",IF(M387-TODAY()&lt;=30,"Истекает","В срок"))))</f>
        <v/>
      </c>
      <c r="S387" s="41" t="str">
        <f aca="false">IF(AND(N387="Да",O387=""),"Не пройдено","")</f>
        <v/>
      </c>
    </row>
    <row r="388" customFormat="false" ht="14.25" hidden="false" customHeight="false" outlineLevel="0" collapsed="false">
      <c r="A388" s="35" t="str">
        <f aca="false">IF(C388="","",ROW()-5)</f>
        <v/>
      </c>
      <c r="B388" s="36"/>
      <c r="C388" s="36"/>
      <c r="D388" s="36"/>
      <c r="E388" s="36"/>
      <c r="F388" s="37"/>
      <c r="G388" s="38" t="str">
        <f aca="false">IF(C388="","",IF(TRIM(SUBSTITUTE(SUBSTITUTE(SUBSTITUTE(SUBSTITUTE(SUBSTITUTE(SUBSTITUTE(SUBSTITUTE(SUBSTITUTE(SUBSTITUTE(SUBSTITUTE(SUBSTITUTE(LOWER(TRIM(D388)),"ё","е"),"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категории",""))="инженер",IF(AND(ISNUMBER(SEARCH("техническ",E388)),ISNUMBER(SEARCH("контрол",E388))),"инженер отк",IF(ISNUMBER(SEARCH("диспетч",E388)),"инженер пдо",TRIM(SUBSTITUTE(SUBSTITUTE(SUBSTITUTE(SUBSTITUTE(SUBSTITUTE(SUBSTITUTE(SUBSTITUTE(SUBSTITUTE(SUBSTITUTE(SUBSTITUTE(SUBSTITUTE(LOWER(TRIM(D388)),"ё","е"),"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категории","")))),IF(TRIM(SUBSTITUTE(SUBSTITUTE(SUBSTITUTE(SUBSTITUTE(SUBSTITUTE(SUBSTITUTE(SUBSTITUTE(SUBSTITUTE(SUBSTITUTE(SUBSTITUTE(SUBSTITUTE(LOWER(TRIM(D388)),"ё","е"),"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инженер",IF(ISNUMBER(SEARCH("диспетч",E388)),"ведущий инженер пдо",TRIM(SUBSTITUTE(SUBSTITUTE(SUBSTITUTE(SUBSTITUTE(SUBSTITUTE(SUBSTITUTE(SUBSTITUTE(SUBSTITUTE(SUBSTITUTE(SUBSTITUTE(SUBSTITUTE(LOWER(TRIM(D388)),"ё","е"),"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категории",""))),IF(TRIM(SUBSTITUTE(SUBSTITUTE(SUBSTITUTE(SUBSTITUTE(SUBSTITUTE(SUBSTITUTE(SUBSTITUTE(SUBSTITUTE(SUBSTITUTE(SUBSTITUTE(SUBSTITUTE(LOWER(TRIM(D388)),"ё","е"),"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отк",TRIM(SUBSTITUTE(SUBSTITUTE(SUBSTITUTE(SUBSTITUTE(SUBSTITUTE(SUBSTITUTE(SUBSTITUTE(SUBSTITUTE(SUBSTITUTE(SUBSTITUTE(SUBSTITUTE(LOWER(TRIM(D388)),"ё","е"),"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88" s="35" t="str">
        <f aca="false">IF(C388="","",IF(AND(G388="мастер участка",ISNUMBER(SEARCH("РЭО",E388))),29,IFERROR(INDEX(Соответствие!$B$2:$B$100,MATCH(G388,Соответствие!$A$2:$A$100,0)),"?")))</f>
        <v/>
      </c>
      <c r="I388" s="39" t="str">
        <f aca="false">IF(C388="","",IFERROR(INDEX(Перечень!$C$6:$C$52,MATCH(H388,Перечень!$A$6:$A$52,0)),""))</f>
        <v/>
      </c>
      <c r="J388" s="35" t="str">
        <f aca="false">IF(C388="","",IFERROR(INDEX(Перечень!$D$6:$D$52,MATCH(H388,Перечень!$A$6:$A$52,0)),12))</f>
        <v/>
      </c>
      <c r="K388" s="40"/>
      <c r="L388" s="40"/>
      <c r="M388" s="37" t="str">
        <f aca="false">IF(AND(K388="",L388=""),"",EDATE(MAX(K388,L388),J388))</f>
        <v/>
      </c>
      <c r="N388" s="41" t="str">
        <f aca="false">IF(C388="","",IFERROR(INDEX(Перечень!$F$6:$F$52,MATCH(H388,Перечень!$A$6:$A$52,0)),""))</f>
        <v/>
      </c>
      <c r="O388" s="40"/>
      <c r="P388" s="37" t="str">
        <f aca="false">IF(O388="","",EDATE(O388,60))</f>
        <v/>
      </c>
      <c r="Q388" s="41" t="str">
        <f aca="false">IF(AND(K388&lt;&gt;"",F388&lt;&gt;"",K388&gt;F388),"Да","")</f>
        <v/>
      </c>
      <c r="R388" s="41" t="str">
        <f aca="true">IF(C388="","",IF(M388="","Нет сведений",IF(M388&lt;TODAY(),"Просрочен",IF(M388-TODAY()&lt;=30,"Истекает","В срок"))))</f>
        <v/>
      </c>
      <c r="S388" s="41" t="str">
        <f aca="false">IF(AND(N388="Да",O388=""),"Не пройдено","")</f>
        <v/>
      </c>
    </row>
    <row r="389" customFormat="false" ht="14.25" hidden="false" customHeight="false" outlineLevel="0" collapsed="false">
      <c r="A389" s="35" t="str">
        <f aca="false">IF(C389="","",ROW()-5)</f>
        <v/>
      </c>
      <c r="B389" s="36"/>
      <c r="C389" s="36"/>
      <c r="D389" s="36"/>
      <c r="E389" s="36"/>
      <c r="F389" s="37"/>
      <c r="G389" s="38" t="str">
        <f aca="false">IF(C389="","",IF(TRIM(SUBSTITUTE(SUBSTITUTE(SUBSTITUTE(SUBSTITUTE(SUBSTITUTE(SUBSTITUTE(SUBSTITUTE(SUBSTITUTE(SUBSTITUTE(SUBSTITUTE(SUBSTITUTE(LOWER(TRIM(D389)),"ё","е"),"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категории",""))="инженер",IF(AND(ISNUMBER(SEARCH("техническ",E389)),ISNUMBER(SEARCH("контрол",E389))),"инженер отк",IF(ISNUMBER(SEARCH("диспетч",E389)),"инженер пдо",TRIM(SUBSTITUTE(SUBSTITUTE(SUBSTITUTE(SUBSTITUTE(SUBSTITUTE(SUBSTITUTE(SUBSTITUTE(SUBSTITUTE(SUBSTITUTE(SUBSTITUTE(SUBSTITUTE(LOWER(TRIM(D389)),"ё","е"),"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категории","")))),IF(TRIM(SUBSTITUTE(SUBSTITUTE(SUBSTITUTE(SUBSTITUTE(SUBSTITUTE(SUBSTITUTE(SUBSTITUTE(SUBSTITUTE(SUBSTITUTE(SUBSTITUTE(SUBSTITUTE(LOWER(TRIM(D389)),"ё","е"),"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инженер",IF(ISNUMBER(SEARCH("диспетч",E389)),"ведущий инженер пдо",TRIM(SUBSTITUTE(SUBSTITUTE(SUBSTITUTE(SUBSTITUTE(SUBSTITUTE(SUBSTITUTE(SUBSTITUTE(SUBSTITUTE(SUBSTITUTE(SUBSTITUTE(SUBSTITUTE(LOWER(TRIM(D389)),"ё","е"),"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категории",""))),IF(TRIM(SUBSTITUTE(SUBSTITUTE(SUBSTITUTE(SUBSTITUTE(SUBSTITUTE(SUBSTITUTE(SUBSTITUTE(SUBSTITUTE(SUBSTITUTE(SUBSTITUTE(SUBSTITUTE(LOWER(TRIM(D389)),"ё","е"),"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отк",TRIM(SUBSTITUTE(SUBSTITUTE(SUBSTITUTE(SUBSTITUTE(SUBSTITUTE(SUBSTITUTE(SUBSTITUTE(SUBSTITUTE(SUBSTITUTE(SUBSTITUTE(SUBSTITUTE(LOWER(TRIM(D389)),"ё","е"),"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89" s="35" t="str">
        <f aca="false">IF(C389="","",IF(AND(G389="мастер участка",ISNUMBER(SEARCH("РЭО",E389))),29,IFERROR(INDEX(Соответствие!$B$2:$B$100,MATCH(G389,Соответствие!$A$2:$A$100,0)),"?")))</f>
        <v/>
      </c>
      <c r="I389" s="39" t="str">
        <f aca="false">IF(C389="","",IFERROR(INDEX(Перечень!$C$6:$C$52,MATCH(H389,Перечень!$A$6:$A$52,0)),""))</f>
        <v/>
      </c>
      <c r="J389" s="35" t="str">
        <f aca="false">IF(C389="","",IFERROR(INDEX(Перечень!$D$6:$D$52,MATCH(H389,Перечень!$A$6:$A$52,0)),12))</f>
        <v/>
      </c>
      <c r="K389" s="40"/>
      <c r="L389" s="40"/>
      <c r="M389" s="37" t="str">
        <f aca="false">IF(AND(K389="",L389=""),"",EDATE(MAX(K389,L389),J389))</f>
        <v/>
      </c>
      <c r="N389" s="41" t="str">
        <f aca="false">IF(C389="","",IFERROR(INDEX(Перечень!$F$6:$F$52,MATCH(H389,Перечень!$A$6:$A$52,0)),""))</f>
        <v/>
      </c>
      <c r="O389" s="40"/>
      <c r="P389" s="37" t="str">
        <f aca="false">IF(O389="","",EDATE(O389,60))</f>
        <v/>
      </c>
      <c r="Q389" s="41" t="str">
        <f aca="false">IF(AND(K389&lt;&gt;"",F389&lt;&gt;"",K389&gt;F389),"Да","")</f>
        <v/>
      </c>
      <c r="R389" s="41" t="str">
        <f aca="true">IF(C389="","",IF(M389="","Нет сведений",IF(M389&lt;TODAY(),"Просрочен",IF(M389-TODAY()&lt;=30,"Истекает","В срок"))))</f>
        <v/>
      </c>
      <c r="S389" s="41" t="str">
        <f aca="false">IF(AND(N389="Да",O389=""),"Не пройдено","")</f>
        <v/>
      </c>
    </row>
    <row r="390" customFormat="false" ht="14.25" hidden="false" customHeight="false" outlineLevel="0" collapsed="false">
      <c r="A390" s="35" t="str">
        <f aca="false">IF(C390="","",ROW()-5)</f>
        <v/>
      </c>
      <c r="B390" s="36"/>
      <c r="C390" s="36"/>
      <c r="D390" s="36"/>
      <c r="E390" s="36"/>
      <c r="F390" s="37"/>
      <c r="G390" s="38" t="str">
        <f aca="false">IF(C390="","",IF(TRIM(SUBSTITUTE(SUBSTITUTE(SUBSTITUTE(SUBSTITUTE(SUBSTITUTE(SUBSTITUTE(SUBSTITUTE(SUBSTITUTE(SUBSTITUTE(SUBSTITUTE(SUBSTITUTE(LOWER(TRIM(D390)),"ё","е"),"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категории",""))="инженер",IF(AND(ISNUMBER(SEARCH("техническ",E390)),ISNUMBER(SEARCH("контрол",E390))),"инженер отк",IF(ISNUMBER(SEARCH("диспетч",E390)),"инженер пдо",TRIM(SUBSTITUTE(SUBSTITUTE(SUBSTITUTE(SUBSTITUTE(SUBSTITUTE(SUBSTITUTE(SUBSTITUTE(SUBSTITUTE(SUBSTITUTE(SUBSTITUTE(SUBSTITUTE(LOWER(TRIM(D390)),"ё","е"),"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категории","")))),IF(TRIM(SUBSTITUTE(SUBSTITUTE(SUBSTITUTE(SUBSTITUTE(SUBSTITUTE(SUBSTITUTE(SUBSTITUTE(SUBSTITUTE(SUBSTITUTE(SUBSTITUTE(SUBSTITUTE(LOWER(TRIM(D390)),"ё","е"),"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инженер",IF(ISNUMBER(SEARCH("диспетч",E390)),"ведущий инженер пдо",TRIM(SUBSTITUTE(SUBSTITUTE(SUBSTITUTE(SUBSTITUTE(SUBSTITUTE(SUBSTITUTE(SUBSTITUTE(SUBSTITUTE(SUBSTITUTE(SUBSTITUTE(SUBSTITUTE(LOWER(TRIM(D390)),"ё","е"),"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категории",""))),IF(TRIM(SUBSTITUTE(SUBSTITUTE(SUBSTITUTE(SUBSTITUTE(SUBSTITUTE(SUBSTITUTE(SUBSTITUTE(SUBSTITUTE(SUBSTITUTE(SUBSTITUTE(SUBSTITUTE(LOWER(TRIM(D390)),"ё","е"),"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отк",TRIM(SUBSTITUTE(SUBSTITUTE(SUBSTITUTE(SUBSTITUTE(SUBSTITUTE(SUBSTITUTE(SUBSTITUTE(SUBSTITUTE(SUBSTITUTE(SUBSTITUTE(SUBSTITUTE(LOWER(TRIM(D390)),"ё","е"),"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90" s="35" t="str">
        <f aca="false">IF(C390="","",IF(AND(G390="мастер участка",ISNUMBER(SEARCH("РЭО",E390))),29,IFERROR(INDEX(Соответствие!$B$2:$B$100,MATCH(G390,Соответствие!$A$2:$A$100,0)),"?")))</f>
        <v/>
      </c>
      <c r="I390" s="39" t="str">
        <f aca="false">IF(C390="","",IFERROR(INDEX(Перечень!$C$6:$C$52,MATCH(H390,Перечень!$A$6:$A$52,0)),""))</f>
        <v/>
      </c>
      <c r="J390" s="35" t="str">
        <f aca="false">IF(C390="","",IFERROR(INDEX(Перечень!$D$6:$D$52,MATCH(H390,Перечень!$A$6:$A$52,0)),12))</f>
        <v/>
      </c>
      <c r="K390" s="40"/>
      <c r="L390" s="40"/>
      <c r="M390" s="37" t="str">
        <f aca="false">IF(AND(K390="",L390=""),"",EDATE(MAX(K390,L390),J390))</f>
        <v/>
      </c>
      <c r="N390" s="41" t="str">
        <f aca="false">IF(C390="","",IFERROR(INDEX(Перечень!$F$6:$F$52,MATCH(H390,Перечень!$A$6:$A$52,0)),""))</f>
        <v/>
      </c>
      <c r="O390" s="40"/>
      <c r="P390" s="37" t="str">
        <f aca="false">IF(O390="","",EDATE(O390,60))</f>
        <v/>
      </c>
      <c r="Q390" s="41" t="str">
        <f aca="false">IF(AND(K390&lt;&gt;"",F390&lt;&gt;"",K390&gt;F390),"Да","")</f>
        <v/>
      </c>
      <c r="R390" s="41" t="str">
        <f aca="true">IF(C390="","",IF(M390="","Нет сведений",IF(M390&lt;TODAY(),"Просрочен",IF(M390-TODAY()&lt;=30,"Истекает","В срок"))))</f>
        <v/>
      </c>
      <c r="S390" s="41" t="str">
        <f aca="false">IF(AND(N390="Да",O390=""),"Не пройдено","")</f>
        <v/>
      </c>
    </row>
    <row r="391" customFormat="false" ht="14.25" hidden="false" customHeight="false" outlineLevel="0" collapsed="false">
      <c r="A391" s="35" t="str">
        <f aca="false">IF(C391="","",ROW()-5)</f>
        <v/>
      </c>
      <c r="B391" s="36"/>
      <c r="C391" s="36"/>
      <c r="D391" s="36"/>
      <c r="E391" s="36"/>
      <c r="F391" s="37"/>
      <c r="G391" s="38" t="str">
        <f aca="false">IF(C391="","",IF(TRIM(SUBSTITUTE(SUBSTITUTE(SUBSTITUTE(SUBSTITUTE(SUBSTITUTE(SUBSTITUTE(SUBSTITUTE(SUBSTITUTE(SUBSTITUTE(SUBSTITUTE(SUBSTITUTE(LOWER(TRIM(D391)),"ё","е"),"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категории",""))="инженер",IF(AND(ISNUMBER(SEARCH("техническ",E391)),ISNUMBER(SEARCH("контрол",E391))),"инженер отк",IF(ISNUMBER(SEARCH("диспетч",E391)),"инженер пдо",TRIM(SUBSTITUTE(SUBSTITUTE(SUBSTITUTE(SUBSTITUTE(SUBSTITUTE(SUBSTITUTE(SUBSTITUTE(SUBSTITUTE(SUBSTITUTE(SUBSTITUTE(SUBSTITUTE(LOWER(TRIM(D391)),"ё","е"),"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категории","")))),IF(TRIM(SUBSTITUTE(SUBSTITUTE(SUBSTITUTE(SUBSTITUTE(SUBSTITUTE(SUBSTITUTE(SUBSTITUTE(SUBSTITUTE(SUBSTITUTE(SUBSTITUTE(SUBSTITUTE(LOWER(TRIM(D391)),"ё","е"),"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инженер",IF(ISNUMBER(SEARCH("диспетч",E391)),"ведущий инженер пдо",TRIM(SUBSTITUTE(SUBSTITUTE(SUBSTITUTE(SUBSTITUTE(SUBSTITUTE(SUBSTITUTE(SUBSTITUTE(SUBSTITUTE(SUBSTITUTE(SUBSTITUTE(SUBSTITUTE(LOWER(TRIM(D391)),"ё","е"),"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категории",""))),IF(TRIM(SUBSTITUTE(SUBSTITUTE(SUBSTITUTE(SUBSTITUTE(SUBSTITUTE(SUBSTITUTE(SUBSTITUTE(SUBSTITUTE(SUBSTITUTE(SUBSTITUTE(SUBSTITUTE(LOWER(TRIM(D391)),"ё","е"),"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отк",TRIM(SUBSTITUTE(SUBSTITUTE(SUBSTITUTE(SUBSTITUTE(SUBSTITUTE(SUBSTITUTE(SUBSTITUTE(SUBSTITUTE(SUBSTITUTE(SUBSTITUTE(SUBSTITUTE(LOWER(TRIM(D391)),"ё","е"),"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91" s="35" t="str">
        <f aca="false">IF(C391="","",IF(AND(G391="мастер участка",ISNUMBER(SEARCH("РЭО",E391))),29,IFERROR(INDEX(Соответствие!$B$2:$B$100,MATCH(G391,Соответствие!$A$2:$A$100,0)),"?")))</f>
        <v/>
      </c>
      <c r="I391" s="39" t="str">
        <f aca="false">IF(C391="","",IFERROR(INDEX(Перечень!$C$6:$C$52,MATCH(H391,Перечень!$A$6:$A$52,0)),""))</f>
        <v/>
      </c>
      <c r="J391" s="35" t="str">
        <f aca="false">IF(C391="","",IFERROR(INDEX(Перечень!$D$6:$D$52,MATCH(H391,Перечень!$A$6:$A$52,0)),12))</f>
        <v/>
      </c>
      <c r="K391" s="40"/>
      <c r="L391" s="40"/>
      <c r="M391" s="37" t="str">
        <f aca="false">IF(AND(K391="",L391=""),"",EDATE(MAX(K391,L391),J391))</f>
        <v/>
      </c>
      <c r="N391" s="41" t="str">
        <f aca="false">IF(C391="","",IFERROR(INDEX(Перечень!$F$6:$F$52,MATCH(H391,Перечень!$A$6:$A$52,0)),""))</f>
        <v/>
      </c>
      <c r="O391" s="40"/>
      <c r="P391" s="37" t="str">
        <f aca="false">IF(O391="","",EDATE(O391,60))</f>
        <v/>
      </c>
      <c r="Q391" s="41" t="str">
        <f aca="false">IF(AND(K391&lt;&gt;"",F391&lt;&gt;"",K391&gt;F391),"Да","")</f>
        <v/>
      </c>
      <c r="R391" s="41" t="str">
        <f aca="true">IF(C391="","",IF(M391="","Нет сведений",IF(M391&lt;TODAY(),"Просрочен",IF(M391-TODAY()&lt;=30,"Истекает","В срок"))))</f>
        <v/>
      </c>
      <c r="S391" s="41" t="str">
        <f aca="false">IF(AND(N391="Да",O391=""),"Не пройдено","")</f>
        <v/>
      </c>
    </row>
    <row r="392" customFormat="false" ht="14.25" hidden="false" customHeight="false" outlineLevel="0" collapsed="false">
      <c r="A392" s="35" t="str">
        <f aca="false">IF(C392="","",ROW()-5)</f>
        <v/>
      </c>
      <c r="B392" s="36"/>
      <c r="C392" s="36"/>
      <c r="D392" s="36"/>
      <c r="E392" s="36"/>
      <c r="F392" s="37"/>
      <c r="G392" s="38" t="str">
        <f aca="false">IF(C392="","",IF(TRIM(SUBSTITUTE(SUBSTITUTE(SUBSTITUTE(SUBSTITUTE(SUBSTITUTE(SUBSTITUTE(SUBSTITUTE(SUBSTITUTE(SUBSTITUTE(SUBSTITUTE(SUBSTITUTE(LOWER(TRIM(D392)),"ё","е"),"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категории",""))="инженер",IF(AND(ISNUMBER(SEARCH("техническ",E392)),ISNUMBER(SEARCH("контрол",E392))),"инженер отк",IF(ISNUMBER(SEARCH("диспетч",E392)),"инженер пдо",TRIM(SUBSTITUTE(SUBSTITUTE(SUBSTITUTE(SUBSTITUTE(SUBSTITUTE(SUBSTITUTE(SUBSTITUTE(SUBSTITUTE(SUBSTITUTE(SUBSTITUTE(SUBSTITUTE(LOWER(TRIM(D392)),"ё","е"),"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категории","")))),IF(TRIM(SUBSTITUTE(SUBSTITUTE(SUBSTITUTE(SUBSTITUTE(SUBSTITUTE(SUBSTITUTE(SUBSTITUTE(SUBSTITUTE(SUBSTITUTE(SUBSTITUTE(SUBSTITUTE(LOWER(TRIM(D392)),"ё","е"),"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инженер",IF(ISNUMBER(SEARCH("диспетч",E392)),"ведущий инженер пдо",TRIM(SUBSTITUTE(SUBSTITUTE(SUBSTITUTE(SUBSTITUTE(SUBSTITUTE(SUBSTITUTE(SUBSTITUTE(SUBSTITUTE(SUBSTITUTE(SUBSTITUTE(SUBSTITUTE(LOWER(TRIM(D392)),"ё","е"),"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категории",""))),IF(TRIM(SUBSTITUTE(SUBSTITUTE(SUBSTITUTE(SUBSTITUTE(SUBSTITUTE(SUBSTITUTE(SUBSTITUTE(SUBSTITUTE(SUBSTITUTE(SUBSTITUTE(SUBSTITUTE(LOWER(TRIM(D392)),"ё","е"),"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отк",TRIM(SUBSTITUTE(SUBSTITUTE(SUBSTITUTE(SUBSTITUTE(SUBSTITUTE(SUBSTITUTE(SUBSTITUTE(SUBSTITUTE(SUBSTITUTE(SUBSTITUTE(SUBSTITUTE(LOWER(TRIM(D392)),"ё","е"),"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92" s="35" t="str">
        <f aca="false">IF(C392="","",IF(AND(G392="мастер участка",ISNUMBER(SEARCH("РЭО",E392))),29,IFERROR(INDEX(Соответствие!$B$2:$B$100,MATCH(G392,Соответствие!$A$2:$A$100,0)),"?")))</f>
        <v/>
      </c>
      <c r="I392" s="39" t="str">
        <f aca="false">IF(C392="","",IFERROR(INDEX(Перечень!$C$6:$C$52,MATCH(H392,Перечень!$A$6:$A$52,0)),""))</f>
        <v/>
      </c>
      <c r="J392" s="35" t="str">
        <f aca="false">IF(C392="","",IFERROR(INDEX(Перечень!$D$6:$D$52,MATCH(H392,Перечень!$A$6:$A$52,0)),12))</f>
        <v/>
      </c>
      <c r="K392" s="40"/>
      <c r="L392" s="40"/>
      <c r="M392" s="37" t="str">
        <f aca="false">IF(AND(K392="",L392=""),"",EDATE(MAX(K392,L392),J392))</f>
        <v/>
      </c>
      <c r="N392" s="41" t="str">
        <f aca="false">IF(C392="","",IFERROR(INDEX(Перечень!$F$6:$F$52,MATCH(H392,Перечень!$A$6:$A$52,0)),""))</f>
        <v/>
      </c>
      <c r="O392" s="40"/>
      <c r="P392" s="37" t="str">
        <f aca="false">IF(O392="","",EDATE(O392,60))</f>
        <v/>
      </c>
      <c r="Q392" s="41" t="str">
        <f aca="false">IF(AND(K392&lt;&gt;"",F392&lt;&gt;"",K392&gt;F392),"Да","")</f>
        <v/>
      </c>
      <c r="R392" s="41" t="str">
        <f aca="true">IF(C392="","",IF(M392="","Нет сведений",IF(M392&lt;TODAY(),"Просрочен",IF(M392-TODAY()&lt;=30,"Истекает","В срок"))))</f>
        <v/>
      </c>
      <c r="S392" s="41" t="str">
        <f aca="false">IF(AND(N392="Да",O392=""),"Не пройдено","")</f>
        <v/>
      </c>
    </row>
    <row r="393" customFormat="false" ht="14.25" hidden="false" customHeight="false" outlineLevel="0" collapsed="false">
      <c r="A393" s="35" t="str">
        <f aca="false">IF(C393="","",ROW()-5)</f>
        <v/>
      </c>
      <c r="B393" s="36"/>
      <c r="C393" s="36"/>
      <c r="D393" s="36"/>
      <c r="E393" s="36"/>
      <c r="F393" s="37"/>
      <c r="G393" s="38" t="str">
        <f aca="false">IF(C393="","",IF(TRIM(SUBSTITUTE(SUBSTITUTE(SUBSTITUTE(SUBSTITUTE(SUBSTITUTE(SUBSTITUTE(SUBSTITUTE(SUBSTITUTE(SUBSTITUTE(SUBSTITUTE(SUBSTITUTE(LOWER(TRIM(D393)),"ё","е"),"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категории",""))="инженер",IF(AND(ISNUMBER(SEARCH("техническ",E393)),ISNUMBER(SEARCH("контрол",E393))),"инженер отк",IF(ISNUMBER(SEARCH("диспетч",E393)),"инженер пдо",TRIM(SUBSTITUTE(SUBSTITUTE(SUBSTITUTE(SUBSTITUTE(SUBSTITUTE(SUBSTITUTE(SUBSTITUTE(SUBSTITUTE(SUBSTITUTE(SUBSTITUTE(SUBSTITUTE(LOWER(TRIM(D393)),"ё","е"),"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категории","")))),IF(TRIM(SUBSTITUTE(SUBSTITUTE(SUBSTITUTE(SUBSTITUTE(SUBSTITUTE(SUBSTITUTE(SUBSTITUTE(SUBSTITUTE(SUBSTITUTE(SUBSTITUTE(SUBSTITUTE(LOWER(TRIM(D393)),"ё","е"),"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инженер",IF(ISNUMBER(SEARCH("диспетч",E393)),"ведущий инженер пдо",TRIM(SUBSTITUTE(SUBSTITUTE(SUBSTITUTE(SUBSTITUTE(SUBSTITUTE(SUBSTITUTE(SUBSTITUTE(SUBSTITUTE(SUBSTITUTE(SUBSTITUTE(SUBSTITUTE(LOWER(TRIM(D393)),"ё","е"),"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категории",""))),IF(TRIM(SUBSTITUTE(SUBSTITUTE(SUBSTITUTE(SUBSTITUTE(SUBSTITUTE(SUBSTITUTE(SUBSTITUTE(SUBSTITUTE(SUBSTITUTE(SUBSTITUTE(SUBSTITUTE(LOWER(TRIM(D393)),"ё","е"),"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отк",TRIM(SUBSTITUTE(SUBSTITUTE(SUBSTITUTE(SUBSTITUTE(SUBSTITUTE(SUBSTITUTE(SUBSTITUTE(SUBSTITUTE(SUBSTITUTE(SUBSTITUTE(SUBSTITUTE(LOWER(TRIM(D393)),"ё","е"),"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93" s="35" t="str">
        <f aca="false">IF(C393="","",IF(AND(G393="мастер участка",ISNUMBER(SEARCH("РЭО",E393))),29,IFERROR(INDEX(Соответствие!$B$2:$B$100,MATCH(G393,Соответствие!$A$2:$A$100,0)),"?")))</f>
        <v/>
      </c>
      <c r="I393" s="39" t="str">
        <f aca="false">IF(C393="","",IFERROR(INDEX(Перечень!$C$6:$C$52,MATCH(H393,Перечень!$A$6:$A$52,0)),""))</f>
        <v/>
      </c>
      <c r="J393" s="35" t="str">
        <f aca="false">IF(C393="","",IFERROR(INDEX(Перечень!$D$6:$D$52,MATCH(H393,Перечень!$A$6:$A$52,0)),12))</f>
        <v/>
      </c>
      <c r="K393" s="40"/>
      <c r="L393" s="40"/>
      <c r="M393" s="37" t="str">
        <f aca="false">IF(AND(K393="",L393=""),"",EDATE(MAX(K393,L393),J393))</f>
        <v/>
      </c>
      <c r="N393" s="41" t="str">
        <f aca="false">IF(C393="","",IFERROR(INDEX(Перечень!$F$6:$F$52,MATCH(H393,Перечень!$A$6:$A$52,0)),""))</f>
        <v/>
      </c>
      <c r="O393" s="40"/>
      <c r="P393" s="37" t="str">
        <f aca="false">IF(O393="","",EDATE(O393,60))</f>
        <v/>
      </c>
      <c r="Q393" s="41" t="str">
        <f aca="false">IF(AND(K393&lt;&gt;"",F393&lt;&gt;"",K393&gt;F393),"Да","")</f>
        <v/>
      </c>
      <c r="R393" s="41" t="str">
        <f aca="true">IF(C393="","",IF(M393="","Нет сведений",IF(M393&lt;TODAY(),"Просрочен",IF(M393-TODAY()&lt;=30,"Истекает","В срок"))))</f>
        <v/>
      </c>
      <c r="S393" s="41" t="str">
        <f aca="false">IF(AND(N393="Да",O393=""),"Не пройдено","")</f>
        <v/>
      </c>
    </row>
    <row r="394" customFormat="false" ht="14.25" hidden="false" customHeight="false" outlineLevel="0" collapsed="false">
      <c r="A394" s="35" t="str">
        <f aca="false">IF(C394="","",ROW()-5)</f>
        <v/>
      </c>
      <c r="B394" s="36"/>
      <c r="C394" s="36"/>
      <c r="D394" s="36"/>
      <c r="E394" s="36"/>
      <c r="F394" s="37"/>
      <c r="G394" s="38" t="str">
        <f aca="false">IF(C394="","",IF(TRIM(SUBSTITUTE(SUBSTITUTE(SUBSTITUTE(SUBSTITUTE(SUBSTITUTE(SUBSTITUTE(SUBSTITUTE(SUBSTITUTE(SUBSTITUTE(SUBSTITUTE(SUBSTITUTE(LOWER(TRIM(D394)),"ё","е"),"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категории",""))="инженер",IF(AND(ISNUMBER(SEARCH("техническ",E394)),ISNUMBER(SEARCH("контрол",E394))),"инженер отк",IF(ISNUMBER(SEARCH("диспетч",E394)),"инженер пдо",TRIM(SUBSTITUTE(SUBSTITUTE(SUBSTITUTE(SUBSTITUTE(SUBSTITUTE(SUBSTITUTE(SUBSTITUTE(SUBSTITUTE(SUBSTITUTE(SUBSTITUTE(SUBSTITUTE(LOWER(TRIM(D394)),"ё","е"),"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категории","")))),IF(TRIM(SUBSTITUTE(SUBSTITUTE(SUBSTITUTE(SUBSTITUTE(SUBSTITUTE(SUBSTITUTE(SUBSTITUTE(SUBSTITUTE(SUBSTITUTE(SUBSTITUTE(SUBSTITUTE(LOWER(TRIM(D394)),"ё","е"),"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инженер",IF(ISNUMBER(SEARCH("диспетч",E394)),"ведущий инженер пдо",TRIM(SUBSTITUTE(SUBSTITUTE(SUBSTITUTE(SUBSTITUTE(SUBSTITUTE(SUBSTITUTE(SUBSTITUTE(SUBSTITUTE(SUBSTITUTE(SUBSTITUTE(SUBSTITUTE(LOWER(TRIM(D394)),"ё","е"),"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категории",""))),IF(TRIM(SUBSTITUTE(SUBSTITUTE(SUBSTITUTE(SUBSTITUTE(SUBSTITUTE(SUBSTITUTE(SUBSTITUTE(SUBSTITUTE(SUBSTITUTE(SUBSTITUTE(SUBSTITUTE(LOWER(TRIM(D394)),"ё","е"),"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отк",TRIM(SUBSTITUTE(SUBSTITUTE(SUBSTITUTE(SUBSTITUTE(SUBSTITUTE(SUBSTITUTE(SUBSTITUTE(SUBSTITUTE(SUBSTITUTE(SUBSTITUTE(SUBSTITUTE(LOWER(TRIM(D394)),"ё","е"),"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94" s="35" t="str">
        <f aca="false">IF(C394="","",IF(AND(G394="мастер участка",ISNUMBER(SEARCH("РЭО",E394))),29,IFERROR(INDEX(Соответствие!$B$2:$B$100,MATCH(G394,Соответствие!$A$2:$A$100,0)),"?")))</f>
        <v/>
      </c>
      <c r="I394" s="39" t="str">
        <f aca="false">IF(C394="","",IFERROR(INDEX(Перечень!$C$6:$C$52,MATCH(H394,Перечень!$A$6:$A$52,0)),""))</f>
        <v/>
      </c>
      <c r="J394" s="35" t="str">
        <f aca="false">IF(C394="","",IFERROR(INDEX(Перечень!$D$6:$D$52,MATCH(H394,Перечень!$A$6:$A$52,0)),12))</f>
        <v/>
      </c>
      <c r="K394" s="40"/>
      <c r="L394" s="40"/>
      <c r="M394" s="37" t="str">
        <f aca="false">IF(AND(K394="",L394=""),"",EDATE(MAX(K394,L394),J394))</f>
        <v/>
      </c>
      <c r="N394" s="41" t="str">
        <f aca="false">IF(C394="","",IFERROR(INDEX(Перечень!$F$6:$F$52,MATCH(H394,Перечень!$A$6:$A$52,0)),""))</f>
        <v/>
      </c>
      <c r="O394" s="40"/>
      <c r="P394" s="37" t="str">
        <f aca="false">IF(O394="","",EDATE(O394,60))</f>
        <v/>
      </c>
      <c r="Q394" s="41" t="str">
        <f aca="false">IF(AND(K394&lt;&gt;"",F394&lt;&gt;"",K394&gt;F394),"Да","")</f>
        <v/>
      </c>
      <c r="R394" s="41" t="str">
        <f aca="true">IF(C394="","",IF(M394="","Нет сведений",IF(M394&lt;TODAY(),"Просрочен",IF(M394-TODAY()&lt;=30,"Истекает","В срок"))))</f>
        <v/>
      </c>
      <c r="S394" s="41" t="str">
        <f aca="false">IF(AND(N394="Да",O394=""),"Не пройдено","")</f>
        <v/>
      </c>
    </row>
    <row r="395" customFormat="false" ht="14.25" hidden="false" customHeight="false" outlineLevel="0" collapsed="false">
      <c r="A395" s="35" t="str">
        <f aca="false">IF(C395="","",ROW()-5)</f>
        <v/>
      </c>
      <c r="B395" s="36"/>
      <c r="C395" s="36"/>
      <c r="D395" s="36"/>
      <c r="E395" s="36"/>
      <c r="F395" s="37"/>
      <c r="G395" s="38" t="str">
        <f aca="false">IF(C395="","",IF(TRIM(SUBSTITUTE(SUBSTITUTE(SUBSTITUTE(SUBSTITUTE(SUBSTITUTE(SUBSTITUTE(SUBSTITUTE(SUBSTITUTE(SUBSTITUTE(SUBSTITUTE(SUBSTITUTE(LOWER(TRIM(D395)),"ё","е"),"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категории",""))="инженер",IF(AND(ISNUMBER(SEARCH("техническ",E395)),ISNUMBER(SEARCH("контрол",E395))),"инженер отк",IF(ISNUMBER(SEARCH("диспетч",E395)),"инженер пдо",TRIM(SUBSTITUTE(SUBSTITUTE(SUBSTITUTE(SUBSTITUTE(SUBSTITUTE(SUBSTITUTE(SUBSTITUTE(SUBSTITUTE(SUBSTITUTE(SUBSTITUTE(SUBSTITUTE(LOWER(TRIM(D395)),"ё","е"),"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категории","")))),IF(TRIM(SUBSTITUTE(SUBSTITUTE(SUBSTITUTE(SUBSTITUTE(SUBSTITUTE(SUBSTITUTE(SUBSTITUTE(SUBSTITUTE(SUBSTITUTE(SUBSTITUTE(SUBSTITUTE(LOWER(TRIM(D395)),"ё","е"),"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инженер",IF(ISNUMBER(SEARCH("диспетч",E395)),"ведущий инженер пдо",TRIM(SUBSTITUTE(SUBSTITUTE(SUBSTITUTE(SUBSTITUTE(SUBSTITUTE(SUBSTITUTE(SUBSTITUTE(SUBSTITUTE(SUBSTITUTE(SUBSTITUTE(SUBSTITUTE(LOWER(TRIM(D395)),"ё","е"),"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категории",""))),IF(TRIM(SUBSTITUTE(SUBSTITUTE(SUBSTITUTE(SUBSTITUTE(SUBSTITUTE(SUBSTITUTE(SUBSTITUTE(SUBSTITUTE(SUBSTITUTE(SUBSTITUTE(SUBSTITUTE(LOWER(TRIM(D395)),"ё","е"),"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отк",TRIM(SUBSTITUTE(SUBSTITUTE(SUBSTITUTE(SUBSTITUTE(SUBSTITUTE(SUBSTITUTE(SUBSTITUTE(SUBSTITUTE(SUBSTITUTE(SUBSTITUTE(SUBSTITUTE(LOWER(TRIM(D395)),"ё","е"),"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95" s="35" t="str">
        <f aca="false">IF(C395="","",IF(AND(G395="мастер участка",ISNUMBER(SEARCH("РЭО",E395))),29,IFERROR(INDEX(Соответствие!$B$2:$B$100,MATCH(G395,Соответствие!$A$2:$A$100,0)),"?")))</f>
        <v/>
      </c>
      <c r="I395" s="39" t="str">
        <f aca="false">IF(C395="","",IFERROR(INDEX(Перечень!$C$6:$C$52,MATCH(H395,Перечень!$A$6:$A$52,0)),""))</f>
        <v/>
      </c>
      <c r="J395" s="35" t="str">
        <f aca="false">IF(C395="","",IFERROR(INDEX(Перечень!$D$6:$D$52,MATCH(H395,Перечень!$A$6:$A$52,0)),12))</f>
        <v/>
      </c>
      <c r="K395" s="40"/>
      <c r="L395" s="40"/>
      <c r="M395" s="37" t="str">
        <f aca="false">IF(AND(K395="",L395=""),"",EDATE(MAX(K395,L395),J395))</f>
        <v/>
      </c>
      <c r="N395" s="41" t="str">
        <f aca="false">IF(C395="","",IFERROR(INDEX(Перечень!$F$6:$F$52,MATCH(H395,Перечень!$A$6:$A$52,0)),""))</f>
        <v/>
      </c>
      <c r="O395" s="40"/>
      <c r="P395" s="37" t="str">
        <f aca="false">IF(O395="","",EDATE(O395,60))</f>
        <v/>
      </c>
      <c r="Q395" s="41" t="str">
        <f aca="false">IF(AND(K395&lt;&gt;"",F395&lt;&gt;"",K395&gt;F395),"Да","")</f>
        <v/>
      </c>
      <c r="R395" s="41" t="str">
        <f aca="true">IF(C395="","",IF(M395="","Нет сведений",IF(M395&lt;TODAY(),"Просрочен",IF(M395-TODAY()&lt;=30,"Истекает","В срок"))))</f>
        <v/>
      </c>
      <c r="S395" s="41" t="str">
        <f aca="false">IF(AND(N395="Да",O395=""),"Не пройдено","")</f>
        <v/>
      </c>
    </row>
    <row r="396" customFormat="false" ht="14.25" hidden="false" customHeight="false" outlineLevel="0" collapsed="false">
      <c r="A396" s="35" t="str">
        <f aca="false">IF(C396="","",ROW()-5)</f>
        <v/>
      </c>
      <c r="B396" s="36"/>
      <c r="C396" s="36"/>
      <c r="D396" s="36"/>
      <c r="E396" s="36"/>
      <c r="F396" s="37"/>
      <c r="G396" s="38" t="str">
        <f aca="false">IF(C396="","",IF(TRIM(SUBSTITUTE(SUBSTITUTE(SUBSTITUTE(SUBSTITUTE(SUBSTITUTE(SUBSTITUTE(SUBSTITUTE(SUBSTITUTE(SUBSTITUTE(SUBSTITUTE(SUBSTITUTE(LOWER(TRIM(D396)),"ё","е"),"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категории",""))="инженер",IF(AND(ISNUMBER(SEARCH("техническ",E396)),ISNUMBER(SEARCH("контрол",E396))),"инженер отк",IF(ISNUMBER(SEARCH("диспетч",E396)),"инженер пдо",TRIM(SUBSTITUTE(SUBSTITUTE(SUBSTITUTE(SUBSTITUTE(SUBSTITUTE(SUBSTITUTE(SUBSTITUTE(SUBSTITUTE(SUBSTITUTE(SUBSTITUTE(SUBSTITUTE(LOWER(TRIM(D396)),"ё","е"),"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категории","")))),IF(TRIM(SUBSTITUTE(SUBSTITUTE(SUBSTITUTE(SUBSTITUTE(SUBSTITUTE(SUBSTITUTE(SUBSTITUTE(SUBSTITUTE(SUBSTITUTE(SUBSTITUTE(SUBSTITUTE(LOWER(TRIM(D396)),"ё","е"),"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инженер",IF(ISNUMBER(SEARCH("диспетч",E396)),"ведущий инженер пдо",TRIM(SUBSTITUTE(SUBSTITUTE(SUBSTITUTE(SUBSTITUTE(SUBSTITUTE(SUBSTITUTE(SUBSTITUTE(SUBSTITUTE(SUBSTITUTE(SUBSTITUTE(SUBSTITUTE(LOWER(TRIM(D396)),"ё","е"),"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категории",""))),IF(TRIM(SUBSTITUTE(SUBSTITUTE(SUBSTITUTE(SUBSTITUTE(SUBSTITUTE(SUBSTITUTE(SUBSTITUTE(SUBSTITUTE(SUBSTITUTE(SUBSTITUTE(SUBSTITUTE(LOWER(TRIM(D396)),"ё","е"),"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отк",TRIM(SUBSTITUTE(SUBSTITUTE(SUBSTITUTE(SUBSTITUTE(SUBSTITUTE(SUBSTITUTE(SUBSTITUTE(SUBSTITUTE(SUBSTITUTE(SUBSTITUTE(SUBSTITUTE(LOWER(TRIM(D396)),"ё","е"),"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96" s="35" t="str">
        <f aca="false">IF(C396="","",IF(AND(G396="мастер участка",ISNUMBER(SEARCH("РЭО",E396))),29,IFERROR(INDEX(Соответствие!$B$2:$B$100,MATCH(G396,Соответствие!$A$2:$A$100,0)),"?")))</f>
        <v/>
      </c>
      <c r="I396" s="39" t="str">
        <f aca="false">IF(C396="","",IFERROR(INDEX(Перечень!$C$6:$C$52,MATCH(H396,Перечень!$A$6:$A$52,0)),""))</f>
        <v/>
      </c>
      <c r="J396" s="35" t="str">
        <f aca="false">IF(C396="","",IFERROR(INDEX(Перечень!$D$6:$D$52,MATCH(H396,Перечень!$A$6:$A$52,0)),12))</f>
        <v/>
      </c>
      <c r="K396" s="40"/>
      <c r="L396" s="40"/>
      <c r="M396" s="37" t="str">
        <f aca="false">IF(AND(K396="",L396=""),"",EDATE(MAX(K396,L396),J396))</f>
        <v/>
      </c>
      <c r="N396" s="41" t="str">
        <f aca="false">IF(C396="","",IFERROR(INDEX(Перечень!$F$6:$F$52,MATCH(H396,Перечень!$A$6:$A$52,0)),""))</f>
        <v/>
      </c>
      <c r="O396" s="40"/>
      <c r="P396" s="37" t="str">
        <f aca="false">IF(O396="","",EDATE(O396,60))</f>
        <v/>
      </c>
      <c r="Q396" s="41" t="str">
        <f aca="false">IF(AND(K396&lt;&gt;"",F396&lt;&gt;"",K396&gt;F396),"Да","")</f>
        <v/>
      </c>
      <c r="R396" s="41" t="str">
        <f aca="true">IF(C396="","",IF(M396="","Нет сведений",IF(M396&lt;TODAY(),"Просрочен",IF(M396-TODAY()&lt;=30,"Истекает","В срок"))))</f>
        <v/>
      </c>
      <c r="S396" s="41" t="str">
        <f aca="false">IF(AND(N396="Да",O396=""),"Не пройдено","")</f>
        <v/>
      </c>
    </row>
    <row r="397" customFormat="false" ht="14.25" hidden="false" customHeight="false" outlineLevel="0" collapsed="false">
      <c r="A397" s="35" t="str">
        <f aca="false">IF(C397="","",ROW()-5)</f>
        <v/>
      </c>
      <c r="B397" s="36"/>
      <c r="C397" s="36"/>
      <c r="D397" s="36"/>
      <c r="E397" s="36"/>
      <c r="F397" s="37"/>
      <c r="G397" s="38" t="str">
        <f aca="false">IF(C397="","",IF(TRIM(SUBSTITUTE(SUBSTITUTE(SUBSTITUTE(SUBSTITUTE(SUBSTITUTE(SUBSTITUTE(SUBSTITUTE(SUBSTITUTE(SUBSTITUTE(SUBSTITUTE(SUBSTITUTE(LOWER(TRIM(D397)),"ё","е"),"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категории",""))="инженер",IF(AND(ISNUMBER(SEARCH("техническ",E397)),ISNUMBER(SEARCH("контрол",E397))),"инженер отк",IF(ISNUMBER(SEARCH("диспетч",E397)),"инженер пдо",TRIM(SUBSTITUTE(SUBSTITUTE(SUBSTITUTE(SUBSTITUTE(SUBSTITUTE(SUBSTITUTE(SUBSTITUTE(SUBSTITUTE(SUBSTITUTE(SUBSTITUTE(SUBSTITUTE(LOWER(TRIM(D397)),"ё","е"),"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категории","")))),IF(TRIM(SUBSTITUTE(SUBSTITUTE(SUBSTITUTE(SUBSTITUTE(SUBSTITUTE(SUBSTITUTE(SUBSTITUTE(SUBSTITUTE(SUBSTITUTE(SUBSTITUTE(SUBSTITUTE(LOWER(TRIM(D397)),"ё","е"),"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инженер",IF(ISNUMBER(SEARCH("диспетч",E397)),"ведущий инженер пдо",TRIM(SUBSTITUTE(SUBSTITUTE(SUBSTITUTE(SUBSTITUTE(SUBSTITUTE(SUBSTITUTE(SUBSTITUTE(SUBSTITUTE(SUBSTITUTE(SUBSTITUTE(SUBSTITUTE(LOWER(TRIM(D397)),"ё","е"),"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категории",""))),IF(TRIM(SUBSTITUTE(SUBSTITUTE(SUBSTITUTE(SUBSTITUTE(SUBSTITUTE(SUBSTITUTE(SUBSTITUTE(SUBSTITUTE(SUBSTITUTE(SUBSTITUTE(SUBSTITUTE(LOWER(TRIM(D397)),"ё","е"),"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отк",TRIM(SUBSTITUTE(SUBSTITUTE(SUBSTITUTE(SUBSTITUTE(SUBSTITUTE(SUBSTITUTE(SUBSTITUTE(SUBSTITUTE(SUBSTITUTE(SUBSTITUTE(SUBSTITUTE(LOWER(TRIM(D397)),"ё","е"),"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97" s="35" t="str">
        <f aca="false">IF(C397="","",IF(AND(G397="мастер участка",ISNUMBER(SEARCH("РЭО",E397))),29,IFERROR(INDEX(Соответствие!$B$2:$B$100,MATCH(G397,Соответствие!$A$2:$A$100,0)),"?")))</f>
        <v/>
      </c>
      <c r="I397" s="39" t="str">
        <f aca="false">IF(C397="","",IFERROR(INDEX(Перечень!$C$6:$C$52,MATCH(H397,Перечень!$A$6:$A$52,0)),""))</f>
        <v/>
      </c>
      <c r="J397" s="35" t="str">
        <f aca="false">IF(C397="","",IFERROR(INDEX(Перечень!$D$6:$D$52,MATCH(H397,Перечень!$A$6:$A$52,0)),12))</f>
        <v/>
      </c>
      <c r="K397" s="40"/>
      <c r="L397" s="40"/>
      <c r="M397" s="37" t="str">
        <f aca="false">IF(AND(K397="",L397=""),"",EDATE(MAX(K397,L397),J397))</f>
        <v/>
      </c>
      <c r="N397" s="41" t="str">
        <f aca="false">IF(C397="","",IFERROR(INDEX(Перечень!$F$6:$F$52,MATCH(H397,Перечень!$A$6:$A$52,0)),""))</f>
        <v/>
      </c>
      <c r="O397" s="40"/>
      <c r="P397" s="37" t="str">
        <f aca="false">IF(O397="","",EDATE(O397,60))</f>
        <v/>
      </c>
      <c r="Q397" s="41" t="str">
        <f aca="false">IF(AND(K397&lt;&gt;"",F397&lt;&gt;"",K397&gt;F397),"Да","")</f>
        <v/>
      </c>
      <c r="R397" s="41" t="str">
        <f aca="true">IF(C397="","",IF(M397="","Нет сведений",IF(M397&lt;TODAY(),"Просрочен",IF(M397-TODAY()&lt;=30,"Истекает","В срок"))))</f>
        <v/>
      </c>
      <c r="S397" s="41" t="str">
        <f aca="false">IF(AND(N397="Да",O397=""),"Не пройдено","")</f>
        <v/>
      </c>
    </row>
    <row r="398" customFormat="false" ht="14.25" hidden="false" customHeight="false" outlineLevel="0" collapsed="false">
      <c r="A398" s="35" t="str">
        <f aca="false">IF(C398="","",ROW()-5)</f>
        <v/>
      </c>
      <c r="B398" s="36"/>
      <c r="C398" s="36"/>
      <c r="D398" s="36"/>
      <c r="E398" s="36"/>
      <c r="F398" s="37"/>
      <c r="G398" s="38" t="str">
        <f aca="false">IF(C398="","",IF(TRIM(SUBSTITUTE(SUBSTITUTE(SUBSTITUTE(SUBSTITUTE(SUBSTITUTE(SUBSTITUTE(SUBSTITUTE(SUBSTITUTE(SUBSTITUTE(SUBSTITUTE(SUBSTITUTE(LOWER(TRIM(D398)),"ё","е"),"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категории",""))="инженер",IF(AND(ISNUMBER(SEARCH("техническ",E398)),ISNUMBER(SEARCH("контрол",E398))),"инженер отк",IF(ISNUMBER(SEARCH("диспетч",E398)),"инженер пдо",TRIM(SUBSTITUTE(SUBSTITUTE(SUBSTITUTE(SUBSTITUTE(SUBSTITUTE(SUBSTITUTE(SUBSTITUTE(SUBSTITUTE(SUBSTITUTE(SUBSTITUTE(SUBSTITUTE(LOWER(TRIM(D398)),"ё","е"),"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категории","")))),IF(TRIM(SUBSTITUTE(SUBSTITUTE(SUBSTITUTE(SUBSTITUTE(SUBSTITUTE(SUBSTITUTE(SUBSTITUTE(SUBSTITUTE(SUBSTITUTE(SUBSTITUTE(SUBSTITUTE(LOWER(TRIM(D398)),"ё","е"),"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инженер",IF(ISNUMBER(SEARCH("диспетч",E398)),"ведущий инженер пдо",TRIM(SUBSTITUTE(SUBSTITUTE(SUBSTITUTE(SUBSTITUTE(SUBSTITUTE(SUBSTITUTE(SUBSTITUTE(SUBSTITUTE(SUBSTITUTE(SUBSTITUTE(SUBSTITUTE(LOWER(TRIM(D398)),"ё","е"),"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категории",""))),IF(TRIM(SUBSTITUTE(SUBSTITUTE(SUBSTITUTE(SUBSTITUTE(SUBSTITUTE(SUBSTITUTE(SUBSTITUTE(SUBSTITUTE(SUBSTITUTE(SUBSTITUTE(SUBSTITUTE(LOWER(TRIM(D398)),"ё","е"),"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отк",TRIM(SUBSTITUTE(SUBSTITUTE(SUBSTITUTE(SUBSTITUTE(SUBSTITUTE(SUBSTITUTE(SUBSTITUTE(SUBSTITUTE(SUBSTITUTE(SUBSTITUTE(SUBSTITUTE(LOWER(TRIM(D398)),"ё","е"),"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98" s="35" t="str">
        <f aca="false">IF(C398="","",IF(AND(G398="мастер участка",ISNUMBER(SEARCH("РЭО",E398))),29,IFERROR(INDEX(Соответствие!$B$2:$B$100,MATCH(G398,Соответствие!$A$2:$A$100,0)),"?")))</f>
        <v/>
      </c>
      <c r="I398" s="39" t="str">
        <f aca="false">IF(C398="","",IFERROR(INDEX(Перечень!$C$6:$C$52,MATCH(H398,Перечень!$A$6:$A$52,0)),""))</f>
        <v/>
      </c>
      <c r="J398" s="35" t="str">
        <f aca="false">IF(C398="","",IFERROR(INDEX(Перечень!$D$6:$D$52,MATCH(H398,Перечень!$A$6:$A$52,0)),12))</f>
        <v/>
      </c>
      <c r="K398" s="40"/>
      <c r="L398" s="40"/>
      <c r="M398" s="37" t="str">
        <f aca="false">IF(AND(K398="",L398=""),"",EDATE(MAX(K398,L398),J398))</f>
        <v/>
      </c>
      <c r="N398" s="41" t="str">
        <f aca="false">IF(C398="","",IFERROR(INDEX(Перечень!$F$6:$F$52,MATCH(H398,Перечень!$A$6:$A$52,0)),""))</f>
        <v/>
      </c>
      <c r="O398" s="40"/>
      <c r="P398" s="37" t="str">
        <f aca="false">IF(O398="","",EDATE(O398,60))</f>
        <v/>
      </c>
      <c r="Q398" s="41" t="str">
        <f aca="false">IF(AND(K398&lt;&gt;"",F398&lt;&gt;"",K398&gt;F398),"Да","")</f>
        <v/>
      </c>
      <c r="R398" s="41" t="str">
        <f aca="true">IF(C398="","",IF(M398="","Нет сведений",IF(M398&lt;TODAY(),"Просрочен",IF(M398-TODAY()&lt;=30,"Истекает","В срок"))))</f>
        <v/>
      </c>
      <c r="S398" s="41" t="str">
        <f aca="false">IF(AND(N398="Да",O398=""),"Не пройдено","")</f>
        <v/>
      </c>
    </row>
    <row r="399" customFormat="false" ht="14.25" hidden="false" customHeight="false" outlineLevel="0" collapsed="false">
      <c r="A399" s="35" t="str">
        <f aca="false">IF(C399="","",ROW()-5)</f>
        <v/>
      </c>
      <c r="B399" s="36"/>
      <c r="C399" s="36"/>
      <c r="D399" s="36"/>
      <c r="E399" s="36"/>
      <c r="F399" s="37"/>
      <c r="G399" s="38" t="str">
        <f aca="false">IF(C399="","",IF(TRIM(SUBSTITUTE(SUBSTITUTE(SUBSTITUTE(SUBSTITUTE(SUBSTITUTE(SUBSTITUTE(SUBSTITUTE(SUBSTITUTE(SUBSTITUTE(SUBSTITUTE(SUBSTITUTE(LOWER(TRIM(D399)),"ё","е"),"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категории",""))="инженер",IF(AND(ISNUMBER(SEARCH("техническ",E399)),ISNUMBER(SEARCH("контрол",E399))),"инженер отк",IF(ISNUMBER(SEARCH("диспетч",E399)),"инженер пдо",TRIM(SUBSTITUTE(SUBSTITUTE(SUBSTITUTE(SUBSTITUTE(SUBSTITUTE(SUBSTITUTE(SUBSTITUTE(SUBSTITUTE(SUBSTITUTE(SUBSTITUTE(SUBSTITUTE(LOWER(TRIM(D399)),"ё","е"),"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категории","")))),IF(TRIM(SUBSTITUTE(SUBSTITUTE(SUBSTITUTE(SUBSTITUTE(SUBSTITUTE(SUBSTITUTE(SUBSTITUTE(SUBSTITUTE(SUBSTITUTE(SUBSTITUTE(SUBSTITUTE(LOWER(TRIM(D399)),"ё","е"),"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инженер",IF(ISNUMBER(SEARCH("диспетч",E399)),"ведущий инженер пдо",TRIM(SUBSTITUTE(SUBSTITUTE(SUBSTITUTE(SUBSTITUTE(SUBSTITUTE(SUBSTITUTE(SUBSTITUTE(SUBSTITUTE(SUBSTITUTE(SUBSTITUTE(SUBSTITUTE(LOWER(TRIM(D399)),"ё","е"),"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категории",""))),IF(TRIM(SUBSTITUTE(SUBSTITUTE(SUBSTITUTE(SUBSTITUTE(SUBSTITUTE(SUBSTITUTE(SUBSTITUTE(SUBSTITUTE(SUBSTITUTE(SUBSTITUTE(SUBSTITUTE(LOWER(TRIM(D399)),"ё","е"),"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отк",TRIM(SUBSTITUTE(SUBSTITUTE(SUBSTITUTE(SUBSTITUTE(SUBSTITUTE(SUBSTITUTE(SUBSTITUTE(SUBSTITUTE(SUBSTITUTE(SUBSTITUTE(SUBSTITUTE(LOWER(TRIM(D399)),"ё","е"),"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399" s="35" t="str">
        <f aca="false">IF(C399="","",IF(AND(G399="мастер участка",ISNUMBER(SEARCH("РЭО",E399))),29,IFERROR(INDEX(Соответствие!$B$2:$B$100,MATCH(G399,Соответствие!$A$2:$A$100,0)),"?")))</f>
        <v/>
      </c>
      <c r="I399" s="39" t="str">
        <f aca="false">IF(C399="","",IFERROR(INDEX(Перечень!$C$6:$C$52,MATCH(H399,Перечень!$A$6:$A$52,0)),""))</f>
        <v/>
      </c>
      <c r="J399" s="35" t="str">
        <f aca="false">IF(C399="","",IFERROR(INDEX(Перечень!$D$6:$D$52,MATCH(H399,Перечень!$A$6:$A$52,0)),12))</f>
        <v/>
      </c>
      <c r="K399" s="40"/>
      <c r="L399" s="40"/>
      <c r="M399" s="37" t="str">
        <f aca="false">IF(AND(K399="",L399=""),"",EDATE(MAX(K399,L399),J399))</f>
        <v/>
      </c>
      <c r="N399" s="41" t="str">
        <f aca="false">IF(C399="","",IFERROR(INDEX(Перечень!$F$6:$F$52,MATCH(H399,Перечень!$A$6:$A$52,0)),""))</f>
        <v/>
      </c>
      <c r="O399" s="40"/>
      <c r="P399" s="37" t="str">
        <f aca="false">IF(O399="","",EDATE(O399,60))</f>
        <v/>
      </c>
      <c r="Q399" s="41" t="str">
        <f aca="false">IF(AND(K399&lt;&gt;"",F399&lt;&gt;"",K399&gt;F399),"Да","")</f>
        <v/>
      </c>
      <c r="R399" s="41" t="str">
        <f aca="true">IF(C399="","",IF(M399="","Нет сведений",IF(M399&lt;TODAY(),"Просрочен",IF(M399-TODAY()&lt;=30,"Истекает","В срок"))))</f>
        <v/>
      </c>
      <c r="S399" s="41" t="str">
        <f aca="false">IF(AND(N399="Да",O399=""),"Не пройдено","")</f>
        <v/>
      </c>
    </row>
    <row r="400" customFormat="false" ht="14.25" hidden="false" customHeight="false" outlineLevel="0" collapsed="false">
      <c r="A400" s="35" t="str">
        <f aca="false">IF(C400="","",ROW()-5)</f>
        <v/>
      </c>
      <c r="B400" s="36"/>
      <c r="C400" s="36"/>
      <c r="D400" s="36"/>
      <c r="E400" s="36"/>
      <c r="F400" s="37"/>
      <c r="G400" s="38" t="str">
        <f aca="false">IF(C400="","",IF(TRIM(SUBSTITUTE(SUBSTITUTE(SUBSTITUTE(SUBSTITUTE(SUBSTITUTE(SUBSTITUTE(SUBSTITUTE(SUBSTITUTE(SUBSTITUTE(SUBSTITUTE(SUBSTITUTE(LOWER(TRIM(D400)),"ё","е"),"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категории",""))="инженер",IF(AND(ISNUMBER(SEARCH("техническ",E400)),ISNUMBER(SEARCH("контрол",E400))),"инженер отк",IF(ISNUMBER(SEARCH("диспетч",E400)),"инженер пдо",TRIM(SUBSTITUTE(SUBSTITUTE(SUBSTITUTE(SUBSTITUTE(SUBSTITUTE(SUBSTITUTE(SUBSTITUTE(SUBSTITUTE(SUBSTITUTE(SUBSTITUTE(SUBSTITUTE(LOWER(TRIM(D400)),"ё","е"),"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категории","")))),IF(TRIM(SUBSTITUTE(SUBSTITUTE(SUBSTITUTE(SUBSTITUTE(SUBSTITUTE(SUBSTITUTE(SUBSTITUTE(SUBSTITUTE(SUBSTITUTE(SUBSTITUTE(SUBSTITUTE(LOWER(TRIM(D400)),"ё","е"),"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инженер",IF(ISNUMBER(SEARCH("диспетч",E400)),"ведущий инженер пдо",TRIM(SUBSTITUTE(SUBSTITUTE(SUBSTITUTE(SUBSTITUTE(SUBSTITUTE(SUBSTITUTE(SUBSTITUTE(SUBSTITUTE(SUBSTITUTE(SUBSTITUTE(SUBSTITUTE(LOWER(TRIM(D400)),"ё","е"),"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категории",""))),IF(TRIM(SUBSTITUTE(SUBSTITUTE(SUBSTITUTE(SUBSTITUTE(SUBSTITUTE(SUBSTITUTE(SUBSTITUTE(SUBSTITUTE(SUBSTITUTE(SUBSTITUTE(SUBSTITUTE(LOWER(TRIM(D400)),"ё","е"),"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отк",TRIM(SUBSTITUTE(SUBSTITUTE(SUBSTITUTE(SUBSTITUTE(SUBSTITUTE(SUBSTITUTE(SUBSTITUTE(SUBSTITUTE(SUBSTITUTE(SUBSTITUTE(SUBSTITUTE(LOWER(TRIM(D400)),"ё","е"),"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400" s="35" t="str">
        <f aca="false">IF(C400="","",IF(AND(G400="мастер участка",ISNUMBER(SEARCH("РЭО",E400))),29,IFERROR(INDEX(Соответствие!$B$2:$B$100,MATCH(G400,Соответствие!$A$2:$A$100,0)),"?")))</f>
        <v/>
      </c>
      <c r="I400" s="39" t="str">
        <f aca="false">IF(C400="","",IFERROR(INDEX(Перечень!$C$6:$C$52,MATCH(H400,Перечень!$A$6:$A$52,0)),""))</f>
        <v/>
      </c>
      <c r="J400" s="35" t="str">
        <f aca="false">IF(C400="","",IFERROR(INDEX(Перечень!$D$6:$D$52,MATCH(H400,Перечень!$A$6:$A$52,0)),12))</f>
        <v/>
      </c>
      <c r="K400" s="40"/>
      <c r="L400" s="40"/>
      <c r="M400" s="37" t="str">
        <f aca="false">IF(AND(K400="",L400=""),"",EDATE(MAX(K400,L400),J400))</f>
        <v/>
      </c>
      <c r="N400" s="41" t="str">
        <f aca="false">IF(C400="","",IFERROR(INDEX(Перечень!$F$6:$F$52,MATCH(H400,Перечень!$A$6:$A$52,0)),""))</f>
        <v/>
      </c>
      <c r="O400" s="40"/>
      <c r="P400" s="37" t="str">
        <f aca="false">IF(O400="","",EDATE(O400,60))</f>
        <v/>
      </c>
      <c r="Q400" s="41" t="str">
        <f aca="false">IF(AND(K400&lt;&gt;"",F400&lt;&gt;"",K400&gt;F400),"Да","")</f>
        <v/>
      </c>
      <c r="R400" s="41" t="str">
        <f aca="true">IF(C400="","",IF(M400="","Нет сведений",IF(M400&lt;TODAY(),"Просрочен",IF(M400-TODAY()&lt;=30,"Истекает","В срок"))))</f>
        <v/>
      </c>
      <c r="S400" s="41" t="str">
        <f aca="false">IF(AND(N400="Да",O400=""),"Не пройдено","")</f>
        <v/>
      </c>
    </row>
    <row r="401" customFormat="false" ht="14.25" hidden="false" customHeight="false" outlineLevel="0" collapsed="false">
      <c r="A401" s="35" t="str">
        <f aca="false">IF(C401="","",ROW()-5)</f>
        <v/>
      </c>
      <c r="B401" s="36"/>
      <c r="C401" s="36"/>
      <c r="D401" s="36"/>
      <c r="E401" s="36"/>
      <c r="F401" s="37"/>
      <c r="G401" s="38" t="str">
        <f aca="false">IF(C401="","",IF(TRIM(SUBSTITUTE(SUBSTITUTE(SUBSTITUTE(SUBSTITUTE(SUBSTITUTE(SUBSTITUTE(SUBSTITUTE(SUBSTITUTE(SUBSTITUTE(SUBSTITUTE(SUBSTITUTE(LOWER(TRIM(D401)),"ё","е"),"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категории",""))="инженер",IF(AND(ISNUMBER(SEARCH("техническ",E401)),ISNUMBER(SEARCH("контрол",E401))),"инженер отк",IF(ISNUMBER(SEARCH("диспетч",E401)),"инженер пдо",TRIM(SUBSTITUTE(SUBSTITUTE(SUBSTITUTE(SUBSTITUTE(SUBSTITUTE(SUBSTITUTE(SUBSTITUTE(SUBSTITUTE(SUBSTITUTE(SUBSTITUTE(SUBSTITUTE(LOWER(TRIM(D401)),"ё","е"),"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категории","")))),IF(TRIM(SUBSTITUTE(SUBSTITUTE(SUBSTITUTE(SUBSTITUTE(SUBSTITUTE(SUBSTITUTE(SUBSTITUTE(SUBSTITUTE(SUBSTITUTE(SUBSTITUTE(SUBSTITUTE(LOWER(TRIM(D401)),"ё","е"),"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инженер",IF(ISNUMBER(SEARCH("диспетч",E401)),"ведущий инженер пдо",TRIM(SUBSTITUTE(SUBSTITUTE(SUBSTITUTE(SUBSTITUTE(SUBSTITUTE(SUBSTITUTE(SUBSTITUTE(SUBSTITUTE(SUBSTITUTE(SUBSTITUTE(SUBSTITUTE(LOWER(TRIM(D401)),"ё","е"),"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категории",""))),IF(TRIM(SUBSTITUTE(SUBSTITUTE(SUBSTITUTE(SUBSTITUTE(SUBSTITUTE(SUBSTITUTE(SUBSTITUTE(SUBSTITUTE(SUBSTITUTE(SUBSTITUTE(SUBSTITUTE(LOWER(TRIM(D401)),"ё","е"),"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отк",TRIM(SUBSTITUTE(SUBSTITUTE(SUBSTITUTE(SUBSTITUTE(SUBSTITUTE(SUBSTITUTE(SUBSTITUTE(SUBSTITUTE(SUBSTITUTE(SUBSTITUTE(SUBSTITUTE(LOWER(TRIM(D401)),"ё","е"),"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401" s="35" t="str">
        <f aca="false">IF(C401="","",IF(AND(G401="мастер участка",ISNUMBER(SEARCH("РЭО",E401))),29,IFERROR(INDEX(Соответствие!$B$2:$B$100,MATCH(G401,Соответствие!$A$2:$A$100,0)),"?")))</f>
        <v/>
      </c>
      <c r="I401" s="39" t="str">
        <f aca="false">IF(C401="","",IFERROR(INDEX(Перечень!$C$6:$C$52,MATCH(H401,Перечень!$A$6:$A$52,0)),""))</f>
        <v/>
      </c>
      <c r="J401" s="35" t="str">
        <f aca="false">IF(C401="","",IFERROR(INDEX(Перечень!$D$6:$D$52,MATCH(H401,Перечень!$A$6:$A$52,0)),12))</f>
        <v/>
      </c>
      <c r="K401" s="40"/>
      <c r="L401" s="40"/>
      <c r="M401" s="37" t="str">
        <f aca="false">IF(AND(K401="",L401=""),"",EDATE(MAX(K401,L401),J401))</f>
        <v/>
      </c>
      <c r="N401" s="41" t="str">
        <f aca="false">IF(C401="","",IFERROR(INDEX(Перечень!$F$6:$F$52,MATCH(H401,Перечень!$A$6:$A$52,0)),""))</f>
        <v/>
      </c>
      <c r="O401" s="40"/>
      <c r="P401" s="37" t="str">
        <f aca="false">IF(O401="","",EDATE(O401,60))</f>
        <v/>
      </c>
      <c r="Q401" s="41" t="str">
        <f aca="false">IF(AND(K401&lt;&gt;"",F401&lt;&gt;"",K401&gt;F401),"Да","")</f>
        <v/>
      </c>
      <c r="R401" s="41" t="str">
        <f aca="true">IF(C401="","",IF(M401="","Нет сведений",IF(M401&lt;TODAY(),"Просрочен",IF(M401-TODAY()&lt;=30,"Истекает","В срок"))))</f>
        <v/>
      </c>
      <c r="S401" s="41" t="str">
        <f aca="false">IF(AND(N401="Да",O401=""),"Не пройдено","")</f>
        <v/>
      </c>
    </row>
    <row r="402" customFormat="false" ht="14.25" hidden="false" customHeight="false" outlineLevel="0" collapsed="false">
      <c r="A402" s="35" t="str">
        <f aca="false">IF(C402="","",ROW()-5)</f>
        <v/>
      </c>
      <c r="B402" s="36"/>
      <c r="C402" s="36"/>
      <c r="D402" s="36"/>
      <c r="E402" s="36"/>
      <c r="F402" s="37"/>
      <c r="G402" s="38" t="str">
        <f aca="false">IF(C402="","",IF(TRIM(SUBSTITUTE(SUBSTITUTE(SUBSTITUTE(SUBSTITUTE(SUBSTITUTE(SUBSTITUTE(SUBSTITUTE(SUBSTITUTE(SUBSTITUTE(SUBSTITUTE(SUBSTITUTE(LOWER(TRIM(D402)),"ё","е"),"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категории",""))="инженер",IF(AND(ISNUMBER(SEARCH("техническ",E402)),ISNUMBER(SEARCH("контрол",E402))),"инженер отк",IF(ISNUMBER(SEARCH("диспетч",E402)),"инженер пдо",TRIM(SUBSTITUTE(SUBSTITUTE(SUBSTITUTE(SUBSTITUTE(SUBSTITUTE(SUBSTITUTE(SUBSTITUTE(SUBSTITUTE(SUBSTITUTE(SUBSTITUTE(SUBSTITUTE(LOWER(TRIM(D402)),"ё","е"),"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категории","")))),IF(TRIM(SUBSTITUTE(SUBSTITUTE(SUBSTITUTE(SUBSTITUTE(SUBSTITUTE(SUBSTITUTE(SUBSTITUTE(SUBSTITUTE(SUBSTITUTE(SUBSTITUTE(SUBSTITUTE(LOWER(TRIM(D402)),"ё","е"),"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инженер",IF(ISNUMBER(SEARCH("диспетч",E402)),"ведущий инженер пдо",TRIM(SUBSTITUTE(SUBSTITUTE(SUBSTITUTE(SUBSTITUTE(SUBSTITUTE(SUBSTITUTE(SUBSTITUTE(SUBSTITUTE(SUBSTITUTE(SUBSTITUTE(SUBSTITUTE(LOWER(TRIM(D402)),"ё","е"),"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категории",""))),IF(TRIM(SUBSTITUTE(SUBSTITUTE(SUBSTITUTE(SUBSTITUTE(SUBSTITUTE(SUBSTITUTE(SUBSTITUTE(SUBSTITUTE(SUBSTITUTE(SUBSTITUTE(SUBSTITUTE(LOWER(TRIM(D402)),"ё","е"),"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отк",TRIM(SUBSTITUTE(SUBSTITUTE(SUBSTITUTE(SUBSTITUTE(SUBSTITUTE(SUBSTITUTE(SUBSTITUTE(SUBSTITUTE(SUBSTITUTE(SUBSTITUTE(SUBSTITUTE(LOWER(TRIM(D402)),"ё","е"),"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402" s="35" t="str">
        <f aca="false">IF(C402="","",IF(AND(G402="мастер участка",ISNUMBER(SEARCH("РЭО",E402))),29,IFERROR(INDEX(Соответствие!$B$2:$B$100,MATCH(G402,Соответствие!$A$2:$A$100,0)),"?")))</f>
        <v/>
      </c>
      <c r="I402" s="39" t="str">
        <f aca="false">IF(C402="","",IFERROR(INDEX(Перечень!$C$6:$C$52,MATCH(H402,Перечень!$A$6:$A$52,0)),""))</f>
        <v/>
      </c>
      <c r="J402" s="35" t="str">
        <f aca="false">IF(C402="","",IFERROR(INDEX(Перечень!$D$6:$D$52,MATCH(H402,Перечень!$A$6:$A$52,0)),12))</f>
        <v/>
      </c>
      <c r="K402" s="40"/>
      <c r="L402" s="40"/>
      <c r="M402" s="37" t="str">
        <f aca="false">IF(AND(K402="",L402=""),"",EDATE(MAX(K402,L402),J402))</f>
        <v/>
      </c>
      <c r="N402" s="41" t="str">
        <f aca="false">IF(C402="","",IFERROR(INDEX(Перечень!$F$6:$F$52,MATCH(H402,Перечень!$A$6:$A$52,0)),""))</f>
        <v/>
      </c>
      <c r="O402" s="40"/>
      <c r="P402" s="37" t="str">
        <f aca="false">IF(O402="","",EDATE(O402,60))</f>
        <v/>
      </c>
      <c r="Q402" s="41" t="str">
        <f aca="false">IF(AND(K402&lt;&gt;"",F402&lt;&gt;"",K402&gt;F402),"Да","")</f>
        <v/>
      </c>
      <c r="R402" s="41" t="str">
        <f aca="true">IF(C402="","",IF(M402="","Нет сведений",IF(M402&lt;TODAY(),"Просрочен",IF(M402-TODAY()&lt;=30,"Истекает","В срок"))))</f>
        <v/>
      </c>
      <c r="S402" s="41" t="str">
        <f aca="false">IF(AND(N402="Да",O402=""),"Не пройдено","")</f>
        <v/>
      </c>
    </row>
    <row r="403" customFormat="false" ht="14.25" hidden="false" customHeight="false" outlineLevel="0" collapsed="false">
      <c r="A403" s="35" t="str">
        <f aca="false">IF(C403="","",ROW()-5)</f>
        <v/>
      </c>
      <c r="B403" s="36"/>
      <c r="C403" s="36"/>
      <c r="D403" s="36"/>
      <c r="E403" s="36"/>
      <c r="F403" s="37"/>
      <c r="G403" s="38" t="str">
        <f aca="false">IF(C403="","",IF(TRIM(SUBSTITUTE(SUBSTITUTE(SUBSTITUTE(SUBSTITUTE(SUBSTITUTE(SUBSTITUTE(SUBSTITUTE(SUBSTITUTE(SUBSTITUTE(SUBSTITUTE(SUBSTITUTE(LOWER(TRIM(D403)),"ё","е"),"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категории",""))="инженер",IF(AND(ISNUMBER(SEARCH("техническ",E403)),ISNUMBER(SEARCH("контрол",E403))),"инженер отк",IF(ISNUMBER(SEARCH("диспетч",E403)),"инженер пдо",TRIM(SUBSTITUTE(SUBSTITUTE(SUBSTITUTE(SUBSTITUTE(SUBSTITUTE(SUBSTITUTE(SUBSTITUTE(SUBSTITUTE(SUBSTITUTE(SUBSTITUTE(SUBSTITUTE(LOWER(TRIM(D403)),"ё","е"),"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категории","")))),IF(TRIM(SUBSTITUTE(SUBSTITUTE(SUBSTITUTE(SUBSTITUTE(SUBSTITUTE(SUBSTITUTE(SUBSTITUTE(SUBSTITUTE(SUBSTITUTE(SUBSTITUTE(SUBSTITUTE(LOWER(TRIM(D403)),"ё","е"),"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инженер",IF(ISNUMBER(SEARCH("диспетч",E403)),"ведущий инженер пдо",TRIM(SUBSTITUTE(SUBSTITUTE(SUBSTITUTE(SUBSTITUTE(SUBSTITUTE(SUBSTITUTE(SUBSTITUTE(SUBSTITUTE(SUBSTITUTE(SUBSTITUTE(SUBSTITUTE(LOWER(TRIM(D403)),"ё","е"),"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категории",""))),IF(TRIM(SUBSTITUTE(SUBSTITUTE(SUBSTITUTE(SUBSTITUTE(SUBSTITUTE(SUBSTITUTE(SUBSTITUTE(SUBSTITUTE(SUBSTITUTE(SUBSTITUTE(SUBSTITUTE(LOWER(TRIM(D403)),"ё","е"),"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отк",TRIM(SUBSTITUTE(SUBSTITUTE(SUBSTITUTE(SUBSTITUTE(SUBSTITUTE(SUBSTITUTE(SUBSTITUTE(SUBSTITUTE(SUBSTITUTE(SUBSTITUTE(SUBSTITUTE(LOWER(TRIM(D403)),"ё","е"),"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403" s="35" t="str">
        <f aca="false">IF(C403="","",IF(AND(G403="мастер участка",ISNUMBER(SEARCH("РЭО",E403))),29,IFERROR(INDEX(Соответствие!$B$2:$B$100,MATCH(G403,Соответствие!$A$2:$A$100,0)),"?")))</f>
        <v/>
      </c>
      <c r="I403" s="39" t="str">
        <f aca="false">IF(C403="","",IFERROR(INDEX(Перечень!$C$6:$C$52,MATCH(H403,Перечень!$A$6:$A$52,0)),""))</f>
        <v/>
      </c>
      <c r="J403" s="35" t="str">
        <f aca="false">IF(C403="","",IFERROR(INDEX(Перечень!$D$6:$D$52,MATCH(H403,Перечень!$A$6:$A$52,0)),12))</f>
        <v/>
      </c>
      <c r="K403" s="40"/>
      <c r="L403" s="40"/>
      <c r="M403" s="37" t="str">
        <f aca="false">IF(AND(K403="",L403=""),"",EDATE(MAX(K403,L403),J403))</f>
        <v/>
      </c>
      <c r="N403" s="41" t="str">
        <f aca="false">IF(C403="","",IFERROR(INDEX(Перечень!$F$6:$F$52,MATCH(H403,Перечень!$A$6:$A$52,0)),""))</f>
        <v/>
      </c>
      <c r="O403" s="40"/>
      <c r="P403" s="37" t="str">
        <f aca="false">IF(O403="","",EDATE(O403,60))</f>
        <v/>
      </c>
      <c r="Q403" s="41" t="str">
        <f aca="false">IF(AND(K403&lt;&gt;"",F403&lt;&gt;"",K403&gt;F403),"Да","")</f>
        <v/>
      </c>
      <c r="R403" s="41" t="str">
        <f aca="true">IF(C403="","",IF(M403="","Нет сведений",IF(M403&lt;TODAY(),"Просрочен",IF(M403-TODAY()&lt;=30,"Истекает","В срок"))))</f>
        <v/>
      </c>
      <c r="S403" s="41" t="str">
        <f aca="false">IF(AND(N403="Да",O403=""),"Не пройдено","")</f>
        <v/>
      </c>
    </row>
    <row r="404" customFormat="false" ht="14.25" hidden="false" customHeight="false" outlineLevel="0" collapsed="false">
      <c r="A404" s="35" t="str">
        <f aca="false">IF(C404="","",ROW()-5)</f>
        <v/>
      </c>
      <c r="B404" s="36"/>
      <c r="C404" s="36"/>
      <c r="D404" s="36"/>
      <c r="E404" s="36"/>
      <c r="F404" s="37"/>
      <c r="G404" s="38" t="str">
        <f aca="false">IF(C404="","",IF(TRIM(SUBSTITUTE(SUBSTITUTE(SUBSTITUTE(SUBSTITUTE(SUBSTITUTE(SUBSTITUTE(SUBSTITUTE(SUBSTITUTE(SUBSTITUTE(SUBSTITUTE(SUBSTITUTE(LOWER(TRIM(D404)),"ё","е"),"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категории",""))="инженер",IF(AND(ISNUMBER(SEARCH("техническ",E404)),ISNUMBER(SEARCH("контрол",E404))),"инженер отк",IF(ISNUMBER(SEARCH("диспетч",E404)),"инженер пдо",TRIM(SUBSTITUTE(SUBSTITUTE(SUBSTITUTE(SUBSTITUTE(SUBSTITUTE(SUBSTITUTE(SUBSTITUTE(SUBSTITUTE(SUBSTITUTE(SUBSTITUTE(SUBSTITUTE(LOWER(TRIM(D404)),"ё","е"),"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категории","")))),IF(TRIM(SUBSTITUTE(SUBSTITUTE(SUBSTITUTE(SUBSTITUTE(SUBSTITUTE(SUBSTITUTE(SUBSTITUTE(SUBSTITUTE(SUBSTITUTE(SUBSTITUTE(SUBSTITUTE(LOWER(TRIM(D404)),"ё","е"),"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инженер",IF(ISNUMBER(SEARCH("диспетч",E404)),"ведущий инженер пдо",TRIM(SUBSTITUTE(SUBSTITUTE(SUBSTITUTE(SUBSTITUTE(SUBSTITUTE(SUBSTITUTE(SUBSTITUTE(SUBSTITUTE(SUBSTITUTE(SUBSTITUTE(SUBSTITUTE(LOWER(TRIM(D404)),"ё","е"),"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категории",""))),IF(TRIM(SUBSTITUTE(SUBSTITUTE(SUBSTITUTE(SUBSTITUTE(SUBSTITUTE(SUBSTITUTE(SUBSTITUTE(SUBSTITUTE(SUBSTITUTE(SUBSTITUTE(SUBSTITUTE(LOWER(TRIM(D404)),"ё","е"),"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отк",TRIM(SUBSTITUTE(SUBSTITUTE(SUBSTITUTE(SUBSTITUTE(SUBSTITUTE(SUBSTITUTE(SUBSTITUTE(SUBSTITUTE(SUBSTITUTE(SUBSTITUTE(SUBSTITUTE(LOWER(TRIM(D404)),"ё","е"),"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404" s="35" t="str">
        <f aca="false">IF(C404="","",IF(AND(G404="мастер участка",ISNUMBER(SEARCH("РЭО",E404))),29,IFERROR(INDEX(Соответствие!$B$2:$B$100,MATCH(G404,Соответствие!$A$2:$A$100,0)),"?")))</f>
        <v/>
      </c>
      <c r="I404" s="39" t="str">
        <f aca="false">IF(C404="","",IFERROR(INDEX(Перечень!$C$6:$C$52,MATCH(H404,Перечень!$A$6:$A$52,0)),""))</f>
        <v/>
      </c>
      <c r="J404" s="35" t="str">
        <f aca="false">IF(C404="","",IFERROR(INDEX(Перечень!$D$6:$D$52,MATCH(H404,Перечень!$A$6:$A$52,0)),12))</f>
        <v/>
      </c>
      <c r="K404" s="40"/>
      <c r="L404" s="40"/>
      <c r="M404" s="37" t="str">
        <f aca="false">IF(AND(K404="",L404=""),"",EDATE(MAX(K404,L404),J404))</f>
        <v/>
      </c>
      <c r="N404" s="41" t="str">
        <f aca="false">IF(C404="","",IFERROR(INDEX(Перечень!$F$6:$F$52,MATCH(H404,Перечень!$A$6:$A$52,0)),""))</f>
        <v/>
      </c>
      <c r="O404" s="40"/>
      <c r="P404" s="37" t="str">
        <f aca="false">IF(O404="","",EDATE(O404,60))</f>
        <v/>
      </c>
      <c r="Q404" s="41" t="str">
        <f aca="false">IF(AND(K404&lt;&gt;"",F404&lt;&gt;"",K404&gt;F404),"Да","")</f>
        <v/>
      </c>
      <c r="R404" s="41" t="str">
        <f aca="true">IF(C404="","",IF(M404="","Нет сведений",IF(M404&lt;TODAY(),"Просрочен",IF(M404-TODAY()&lt;=30,"Истекает","В срок"))))</f>
        <v/>
      </c>
      <c r="S404" s="41" t="str">
        <f aca="false">IF(AND(N404="Да",O404=""),"Не пройдено","")</f>
        <v/>
      </c>
    </row>
    <row r="405" customFormat="false" ht="14.25" hidden="false" customHeight="false" outlineLevel="0" collapsed="false">
      <c r="A405" s="35" t="str">
        <f aca="false">IF(C405="","",ROW()-5)</f>
        <v/>
      </c>
      <c r="B405" s="36"/>
      <c r="C405" s="36"/>
      <c r="D405" s="36"/>
      <c r="E405" s="36"/>
      <c r="F405" s="37"/>
      <c r="G405" s="38" t="str">
        <f aca="false">IF(C405="","",IF(TRIM(SUBSTITUTE(SUBSTITUTE(SUBSTITUTE(SUBSTITUTE(SUBSTITUTE(SUBSTITUTE(SUBSTITUTE(SUBSTITUTE(SUBSTITUTE(SUBSTITUTE(SUBSTITUTE(LOWER(TRIM(D405)),"ё","е")," -","-"),"- ","-")," 2 разряда","")," 3 разряда","")," 4 разряда","")," 5 разряда","")," 6 разряда","")," 1 категории","")," 2 категории","")," 3 категории",""))="инженер",IF(AND(ISNUMBER(SEARCH("техническ",E405)),ISNUMBER(SEARCH("контрол",E405))),"инженер отк",IF(ISNUMBER(SEARCH("диспетч",E405)),"инженер пдо",TRIM(SUBSTITUTE(SUBSTITUTE(SUBSTITUTE(SUBSTITUTE(SUBSTITUTE(SUBSTITUTE(SUBSTITUTE(SUBSTITUTE(SUBSTITUTE(SUBSTITUTE(SUBSTITUTE(LOWER(TRIM(D405)),"ё","е")," -","-"),"- ","-")," 2 разряда","")," 3 разряда","")," 4 разряда","")," 5 разряда","")," 6 разряда","")," 1 категории","")," 2 категории","")," 3 категории","")))),IF(TRIM(SUBSTITUTE(SUBSTITUTE(SUBSTITUTE(SUBSTITUTE(SUBSTITUTE(SUBSTITUTE(SUBSTITUTE(SUBSTITUTE(SUBSTITUTE(SUBSTITUTE(SUBSTITUTE(LOWER(TRIM(D405)),"ё","е")," -","-"),"- ","-")," 2 разряда","")," 3 разряда","")," 4 разряда","")," 5 разряда","")," 6 разряда","")," 1 категории","")," 2 категории","")," 3 категории",""))="ведущий инженер",IF(ISNUMBER(SEARCH("диспетч",E405)),"ведущий инженер пдо",TRIM(SUBSTITUTE(SUBSTITUTE(SUBSTITUTE(SUBSTITUTE(SUBSTITUTE(SUBSTITUTE(SUBSTITUTE(SUBSTITUTE(SUBSTITUTE(SUBSTITUTE(SUBSTITUTE(LOWER(TRIM(D405)),"ё","е")," -","-"),"- ","-")," 2 разряда","")," 3 разряда","")," 4 разряда","")," 5 разряда","")," 6 разряда","")," 1 категории","")," 2 категории","")," 3 категории",""))),IF(TRIM(SUBSTITUTE(SUBSTITUTE(SUBSTITUTE(SUBSTITUTE(SUBSTITUTE(SUBSTITUTE(SUBSTITUTE(SUBSTITUTE(SUBSTITUTE(SUBSTITUTE(SUBSTITUTE(LOWER(TRIM(D405)),"ё","е")," -","-"),"- ","-")," 2 разряда","")," 3 разряда","")," 4 разряда","")," 5 разряда","")," 6 разряда","")," 1 категории","")," 2 категории","")," 3 категории",""))="контролер","контролер отк",TRIM(SUBSTITUTE(SUBSTITUTE(SUBSTITUTE(SUBSTITUTE(SUBSTITUTE(SUBSTITUTE(SUBSTITUTE(SUBSTITUTE(SUBSTITUTE(SUBSTITUTE(SUBSTITUTE(LOWER(TRIM(D405)),"ё","е")," -","-"),"- ","-")," 2 разряда","")," 3 разряда","")," 4 разряда","")," 5 разряда","")," 6 разряда","")," 1 категории","")," 2 категории","")," 3 категории",""))))))</f>
        <v/>
      </c>
      <c r="H405" s="35" t="str">
        <f aca="false">IF(C405="","",IF(AND(G405="мастер участка",ISNUMBER(SEARCH("РЭО",E405))),29,IFERROR(INDEX(Соответствие!$B$2:$B$100,MATCH(G405,Соответствие!$A$2:$A$100,0)),"?")))</f>
        <v/>
      </c>
      <c r="I405" s="39" t="str">
        <f aca="false">IF(C405="","",IFERROR(INDEX(Перечень!$C$6:$C$52,MATCH(H405,Перечень!$A$6:$A$52,0)),""))</f>
        <v/>
      </c>
      <c r="J405" s="35" t="str">
        <f aca="false">IF(C405="","",IFERROR(INDEX(Перечень!$D$6:$D$52,MATCH(H405,Перечень!$A$6:$A$52,0)),12))</f>
        <v/>
      </c>
      <c r="K405" s="40"/>
      <c r="L405" s="40"/>
      <c r="M405" s="37" t="str">
        <f aca="false">IF(AND(K405="",L405=""),"",EDATE(MAX(K405,L405),J405))</f>
        <v/>
      </c>
      <c r="N405" s="41" t="str">
        <f aca="false">IF(C405="","",IFERROR(INDEX(Перечень!$F$6:$F$52,MATCH(H405,Перечень!$A$6:$A$52,0)),""))</f>
        <v/>
      </c>
      <c r="O405" s="40"/>
      <c r="P405" s="37" t="str">
        <f aca="false">IF(O405="","",EDATE(O405,60))</f>
        <v/>
      </c>
      <c r="Q405" s="41" t="str">
        <f aca="false">IF(AND(K405&lt;&gt;"",F405&lt;&gt;"",K405&gt;F405),"Да","")</f>
        <v/>
      </c>
      <c r="R405" s="41" t="str">
        <f aca="true">IF(C405="","",IF(M405="","Нет сведений",IF(M405&lt;TODAY(),"Просрочен",IF(M405-TODAY()&lt;=30,"Истекает","В срок"))))</f>
        <v/>
      </c>
      <c r="S405" s="41" t="str">
        <f aca="false">IF(AND(N405="Да",O405=""),"Не пройдено","")</f>
        <v/>
      </c>
    </row>
  </sheetData>
  <autoFilter ref="A5:S405"/>
  <mergeCells count="5">
    <mergeCell ref="A4:G4"/>
    <mergeCell ref="H4:J4"/>
    <mergeCell ref="K4:M4"/>
    <mergeCell ref="N4:P4"/>
    <mergeCell ref="Q4:S4"/>
  </mergeCells>
  <conditionalFormatting sqref="K6:K405">
    <cfRule type="expression" priority="2" aboveAverage="0" equalAverage="0" bottom="0" percent="0" rank="0" text="" dxfId="19">
      <formula>AND($C6&lt;&gt;"",K6="",L6="")</formula>
    </cfRule>
    <cfRule type="expression" priority="3" aboveAverage="0" equalAverage="0" bottom="0" percent="0" rank="0" text="" dxfId="20">
      <formula>AND($C6&lt;&gt;"",K6="")</formula>
    </cfRule>
  </conditionalFormatting>
  <conditionalFormatting sqref="M6:M405">
    <cfRule type="expression" priority="4" aboveAverage="0" equalAverage="0" bottom="0" percent="0" rank="0" text="" dxfId="2">
      <formula>AND(M6&lt;&gt;"",M6&lt;TODAY())</formula>
    </cfRule>
    <cfRule type="expression" priority="5" aboveAverage="0" equalAverage="0" bottom="0" percent="0" rank="0" text="" dxfId="1">
      <formula>AND(M6&lt;&gt;"",M6-TODAY()&lt;=30)</formula>
    </cfRule>
    <cfRule type="expression" priority="6" aboveAverage="0" equalAverage="0" bottom="0" percent="0" rank="0" text="" dxfId="21">
      <formula>M6&lt;&gt;""</formula>
    </cfRule>
  </conditionalFormatting>
  <conditionalFormatting sqref="P6:P405">
    <cfRule type="expression" priority="7" aboveAverage="0" equalAverage="0" bottom="0" percent="0" rank="0" text="" dxfId="2">
      <formula>AND(P6&lt;&gt;"",P6&lt;TODAY())</formula>
    </cfRule>
    <cfRule type="expression" priority="8" aboveAverage="0" equalAverage="0" bottom="0" percent="0" rank="0" text="" dxfId="1">
      <formula>AND(P6&lt;&gt;"",P6-TODAY()&lt;=30)</formula>
    </cfRule>
    <cfRule type="expression" priority="9" aboveAverage="0" equalAverage="0" bottom="0" percent="0" rank="0" text="" dxfId="21">
      <formula>P6&lt;&gt;""</formula>
    </cfRule>
  </conditionalFormatting>
  <conditionalFormatting sqref="N6:N405">
    <cfRule type="expression" priority="10" aboveAverage="0" equalAverage="0" bottom="0" percent="0" rank="0" text="" dxfId="3">
      <formula>N6="Да"</formula>
    </cfRule>
    <cfRule type="expression" priority="11" aboveAverage="0" equalAverage="0" bottom="0" percent="0" rank="0" text="" dxfId="1">
      <formula>N6="Проверить"</formula>
    </cfRule>
  </conditionalFormatting>
  <conditionalFormatting sqref="Q6:Q405">
    <cfRule type="expression" priority="12" aboveAverage="0" equalAverage="0" bottom="0" percent="0" rank="0" text="" dxfId="2">
      <formula>Q6="Да"</formula>
    </cfRule>
  </conditionalFormatting>
  <conditionalFormatting sqref="R6:R405">
    <cfRule type="expression" priority="13" aboveAverage="0" equalAverage="0" bottom="0" percent="0" rank="0" text="" dxfId="19">
      <formula>OR(R6="Просрочен",R6="Нет сведений")</formula>
    </cfRule>
    <cfRule type="expression" priority="14" aboveAverage="0" equalAverage="0" bottom="0" percent="0" rank="0" text="" dxfId="1">
      <formula>R6="Истекает"</formula>
    </cfRule>
    <cfRule type="expression" priority="15" aboveAverage="0" equalAverage="0" bottom="0" percent="0" rank="0" text="" dxfId="21">
      <formula>R6="В срок"</formula>
    </cfRule>
  </conditionalFormatting>
  <conditionalFormatting sqref="S6:S405">
    <cfRule type="expression" priority="16" aboveAverage="0" equalAverage="0" bottom="0" percent="0" rank="0" text="" dxfId="22">
      <formula>S6="Не пройдено"</formula>
    </cfRule>
  </conditionalFormatting>
  <conditionalFormatting sqref="H6:H405">
    <cfRule type="expression" priority="17" aboveAverage="0" equalAverage="0" bottom="0" percent="0" rank="0" text="" dxfId="2">
      <formula>H6="?"</formula>
    </cfRule>
  </conditionalFormatting>
  <dataValidations count="2">
    <dataValidation allowBlank="true" error="Введите дату в формате ДД.ММ.ГГГГ" errorStyle="stop" errorTitle="Дата" operator="between" showDropDown="false" showErrorMessage="true" showInputMessage="false" sqref="F6:F405 K6:L405 O6:O405" type="date">
      <formula1>DATE(2000,1,1)</formula1>
      <formula2>DATE(2100,12,31)</formula2>
    </dataValidation>
    <dataValidation allowBlank="true" error="Выберите площадку из списка" errorStyle="stop" errorTitle="Площадка" operator="between" showDropDown="false" showErrorMessage="true" showInputMessage="false" sqref="B6:B405" type="list">
      <formula1>Сводка!$A$27:$A$34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&amp;R&amp;8 Лист &amp;P из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B79C"/>
    <pageSetUpPr fitToPage="true"/>
  </sheetPr>
  <dimension ref="A1:H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32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1"/>
    <col collapsed="false" customWidth="true" hidden="false" outlineLevel="0" max="7" min="7" style="0" width="58"/>
    <col collapsed="false" customWidth="true" hidden="false" outlineLevel="0" max="8" min="8" style="0" width="10"/>
  </cols>
  <sheetData>
    <row r="1" customFormat="false" ht="17.25" hidden="false" customHeight="true" outlineLevel="0" collapsed="false">
      <c r="A1" s="1" t="s">
        <v>628</v>
      </c>
    </row>
    <row r="2" customFormat="false" ht="14.25" hidden="false" customHeight="false" outlineLevel="0" collapsed="false">
      <c r="A2" s="2" t="s">
        <v>629</v>
      </c>
    </row>
    <row r="5" customFormat="false" ht="39.75" hidden="false" customHeight="true" outlineLevel="0" collapsed="false">
      <c r="A5" s="33" t="s">
        <v>119</v>
      </c>
      <c r="B5" s="33" t="s">
        <v>630</v>
      </c>
      <c r="C5" s="33" t="s">
        <v>631</v>
      </c>
      <c r="D5" s="33" t="s">
        <v>127</v>
      </c>
      <c r="E5" s="33" t="s">
        <v>632</v>
      </c>
      <c r="F5" s="33" t="s">
        <v>135</v>
      </c>
      <c r="G5" s="33" t="s">
        <v>633</v>
      </c>
      <c r="H5" s="33" t="s">
        <v>634</v>
      </c>
    </row>
    <row r="6" customFormat="false" ht="28.5" hidden="false" customHeight="true" outlineLevel="0" collapsed="false">
      <c r="A6" s="21" t="n">
        <v>1</v>
      </c>
      <c r="B6" s="42" t="s">
        <v>635</v>
      </c>
      <c r="C6" s="42" t="s">
        <v>636</v>
      </c>
      <c r="D6" s="43" t="n">
        <v>12</v>
      </c>
      <c r="E6" s="42" t="s">
        <v>637</v>
      </c>
      <c r="F6" s="44" t="s">
        <v>638</v>
      </c>
      <c r="G6" s="42"/>
      <c r="H6" s="21" t="n">
        <f aca="false">COUNTIF('Учёт медосмотров'!$H$6:$H$405,A6)</f>
        <v>3</v>
      </c>
    </row>
    <row r="7" customFormat="false" ht="28.5" hidden="false" customHeight="true" outlineLevel="0" collapsed="false">
      <c r="A7" s="21" t="n">
        <v>2</v>
      </c>
      <c r="B7" s="42" t="s">
        <v>639</v>
      </c>
      <c r="C7" s="42" t="s">
        <v>640</v>
      </c>
      <c r="D7" s="43" t="n">
        <v>12</v>
      </c>
      <c r="E7" s="42" t="s">
        <v>641</v>
      </c>
      <c r="F7" s="44" t="s">
        <v>642</v>
      </c>
      <c r="G7" s="42" t="s">
        <v>643</v>
      </c>
      <c r="H7" s="21" t="n">
        <f aca="false">COUNTIF('Учёт медосмотров'!$H$6:$H$405,A7)</f>
        <v>5</v>
      </c>
    </row>
    <row r="8" customFormat="false" ht="42" hidden="false" customHeight="true" outlineLevel="0" collapsed="false">
      <c r="A8" s="21" t="n">
        <v>3</v>
      </c>
      <c r="B8" s="42" t="s">
        <v>407</v>
      </c>
      <c r="C8" s="42" t="s">
        <v>644</v>
      </c>
      <c r="D8" s="43" t="n">
        <v>12</v>
      </c>
      <c r="E8" s="42" t="s">
        <v>641</v>
      </c>
      <c r="F8" s="44" t="s">
        <v>638</v>
      </c>
      <c r="G8" s="42"/>
      <c r="H8" s="21" t="n">
        <f aca="false">COUNTIF('Учёт медосмотров'!$H$6:$H$405,A8)</f>
        <v>1</v>
      </c>
    </row>
    <row r="9" customFormat="false" ht="28.5" hidden="false" customHeight="true" outlineLevel="0" collapsed="false">
      <c r="A9" s="21" t="n">
        <v>4</v>
      </c>
      <c r="B9" s="42" t="s">
        <v>421</v>
      </c>
      <c r="C9" s="42" t="s">
        <v>645</v>
      </c>
      <c r="D9" s="43" t="n">
        <v>12</v>
      </c>
      <c r="E9" s="42" t="s">
        <v>641</v>
      </c>
      <c r="F9" s="44" t="s">
        <v>638</v>
      </c>
      <c r="G9" s="42"/>
      <c r="H9" s="21" t="n">
        <f aca="false">COUNTIF('Учёт медосмотров'!$H$6:$H$405,A9)</f>
        <v>1</v>
      </c>
    </row>
    <row r="10" customFormat="false" ht="28.5" hidden="false" customHeight="true" outlineLevel="0" collapsed="false">
      <c r="A10" s="21" t="n">
        <v>5</v>
      </c>
      <c r="B10" s="42" t="s">
        <v>414</v>
      </c>
      <c r="C10" s="42" t="s">
        <v>646</v>
      </c>
      <c r="D10" s="43" t="n">
        <v>12</v>
      </c>
      <c r="E10" s="42" t="s">
        <v>647</v>
      </c>
      <c r="F10" s="44" t="s">
        <v>642</v>
      </c>
      <c r="G10" s="42" t="s">
        <v>648</v>
      </c>
      <c r="H10" s="21" t="n">
        <f aca="false">COUNTIF('Учёт медосмотров'!$H$6:$H$405,A10)</f>
        <v>1</v>
      </c>
    </row>
    <row r="11" customFormat="false" ht="42" hidden="false" customHeight="true" outlineLevel="0" collapsed="false">
      <c r="A11" s="21" t="n">
        <v>6</v>
      </c>
      <c r="B11" s="42" t="s">
        <v>416</v>
      </c>
      <c r="C11" s="42" t="s">
        <v>646</v>
      </c>
      <c r="D11" s="43" t="n">
        <v>12</v>
      </c>
      <c r="E11" s="42" t="s">
        <v>647</v>
      </c>
      <c r="F11" s="44" t="s">
        <v>649</v>
      </c>
      <c r="G11" s="42" t="s">
        <v>650</v>
      </c>
      <c r="H11" s="21" t="n">
        <f aca="false">COUNTIF('Учёт медосмотров'!$H$6:$H$405,A11)</f>
        <v>1</v>
      </c>
    </row>
    <row r="12" customFormat="false" ht="28.5" hidden="false" customHeight="true" outlineLevel="0" collapsed="false">
      <c r="A12" s="21" t="n">
        <v>7</v>
      </c>
      <c r="B12" s="42" t="s">
        <v>411</v>
      </c>
      <c r="C12" s="42" t="s">
        <v>636</v>
      </c>
      <c r="D12" s="43" t="n">
        <v>12</v>
      </c>
      <c r="E12" s="42" t="s">
        <v>637</v>
      </c>
      <c r="F12" s="44" t="s">
        <v>638</v>
      </c>
      <c r="G12" s="42"/>
      <c r="H12" s="21" t="n">
        <f aca="false">COUNTIF('Учёт медосмотров'!$H$6:$H$405,A12)</f>
        <v>3</v>
      </c>
    </row>
    <row r="13" customFormat="false" ht="28.5" hidden="false" customHeight="true" outlineLevel="0" collapsed="false">
      <c r="A13" s="21" t="n">
        <v>8</v>
      </c>
      <c r="B13" s="42" t="s">
        <v>651</v>
      </c>
      <c r="C13" s="42" t="s">
        <v>652</v>
      </c>
      <c r="D13" s="43" t="n">
        <v>12</v>
      </c>
      <c r="E13" s="42" t="s">
        <v>641</v>
      </c>
      <c r="F13" s="44" t="s">
        <v>638</v>
      </c>
      <c r="G13" s="42"/>
      <c r="H13" s="21" t="n">
        <f aca="false">COUNTIF('Учёт медосмотров'!$H$6:$H$405,A13)</f>
        <v>1</v>
      </c>
    </row>
    <row r="14" customFormat="false" ht="28.5" hidden="false" customHeight="true" outlineLevel="0" collapsed="false">
      <c r="A14" s="21" t="n">
        <v>9</v>
      </c>
      <c r="B14" s="42" t="s">
        <v>653</v>
      </c>
      <c r="C14" s="42" t="s">
        <v>654</v>
      </c>
      <c r="D14" s="43" t="n">
        <v>12</v>
      </c>
      <c r="E14" s="42" t="s">
        <v>655</v>
      </c>
      <c r="F14" s="44" t="s">
        <v>638</v>
      </c>
      <c r="G14" s="42"/>
      <c r="H14" s="21" t="n">
        <f aca="false">COUNTIF('Учёт медосмотров'!$H$6:$H$405,A14)</f>
        <v>2</v>
      </c>
    </row>
    <row r="15" customFormat="false" ht="54.75" hidden="false" customHeight="true" outlineLevel="0" collapsed="false">
      <c r="A15" s="21" t="n">
        <v>10</v>
      </c>
      <c r="B15" s="42" t="s">
        <v>656</v>
      </c>
      <c r="C15" s="42" t="s">
        <v>657</v>
      </c>
      <c r="D15" s="43" t="n">
        <v>12</v>
      </c>
      <c r="E15" s="42" t="s">
        <v>655</v>
      </c>
      <c r="F15" s="44" t="s">
        <v>638</v>
      </c>
      <c r="G15" s="42"/>
      <c r="H15" s="21" t="n">
        <f aca="false">COUNTIF('Учёт медосмотров'!$H$6:$H$405,A15)</f>
        <v>16</v>
      </c>
    </row>
    <row r="16" customFormat="false" ht="28.5" hidden="false" customHeight="true" outlineLevel="0" collapsed="false">
      <c r="A16" s="21" t="n">
        <v>11</v>
      </c>
      <c r="B16" s="42" t="s">
        <v>658</v>
      </c>
      <c r="C16" s="42" t="s">
        <v>659</v>
      </c>
      <c r="D16" s="43" t="n">
        <v>12</v>
      </c>
      <c r="E16" s="42" t="s">
        <v>660</v>
      </c>
      <c r="F16" s="44" t="s">
        <v>638</v>
      </c>
      <c r="G16" s="42"/>
      <c r="H16" s="21" t="n">
        <f aca="false">COUNTIF('Учёт медосмотров'!$H$6:$H$405,A16)</f>
        <v>2</v>
      </c>
    </row>
    <row r="17" customFormat="false" ht="15.75" hidden="false" customHeight="true" outlineLevel="0" collapsed="false">
      <c r="A17" s="21" t="n">
        <v>12</v>
      </c>
      <c r="B17" s="42" t="s">
        <v>431</v>
      </c>
      <c r="C17" s="42" t="s">
        <v>661</v>
      </c>
      <c r="D17" s="43" t="n">
        <v>12</v>
      </c>
      <c r="E17" s="42" t="s">
        <v>662</v>
      </c>
      <c r="F17" s="44" t="s">
        <v>638</v>
      </c>
      <c r="G17" s="42"/>
      <c r="H17" s="21" t="n">
        <f aca="false">COUNTIF('Учёт медосмотров'!$H$6:$H$405,A17)</f>
        <v>2</v>
      </c>
    </row>
    <row r="18" customFormat="false" ht="15.75" hidden="false" customHeight="true" outlineLevel="0" collapsed="false">
      <c r="A18" s="21" t="n">
        <v>13</v>
      </c>
      <c r="B18" s="42" t="s">
        <v>663</v>
      </c>
      <c r="C18" s="42" t="s">
        <v>661</v>
      </c>
      <c r="D18" s="43" t="n">
        <v>12</v>
      </c>
      <c r="E18" s="42" t="s">
        <v>662</v>
      </c>
      <c r="F18" s="44" t="s">
        <v>638</v>
      </c>
      <c r="G18" s="42"/>
      <c r="H18" s="21" t="n">
        <f aca="false">COUNTIF('Учёт медосмотров'!$H$6:$H$405,A18)</f>
        <v>14</v>
      </c>
    </row>
    <row r="19" customFormat="false" ht="28.5" hidden="false" customHeight="true" outlineLevel="0" collapsed="false">
      <c r="A19" s="21" t="n">
        <v>14</v>
      </c>
      <c r="B19" s="42" t="s">
        <v>664</v>
      </c>
      <c r="C19" s="42" t="s">
        <v>641</v>
      </c>
      <c r="D19" s="43" t="n">
        <v>12</v>
      </c>
      <c r="E19" s="42" t="s">
        <v>641</v>
      </c>
      <c r="F19" s="44" t="s">
        <v>638</v>
      </c>
      <c r="G19" s="42" t="s">
        <v>665</v>
      </c>
      <c r="H19" s="21" t="n">
        <f aca="false">COUNTIF('Учёт медосмотров'!$H$6:$H$405,A19)</f>
        <v>19</v>
      </c>
    </row>
    <row r="20" customFormat="false" ht="28.5" hidden="false" customHeight="true" outlineLevel="0" collapsed="false">
      <c r="A20" s="21" t="n">
        <v>15</v>
      </c>
      <c r="B20" s="42" t="s">
        <v>464</v>
      </c>
      <c r="C20" s="42" t="s">
        <v>666</v>
      </c>
      <c r="D20" s="43" t="n">
        <v>12</v>
      </c>
      <c r="E20" s="42" t="s">
        <v>647</v>
      </c>
      <c r="F20" s="44" t="s">
        <v>638</v>
      </c>
      <c r="G20" s="42"/>
      <c r="H20" s="21" t="n">
        <f aca="false">COUNTIF('Учёт медосмотров'!$H$6:$H$405,A20)</f>
        <v>1</v>
      </c>
    </row>
    <row r="21" customFormat="false" ht="28.5" hidden="false" customHeight="true" outlineLevel="0" collapsed="false">
      <c r="A21" s="21" t="n">
        <v>16</v>
      </c>
      <c r="B21" s="42" t="s">
        <v>250</v>
      </c>
      <c r="C21" s="42" t="s">
        <v>641</v>
      </c>
      <c r="D21" s="43" t="n">
        <v>12</v>
      </c>
      <c r="E21" s="42" t="s">
        <v>641</v>
      </c>
      <c r="F21" s="44" t="s">
        <v>638</v>
      </c>
      <c r="G21" s="42"/>
      <c r="H21" s="21" t="n">
        <f aca="false">COUNTIF('Учёт медосмотров'!$H$6:$H$405,A21)</f>
        <v>3</v>
      </c>
    </row>
    <row r="22" customFormat="false" ht="15.75" hidden="false" customHeight="true" outlineLevel="0" collapsed="false">
      <c r="A22" s="21" t="n">
        <v>17</v>
      </c>
      <c r="B22" s="42" t="s">
        <v>667</v>
      </c>
      <c r="C22" s="42" t="s">
        <v>668</v>
      </c>
      <c r="D22" s="43" t="n">
        <v>12</v>
      </c>
      <c r="E22" s="42" t="s">
        <v>641</v>
      </c>
      <c r="F22" s="44" t="s">
        <v>638</v>
      </c>
      <c r="G22" s="42"/>
      <c r="H22" s="21" t="n">
        <f aca="false">COUNTIF('Учёт медосмотров'!$H$6:$H$405,A22)</f>
        <v>0</v>
      </c>
    </row>
    <row r="23" customFormat="false" ht="15.75" hidden="false" customHeight="true" outlineLevel="0" collapsed="false">
      <c r="A23" s="21" t="n">
        <v>18</v>
      </c>
      <c r="B23" s="42" t="s">
        <v>241</v>
      </c>
      <c r="C23" s="42" t="s">
        <v>661</v>
      </c>
      <c r="D23" s="43" t="n">
        <v>12</v>
      </c>
      <c r="E23" s="42" t="s">
        <v>662</v>
      </c>
      <c r="F23" s="44" t="s">
        <v>638</v>
      </c>
      <c r="G23" s="42"/>
      <c r="H23" s="21" t="n">
        <f aca="false">COUNTIF('Учёт медосмотров'!$H$6:$H$405,A23)</f>
        <v>10</v>
      </c>
    </row>
    <row r="24" customFormat="false" ht="28.5" hidden="false" customHeight="true" outlineLevel="0" collapsed="false">
      <c r="A24" s="21" t="n">
        <v>19</v>
      </c>
      <c r="B24" s="42" t="s">
        <v>669</v>
      </c>
      <c r="C24" s="42" t="s">
        <v>670</v>
      </c>
      <c r="D24" s="43" t="n">
        <v>12</v>
      </c>
      <c r="E24" s="42" t="s">
        <v>641</v>
      </c>
      <c r="F24" s="44" t="s">
        <v>638</v>
      </c>
      <c r="G24" s="42"/>
      <c r="H24" s="21" t="n">
        <f aca="false">COUNTIF('Учёт медосмотров'!$H$6:$H$405,A24)</f>
        <v>66</v>
      </c>
    </row>
    <row r="25" customFormat="false" ht="28.5" hidden="false" customHeight="true" outlineLevel="0" collapsed="false">
      <c r="A25" s="21" t="n">
        <v>20</v>
      </c>
      <c r="B25" s="42" t="s">
        <v>671</v>
      </c>
      <c r="C25" s="42" t="s">
        <v>672</v>
      </c>
      <c r="D25" s="43" t="n">
        <v>12</v>
      </c>
      <c r="E25" s="42" t="s">
        <v>641</v>
      </c>
      <c r="F25" s="44" t="s">
        <v>642</v>
      </c>
      <c r="G25" s="42" t="s">
        <v>673</v>
      </c>
      <c r="H25" s="21" t="n">
        <f aca="false">COUNTIF('Учёт медосмотров'!$H$6:$H$405,A25)</f>
        <v>32</v>
      </c>
    </row>
    <row r="26" customFormat="false" ht="28.5" hidden="false" customHeight="true" outlineLevel="0" collapsed="false">
      <c r="A26" s="21" t="n">
        <v>21</v>
      </c>
      <c r="B26" s="42" t="s">
        <v>674</v>
      </c>
      <c r="C26" s="42" t="s">
        <v>675</v>
      </c>
      <c r="D26" s="43" t="n">
        <v>12</v>
      </c>
      <c r="E26" s="42" t="s">
        <v>655</v>
      </c>
      <c r="F26" s="44" t="s">
        <v>638</v>
      </c>
      <c r="G26" s="42"/>
      <c r="H26" s="21" t="n">
        <f aca="false">COUNTIF('Учёт медосмотров'!$H$6:$H$405,A26)</f>
        <v>25</v>
      </c>
    </row>
    <row r="27" customFormat="false" ht="15.75" hidden="false" customHeight="true" outlineLevel="0" collapsed="false">
      <c r="A27" s="21" t="n">
        <v>22</v>
      </c>
      <c r="B27" s="42" t="s">
        <v>173</v>
      </c>
      <c r="C27" s="42" t="s">
        <v>641</v>
      </c>
      <c r="D27" s="43" t="n">
        <v>12</v>
      </c>
      <c r="E27" s="42" t="s">
        <v>641</v>
      </c>
      <c r="F27" s="44" t="s">
        <v>638</v>
      </c>
      <c r="G27" s="42"/>
      <c r="H27" s="21" t="n">
        <f aca="false">COUNTIF('Учёт медосмотров'!$H$6:$H$405,A27)</f>
        <v>1</v>
      </c>
    </row>
    <row r="28" customFormat="false" ht="28.5" hidden="false" customHeight="true" outlineLevel="0" collapsed="false">
      <c r="A28" s="21" t="n">
        <v>23</v>
      </c>
      <c r="B28" s="42" t="s">
        <v>676</v>
      </c>
      <c r="C28" s="42" t="s">
        <v>675</v>
      </c>
      <c r="D28" s="43" t="n">
        <v>12</v>
      </c>
      <c r="E28" s="42" t="s">
        <v>655</v>
      </c>
      <c r="F28" s="44" t="s">
        <v>638</v>
      </c>
      <c r="G28" s="42"/>
      <c r="H28" s="21" t="n">
        <f aca="false">COUNTIF('Учёт медосмотров'!$H$6:$H$405,A28)</f>
        <v>6</v>
      </c>
    </row>
    <row r="29" customFormat="false" ht="28.5" hidden="false" customHeight="true" outlineLevel="0" collapsed="false">
      <c r="A29" s="21" t="n">
        <v>24</v>
      </c>
      <c r="B29" s="42" t="s">
        <v>677</v>
      </c>
      <c r="C29" s="42" t="s">
        <v>675</v>
      </c>
      <c r="D29" s="43" t="n">
        <v>12</v>
      </c>
      <c r="E29" s="42" t="s">
        <v>655</v>
      </c>
      <c r="F29" s="44" t="s">
        <v>638</v>
      </c>
      <c r="G29" s="42"/>
      <c r="H29" s="21" t="n">
        <f aca="false">COUNTIF('Учёт медосмотров'!$H$6:$H$405,A29)</f>
        <v>0</v>
      </c>
    </row>
    <row r="30" customFormat="false" ht="28.5" hidden="false" customHeight="true" outlineLevel="0" collapsed="false">
      <c r="A30" s="21" t="n">
        <v>25</v>
      </c>
      <c r="B30" s="42" t="s">
        <v>284</v>
      </c>
      <c r="C30" s="42" t="s">
        <v>678</v>
      </c>
      <c r="D30" s="43" t="n">
        <v>12</v>
      </c>
      <c r="E30" s="42" t="s">
        <v>655</v>
      </c>
      <c r="F30" s="44" t="s">
        <v>638</v>
      </c>
      <c r="G30" s="42"/>
      <c r="H30" s="21" t="n">
        <f aca="false">COUNTIF('Учёт медосмотров'!$H$6:$H$405,A30)</f>
        <v>10</v>
      </c>
    </row>
    <row r="31" customFormat="false" ht="42" hidden="false" customHeight="true" outlineLevel="0" collapsed="false">
      <c r="A31" s="21" t="n">
        <v>26</v>
      </c>
      <c r="B31" s="42" t="s">
        <v>679</v>
      </c>
      <c r="C31" s="42" t="s">
        <v>680</v>
      </c>
      <c r="D31" s="43" t="n">
        <v>12</v>
      </c>
      <c r="E31" s="42" t="s">
        <v>681</v>
      </c>
      <c r="F31" s="44" t="s">
        <v>649</v>
      </c>
      <c r="G31" s="42" t="s">
        <v>682</v>
      </c>
      <c r="H31" s="21" t="n">
        <f aca="false">COUNTIF('Учёт медосмотров'!$H$6:$H$405,A31)</f>
        <v>9</v>
      </c>
    </row>
    <row r="32" customFormat="false" ht="28.5" hidden="false" customHeight="true" outlineLevel="0" collapsed="false">
      <c r="A32" s="21" t="n">
        <v>27</v>
      </c>
      <c r="B32" s="42" t="s">
        <v>683</v>
      </c>
      <c r="C32" s="42" t="s">
        <v>661</v>
      </c>
      <c r="D32" s="43" t="n">
        <v>12</v>
      </c>
      <c r="E32" s="42" t="s">
        <v>662</v>
      </c>
      <c r="F32" s="44" t="s">
        <v>638</v>
      </c>
      <c r="G32" s="42"/>
      <c r="H32" s="21" t="n">
        <f aca="false">COUNTIF('Учёт медосмотров'!$H$6:$H$405,A32)</f>
        <v>5</v>
      </c>
    </row>
    <row r="33" customFormat="false" ht="15.75" hidden="false" customHeight="true" outlineLevel="0" collapsed="false">
      <c r="A33" s="21" t="n">
        <v>28</v>
      </c>
      <c r="B33" s="42" t="s">
        <v>684</v>
      </c>
      <c r="C33" s="42" t="s">
        <v>661</v>
      </c>
      <c r="D33" s="43" t="n">
        <v>12</v>
      </c>
      <c r="E33" s="42" t="s">
        <v>662</v>
      </c>
      <c r="F33" s="44" t="s">
        <v>638</v>
      </c>
      <c r="G33" s="42"/>
      <c r="H33" s="21" t="n">
        <f aca="false">COUNTIF('Учёт медосмотров'!$H$6:$H$405,A33)</f>
        <v>19</v>
      </c>
    </row>
    <row r="34" customFormat="false" ht="42" hidden="false" customHeight="true" outlineLevel="0" collapsed="false">
      <c r="A34" s="21" t="n">
        <v>29</v>
      </c>
      <c r="B34" s="42" t="s">
        <v>685</v>
      </c>
      <c r="C34" s="42" t="s">
        <v>672</v>
      </c>
      <c r="D34" s="43" t="n">
        <v>12</v>
      </c>
      <c r="E34" s="42" t="s">
        <v>641</v>
      </c>
      <c r="F34" s="44" t="s">
        <v>642</v>
      </c>
      <c r="G34" s="42" t="s">
        <v>686</v>
      </c>
      <c r="H34" s="21" t="n">
        <f aca="false">COUNTIF('Учёт медосмотров'!$H$6:$H$405,A34)</f>
        <v>3</v>
      </c>
    </row>
    <row r="35" customFormat="false" ht="28.5" hidden="false" customHeight="true" outlineLevel="0" collapsed="false">
      <c r="A35" s="21" t="n">
        <v>30</v>
      </c>
      <c r="B35" s="42" t="s">
        <v>687</v>
      </c>
      <c r="C35" s="42" t="s">
        <v>678</v>
      </c>
      <c r="D35" s="43" t="n">
        <v>12</v>
      </c>
      <c r="E35" s="42" t="s">
        <v>655</v>
      </c>
      <c r="F35" s="44" t="s">
        <v>638</v>
      </c>
      <c r="G35" s="42"/>
      <c r="H35" s="21" t="n">
        <f aca="false">COUNTIF('Учёт медосмотров'!$H$6:$H$405,A35)</f>
        <v>14</v>
      </c>
    </row>
    <row r="36" customFormat="false" ht="28.5" hidden="false" customHeight="true" outlineLevel="0" collapsed="false">
      <c r="A36" s="21" t="n">
        <v>31</v>
      </c>
      <c r="B36" s="42" t="s">
        <v>688</v>
      </c>
      <c r="C36" s="42" t="s">
        <v>689</v>
      </c>
      <c r="D36" s="43" t="n">
        <v>12</v>
      </c>
      <c r="E36" s="42" t="s">
        <v>655</v>
      </c>
      <c r="F36" s="44" t="s">
        <v>638</v>
      </c>
      <c r="G36" s="42"/>
      <c r="H36" s="21" t="n">
        <f aca="false">COUNTIF('Учёт медосмотров'!$H$6:$H$405,A36)</f>
        <v>0</v>
      </c>
    </row>
    <row r="37" customFormat="false" ht="28.5" hidden="false" customHeight="true" outlineLevel="0" collapsed="false">
      <c r="A37" s="21" t="n">
        <v>32</v>
      </c>
      <c r="B37" s="42" t="s">
        <v>690</v>
      </c>
      <c r="C37" s="42" t="s">
        <v>691</v>
      </c>
      <c r="D37" s="43" t="n">
        <v>12</v>
      </c>
      <c r="E37" s="42" t="s">
        <v>655</v>
      </c>
      <c r="F37" s="44" t="s">
        <v>638</v>
      </c>
      <c r="G37" s="42"/>
      <c r="H37" s="21" t="n">
        <f aca="false">COUNTIF('Учёт медосмотров'!$H$6:$H$405,A37)</f>
        <v>17</v>
      </c>
    </row>
    <row r="38" customFormat="false" ht="28.5" hidden="false" customHeight="true" outlineLevel="0" collapsed="false">
      <c r="A38" s="21" t="n">
        <v>33</v>
      </c>
      <c r="B38" s="42" t="s">
        <v>692</v>
      </c>
      <c r="C38" s="42" t="s">
        <v>678</v>
      </c>
      <c r="D38" s="43" t="n">
        <v>12</v>
      </c>
      <c r="E38" s="42" t="s">
        <v>655</v>
      </c>
      <c r="F38" s="44" t="s">
        <v>638</v>
      </c>
      <c r="G38" s="42"/>
      <c r="H38" s="21" t="n">
        <f aca="false">COUNTIF('Учёт медосмотров'!$H$6:$H$405,A38)</f>
        <v>2</v>
      </c>
    </row>
    <row r="39" customFormat="false" ht="28.5" hidden="false" customHeight="true" outlineLevel="0" collapsed="false">
      <c r="A39" s="21" t="n">
        <v>34</v>
      </c>
      <c r="B39" s="42" t="s">
        <v>693</v>
      </c>
      <c r="C39" s="42" t="s">
        <v>678</v>
      </c>
      <c r="D39" s="43" t="n">
        <v>12</v>
      </c>
      <c r="E39" s="42" t="s">
        <v>655</v>
      </c>
      <c r="F39" s="44" t="s">
        <v>638</v>
      </c>
      <c r="G39" s="42"/>
      <c r="H39" s="21" t="n">
        <f aca="false">COUNTIF('Учёт медосмотров'!$H$6:$H$405,A39)</f>
        <v>8</v>
      </c>
    </row>
    <row r="40" customFormat="false" ht="28.5" hidden="false" customHeight="true" outlineLevel="0" collapsed="false">
      <c r="A40" s="21" t="n">
        <v>35</v>
      </c>
      <c r="B40" s="42" t="s">
        <v>694</v>
      </c>
      <c r="C40" s="42" t="s">
        <v>678</v>
      </c>
      <c r="D40" s="43" t="n">
        <v>12</v>
      </c>
      <c r="E40" s="42" t="s">
        <v>655</v>
      </c>
      <c r="F40" s="44" t="s">
        <v>638</v>
      </c>
      <c r="G40" s="42"/>
      <c r="H40" s="21" t="n">
        <f aca="false">COUNTIF('Учёт медосмотров'!$H$6:$H$405,A40)</f>
        <v>0</v>
      </c>
    </row>
    <row r="41" customFormat="false" ht="42" hidden="false" customHeight="true" outlineLevel="0" collapsed="false">
      <c r="A41" s="21" t="n">
        <v>36</v>
      </c>
      <c r="B41" s="42" t="s">
        <v>695</v>
      </c>
      <c r="C41" s="42" t="s">
        <v>696</v>
      </c>
      <c r="D41" s="43" t="n">
        <v>12</v>
      </c>
      <c r="E41" s="42" t="s">
        <v>697</v>
      </c>
      <c r="F41" s="44" t="s">
        <v>638</v>
      </c>
      <c r="G41" s="42"/>
      <c r="H41" s="21" t="n">
        <f aca="false">COUNTIF('Учёт медосмотров'!$H$6:$H$405,A41)</f>
        <v>15</v>
      </c>
    </row>
    <row r="42" customFormat="false" ht="54.75" hidden="false" customHeight="true" outlineLevel="0" collapsed="false">
      <c r="A42" s="21" t="n">
        <v>37</v>
      </c>
      <c r="B42" s="42" t="s">
        <v>698</v>
      </c>
      <c r="C42" s="42" t="s">
        <v>699</v>
      </c>
      <c r="D42" s="43" t="n">
        <v>12</v>
      </c>
      <c r="E42" s="42" t="s">
        <v>700</v>
      </c>
      <c r="F42" s="44" t="s">
        <v>638</v>
      </c>
      <c r="G42" s="42"/>
      <c r="H42" s="21" t="n">
        <f aca="false">COUNTIF('Учёт медосмотров'!$H$6:$H$405,A42)</f>
        <v>0</v>
      </c>
    </row>
    <row r="43" customFormat="false" ht="28.5" hidden="false" customHeight="true" outlineLevel="0" collapsed="false">
      <c r="A43" s="21" t="n">
        <v>38</v>
      </c>
      <c r="B43" s="42" t="s">
        <v>474</v>
      </c>
      <c r="C43" s="42" t="s">
        <v>701</v>
      </c>
      <c r="D43" s="43" t="n">
        <v>12</v>
      </c>
      <c r="E43" s="42" t="s">
        <v>655</v>
      </c>
      <c r="F43" s="44" t="s">
        <v>642</v>
      </c>
      <c r="G43" s="42" t="s">
        <v>702</v>
      </c>
      <c r="H43" s="21" t="n">
        <f aca="false">COUNTIF('Учёт медосмотров'!$H$6:$H$405,A43)</f>
        <v>9</v>
      </c>
    </row>
    <row r="44" customFormat="false" ht="28.5" hidden="false" customHeight="true" outlineLevel="0" collapsed="false">
      <c r="A44" s="21" t="n">
        <v>39</v>
      </c>
      <c r="B44" s="42" t="s">
        <v>149</v>
      </c>
      <c r="C44" s="42" t="s">
        <v>703</v>
      </c>
      <c r="D44" s="43" t="n">
        <v>12</v>
      </c>
      <c r="E44" s="42" t="s">
        <v>655</v>
      </c>
      <c r="F44" s="44" t="s">
        <v>642</v>
      </c>
      <c r="G44" s="42" t="s">
        <v>702</v>
      </c>
      <c r="H44" s="21" t="n">
        <f aca="false">COUNTIF('Учёт медосмотров'!$H$6:$H$405,A44)</f>
        <v>1</v>
      </c>
    </row>
    <row r="45" customFormat="false" ht="28.5" hidden="false" customHeight="true" outlineLevel="0" collapsed="false">
      <c r="A45" s="21" t="n">
        <v>40</v>
      </c>
      <c r="B45" s="42" t="s">
        <v>247</v>
      </c>
      <c r="C45" s="42" t="s">
        <v>660</v>
      </c>
      <c r="D45" s="43" t="n">
        <v>12</v>
      </c>
      <c r="E45" s="42" t="s">
        <v>660</v>
      </c>
      <c r="F45" s="44" t="s">
        <v>638</v>
      </c>
      <c r="G45" s="42"/>
      <c r="H45" s="21" t="n">
        <f aca="false">COUNTIF('Учёт медосмотров'!$H$6:$H$405,A45)</f>
        <v>1</v>
      </c>
    </row>
    <row r="46" customFormat="false" ht="28.5" hidden="false" customHeight="true" outlineLevel="0" collapsed="false">
      <c r="A46" s="21" t="n">
        <v>41</v>
      </c>
      <c r="B46" s="42" t="s">
        <v>704</v>
      </c>
      <c r="C46" s="42" t="s">
        <v>678</v>
      </c>
      <c r="D46" s="43" t="n">
        <v>12</v>
      </c>
      <c r="E46" s="42" t="s">
        <v>655</v>
      </c>
      <c r="F46" s="44" t="s">
        <v>638</v>
      </c>
      <c r="G46" s="42"/>
      <c r="H46" s="21" t="n">
        <f aca="false">COUNTIF('Учёт медосмотров'!$H$6:$H$405,A46)</f>
        <v>1</v>
      </c>
    </row>
    <row r="47" customFormat="false" ht="42" hidden="false" customHeight="true" outlineLevel="0" collapsed="false">
      <c r="A47" s="21" t="n">
        <v>42</v>
      </c>
      <c r="B47" s="42" t="s">
        <v>705</v>
      </c>
      <c r="C47" s="42" t="s">
        <v>706</v>
      </c>
      <c r="D47" s="43" t="n">
        <v>12</v>
      </c>
      <c r="E47" s="42" t="s">
        <v>641</v>
      </c>
      <c r="F47" s="44" t="s">
        <v>638</v>
      </c>
      <c r="G47" s="42"/>
      <c r="H47" s="21" t="n">
        <f aca="false">COUNTIF('Учёт медосмотров'!$H$6:$H$405,A47)</f>
        <v>1</v>
      </c>
    </row>
    <row r="48" customFormat="false" ht="28.5" hidden="false" customHeight="true" outlineLevel="0" collapsed="false">
      <c r="A48" s="21" t="n">
        <v>43</v>
      </c>
      <c r="B48" s="42" t="s">
        <v>707</v>
      </c>
      <c r="C48" s="42" t="s">
        <v>708</v>
      </c>
      <c r="D48" s="43" t="n">
        <v>12</v>
      </c>
      <c r="E48" s="42" t="s">
        <v>655</v>
      </c>
      <c r="F48" s="44" t="s">
        <v>638</v>
      </c>
      <c r="G48" s="42"/>
      <c r="H48" s="21" t="n">
        <f aca="false">COUNTIF('Учёт медосмотров'!$H$6:$H$405,A48)</f>
        <v>0</v>
      </c>
    </row>
    <row r="49" customFormat="false" ht="28.5" hidden="false" customHeight="true" outlineLevel="0" collapsed="false">
      <c r="A49" s="21" t="n">
        <v>44</v>
      </c>
      <c r="B49" s="42" t="s">
        <v>709</v>
      </c>
      <c r="C49" s="42" t="s">
        <v>678</v>
      </c>
      <c r="D49" s="43" t="n">
        <v>12</v>
      </c>
      <c r="E49" s="42" t="s">
        <v>655</v>
      </c>
      <c r="F49" s="44" t="s">
        <v>638</v>
      </c>
      <c r="G49" s="42"/>
      <c r="H49" s="21" t="n">
        <f aca="false">COUNTIF('Учёт медосмотров'!$H$6:$H$405,A49)</f>
        <v>14</v>
      </c>
    </row>
    <row r="50" customFormat="false" ht="42" hidden="false" customHeight="true" outlineLevel="0" collapsed="false">
      <c r="A50" s="21" t="n">
        <v>45</v>
      </c>
      <c r="B50" s="42" t="s">
        <v>710</v>
      </c>
      <c r="C50" s="42" t="s">
        <v>711</v>
      </c>
      <c r="D50" s="43" t="n">
        <v>12</v>
      </c>
      <c r="E50" s="42" t="s">
        <v>712</v>
      </c>
      <c r="F50" s="44" t="s">
        <v>649</v>
      </c>
      <c r="G50" s="42" t="s">
        <v>713</v>
      </c>
      <c r="H50" s="21" t="n">
        <f aca="false">COUNTIF('Учёт медосмотров'!$H$6:$H$405,A50)</f>
        <v>13</v>
      </c>
    </row>
    <row r="51" customFormat="false" ht="28.5" hidden="false" customHeight="true" outlineLevel="0" collapsed="false">
      <c r="A51" s="21" t="n">
        <v>46</v>
      </c>
      <c r="B51" s="42" t="s">
        <v>466</v>
      </c>
      <c r="C51" s="42" t="s">
        <v>714</v>
      </c>
      <c r="D51" s="43" t="n">
        <v>12</v>
      </c>
      <c r="E51" s="42" t="s">
        <v>641</v>
      </c>
      <c r="F51" s="44" t="s">
        <v>642</v>
      </c>
      <c r="G51" s="42" t="s">
        <v>715</v>
      </c>
      <c r="H51" s="21" t="n">
        <f aca="false">COUNTIF('Учёт медосмотров'!$H$6:$H$405,A51)</f>
        <v>8</v>
      </c>
    </row>
    <row r="52" customFormat="false" ht="15.75" hidden="false" customHeight="true" outlineLevel="0" collapsed="false">
      <c r="A52" s="21" t="n">
        <v>47</v>
      </c>
      <c r="B52" s="42" t="s">
        <v>348</v>
      </c>
      <c r="C52" s="42" t="s">
        <v>716</v>
      </c>
      <c r="D52" s="43" t="n">
        <v>12</v>
      </c>
      <c r="E52" s="42" t="s">
        <v>655</v>
      </c>
      <c r="F52" s="44" t="s">
        <v>638</v>
      </c>
      <c r="G52" s="42"/>
      <c r="H52" s="21" t="n">
        <f aca="false">COUNTIF('Учёт медосмотров'!$H$6:$H$405,A52)</f>
        <v>4</v>
      </c>
    </row>
    <row r="53" customFormat="false" ht="14.25" hidden="false" customHeight="false" outlineLevel="0" collapsed="false">
      <c r="A53" s="45"/>
      <c r="B53" s="46" t="s">
        <v>111</v>
      </c>
      <c r="C53" s="45"/>
      <c r="D53" s="45"/>
      <c r="E53" s="45"/>
      <c r="F53" s="45"/>
      <c r="G53" s="45"/>
      <c r="H53" s="47" t="n">
        <f aca="false">SUM(H6:H52)</f>
        <v>369</v>
      </c>
    </row>
    <row r="55" customFormat="false" ht="27.75" hidden="false" customHeight="true" outlineLevel="0" collapsed="false">
      <c r="A55" s="48" t="s">
        <v>717</v>
      </c>
      <c r="B55" s="48"/>
      <c r="C55" s="48"/>
      <c r="D55" s="48"/>
      <c r="E55" s="48"/>
      <c r="F55" s="48"/>
      <c r="G55" s="48"/>
      <c r="H55" s="48"/>
    </row>
    <row r="56" customFormat="false" ht="27.75" hidden="false" customHeight="true" outlineLevel="0" collapsed="false">
      <c r="A56" s="48" t="s">
        <v>718</v>
      </c>
      <c r="B56" s="48"/>
      <c r="C56" s="48"/>
      <c r="D56" s="48"/>
      <c r="E56" s="48"/>
      <c r="F56" s="48"/>
      <c r="G56" s="48"/>
      <c r="H56" s="48"/>
    </row>
    <row r="57" customFormat="false" ht="27.75" hidden="false" customHeight="true" outlineLevel="0" collapsed="false">
      <c r="A57" s="48" t="s">
        <v>719</v>
      </c>
      <c r="B57" s="48"/>
      <c r="C57" s="48"/>
      <c r="D57" s="48"/>
      <c r="E57" s="48"/>
      <c r="F57" s="48"/>
      <c r="G57" s="48"/>
      <c r="H57" s="48"/>
    </row>
  </sheetData>
  <mergeCells count="3">
    <mergeCell ref="A55:H55"/>
    <mergeCell ref="A56:H56"/>
    <mergeCell ref="A57:H57"/>
  </mergeCells>
  <conditionalFormatting sqref="F6:F51">
    <cfRule type="expression" priority="2" aboveAverage="0" equalAverage="0" bottom="0" percent="0" rank="0" text="" dxfId="3">
      <formula>F6="Да"</formula>
    </cfRule>
    <cfRule type="expression" priority="3" aboveAverage="0" equalAverage="0" bottom="0" percent="0" rank="0" text="" dxfId="1">
      <formula>F6="Проверить"</formula>
    </cfRule>
  </conditionalFormatting>
  <dataValidations count="2">
    <dataValidation allowBlank="true" errorStyle="stop" operator="between" showDropDown="false" showErrorMessage="false" showInputMessage="false" sqref="F6:F51" type="list">
      <formula1>"Да,Нет,-,Проверить"</formula1>
      <formula2>0</formula2>
    </dataValidation>
    <dataValidation allowBlank="false" error="Укажите число месяцев" errorStyle="stop" errorTitle="Периодичность" operator="between" showDropDown="false" showErrorMessage="true" showInputMessage="false" sqref="D6:D51" type="whole">
      <formula1>1</formula1>
      <formula2>60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&amp;R&amp;8 Лист &amp;P из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0"/>
  </cols>
  <sheetData>
    <row r="1" customFormat="false" ht="14.25" hidden="false" customHeight="false" outlineLevel="0" collapsed="false">
      <c r="A1" s="49" t="s">
        <v>720</v>
      </c>
      <c r="B1" s="49" t="s">
        <v>721</v>
      </c>
      <c r="D1" s="50" t="s">
        <v>722</v>
      </c>
    </row>
    <row r="2" customFormat="false" ht="14.25" hidden="false" customHeight="false" outlineLevel="0" collapsed="false">
      <c r="A2" s="51" t="s">
        <v>723</v>
      </c>
      <c r="B2" s="51" t="n">
        <v>47</v>
      </c>
    </row>
    <row r="3" customFormat="false" ht="14.25" hidden="false" customHeight="false" outlineLevel="0" collapsed="false">
      <c r="A3" s="51" t="s">
        <v>724</v>
      </c>
      <c r="B3" s="51" t="n">
        <v>19</v>
      </c>
    </row>
    <row r="4" customFormat="false" ht="14.25" hidden="false" customHeight="false" outlineLevel="0" collapsed="false">
      <c r="A4" s="51" t="s">
        <v>725</v>
      </c>
      <c r="B4" s="51" t="n">
        <v>28</v>
      </c>
    </row>
    <row r="5" customFormat="false" ht="14.25" hidden="false" customHeight="false" outlineLevel="0" collapsed="false">
      <c r="A5" s="51" t="s">
        <v>726</v>
      </c>
      <c r="B5" s="51" t="n">
        <v>28</v>
      </c>
    </row>
    <row r="6" customFormat="false" ht="14.25" hidden="false" customHeight="false" outlineLevel="0" collapsed="false">
      <c r="A6" s="51" t="s">
        <v>727</v>
      </c>
      <c r="B6" s="51" t="n">
        <v>27</v>
      </c>
    </row>
    <row r="7" customFormat="false" ht="14.25" hidden="false" customHeight="false" outlineLevel="0" collapsed="false">
      <c r="A7" s="51" t="s">
        <v>728</v>
      </c>
      <c r="B7" s="51" t="n">
        <v>9</v>
      </c>
    </row>
    <row r="8" customFormat="false" ht="14.25" hidden="false" customHeight="false" outlineLevel="0" collapsed="false">
      <c r="A8" s="51" t="s">
        <v>729</v>
      </c>
      <c r="B8" s="51" t="n">
        <v>27</v>
      </c>
    </row>
    <row r="9" customFormat="false" ht="14.25" hidden="false" customHeight="false" outlineLevel="0" collapsed="false">
      <c r="A9" s="51" t="s">
        <v>730</v>
      </c>
      <c r="B9" s="51" t="n">
        <v>27</v>
      </c>
    </row>
    <row r="10" customFormat="false" ht="14.25" hidden="false" customHeight="false" outlineLevel="0" collapsed="false">
      <c r="A10" s="51" t="s">
        <v>731</v>
      </c>
      <c r="B10" s="51" t="n">
        <v>39</v>
      </c>
    </row>
    <row r="11" customFormat="false" ht="14.25" hidden="false" customHeight="false" outlineLevel="0" collapsed="false">
      <c r="A11" s="51" t="s">
        <v>732</v>
      </c>
      <c r="B11" s="51" t="n">
        <v>39</v>
      </c>
    </row>
    <row r="12" customFormat="false" ht="14.25" hidden="false" customHeight="false" outlineLevel="0" collapsed="false">
      <c r="A12" s="51" t="s">
        <v>733</v>
      </c>
      <c r="B12" s="51" t="n">
        <v>38</v>
      </c>
    </row>
    <row r="13" customFormat="false" ht="14.25" hidden="false" customHeight="false" outlineLevel="0" collapsed="false">
      <c r="A13" s="51" t="s">
        <v>734</v>
      </c>
      <c r="B13" s="51" t="n">
        <v>6</v>
      </c>
    </row>
    <row r="14" customFormat="false" ht="14.25" hidden="false" customHeight="false" outlineLevel="0" collapsed="false">
      <c r="A14" s="51" t="s">
        <v>735</v>
      </c>
      <c r="B14" s="51" t="n">
        <v>5</v>
      </c>
    </row>
    <row r="15" customFormat="false" ht="14.25" hidden="false" customHeight="false" outlineLevel="0" collapsed="false">
      <c r="A15" s="51" t="s">
        <v>736</v>
      </c>
      <c r="B15" s="51" t="n">
        <v>28</v>
      </c>
    </row>
    <row r="16" customFormat="false" ht="14.25" hidden="false" customHeight="false" outlineLevel="0" collapsed="false">
      <c r="A16" s="51" t="s">
        <v>737</v>
      </c>
      <c r="B16" s="51" t="n">
        <v>28</v>
      </c>
    </row>
    <row r="17" customFormat="false" ht="14.25" hidden="false" customHeight="false" outlineLevel="0" collapsed="false">
      <c r="A17" s="51" t="s">
        <v>738</v>
      </c>
      <c r="B17" s="51" t="n">
        <v>42</v>
      </c>
    </row>
    <row r="18" customFormat="false" ht="14.25" hidden="false" customHeight="false" outlineLevel="0" collapsed="false">
      <c r="A18" s="51" t="s">
        <v>739</v>
      </c>
      <c r="B18" s="51" t="n">
        <v>42</v>
      </c>
    </row>
    <row r="19" customFormat="false" ht="14.25" hidden="false" customHeight="false" outlineLevel="0" collapsed="false">
      <c r="A19" s="51" t="s">
        <v>740</v>
      </c>
      <c r="B19" s="51" t="n">
        <v>13</v>
      </c>
    </row>
    <row r="20" customFormat="false" ht="14.25" hidden="false" customHeight="false" outlineLevel="0" collapsed="false">
      <c r="A20" s="51" t="s">
        <v>741</v>
      </c>
      <c r="B20" s="51" t="n">
        <v>27</v>
      </c>
    </row>
    <row r="21" customFormat="false" ht="14.25" hidden="false" customHeight="false" outlineLevel="0" collapsed="false">
      <c r="A21" s="51" t="s">
        <v>742</v>
      </c>
      <c r="B21" s="51" t="n">
        <v>40</v>
      </c>
    </row>
    <row r="22" customFormat="false" ht="14.25" hidden="false" customHeight="false" outlineLevel="0" collapsed="false">
      <c r="A22" s="51" t="s">
        <v>743</v>
      </c>
      <c r="B22" s="51" t="n">
        <v>17</v>
      </c>
    </row>
    <row r="23" customFormat="false" ht="14.25" hidden="false" customHeight="false" outlineLevel="0" collapsed="false">
      <c r="A23" s="51" t="s">
        <v>744</v>
      </c>
      <c r="B23" s="51" t="n">
        <v>4</v>
      </c>
    </row>
    <row r="24" customFormat="false" ht="14.25" hidden="false" customHeight="false" outlineLevel="0" collapsed="false">
      <c r="A24" s="51" t="s">
        <v>745</v>
      </c>
      <c r="B24" s="51" t="n">
        <v>11</v>
      </c>
    </row>
    <row r="25" customFormat="false" ht="14.25" hidden="false" customHeight="false" outlineLevel="0" collapsed="false">
      <c r="A25" s="51" t="s">
        <v>746</v>
      </c>
      <c r="B25" s="51" t="n">
        <v>2</v>
      </c>
    </row>
    <row r="26" customFormat="false" ht="14.25" hidden="false" customHeight="false" outlineLevel="0" collapsed="false">
      <c r="A26" s="51" t="s">
        <v>747</v>
      </c>
      <c r="B26" s="51" t="n">
        <v>14</v>
      </c>
    </row>
    <row r="27" customFormat="false" ht="14.25" hidden="false" customHeight="false" outlineLevel="0" collapsed="false">
      <c r="A27" s="51" t="s">
        <v>748</v>
      </c>
      <c r="B27" s="51" t="n">
        <v>46</v>
      </c>
    </row>
    <row r="28" customFormat="false" ht="14.25" hidden="false" customHeight="false" outlineLevel="0" collapsed="false">
      <c r="A28" s="51" t="s">
        <v>749</v>
      </c>
      <c r="B28" s="51" t="n">
        <v>13</v>
      </c>
    </row>
    <row r="29" customFormat="false" ht="14.25" hidden="false" customHeight="false" outlineLevel="0" collapsed="false">
      <c r="A29" s="51" t="s">
        <v>750</v>
      </c>
      <c r="B29" s="51" t="n">
        <v>15</v>
      </c>
    </row>
    <row r="30" customFormat="false" ht="14.25" hidden="false" customHeight="false" outlineLevel="0" collapsed="false">
      <c r="A30" s="51" t="s">
        <v>751</v>
      </c>
      <c r="B30" s="51" t="n">
        <v>36</v>
      </c>
    </row>
    <row r="31" customFormat="false" ht="14.25" hidden="false" customHeight="false" outlineLevel="0" collapsed="false">
      <c r="A31" s="51" t="s">
        <v>752</v>
      </c>
      <c r="B31" s="51" t="n">
        <v>18</v>
      </c>
    </row>
    <row r="32" customFormat="false" ht="14.25" hidden="false" customHeight="false" outlineLevel="0" collapsed="false">
      <c r="A32" s="51" t="s">
        <v>753</v>
      </c>
      <c r="B32" s="51" t="n">
        <v>18</v>
      </c>
    </row>
    <row r="33" customFormat="false" ht="14.25" hidden="false" customHeight="false" outlineLevel="0" collapsed="false">
      <c r="A33" s="51" t="s">
        <v>754</v>
      </c>
      <c r="B33" s="51" t="n">
        <v>29</v>
      </c>
    </row>
    <row r="34" customFormat="false" ht="14.25" hidden="false" customHeight="false" outlineLevel="0" collapsed="false">
      <c r="A34" s="51" t="s">
        <v>755</v>
      </c>
      <c r="B34" s="51" t="n">
        <v>29</v>
      </c>
    </row>
    <row r="35" customFormat="false" ht="14.25" hidden="false" customHeight="false" outlineLevel="0" collapsed="false">
      <c r="A35" s="51" t="s">
        <v>756</v>
      </c>
      <c r="B35" s="51" t="n">
        <v>22</v>
      </c>
    </row>
    <row r="36" customFormat="false" ht="14.25" hidden="false" customHeight="false" outlineLevel="0" collapsed="false">
      <c r="A36" s="51" t="s">
        <v>757</v>
      </c>
      <c r="B36" s="51" t="n">
        <v>3</v>
      </c>
    </row>
    <row r="37" customFormat="false" ht="14.25" hidden="false" customHeight="false" outlineLevel="0" collapsed="false">
      <c r="A37" s="51" t="s">
        <v>758</v>
      </c>
      <c r="B37" s="51" t="n">
        <v>11</v>
      </c>
    </row>
    <row r="38" customFormat="false" ht="14.25" hidden="false" customHeight="false" outlineLevel="0" collapsed="false">
      <c r="A38" s="51" t="s">
        <v>759</v>
      </c>
      <c r="B38" s="51" t="n">
        <v>37</v>
      </c>
    </row>
    <row r="39" customFormat="false" ht="14.25" hidden="false" customHeight="false" outlineLevel="0" collapsed="false">
      <c r="A39" s="51" t="s">
        <v>760</v>
      </c>
      <c r="B39" s="51" t="n">
        <v>23</v>
      </c>
    </row>
    <row r="40" customFormat="false" ht="14.25" hidden="false" customHeight="false" outlineLevel="0" collapsed="false">
      <c r="A40" s="51" t="s">
        <v>761</v>
      </c>
      <c r="B40" s="51" t="n">
        <v>45</v>
      </c>
    </row>
    <row r="41" customFormat="false" ht="14.25" hidden="false" customHeight="false" outlineLevel="0" collapsed="false">
      <c r="A41" s="51" t="s">
        <v>762</v>
      </c>
      <c r="B41" s="51" t="n">
        <v>31</v>
      </c>
    </row>
    <row r="42" customFormat="false" ht="14.25" hidden="false" customHeight="false" outlineLevel="0" collapsed="false">
      <c r="A42" s="51" t="s">
        <v>763</v>
      </c>
      <c r="B42" s="51" t="n">
        <v>35</v>
      </c>
    </row>
    <row r="43" customFormat="false" ht="14.25" hidden="false" customHeight="false" outlineLevel="0" collapsed="false">
      <c r="A43" s="51" t="s">
        <v>764</v>
      </c>
      <c r="B43" s="51" t="n">
        <v>16</v>
      </c>
    </row>
    <row r="44" customFormat="false" ht="14.25" hidden="false" customHeight="false" outlineLevel="0" collapsed="false">
      <c r="A44" s="51" t="s">
        <v>765</v>
      </c>
      <c r="B44" s="51" t="n">
        <v>30</v>
      </c>
    </row>
    <row r="45" customFormat="false" ht="14.25" hidden="false" customHeight="false" outlineLevel="0" collapsed="false">
      <c r="A45" s="51" t="s">
        <v>766</v>
      </c>
      <c r="B45" s="51" t="n">
        <v>43</v>
      </c>
    </row>
    <row r="46" customFormat="false" ht="14.25" hidden="false" customHeight="false" outlineLevel="0" collapsed="false">
      <c r="A46" s="51" t="s">
        <v>767</v>
      </c>
      <c r="B46" s="51" t="n">
        <v>25</v>
      </c>
    </row>
    <row r="47" customFormat="false" ht="14.25" hidden="false" customHeight="false" outlineLevel="0" collapsed="false">
      <c r="A47" s="51" t="s">
        <v>768</v>
      </c>
      <c r="B47" s="51" t="n">
        <v>1</v>
      </c>
    </row>
    <row r="48" customFormat="false" ht="14.25" hidden="false" customHeight="false" outlineLevel="0" collapsed="false">
      <c r="A48" s="51" t="s">
        <v>769</v>
      </c>
      <c r="B48" s="51" t="n">
        <v>7</v>
      </c>
    </row>
    <row r="49" customFormat="false" ht="14.25" hidden="false" customHeight="false" outlineLevel="0" collapsed="false">
      <c r="A49" s="51" t="s">
        <v>770</v>
      </c>
      <c r="B49" s="51" t="n">
        <v>9</v>
      </c>
    </row>
    <row r="50" customFormat="false" ht="14.25" hidden="false" customHeight="false" outlineLevel="0" collapsed="false">
      <c r="A50" s="51" t="s">
        <v>771</v>
      </c>
      <c r="B50" s="51" t="n">
        <v>26</v>
      </c>
    </row>
    <row r="51" customFormat="false" ht="14.25" hidden="false" customHeight="false" outlineLevel="0" collapsed="false">
      <c r="A51" s="51" t="s">
        <v>772</v>
      </c>
      <c r="B51" s="51" t="n">
        <v>32</v>
      </c>
    </row>
    <row r="52" customFormat="false" ht="14.25" hidden="false" customHeight="false" outlineLevel="0" collapsed="false">
      <c r="A52" s="51" t="s">
        <v>773</v>
      </c>
      <c r="B52" s="51" t="n">
        <v>41</v>
      </c>
    </row>
    <row r="53" customFormat="false" ht="14.25" hidden="false" customHeight="false" outlineLevel="0" collapsed="false">
      <c r="A53" s="51" t="s">
        <v>774</v>
      </c>
      <c r="B53" s="51" t="n">
        <v>8</v>
      </c>
    </row>
    <row r="54" customFormat="false" ht="14.25" hidden="false" customHeight="false" outlineLevel="0" collapsed="false">
      <c r="A54" s="51" t="s">
        <v>775</v>
      </c>
      <c r="B54" s="51" t="n">
        <v>19</v>
      </c>
    </row>
    <row r="55" customFormat="false" ht="14.25" hidden="false" customHeight="false" outlineLevel="0" collapsed="false">
      <c r="A55" s="51" t="s">
        <v>776</v>
      </c>
      <c r="B55" s="51" t="n">
        <v>19</v>
      </c>
    </row>
    <row r="56" customFormat="false" ht="14.25" hidden="false" customHeight="false" outlineLevel="0" collapsed="false">
      <c r="A56" s="51" t="s">
        <v>777</v>
      </c>
      <c r="B56" s="51" t="n">
        <v>12</v>
      </c>
    </row>
    <row r="57" customFormat="false" ht="14.25" hidden="false" customHeight="false" outlineLevel="0" collapsed="false">
      <c r="A57" s="51" t="s">
        <v>778</v>
      </c>
      <c r="B57" s="51" t="n">
        <v>44</v>
      </c>
    </row>
    <row r="58" customFormat="false" ht="14.25" hidden="false" customHeight="false" outlineLevel="0" collapsed="false">
      <c r="A58" s="51" t="s">
        <v>779</v>
      </c>
      <c r="B58" s="51" t="n">
        <v>14</v>
      </c>
    </row>
    <row r="59" customFormat="false" ht="14.25" hidden="false" customHeight="false" outlineLevel="0" collapsed="false">
      <c r="A59" s="51" t="s">
        <v>780</v>
      </c>
      <c r="B59" s="51" t="n">
        <v>45</v>
      </c>
    </row>
    <row r="60" customFormat="false" ht="14.25" hidden="false" customHeight="false" outlineLevel="0" collapsed="false">
      <c r="A60" s="51" t="s">
        <v>781</v>
      </c>
      <c r="B60" s="51" t="n">
        <v>45</v>
      </c>
    </row>
    <row r="61" customFormat="false" ht="14.25" hidden="false" customHeight="false" outlineLevel="0" collapsed="false">
      <c r="A61" s="51" t="s">
        <v>782</v>
      </c>
      <c r="B61" s="51" t="n">
        <v>44</v>
      </c>
    </row>
    <row r="62" customFormat="false" ht="14.25" hidden="false" customHeight="false" outlineLevel="0" collapsed="false">
      <c r="A62" s="51" t="s">
        <v>783</v>
      </c>
      <c r="B62" s="51" t="n">
        <v>45</v>
      </c>
    </row>
    <row r="63" customFormat="false" ht="14.25" hidden="false" customHeight="false" outlineLevel="0" collapsed="false">
      <c r="A63" s="51" t="s">
        <v>784</v>
      </c>
      <c r="B63" s="51" t="n">
        <v>10</v>
      </c>
    </row>
    <row r="64" customFormat="false" ht="14.25" hidden="false" customHeight="false" outlineLevel="0" collapsed="false">
      <c r="A64" s="51" t="s">
        <v>785</v>
      </c>
      <c r="B64" s="51" t="n">
        <v>21</v>
      </c>
    </row>
    <row r="65" customFormat="false" ht="14.25" hidden="false" customHeight="false" outlineLevel="0" collapsed="false">
      <c r="A65" s="51" t="s">
        <v>786</v>
      </c>
      <c r="B65" s="51" t="n">
        <v>24</v>
      </c>
    </row>
    <row r="66" customFormat="false" ht="14.25" hidden="false" customHeight="false" outlineLevel="0" collapsed="false">
      <c r="A66" s="51" t="s">
        <v>787</v>
      </c>
      <c r="B66" s="51" t="n">
        <v>45</v>
      </c>
    </row>
    <row r="67" customFormat="false" ht="14.25" hidden="false" customHeight="false" outlineLevel="0" collapsed="false">
      <c r="A67" s="51" t="s">
        <v>788</v>
      </c>
      <c r="B67" s="51" t="n">
        <v>10</v>
      </c>
    </row>
    <row r="68" customFormat="false" ht="14.25" hidden="false" customHeight="false" outlineLevel="0" collapsed="false">
      <c r="A68" s="51" t="s">
        <v>789</v>
      </c>
      <c r="B68" s="51" t="n">
        <v>34</v>
      </c>
    </row>
    <row r="69" customFormat="false" ht="14.25" hidden="false" customHeight="false" outlineLevel="0" collapsed="false">
      <c r="A69" s="51" t="s">
        <v>790</v>
      </c>
      <c r="B69" s="51" t="n">
        <v>10</v>
      </c>
    </row>
    <row r="70" customFormat="false" ht="14.25" hidden="false" customHeight="false" outlineLevel="0" collapsed="false">
      <c r="A70" s="51" t="s">
        <v>791</v>
      </c>
      <c r="B70" s="51" t="n">
        <v>10</v>
      </c>
    </row>
    <row r="71" customFormat="false" ht="14.25" hidden="false" customHeight="false" outlineLevel="0" collapsed="false">
      <c r="A71" s="51" t="s">
        <v>792</v>
      </c>
      <c r="B71" s="51" t="n">
        <v>33</v>
      </c>
    </row>
    <row r="72" customFormat="false" ht="14.25" hidden="false" customHeight="false" outlineLevel="0" collapsed="false">
      <c r="A72" s="51" t="s">
        <v>793</v>
      </c>
      <c r="B72" s="51" t="n">
        <v>20</v>
      </c>
    </row>
    <row r="73" customFormat="false" ht="14.25" hidden="false" customHeight="false" outlineLevel="0" collapsed="false">
      <c r="A73" s="51" t="s">
        <v>794</v>
      </c>
      <c r="B73" s="51" t="n">
        <v>2</v>
      </c>
    </row>
    <row r="74" customFormat="false" ht="14.25" hidden="false" customHeight="false" outlineLevel="0" collapsed="false">
      <c r="A74" s="51" t="s">
        <v>795</v>
      </c>
      <c r="B74" s="51" t="n">
        <v>30</v>
      </c>
    </row>
    <row r="75" customFormat="false" ht="14.25" hidden="false" customHeight="false" outlineLevel="0" collapsed="false">
      <c r="A75" s="51" t="s">
        <v>796</v>
      </c>
      <c r="B75" s="51" t="n">
        <v>21</v>
      </c>
    </row>
    <row r="76" customFormat="false" ht="14.25" hidden="false" customHeight="false" outlineLevel="0" collapsed="false">
      <c r="A76" s="51" t="s">
        <v>797</v>
      </c>
      <c r="B76" s="51" t="n">
        <v>36</v>
      </c>
    </row>
    <row r="77" customFormat="false" ht="14.25" hidden="false" customHeight="false" outlineLevel="0" collapsed="false">
      <c r="A77" s="51" t="s">
        <v>798</v>
      </c>
      <c r="B77" s="51" t="n">
        <v>45</v>
      </c>
    </row>
    <row r="78" customFormat="false" ht="14.25" hidden="false" customHeight="false" outlineLevel="0" collapsed="false">
      <c r="A78" s="51" t="s">
        <v>799</v>
      </c>
      <c r="B78" s="51" t="n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2026-10-15T12:33:19Z</dcterms:created>
  <dc:creator>Отдел ОТиПБ</dc:creator>
  <dc:description/>
  <dc:language>en-US</dc:language>
  <cp:lastModifiedBy>Айкешева Айгуль Кайргалиевна</cp:lastModifiedBy>
  <dcterms:modified xsi:type="dcterms:W3CDTF">2026-10-19T14:02:39Z</dcterms:modified>
  <cp:revision>0</cp:revision>
  <dc:subject/>
  <dc:title>Учёт медицинских осмотров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