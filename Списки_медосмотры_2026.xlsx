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водка" sheetId="1" state="visible" r:id="rId3"/>
    <sheet name="Периодический 2026" sheetId="2" state="visible" r:id="rId4"/>
    <sheet name="Психиатрическое" sheetId="3" state="visible" r:id="rId5"/>
  </sheets>
  <definedNames>
    <definedName function="false" hidden="false" localSheetId="1" name="_xlnm.Print_Titles" vbProcedure="false">'Периодический 2026'!$4:$4</definedName>
    <definedName function="false" hidden="true" localSheetId="1" name="_xlnm._FilterDatabase" vbProcedure="false">'Периодический 2026'!$A$4:$J$335</definedName>
    <definedName function="false" hidden="false" localSheetId="2" name="_xlnm.Print_Titles" vbProcedure="false">Психиатрическое!$4:$4</definedName>
    <definedName function="false" hidden="true" localSheetId="2" name="_xlnm._FilterDatabase" vbProcedure="false">Психиатрическое!$A$4:$F$55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<sst xmlns="http://schemas.openxmlformats.org/spreadsheetml/2006/main" count="2283" uniqueCount="543">
  <si>
    <t xml:space="preserve">Сводка по площадкам: медицинские осмотры и психиатрическое освидетельствование, 2026 год</t>
  </si>
  <si>
    <t xml:space="preserve">Источник: «Учёт медосмотров» на 15.10.2026; статусы на 16.10.2026. Графы C–H считаются формулами по листам «Периодический 2026» и «Психиатрическое».</t>
  </si>
  <si>
    <t xml:space="preserve">Площадка</t>
  </si>
  <si>
    <t xml:space="preserve">Всего работников в журнале</t>
  </si>
  <si>
    <t xml:space="preserve">Периодический осмотр — всего</t>
  </si>
  <si>
    <t xml:space="preserve">в т.ч. нет сведений об осмотрах</t>
  </si>
  <si>
    <t xml:space="preserve">в т.ч. просрочен</t>
  </si>
  <si>
    <t xml:space="preserve">в т.ч. предстоит</t>
  </si>
  <si>
    <t xml:space="preserve">в т.ч. принятые в 2026 г.</t>
  </si>
  <si>
    <t xml:space="preserve">Психиатрическое освидетельствование</t>
  </si>
  <si>
    <t xml:space="preserve">Машково</t>
  </si>
  <si>
    <t xml:space="preserve">Руднево</t>
  </si>
  <si>
    <t xml:space="preserve">Воронеж</t>
  </si>
  <si>
    <t xml:space="preserve">Ульяновск</t>
  </si>
  <si>
    <t xml:space="preserve">Казань</t>
  </si>
  <si>
    <t xml:space="preserve">Внуково</t>
  </si>
  <si>
    <t xml:space="preserve">Москва</t>
  </si>
  <si>
    <t xml:space="preserve">Жуковский</t>
  </si>
  <si>
    <t xml:space="preserve">Итого</t>
  </si>
  <si>
    <t xml:space="preserve">Контроль: «Периодический — всего» = «нет сведений» + «просрочен» + «предстоит»</t>
  </si>
  <si>
    <t xml:space="preserve">Контроль: итог по площадкам = число строк в списке</t>
  </si>
  <si>
    <t xml:space="preserve">Графа B — число работников площадки в журнале (значение, не формула).</t>
  </si>
  <si>
    <t xml:space="preserve">Список работников, подлежащих периодическому медицинскому осмотру в 2026 году</t>
  </si>
  <si>
    <t xml:space="preserve">Источник: «Учёт медосмотров» на 15.10.2026. Всего: 331 чел.</t>
  </si>
  <si>
    <t xml:space="preserve">№</t>
  </si>
  <si>
    <t xml:space="preserve">ФИО</t>
  </si>
  <si>
    <t xml:space="preserve">Должность</t>
  </si>
  <si>
    <t xml:space="preserve">Подразделение</t>
  </si>
  <si>
    <t xml:space="preserve">Пункты приказа №29н</t>
  </si>
  <si>
    <t xml:space="preserve">Дата приёма</t>
  </si>
  <si>
    <t xml:space="preserve">Дата предварит. осмотра</t>
  </si>
  <si>
    <t xml:space="preserve">Дата периодич. осмотра (план)</t>
  </si>
  <si>
    <t xml:space="preserve">Статус на 16.10.2026</t>
  </si>
  <si>
    <t xml:space="preserve">Алфимов Дмитрий Юрьевич</t>
  </si>
  <si>
    <t xml:space="preserve">Электромонтажник 5 разряда</t>
  </si>
  <si>
    <t xml:space="preserve">Производственное подразделение Внуково М</t>
  </si>
  <si>
    <t xml:space="preserve">п.4.3.1, п.4.3.2, п.4.4, п.4.9, п.5.1, п.5.2, п.6.2, п.9</t>
  </si>
  <si>
    <t xml:space="preserve">Нет сведений об осмотрах</t>
  </si>
  <si>
    <t xml:space="preserve">Варламов Олег Владимирович</t>
  </si>
  <si>
    <t xml:space="preserve">Менеджер-комплектовщик</t>
  </si>
  <si>
    <t xml:space="preserve">п.4.4, п.5.1, п.6.2</t>
  </si>
  <si>
    <t xml:space="preserve">Зосимов Александр Геннадиевич</t>
  </si>
  <si>
    <t xml:space="preserve">Слесарь-сборщик 6 разряда</t>
  </si>
  <si>
    <t xml:space="preserve">п.4.3.1, п.4.3.2, п.4.4, п.5.1, п.6.2, п.15</t>
  </si>
  <si>
    <t xml:space="preserve">Климачев Сергей Валерьевич</t>
  </si>
  <si>
    <t xml:space="preserve">Заместитель директора департамента-Начальник производственного подразделения</t>
  </si>
  <si>
    <t xml:space="preserve">п.4.3.2, п.4.4, п.5.1, п.5.2, п.6.2</t>
  </si>
  <si>
    <t xml:space="preserve">Кукин Эрнст Валерьевич</t>
  </si>
  <si>
    <t xml:space="preserve">Реставратор</t>
  </si>
  <si>
    <t xml:space="preserve">п.4.3.1, п.4.4, п.5.1, п.5.2, п.15</t>
  </si>
  <si>
    <t xml:space="preserve">Луданцев Алексей Владимирович</t>
  </si>
  <si>
    <t xml:space="preserve">Слесарь-сборщик 4 разряда</t>
  </si>
  <si>
    <t xml:space="preserve">Просрочен</t>
  </si>
  <si>
    <t xml:space="preserve">Нитяговский Сергей Александрович</t>
  </si>
  <si>
    <t xml:space="preserve">Слесарь-сборщик 5 разряда</t>
  </si>
  <si>
    <t xml:space="preserve">Постульгин Александр Валентинович</t>
  </si>
  <si>
    <t xml:space="preserve">Туманов Сергей Дмитриевич</t>
  </si>
  <si>
    <t xml:space="preserve">Электромонтажник 4 разряда</t>
  </si>
  <si>
    <t xml:space="preserve">Шевченко Сергей Васильевич</t>
  </si>
  <si>
    <t xml:space="preserve">Ведущий специалист по реставрации</t>
  </si>
  <si>
    <t xml:space="preserve">Гуровская Ирина Александровна</t>
  </si>
  <si>
    <t xml:space="preserve">Инженер 3 категории</t>
  </si>
  <si>
    <t xml:space="preserve">Отдел технического контроля В</t>
  </si>
  <si>
    <t xml:space="preserve">п.4.4, п.5.1, п.5.2</t>
  </si>
  <si>
    <t xml:space="preserve">Симоненко Дмитрий Андреевич</t>
  </si>
  <si>
    <t xml:space="preserve">Контролер 1 категории</t>
  </si>
  <si>
    <t xml:space="preserve">Свиридова Ирина Александровна</t>
  </si>
  <si>
    <t xml:space="preserve">Диспетчер</t>
  </si>
  <si>
    <t xml:space="preserve">Планово-диспетчерский отдел В</t>
  </si>
  <si>
    <t xml:space="preserve">Дуленков Александр Вячеславович</t>
  </si>
  <si>
    <t xml:space="preserve">Инженер по авиационному и радиоэлектронному оборудованию</t>
  </si>
  <si>
    <t xml:space="preserve">Производственное подразделение Воронеж</t>
  </si>
  <si>
    <t xml:space="preserve">п.4.4, п.4.6, п.5.1, п.6.2</t>
  </si>
  <si>
    <t xml:space="preserve">Боровенский Андрей Алексеевич</t>
  </si>
  <si>
    <t xml:space="preserve">Слесарь - сборщик 4 разряда</t>
  </si>
  <si>
    <t xml:space="preserve">Производственное подразделение №6 (В н/д)</t>
  </si>
  <si>
    <t xml:space="preserve">Будавских Вадим Григорьевич</t>
  </si>
  <si>
    <t xml:space="preserve">Мастер участка сборки интерьера</t>
  </si>
  <si>
    <t xml:space="preserve">Галактионов Александр Александрович</t>
  </si>
  <si>
    <t xml:space="preserve">Слесарь - сборщик 5 разряда</t>
  </si>
  <si>
    <t xml:space="preserve">Гаршин Сергей Александрович</t>
  </si>
  <si>
    <t xml:space="preserve">Гунькин Юрий Игоревич</t>
  </si>
  <si>
    <t xml:space="preserve">Зеленов Михаил Валерьевич</t>
  </si>
  <si>
    <t xml:space="preserve">Зиновьев Вадим Дмитриевич</t>
  </si>
  <si>
    <t xml:space="preserve">Иванов Алексей Николаевич</t>
  </si>
  <si>
    <t xml:space="preserve">Ковряков Дмитрий Александрович</t>
  </si>
  <si>
    <t xml:space="preserve">Кумицкий Алексей Иванович</t>
  </si>
  <si>
    <t xml:space="preserve">Павлов Александр Сергеевич</t>
  </si>
  <si>
    <t xml:space="preserve">Мастер участка электромонтажных работ</t>
  </si>
  <si>
    <t xml:space="preserve">Самсонов Виталий Игоревич</t>
  </si>
  <si>
    <t xml:space="preserve">Слесарь-сборщик 3 разряда</t>
  </si>
  <si>
    <t xml:space="preserve">Сухинин Андрей Алексеевич</t>
  </si>
  <si>
    <t xml:space="preserve">Червяков Владислав Вячеславович</t>
  </si>
  <si>
    <t xml:space="preserve">Юрьев Александр Николаевич</t>
  </si>
  <si>
    <t xml:space="preserve">Белоусова Людмила Владимировна</t>
  </si>
  <si>
    <t xml:space="preserve">Кладовщик</t>
  </si>
  <si>
    <t xml:space="preserve">Склад В</t>
  </si>
  <si>
    <t xml:space="preserve">Басов Вадим Романович</t>
  </si>
  <si>
    <t xml:space="preserve">Участок РЭО В</t>
  </si>
  <si>
    <t xml:space="preserve">Власова Ольга Вячеславовна</t>
  </si>
  <si>
    <t xml:space="preserve">Электромонтажник 3 разряда</t>
  </si>
  <si>
    <t xml:space="preserve">Воробьев Николай Александрович</t>
  </si>
  <si>
    <t xml:space="preserve">Золотарев Сергей Константинович</t>
  </si>
  <si>
    <t xml:space="preserve">Ковалёв Алексей Александрович</t>
  </si>
  <si>
    <t xml:space="preserve">Левин Александр Владимирович</t>
  </si>
  <si>
    <t xml:space="preserve">Лисунов Кирилл Андреевич</t>
  </si>
  <si>
    <t xml:space="preserve">Попов Денис Игоревич</t>
  </si>
  <si>
    <t xml:space="preserve">Силуянов Виктор Ильич</t>
  </si>
  <si>
    <t xml:space="preserve">Соболев Виталий Юрьевич</t>
  </si>
  <si>
    <t xml:space="preserve">Солмин Александр Юрьевич</t>
  </si>
  <si>
    <t xml:space="preserve">Тимофеев Владимир Николаевич</t>
  </si>
  <si>
    <t xml:space="preserve">Толстоплётов Денис Анатольевич</t>
  </si>
  <si>
    <t xml:space="preserve">Труфанов Павел Игоревич</t>
  </si>
  <si>
    <t xml:space="preserve">Ячмень Евгений Григорьевич</t>
  </si>
  <si>
    <t xml:space="preserve">Аралов Евгений Васильевич</t>
  </si>
  <si>
    <t xml:space="preserve">Участок сборки В</t>
  </si>
  <si>
    <t xml:space="preserve">Бысенко Юрий Павлович</t>
  </si>
  <si>
    <t xml:space="preserve">Мастер участка</t>
  </si>
  <si>
    <t xml:space="preserve">Вечканов Константин Дмитриевич</t>
  </si>
  <si>
    <t xml:space="preserve">Голев Вадим Алексеевич</t>
  </si>
  <si>
    <t xml:space="preserve">Гринёв Игорь Сергеевич</t>
  </si>
  <si>
    <t xml:space="preserve">Деревянченко Андрей Павлович</t>
  </si>
  <si>
    <t xml:space="preserve">Долгих Георгий Дмитриевич</t>
  </si>
  <si>
    <t xml:space="preserve">Ефременко Роман Вадимович</t>
  </si>
  <si>
    <t xml:space="preserve">Зубарев Владимир Владимирович</t>
  </si>
  <si>
    <t xml:space="preserve">Мелконян Нерсес Эдвардович</t>
  </si>
  <si>
    <t xml:space="preserve">Михайлов Никита Алексеевич</t>
  </si>
  <si>
    <t xml:space="preserve">Предстоит</t>
  </si>
  <si>
    <t xml:space="preserve">Мысовских Александр Александрович</t>
  </si>
  <si>
    <t xml:space="preserve">Петренко Дмитрий Сергеевич</t>
  </si>
  <si>
    <t xml:space="preserve">Попов Андрей Михайлович</t>
  </si>
  <si>
    <t xml:space="preserve">Попов Олег Владимирович</t>
  </si>
  <si>
    <t xml:space="preserve">Попов Роман Юрьевич</t>
  </si>
  <si>
    <t xml:space="preserve">Потамошнев Константин Сергеевич</t>
  </si>
  <si>
    <t xml:space="preserve">Роговский Александр Викторович</t>
  </si>
  <si>
    <t xml:space="preserve">Русанов Александр Евгеньевич</t>
  </si>
  <si>
    <t xml:space="preserve">Рябинин Александр Анатольевич</t>
  </si>
  <si>
    <t xml:space="preserve">Самодуров Алексей Юрьевич</t>
  </si>
  <si>
    <t xml:space="preserve">Сидоренко Сергей Владимирович</t>
  </si>
  <si>
    <t xml:space="preserve">Сорокин Олег Владимирович</t>
  </si>
  <si>
    <t xml:space="preserve">Студеникин Михаил Вячеславович</t>
  </si>
  <si>
    <t xml:space="preserve">Тимошкин Сергей Александрович</t>
  </si>
  <si>
    <t xml:space="preserve">Шпилев Михаил Сергеевич</t>
  </si>
  <si>
    <t xml:space="preserve">Тимофеева Галина Петровна</t>
  </si>
  <si>
    <t xml:space="preserve">Технический работник</t>
  </si>
  <si>
    <t xml:space="preserve">Административно-хозяйственный отдел Ж</t>
  </si>
  <si>
    <t xml:space="preserve">п.1.48, п.4.3.1, п.4.4, п.5.1</t>
  </si>
  <si>
    <t xml:space="preserve">Андреев Алексей Владимирович</t>
  </si>
  <si>
    <t xml:space="preserve">Обособленное подразделение Казань</t>
  </si>
  <si>
    <t xml:space="preserve">Аюпов Булат Фаилевич</t>
  </si>
  <si>
    <t xml:space="preserve">Булатова Лия Рустэмовна</t>
  </si>
  <si>
    <t xml:space="preserve">Галиуллин Руслан Рустамович</t>
  </si>
  <si>
    <t xml:space="preserve">Слесарь-клепальщик 6 разряда</t>
  </si>
  <si>
    <t xml:space="preserve">п.4.3.1, п.4.3.2, п.4.4, п.5.1, п.5.2, п.15</t>
  </si>
  <si>
    <t xml:space="preserve">Гаранина Светлана Владимировна</t>
  </si>
  <si>
    <t xml:space="preserve">Гимранов Ильдор Фанизович</t>
  </si>
  <si>
    <t xml:space="preserve">Карандаев Юрий Александрович</t>
  </si>
  <si>
    <t xml:space="preserve">Матвеев Александр Николаевич</t>
  </si>
  <si>
    <t xml:space="preserve">Мастер электромонтажного участка</t>
  </si>
  <si>
    <t xml:space="preserve">Мефтахутдинов Ильнар Гаптильнурович</t>
  </si>
  <si>
    <t xml:space="preserve">Николаева Ксения Ивановна</t>
  </si>
  <si>
    <t xml:space="preserve">Обухов Андрей Евгеньевич</t>
  </si>
  <si>
    <t xml:space="preserve">Хасипова Гульнара Ильясовна</t>
  </si>
  <si>
    <t xml:space="preserve">Юсупов Азат Рафаэлевич</t>
  </si>
  <si>
    <t xml:space="preserve">Петрунина Людмила Александровна</t>
  </si>
  <si>
    <t xml:space="preserve">Инженер 1 категории</t>
  </si>
  <si>
    <t xml:space="preserve">Отдел технического контроля М</t>
  </si>
  <si>
    <t xml:space="preserve">Гросс Елена Владимировна</t>
  </si>
  <si>
    <t xml:space="preserve">Уборщик производственных и служебных помещений</t>
  </si>
  <si>
    <t xml:space="preserve">Административно-хозяйственный отдел МШ</t>
  </si>
  <si>
    <t xml:space="preserve">Декун Лидия Петровна</t>
  </si>
  <si>
    <t xml:space="preserve">Захарова Любовь Владимировна</t>
  </si>
  <si>
    <t xml:space="preserve">Специалист</t>
  </si>
  <si>
    <t xml:space="preserve">Михеева Наталия Петровна</t>
  </si>
  <si>
    <t xml:space="preserve">Новоторцева Наталия Николаевна</t>
  </si>
  <si>
    <t xml:space="preserve">Савичева Марина Анатольевна</t>
  </si>
  <si>
    <t xml:space="preserve">Хилинская Анна Александровна</t>
  </si>
  <si>
    <t xml:space="preserve">Анисимов Игорь Владимирович</t>
  </si>
  <si>
    <t xml:space="preserve">Сборщик стеклопластиковых изделий 3 разряда</t>
  </si>
  <si>
    <t xml:space="preserve">Мебельный участок (МШ н/д)</t>
  </si>
  <si>
    <t xml:space="preserve">п.1.37.1, п.3.1.8.3, п.4.3.1, п.4.4, п.5.1, п.15</t>
  </si>
  <si>
    <t xml:space="preserve">Бредихин Евгений Васильевич</t>
  </si>
  <si>
    <t xml:space="preserve">Сборщик стеклопластиковых изделий 4 разряда</t>
  </si>
  <si>
    <t xml:space="preserve">Зайцев Андрей Александрович</t>
  </si>
  <si>
    <t xml:space="preserve">Облицовщик деталей мебели 3 разряда</t>
  </si>
  <si>
    <t xml:space="preserve">п.1.49.2, п.1.49.14, п.4.3.1, п.4.3.2, п.4.4, п.5.1, п.15</t>
  </si>
  <si>
    <t xml:space="preserve">Захаров Юрий Викторович</t>
  </si>
  <si>
    <t xml:space="preserve">Техник-сборщик 6 разряда</t>
  </si>
  <si>
    <t xml:space="preserve">Кротков Александр Юрьевич</t>
  </si>
  <si>
    <t xml:space="preserve">Столяр 4 разряда</t>
  </si>
  <si>
    <t xml:space="preserve">Маркарян Роман Рубикович</t>
  </si>
  <si>
    <t xml:space="preserve">Матухно Константин Викторович</t>
  </si>
  <si>
    <t xml:space="preserve">Бригадир</t>
  </si>
  <si>
    <t xml:space="preserve">Мураев Вадим Викторович</t>
  </si>
  <si>
    <t xml:space="preserve">Техник-сборщик 5 разряда</t>
  </si>
  <si>
    <t xml:space="preserve">Нерозников Роман Анатольевич</t>
  </si>
  <si>
    <t xml:space="preserve">Никитин Валерий Сергеевич</t>
  </si>
  <si>
    <t xml:space="preserve">Пантюхов Вячеслав Владимирович</t>
  </si>
  <si>
    <t xml:space="preserve">Облицовщик деталей мебели 4 разряда</t>
  </si>
  <si>
    <t xml:space="preserve">Полудкин Роман Владимирович</t>
  </si>
  <si>
    <t xml:space="preserve">Техник-сборщик 4 разряда</t>
  </si>
  <si>
    <t xml:space="preserve">Семенов Александр Александрович</t>
  </si>
  <si>
    <t xml:space="preserve">Техник-сборщик 3 разряда</t>
  </si>
  <si>
    <t xml:space="preserve">Степанов Валентин Владимирович</t>
  </si>
  <si>
    <t xml:space="preserve">Цибин Николай Дмитриевич</t>
  </si>
  <si>
    <t xml:space="preserve">Алманов Вячеслав Михайлович</t>
  </si>
  <si>
    <t xml:space="preserve">Мебельный участок МШ</t>
  </si>
  <si>
    <t xml:space="preserve">Анненков Олег Викторович</t>
  </si>
  <si>
    <t xml:space="preserve">Антропов Иван Юрьевич</t>
  </si>
  <si>
    <t xml:space="preserve">Сборщик стеклопластиковых изделий 5 разряда</t>
  </si>
  <si>
    <t xml:space="preserve">Арифулин Александр Александрович</t>
  </si>
  <si>
    <t xml:space="preserve">Бабенко Олег Анатольевич</t>
  </si>
  <si>
    <t xml:space="preserve">Балалаев Сергей Викторович</t>
  </si>
  <si>
    <t xml:space="preserve">Сборщик стеклопластиковых изделий 6 разряда</t>
  </si>
  <si>
    <t xml:space="preserve">Бутузов Вадим Владимирович</t>
  </si>
  <si>
    <t xml:space="preserve">Оператор станков с ЧПУ 5 разряда</t>
  </si>
  <si>
    <t xml:space="preserve">Ветлянский Александр Александрович</t>
  </si>
  <si>
    <t xml:space="preserve">Кляцкин Антон Борисович</t>
  </si>
  <si>
    <t xml:space="preserve">Кукушкин Дмитрий Вячеславович</t>
  </si>
  <si>
    <t xml:space="preserve">Кукушкин Максим Дмитриевич</t>
  </si>
  <si>
    <t xml:space="preserve">Макарский Станислав Иванович</t>
  </si>
  <si>
    <t xml:space="preserve">Малышкин Сергей Константинович</t>
  </si>
  <si>
    <t xml:space="preserve">Михиенков Валерий Евгеньевич</t>
  </si>
  <si>
    <t xml:space="preserve">Морозов Олег Валерьевич</t>
  </si>
  <si>
    <t xml:space="preserve">Оператор станков с ЧПУ 4 разряда</t>
  </si>
  <si>
    <t xml:space="preserve">Петушков Дмитрий Сергеевич</t>
  </si>
  <si>
    <t xml:space="preserve">Пичугин Александр Владимирович</t>
  </si>
  <si>
    <t xml:space="preserve">Рыжков Олег Николаевич</t>
  </si>
  <si>
    <t xml:space="preserve">Савельев Станислав Юрьевич</t>
  </si>
  <si>
    <t xml:space="preserve">Селиванов Алексей Алексеевич</t>
  </si>
  <si>
    <t xml:space="preserve">Тимошенко Александр Олегович</t>
  </si>
  <si>
    <t xml:space="preserve">Трушков Сергей Викторович</t>
  </si>
  <si>
    <t xml:space="preserve">Хасянов Ильфат Шамильевич</t>
  </si>
  <si>
    <t xml:space="preserve">Оператор-наладчик станков с ЧПУ</t>
  </si>
  <si>
    <t xml:space="preserve">Черносвитов Дмитрий Львович</t>
  </si>
  <si>
    <t xml:space="preserve">Шеин Андрей Геннадьевич</t>
  </si>
  <si>
    <t xml:space="preserve">Агапов Максим Владимирович</t>
  </si>
  <si>
    <t xml:space="preserve">Токарь 6 разряда</t>
  </si>
  <si>
    <t xml:space="preserve">Механический участок (МШ н/д)</t>
  </si>
  <si>
    <t xml:space="preserve">Артёмов Антон Анатольевич</t>
  </si>
  <si>
    <t xml:space="preserve">Бондин Денис Игоревич</t>
  </si>
  <si>
    <t xml:space="preserve">Оператор станка с ЧПУ 5 разряда</t>
  </si>
  <si>
    <t xml:space="preserve">Горелов Андрей Сергеевич</t>
  </si>
  <si>
    <t xml:space="preserve">Зинченко Денис Андреевич</t>
  </si>
  <si>
    <t xml:space="preserve">Кулешов Руслан Викторович</t>
  </si>
  <si>
    <t xml:space="preserve">Нагаев Дмитрий Александрович</t>
  </si>
  <si>
    <t xml:space="preserve">Назин Владислав Сергеевич</t>
  </si>
  <si>
    <t xml:space="preserve">Оператор станка с ЧПУ 4 разряда</t>
  </si>
  <si>
    <t xml:space="preserve">Орлов Михаил Юрьевич</t>
  </si>
  <si>
    <t xml:space="preserve">Потапкин Илья Анатольевич</t>
  </si>
  <si>
    <t xml:space="preserve">Саранцев Петр Дмитриевич</t>
  </si>
  <si>
    <t xml:space="preserve">Токарь 5 разряда</t>
  </si>
  <si>
    <t xml:space="preserve">Юдаков Алексей Викторович</t>
  </si>
  <si>
    <t xml:space="preserve">Клюг Андрей Эдуардович</t>
  </si>
  <si>
    <t xml:space="preserve">Фрезеровщик 5 разряда</t>
  </si>
  <si>
    <t xml:space="preserve">Механический участок МШ</t>
  </si>
  <si>
    <t xml:space="preserve">Тарасов Борис Анатольевич</t>
  </si>
  <si>
    <t xml:space="preserve">Фрезеровщик 6 разряда</t>
  </si>
  <si>
    <t xml:space="preserve">Фокина Светлана Геннадиевна</t>
  </si>
  <si>
    <t xml:space="preserve">Птицын Юрий Юрьевич</t>
  </si>
  <si>
    <t xml:space="preserve">Механический участок Р</t>
  </si>
  <si>
    <t xml:space="preserve">Беспалов Виталий Анатольевич</t>
  </si>
  <si>
    <t xml:space="preserve">Сторож</t>
  </si>
  <si>
    <t xml:space="preserve">Отдел режима МШ</t>
  </si>
  <si>
    <t xml:space="preserve">п.4.7, п.4.8, п.5.1, п.5.2</t>
  </si>
  <si>
    <t xml:space="preserve">Волгин Анатолий Иванович</t>
  </si>
  <si>
    <t xml:space="preserve">Гусев Александр Николаевич</t>
  </si>
  <si>
    <t xml:space="preserve">Дудукин Сергей Вячеславович</t>
  </si>
  <si>
    <t xml:space="preserve">Звягин Евгений Иванович</t>
  </si>
  <si>
    <t xml:space="preserve">Камбулатов Эсенбулат Камбулатович</t>
  </si>
  <si>
    <t xml:space="preserve">Старший сторож</t>
  </si>
  <si>
    <t xml:space="preserve">Макаренко Алексей Иванович</t>
  </si>
  <si>
    <t xml:space="preserve">Матвицкий Виктор Владимирович</t>
  </si>
  <si>
    <t xml:space="preserve">Рукин Денис Игоревич</t>
  </si>
  <si>
    <t xml:space="preserve">Старший охраны объекта</t>
  </si>
  <si>
    <t xml:space="preserve">Ермакова Наталья Васильевна</t>
  </si>
  <si>
    <t xml:space="preserve">Шрамко Наталья Викторовна</t>
  </si>
  <si>
    <t xml:space="preserve">Ястребов Александр Сергеевич</t>
  </si>
  <si>
    <t xml:space="preserve">Божьева Ирина Вячеславовна</t>
  </si>
  <si>
    <t xml:space="preserve">Отдел технического контроля МШ</t>
  </si>
  <si>
    <t xml:space="preserve">Васильева Алина Владимировна</t>
  </si>
  <si>
    <t xml:space="preserve">Райкова Ирина Алексеевна</t>
  </si>
  <si>
    <t xml:space="preserve">Акимов Михаил Александрович</t>
  </si>
  <si>
    <t xml:space="preserve">Водитель автомобиля-экспедитор</t>
  </si>
  <si>
    <t xml:space="preserve">Отдел транспортного обеспечения МШ</t>
  </si>
  <si>
    <t xml:space="preserve">п.4.3.1, п.4.3.2, п.4.4, п.5.1, п.5.2, п.18</t>
  </si>
  <si>
    <t xml:space="preserve">Батуревич Юрий Викторович</t>
  </si>
  <si>
    <t xml:space="preserve">Василенко Александр Иванович</t>
  </si>
  <si>
    <t xml:space="preserve">Грязнов Анатолий Николаевич</t>
  </si>
  <si>
    <t xml:space="preserve">Евдокимов Игорь Валентинович</t>
  </si>
  <si>
    <t xml:space="preserve">Ерофеев Олег Игоревич</t>
  </si>
  <si>
    <t xml:space="preserve">Жигунов Вячеслав Владимирович</t>
  </si>
  <si>
    <t xml:space="preserve">Крутяков Сергей Владимирович</t>
  </si>
  <si>
    <t xml:space="preserve">Лучкин Евгений Иванович</t>
  </si>
  <si>
    <t xml:space="preserve">Абрамович Светлана Николаевна</t>
  </si>
  <si>
    <t xml:space="preserve">Планово-диспетчерский отдел (МШ н/д)</t>
  </si>
  <si>
    <t xml:space="preserve">Баранникова Елена Александровна</t>
  </si>
  <si>
    <t xml:space="preserve">Гришин Алексей Владимирович</t>
  </si>
  <si>
    <t xml:space="preserve">Гришина Неля Евгеньевна</t>
  </si>
  <si>
    <t xml:space="preserve">Ведущий диспетчер</t>
  </si>
  <si>
    <t xml:space="preserve">Запотылок Алена Владимировна</t>
  </si>
  <si>
    <t xml:space="preserve">Зубехин Григорий Александрович</t>
  </si>
  <si>
    <t xml:space="preserve">Кадиева Наталья Борисовна</t>
  </si>
  <si>
    <t xml:space="preserve">Лапкин Виталий Олегович</t>
  </si>
  <si>
    <t xml:space="preserve">Лапкина Анастасия Владимировна</t>
  </si>
  <si>
    <t xml:space="preserve">Паукова Наталья Владимировна</t>
  </si>
  <si>
    <t xml:space="preserve">Полозов Василий Борисович</t>
  </si>
  <si>
    <t xml:space="preserve">Ведущий инженер</t>
  </si>
  <si>
    <t xml:space="preserve">Попова Юлия Александровна</t>
  </si>
  <si>
    <t xml:space="preserve">Ведущий специалист по учету</t>
  </si>
  <si>
    <t xml:space="preserve">Хлыщенко Александр Александрович</t>
  </si>
  <si>
    <t xml:space="preserve">Инженер</t>
  </si>
  <si>
    <t xml:space="preserve">Петина Ирина Викторовна</t>
  </si>
  <si>
    <t xml:space="preserve">Оператор склада</t>
  </si>
  <si>
    <t xml:space="preserve">Склад (МШ н/д)</t>
  </si>
  <si>
    <t xml:space="preserve">п.4.3.1, п.4.3.2, п.4.4, п.5.1, п.6.2, п.18.1</t>
  </si>
  <si>
    <t xml:space="preserve">Агалиев Рафаэл Рашидович</t>
  </si>
  <si>
    <t xml:space="preserve">Кладовщик-комплектовщик</t>
  </si>
  <si>
    <t xml:space="preserve">Склад МШ</t>
  </si>
  <si>
    <t xml:space="preserve">Балкивская Людмила Алексеевна</t>
  </si>
  <si>
    <t xml:space="preserve">Старший кладовщик</t>
  </si>
  <si>
    <t xml:space="preserve">Богатырев Николай Владимирович</t>
  </si>
  <si>
    <t xml:space="preserve">Лаборант</t>
  </si>
  <si>
    <t xml:space="preserve">п.1.49.2, п.1.49.14, п.1.50, п.4.3.1, п.4.4, п.6.2</t>
  </si>
  <si>
    <t xml:space="preserve">Густов Александр Витальевич</t>
  </si>
  <si>
    <t xml:space="preserve">Дягин Александр Александрович</t>
  </si>
  <si>
    <t xml:space="preserve">Каменев Дмитрий Викторович</t>
  </si>
  <si>
    <t xml:space="preserve">Карпачева Татьяна Владимировна</t>
  </si>
  <si>
    <t xml:space="preserve">Кирбенева Татьяна Александровна</t>
  </si>
  <si>
    <t xml:space="preserve">Ласкавый Андрей Викторович</t>
  </si>
  <si>
    <t xml:space="preserve">Лягинова Анастасия Витальевна</t>
  </si>
  <si>
    <t xml:space="preserve">Моряков Константин Викторович</t>
  </si>
  <si>
    <t xml:space="preserve">Нестеров Аркадий Николаевич</t>
  </si>
  <si>
    <t xml:space="preserve">Ноженко Екатерина Сергеевна</t>
  </si>
  <si>
    <t xml:space="preserve">Прохорова Маргарита Александровна</t>
  </si>
  <si>
    <t xml:space="preserve">Султанов Тимур Боирович</t>
  </si>
  <si>
    <t xml:space="preserve">Хохлов Александр Николаевич</t>
  </si>
  <si>
    <t xml:space="preserve">Бугаев Сергей Петрович</t>
  </si>
  <si>
    <t xml:space="preserve">Слесарь механосборочных работ 6 разряда</t>
  </si>
  <si>
    <t xml:space="preserve">Слесарный участок МШ</t>
  </si>
  <si>
    <t xml:space="preserve">п.4.3.1, п.4.3.2, п.4.4, п.5.1, п.15</t>
  </si>
  <si>
    <t xml:space="preserve">Виноградов Валерий Валерьевич</t>
  </si>
  <si>
    <t xml:space="preserve">Слесарь механосборочных работ 4 разряда</t>
  </si>
  <si>
    <t xml:space="preserve">Епифанов Александр Сергеевич</t>
  </si>
  <si>
    <t xml:space="preserve">Слесарь механосборочных работ 5 разряда</t>
  </si>
  <si>
    <t xml:space="preserve">Карантышов Андрей Витальевич</t>
  </si>
  <si>
    <t xml:space="preserve">Макаренков Святослав Михайлович</t>
  </si>
  <si>
    <t xml:space="preserve">Рыскин Вадим Вячеславович</t>
  </si>
  <si>
    <t xml:space="preserve">Савичев Сергей Сергеевич</t>
  </si>
  <si>
    <t xml:space="preserve">Сафонов Роман Валерьевич</t>
  </si>
  <si>
    <t xml:space="preserve">Семененко Александр Михайлович</t>
  </si>
  <si>
    <t xml:space="preserve">Сорокин Игорь Анатольевич</t>
  </si>
  <si>
    <t xml:space="preserve">Терёхин Кирилл Павлович</t>
  </si>
  <si>
    <t xml:space="preserve">Филимонов Андрей Владимирович</t>
  </si>
  <si>
    <t xml:space="preserve">Иванов Андрей Петрович</t>
  </si>
  <si>
    <t xml:space="preserve">Рабочий по комплексному обслуживанию и ремонту зданий 3 разряда</t>
  </si>
  <si>
    <t xml:space="preserve">Служба главного инженера (МШ н/д)</t>
  </si>
  <si>
    <t xml:space="preserve">п.4.3.1, п.4.4, п.4.7, п.4.8, п.5.1, п.6.1</t>
  </si>
  <si>
    <t xml:space="preserve">Бизюков Сергей Иванович</t>
  </si>
  <si>
    <t xml:space="preserve">Электромонтер по ремонту и обслуживанию электрооборудования 5 разряда</t>
  </si>
  <si>
    <t xml:space="preserve">Служба главного инженера МШ</t>
  </si>
  <si>
    <t xml:space="preserve">п.4.2.3, п.4.3.1, п.4.3.2, п.4.4, п.5.1, п.5.2, п.6.2, п.9</t>
  </si>
  <si>
    <t xml:space="preserve">Долженко Александр Сергеевич</t>
  </si>
  <si>
    <t xml:space="preserve">Электромонтер по ремонту и обслуживанию электрооборудования 4 разряда</t>
  </si>
  <si>
    <t xml:space="preserve">Жусев Алексей Анатольевич</t>
  </si>
  <si>
    <t xml:space="preserve">Инженер-электрик</t>
  </si>
  <si>
    <t xml:space="preserve">Иванов Владимир Максимович</t>
  </si>
  <si>
    <t xml:space="preserve">Калинин Дмитрий Александрович</t>
  </si>
  <si>
    <t xml:space="preserve">Главный энергетик</t>
  </si>
  <si>
    <t xml:space="preserve">п.4.4, п.5.2, п.6.2</t>
  </si>
  <si>
    <t xml:space="preserve">Кармазин Александр Николаевич</t>
  </si>
  <si>
    <t xml:space="preserve">Инженер по эксплуатации зданий и сооружений</t>
  </si>
  <si>
    <t xml:space="preserve">п.4.3.1, п.4.4, п.5.1, п.5.2, п.6.2</t>
  </si>
  <si>
    <t xml:space="preserve">Климов Дмитрий Николаевич</t>
  </si>
  <si>
    <t xml:space="preserve">Королев Владислав Владимирович</t>
  </si>
  <si>
    <t xml:space="preserve">Разнорабочий</t>
  </si>
  <si>
    <t xml:space="preserve">Найденов Андрей Александрович</t>
  </si>
  <si>
    <t xml:space="preserve">Омельченко Вячеслав Васильевич</t>
  </si>
  <si>
    <t xml:space="preserve">Старовойтов Владимир Владимирович</t>
  </si>
  <si>
    <t xml:space="preserve">Главный механик</t>
  </si>
  <si>
    <t xml:space="preserve">Трушаков Владимир Александрович</t>
  </si>
  <si>
    <t xml:space="preserve">Механик</t>
  </si>
  <si>
    <t xml:space="preserve">п.1.50, п.4.3.2, п.4.4, п.4.7, п.4.8, п.5.1, п.5.2, п.6.2, п.15</t>
  </si>
  <si>
    <t xml:space="preserve">Хромов Павел Николаевич</t>
  </si>
  <si>
    <t xml:space="preserve">Механик-наладчик</t>
  </si>
  <si>
    <t xml:space="preserve">п.4.3.1, п.4.3.2, п.4.4, п.4.6, п.5.1, п.6.2</t>
  </si>
  <si>
    <t xml:space="preserve">Богданов Александр Викторович</t>
  </si>
  <si>
    <t xml:space="preserve">Участок РЭО (МШ н/д)</t>
  </si>
  <si>
    <t xml:space="preserve">Озорнов Игорь Валерьевич</t>
  </si>
  <si>
    <t xml:space="preserve">Романов Дмитрий Евгеньевич</t>
  </si>
  <si>
    <t xml:space="preserve">Участок РЭО МШ</t>
  </si>
  <si>
    <t xml:space="preserve">Шабалин Александр Сергеевич</t>
  </si>
  <si>
    <t xml:space="preserve">Габбасов Евгений Рафисович</t>
  </si>
  <si>
    <t xml:space="preserve">Участок декоративной отделки (МШ н/д)</t>
  </si>
  <si>
    <t xml:space="preserve">Калинкин Анатолий Сергеевич</t>
  </si>
  <si>
    <t xml:space="preserve">Китов Алексей Геннадьевич</t>
  </si>
  <si>
    <t xml:space="preserve">Техник 3 разряда</t>
  </si>
  <si>
    <t xml:space="preserve">п.1.14.2, п.1.36, п.1.37.1, п.1.45.1, п.1.45.2, п.1.50, п.4.3.1, п.4.4, п.5.1, п.17</t>
  </si>
  <si>
    <t xml:space="preserve">Морев Владимир Александрович</t>
  </si>
  <si>
    <t xml:space="preserve">Облицовщик деталей мебели 6 разряда</t>
  </si>
  <si>
    <t xml:space="preserve">Никитин Марат Николаевич</t>
  </si>
  <si>
    <t xml:space="preserve">Техник 5 разряда</t>
  </si>
  <si>
    <t xml:space="preserve">Ожерельев Сергей Николаевич</t>
  </si>
  <si>
    <t xml:space="preserve">Первушин Максим Александрович</t>
  </si>
  <si>
    <t xml:space="preserve">Техник 6 разряда</t>
  </si>
  <si>
    <t xml:space="preserve">Попов Виктор Михайлович</t>
  </si>
  <si>
    <t xml:space="preserve">Солодков Максим Юрьевич</t>
  </si>
  <si>
    <t xml:space="preserve">Маляр 6 разряда</t>
  </si>
  <si>
    <t xml:space="preserve">Тимохин Александр Владимирович</t>
  </si>
  <si>
    <t xml:space="preserve">Техник 4 разряда</t>
  </si>
  <si>
    <t xml:space="preserve">Алманова Дойна Виореловна</t>
  </si>
  <si>
    <t xml:space="preserve">Участок декоративной отделки МШ</t>
  </si>
  <si>
    <t xml:space="preserve">Долинская Валерия Александровна</t>
  </si>
  <si>
    <t xml:space="preserve">Маляр 4 разряда</t>
  </si>
  <si>
    <t xml:space="preserve">Караваев Игорь Александрович</t>
  </si>
  <si>
    <t xml:space="preserve">Лисовский Александр Валерьевич</t>
  </si>
  <si>
    <t xml:space="preserve">Лысенко Анатолий Алексеевич</t>
  </si>
  <si>
    <t xml:space="preserve">Морев Александр Михайлович</t>
  </si>
  <si>
    <t xml:space="preserve">Пухова Жанна Аслановна</t>
  </si>
  <si>
    <t xml:space="preserve">Техник 2 разряда</t>
  </si>
  <si>
    <t xml:space="preserve">Симонова Виктория Александровна</t>
  </si>
  <si>
    <t xml:space="preserve">Киреева Вера Антоновна</t>
  </si>
  <si>
    <t xml:space="preserve">Старший технический работник</t>
  </si>
  <si>
    <t xml:space="preserve">Административно-хозяйственный отдел М</t>
  </si>
  <si>
    <t xml:space="preserve">Лебедева Валентина Михайловна</t>
  </si>
  <si>
    <t xml:space="preserve">Никонова Наталия Евгеньевна</t>
  </si>
  <si>
    <t xml:space="preserve">Горбушин Сергей Юрьевич</t>
  </si>
  <si>
    <t xml:space="preserve">Оперативный дежурный</t>
  </si>
  <si>
    <t xml:space="preserve">Отдел режима М</t>
  </si>
  <si>
    <t xml:space="preserve">Заворотный Дмитрий Дмитриевич</t>
  </si>
  <si>
    <t xml:space="preserve">Старший оперативный дежурный</t>
  </si>
  <si>
    <t xml:space="preserve">Кисельников Николай Михайлович</t>
  </si>
  <si>
    <t xml:space="preserve">Сорокин Виктор Фомич</t>
  </si>
  <si>
    <t xml:space="preserve">Гудумак Анастасия Сергеевна</t>
  </si>
  <si>
    <t xml:space="preserve">Инженер 2 категории</t>
  </si>
  <si>
    <t xml:space="preserve">Высокий Владимир Евгеньевич</t>
  </si>
  <si>
    <t xml:space="preserve">Водитель автомобиля (персональный 2 категории)</t>
  </si>
  <si>
    <t xml:space="preserve">Отдел транспортного обеспечения (М н/д)</t>
  </si>
  <si>
    <t xml:space="preserve">п.4.3.1, п.4.3.2, п.4.4, п.5.1, п.5.2, п.18.1</t>
  </si>
  <si>
    <t xml:space="preserve">Болденкова Анна Сергеевна</t>
  </si>
  <si>
    <t xml:space="preserve">Уборщик служебных помещений</t>
  </si>
  <si>
    <t xml:space="preserve">Административно-хозяйственный отдел Р</t>
  </si>
  <si>
    <t xml:space="preserve">Иванова Светлана Васильевна</t>
  </si>
  <si>
    <t xml:space="preserve">Терешкина Татьяна Викторовна</t>
  </si>
  <si>
    <t xml:space="preserve">Шибатина Елена Васильевна</t>
  </si>
  <si>
    <t xml:space="preserve">Андреев Кирилл Владимирович</t>
  </si>
  <si>
    <t xml:space="preserve">Оператор станка с ЧПУ 3 разряда</t>
  </si>
  <si>
    <t xml:space="preserve">Воркунов Егор Дмитриевич</t>
  </si>
  <si>
    <t xml:space="preserve">Оператор лазерных установок 5 разряда</t>
  </si>
  <si>
    <t xml:space="preserve">п.4.2.1, п.4.3.1, п.4.3.2, п.4.4, п.5.1, п.5.2, п.15</t>
  </si>
  <si>
    <t xml:space="preserve">Герасимов Александр Александрович</t>
  </si>
  <si>
    <t xml:space="preserve">Геращенко Сергей Владимирович</t>
  </si>
  <si>
    <t xml:space="preserve">Горнеев Никита Сергеевич</t>
  </si>
  <si>
    <t xml:space="preserve">Оператор листогибочного оборудования 5 разряда</t>
  </si>
  <si>
    <t xml:space="preserve">Кашкаров Сергей Евгеньевич</t>
  </si>
  <si>
    <t xml:space="preserve">Козлов Алексей Викторович</t>
  </si>
  <si>
    <t xml:space="preserve">Куликов Сергей Сергеевич</t>
  </si>
  <si>
    <t xml:space="preserve">Павозков Евгений Александрович</t>
  </si>
  <si>
    <t xml:space="preserve">Пак Игорь Трофимович</t>
  </si>
  <si>
    <t xml:space="preserve">Панков Иван Валерьевич</t>
  </si>
  <si>
    <t xml:space="preserve">Поливанов Иван Юрьевич</t>
  </si>
  <si>
    <t xml:space="preserve">Семячко Константин Григорьевич</t>
  </si>
  <si>
    <t xml:space="preserve">Федышен Валерий Васильевич</t>
  </si>
  <si>
    <t xml:space="preserve">Янышев Тимур Ильгизович</t>
  </si>
  <si>
    <t xml:space="preserve">Милованов Александр Сергеевич</t>
  </si>
  <si>
    <t xml:space="preserve">Отдел технического контроля Р</t>
  </si>
  <si>
    <t xml:space="preserve">Рузайкин Юрий Андреевич</t>
  </si>
  <si>
    <t xml:space="preserve">Оболонина Ирина Валерьевна</t>
  </si>
  <si>
    <t xml:space="preserve">Планово-диспетчерский отдел Р</t>
  </si>
  <si>
    <t xml:space="preserve">Первоченков Виктор Владимирович</t>
  </si>
  <si>
    <t xml:space="preserve">Стребкова Наталья Ивановна</t>
  </si>
  <si>
    <t xml:space="preserve">Яковлева Анастасия Юрьевна</t>
  </si>
  <si>
    <t xml:space="preserve">Садыгова Елена Васильевна</t>
  </si>
  <si>
    <t xml:space="preserve">Склад Р</t>
  </si>
  <si>
    <t xml:space="preserve">Юдина Анна Владимировна</t>
  </si>
  <si>
    <t xml:space="preserve">Баев Сергей Александрович</t>
  </si>
  <si>
    <t xml:space="preserve">Слесарный участок Р</t>
  </si>
  <si>
    <t xml:space="preserve">Корнеев Виктор Николаевич</t>
  </si>
  <si>
    <t xml:space="preserve">Гришин Алексей Валерьевич</t>
  </si>
  <si>
    <t xml:space="preserve">Слесарь-ремонтник 5 разряда</t>
  </si>
  <si>
    <t xml:space="preserve">Служба главного инженера Р</t>
  </si>
  <si>
    <t xml:space="preserve">п.4.3.1, п.4.4, п.5.1, п.6.2, п.15</t>
  </si>
  <si>
    <t xml:space="preserve">Балковский Сергей Вадимович</t>
  </si>
  <si>
    <t xml:space="preserve">Участок сборки Р</t>
  </si>
  <si>
    <t xml:space="preserve">Бузаев Дмитрий Анатольевич</t>
  </si>
  <si>
    <t xml:space="preserve">Гурьянов Евгений Николаевич</t>
  </si>
  <si>
    <t xml:space="preserve">Еремеев Сергей Анатольевич</t>
  </si>
  <si>
    <t xml:space="preserve">Житников Андрей Николаевич</t>
  </si>
  <si>
    <t xml:space="preserve">Зайцев Дмитрий Евгеньевич</t>
  </si>
  <si>
    <t xml:space="preserve">Зайцев Евгений Геннадьевич</t>
  </si>
  <si>
    <t xml:space="preserve">Николаев Никита Андреевич</t>
  </si>
  <si>
    <t xml:space="preserve">Чепуштанов Александр Геннадьевич</t>
  </si>
  <si>
    <t xml:space="preserve">Швецов Андрей Витальевич</t>
  </si>
  <si>
    <t xml:space="preserve">Андрякова Надежда Дмитриевна</t>
  </si>
  <si>
    <t xml:space="preserve">Специалист по пошиву 5 разряда</t>
  </si>
  <si>
    <t xml:space="preserve">Швейный участок Р</t>
  </si>
  <si>
    <t xml:space="preserve">Антонова Елена Анатольевна</t>
  </si>
  <si>
    <t xml:space="preserve">Ахмедов Яшар Закир Оглы</t>
  </si>
  <si>
    <t xml:space="preserve">Богатырева Наталья Геннадьевна</t>
  </si>
  <si>
    <t xml:space="preserve">Старший специалист по пошиву</t>
  </si>
  <si>
    <t xml:space="preserve">Большаков Сергей Александрович</t>
  </si>
  <si>
    <t xml:space="preserve">Горбушина Венера Энверовна</t>
  </si>
  <si>
    <t xml:space="preserve">Специалист по пошиву 4 разряда</t>
  </si>
  <si>
    <t xml:space="preserve">Долженко Ольга Васильевна</t>
  </si>
  <si>
    <t xml:space="preserve">Долматова Екатерина Владимировна</t>
  </si>
  <si>
    <t xml:space="preserve">Китаева Венера Минигалеевна</t>
  </si>
  <si>
    <t xml:space="preserve">Кулешова Виктория Викторовна</t>
  </si>
  <si>
    <t xml:space="preserve">Кульков Павел Петрович</t>
  </si>
  <si>
    <t xml:space="preserve">Пичугина Оксана Валерьевна</t>
  </si>
  <si>
    <t xml:space="preserve">Путилина Ирина Михайловна</t>
  </si>
  <si>
    <t xml:space="preserve">Треусов Сергей Юрьевич</t>
  </si>
  <si>
    <t xml:space="preserve">Юдакова Регина Юрьевна</t>
  </si>
  <si>
    <t xml:space="preserve">Казаченко Алексей Владимирович</t>
  </si>
  <si>
    <t xml:space="preserve">Планово-диспетчерская группа (У н/д)</t>
  </si>
  <si>
    <t xml:space="preserve">Абрамов Дмитрий Владимирович</t>
  </si>
  <si>
    <t xml:space="preserve">Сборочный участок (У н/д)</t>
  </si>
  <si>
    <t xml:space="preserve">Ахметов Эдуард Ильдарович</t>
  </si>
  <si>
    <t xml:space="preserve">Березин Андрей Дмитриевич</t>
  </si>
  <si>
    <t xml:space="preserve">Ефремов Алексей Витальевич</t>
  </si>
  <si>
    <t xml:space="preserve">Слесарь-сборщик</t>
  </si>
  <si>
    <t xml:space="preserve">Китин Дмитрий Витальевич</t>
  </si>
  <si>
    <t xml:space="preserve">Мамедов Рустам Рамизович</t>
  </si>
  <si>
    <t xml:space="preserve">Прохоров Антон Анатольевич</t>
  </si>
  <si>
    <t xml:space="preserve">Терентьев Владислав Вячеславович</t>
  </si>
  <si>
    <t xml:space="preserve">Трофимов Валерий Дмитриевич</t>
  </si>
  <si>
    <t xml:space="preserve">Грицкова Елена Анатольевна</t>
  </si>
  <si>
    <t xml:space="preserve">Склад (У н/д)</t>
  </si>
  <si>
    <t xml:space="preserve">Ветров Игорь Евгеньевич</t>
  </si>
  <si>
    <t xml:space="preserve">Электромонтажный участок (У н/д)</t>
  </si>
  <si>
    <t xml:space="preserve">Дубровский Дмитрий Сергеевич</t>
  </si>
  <si>
    <t xml:space="preserve">Кныш Елена Леонидовна</t>
  </si>
  <si>
    <t xml:space="preserve">Куликов Рауф Зэферович</t>
  </si>
  <si>
    <t xml:space="preserve">Рычков Александр Анатольевич</t>
  </si>
  <si>
    <t xml:space="preserve">Список работников, подлежащих психиатрическому освидетельствованию (графа «Подлежит» = «Да»)</t>
  </si>
  <si>
    <t xml:space="preserve">Источник: «Учёт медосмотров» на 15.10.2026. Всего: 51 чел.</t>
  </si>
  <si>
    <t xml:space="preserve">Основание (Перечень)</t>
  </si>
  <si>
    <t xml:space="preserve">п.11 Прил.№2: монтаж, наладка, техническое обслуживание, ремонт электроустановок.</t>
  </si>
  <si>
    <t xml:space="preserve">п.11 Прил.№2: руководство работами по монтажу, наладке, ремонту электроустановок. Относится также мастер участка РЭО.</t>
  </si>
  <si>
    <t xml:space="preserve">п.1 Прил.№2: управление транспортными средствами.</t>
  </si>
  <si>
    <t xml:space="preserve">п.11 Прил.№2: обслуживание электроустановок предприятия.</t>
  </si>
  <si>
    <t xml:space="preserve">п.11–12 Прил.№2: электроустановки и объекты теплоснабжения.</t>
  </si>
  <si>
    <t xml:space="preserve">Улумбеков Руслан Бинарович</t>
  </si>
  <si>
    <t xml:space="preserve">Кокорев Анатолий Сергеевич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</si>
</sst>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dd\.mm\.yy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F8CBAD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4" min="3" style="0" width="14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5" t="n">
        <v>175</v>
      </c>
      <c r="C5" s="5" t="n">
        <f aca="false">COUNTIF('Периодический 2026'!$B$5:$B$1000,A5)</f>
        <v>165</v>
      </c>
      <c r="D5" s="5" t="n">
        <f aca="false">COUNTIFS('Периодический 2026'!$B$5:$B$1000,A5,'Периодический 2026'!$J$5:$J$1000,"Нет сведений об осмотрах")</f>
        <v>159</v>
      </c>
      <c r="E5" s="5" t="n">
        <f aca="false">COUNTIFS('Периодический 2026'!$B$5:$B$1000,A5,'Периодический 2026'!$J$5:$J$1000,"Просрочен")</f>
        <v>6</v>
      </c>
      <c r="F5" s="5" t="n">
        <f aca="false">COUNTIFS('Периодический 2026'!$B$5:$B$1000,A5,'Периодический 2026'!$J$5:$J$1000,"Предстоит")</f>
        <v>0</v>
      </c>
      <c r="G5" s="5" t="n">
        <f aca="false">COUNTIFS('Периодический 2026'!$B$5:$B$1000,A5,'Периодический 2026'!$G$5:$G$1000,"&gt;="&amp;DATE(2026,1,1))</f>
        <v>22</v>
      </c>
      <c r="H5" s="5" t="n">
        <f aca="false">COUNTIF(Психиатрическое!$B$5:$B$1000,A5)</f>
        <v>19</v>
      </c>
    </row>
    <row r="6" customFormat="false" ht="15" hidden="false" customHeight="false" outlineLevel="0" collapsed="false">
      <c r="A6" s="4" t="s">
        <v>11</v>
      </c>
      <c r="B6" s="5" t="n">
        <v>69</v>
      </c>
      <c r="C6" s="5" t="n">
        <f aca="false">COUNTIF('Периодический 2026'!$B$5:$B$1000,A6)</f>
        <v>54</v>
      </c>
      <c r="D6" s="5" t="n">
        <f aca="false">COUNTIFS('Периодический 2026'!$B$5:$B$1000,A6,'Периодический 2026'!$J$5:$J$1000,"Нет сведений об осмотрах")</f>
        <v>48</v>
      </c>
      <c r="E6" s="5" t="n">
        <f aca="false">COUNTIFS('Периодический 2026'!$B$5:$B$1000,A6,'Периодический 2026'!$J$5:$J$1000,"Просрочен")</f>
        <v>5</v>
      </c>
      <c r="F6" s="5" t="n">
        <f aca="false">COUNTIFS('Периодический 2026'!$B$5:$B$1000,A6,'Периодический 2026'!$J$5:$J$1000,"Предстоит")</f>
        <v>1</v>
      </c>
      <c r="G6" s="5" t="n">
        <f aca="false">COUNTIFS('Периодический 2026'!$B$5:$B$1000,A6,'Периодический 2026'!$G$5:$G$1000,"&gt;="&amp;DATE(2026,1,1))</f>
        <v>13</v>
      </c>
      <c r="H6" s="5" t="n">
        <f aca="false">COUNTIF(Психиатрическое!$B$5:$B$1000,A6)</f>
        <v>1</v>
      </c>
    </row>
    <row r="7" customFormat="false" ht="15" hidden="false" customHeight="false" outlineLevel="0" collapsed="false">
      <c r="A7" s="4" t="s">
        <v>12</v>
      </c>
      <c r="B7" s="5" t="n">
        <v>65</v>
      </c>
      <c r="C7" s="5" t="n">
        <f aca="false">COUNTIF('Периодический 2026'!$B$5:$B$1000,A7)</f>
        <v>61</v>
      </c>
      <c r="D7" s="5" t="n">
        <f aca="false">COUNTIFS('Периодический 2026'!$B$5:$B$1000,A7,'Периодический 2026'!$J$5:$J$1000,"Нет сведений об осмотрах")</f>
        <v>46</v>
      </c>
      <c r="E7" s="5" t="n">
        <f aca="false">COUNTIFS('Периодический 2026'!$B$5:$B$1000,A7,'Периодический 2026'!$J$5:$J$1000,"Просрочен")</f>
        <v>14</v>
      </c>
      <c r="F7" s="5" t="n">
        <f aca="false">COUNTIFS('Периодический 2026'!$B$5:$B$1000,A7,'Периодический 2026'!$J$5:$J$1000,"Предстоит")</f>
        <v>1</v>
      </c>
      <c r="G7" s="5" t="n">
        <f aca="false">COUNTIFS('Периодический 2026'!$B$5:$B$1000,A7,'Периодический 2026'!$G$5:$G$1000,"&gt;="&amp;DATE(2026,1,1))</f>
        <v>9</v>
      </c>
      <c r="H7" s="5" t="n">
        <f aca="false">COUNTIF(Психиатрическое!$B$5:$B$1000,A7)</f>
        <v>17</v>
      </c>
    </row>
    <row r="8" customFormat="false" ht="15" hidden="false" customHeight="false" outlineLevel="0" collapsed="false">
      <c r="A8" s="4" t="s">
        <v>13</v>
      </c>
      <c r="B8" s="5" t="n">
        <v>20</v>
      </c>
      <c r="C8" s="5" t="n">
        <f aca="false">COUNTIF('Периодический 2026'!$B$5:$B$1000,A8)</f>
        <v>17</v>
      </c>
      <c r="D8" s="5" t="n">
        <f aca="false">COUNTIFS('Периодический 2026'!$B$5:$B$1000,A8,'Периодический 2026'!$J$5:$J$1000,"Нет сведений об осмотрах")</f>
        <v>8</v>
      </c>
      <c r="E8" s="5" t="n">
        <f aca="false">COUNTIFS('Периодический 2026'!$B$5:$B$1000,A8,'Периодический 2026'!$J$5:$J$1000,"Просрочен")</f>
        <v>4</v>
      </c>
      <c r="F8" s="5" t="n">
        <f aca="false">COUNTIFS('Периодический 2026'!$B$5:$B$1000,A8,'Периодический 2026'!$J$5:$J$1000,"Предстоит")</f>
        <v>5</v>
      </c>
      <c r="G8" s="5" t="n">
        <f aca="false">COUNTIFS('Периодический 2026'!$B$5:$B$1000,A8,'Периодический 2026'!$G$5:$G$1000,"&gt;="&amp;DATE(2026,1,1))</f>
        <v>0</v>
      </c>
      <c r="H8" s="5" t="n">
        <f aca="false">COUNTIF(Психиатрическое!$B$5:$B$1000,A8)</f>
        <v>5</v>
      </c>
    </row>
    <row r="9" customFormat="false" ht="15" hidden="false" customHeight="false" outlineLevel="0" collapsed="false">
      <c r="A9" s="4" t="s">
        <v>14</v>
      </c>
      <c r="B9" s="5" t="n">
        <v>16</v>
      </c>
      <c r="C9" s="5" t="n">
        <f aca="false">COUNTIF('Периодический 2026'!$B$5:$B$1000,A9)</f>
        <v>14</v>
      </c>
      <c r="D9" s="5" t="n">
        <f aca="false">COUNTIFS('Периодический 2026'!$B$5:$B$1000,A9,'Периодический 2026'!$J$5:$J$1000,"Нет сведений об осмотрах")</f>
        <v>8</v>
      </c>
      <c r="E9" s="5" t="n">
        <f aca="false">COUNTIFS('Периодический 2026'!$B$5:$B$1000,A9,'Периодический 2026'!$J$5:$J$1000,"Просрочен")</f>
        <v>4</v>
      </c>
      <c r="F9" s="5" t="n">
        <f aca="false">COUNTIFS('Периодический 2026'!$B$5:$B$1000,A9,'Периодический 2026'!$J$5:$J$1000,"Предстоит")</f>
        <v>2</v>
      </c>
      <c r="G9" s="5" t="n">
        <f aca="false">COUNTIFS('Периодический 2026'!$B$5:$B$1000,A9,'Периодический 2026'!$G$5:$G$1000,"&gt;="&amp;DATE(2026,1,1))</f>
        <v>2</v>
      </c>
      <c r="H9" s="5" t="n">
        <f aca="false">COUNTIF(Психиатрическое!$B$5:$B$1000,A9)</f>
        <v>6</v>
      </c>
    </row>
    <row r="10" customFormat="false" ht="15" hidden="false" customHeight="false" outlineLevel="0" collapsed="false">
      <c r="A10" s="4" t="s">
        <v>15</v>
      </c>
      <c r="B10" s="5" t="n">
        <v>10</v>
      </c>
      <c r="C10" s="5" t="n">
        <f aca="false">COUNTIF('Периодический 2026'!$B$5:$B$1000,A10)</f>
        <v>10</v>
      </c>
      <c r="D10" s="5" t="n">
        <f aca="false">COUNTIFS('Периодический 2026'!$B$5:$B$1000,A10,'Периодический 2026'!$J$5:$J$1000,"Нет сведений об осмотрах")</f>
        <v>9</v>
      </c>
      <c r="E10" s="5" t="n">
        <f aca="false">COUNTIFS('Периодический 2026'!$B$5:$B$1000,A10,'Периодический 2026'!$J$5:$J$1000,"Просрочен")</f>
        <v>1</v>
      </c>
      <c r="F10" s="5" t="n">
        <f aca="false">COUNTIFS('Периодический 2026'!$B$5:$B$1000,A10,'Периодический 2026'!$J$5:$J$1000,"Предстоит")</f>
        <v>0</v>
      </c>
      <c r="G10" s="5" t="n">
        <f aca="false">COUNTIFS('Периодический 2026'!$B$5:$B$1000,A10,'Периодический 2026'!$G$5:$G$1000,"&gt;="&amp;DATE(2026,1,1))</f>
        <v>0</v>
      </c>
      <c r="H10" s="5" t="n">
        <f aca="false">COUNTIF(Психиатрическое!$B$5:$B$1000,A10)</f>
        <v>2</v>
      </c>
    </row>
    <row r="11" customFormat="false" ht="15" hidden="false" customHeight="false" outlineLevel="0" collapsed="false">
      <c r="A11" s="4" t="s">
        <v>16</v>
      </c>
      <c r="B11" s="5" t="n">
        <v>9</v>
      </c>
      <c r="C11" s="5" t="n">
        <f aca="false">COUNTIF('Периодический 2026'!$B$5:$B$1000,A11)</f>
        <v>9</v>
      </c>
      <c r="D11" s="5" t="n">
        <f aca="false">COUNTIFS('Периодический 2026'!$B$5:$B$1000,A11,'Периодический 2026'!$J$5:$J$1000,"Нет сведений об осмотрах")</f>
        <v>9</v>
      </c>
      <c r="E11" s="5" t="n">
        <f aca="false">COUNTIFS('Периодический 2026'!$B$5:$B$1000,A11,'Периодический 2026'!$J$5:$J$1000,"Просрочен")</f>
        <v>0</v>
      </c>
      <c r="F11" s="5" t="n">
        <f aca="false">COUNTIFS('Периодический 2026'!$B$5:$B$1000,A11,'Периодический 2026'!$J$5:$J$1000,"Предстоит")</f>
        <v>0</v>
      </c>
      <c r="G11" s="5" t="n">
        <f aca="false">COUNTIFS('Периодический 2026'!$B$5:$B$1000,A11,'Периодический 2026'!$G$5:$G$1000,"&gt;="&amp;DATE(2026,1,1))</f>
        <v>2</v>
      </c>
      <c r="H11" s="5" t="n">
        <f aca="false">COUNTIF(Психиатрическое!$B$5:$B$1000,A11)</f>
        <v>1</v>
      </c>
    </row>
    <row r="12" customFormat="false" ht="15" hidden="false" customHeight="false" outlineLevel="0" collapsed="false">
      <c r="A12" s="4" t="s">
        <v>17</v>
      </c>
      <c r="B12" s="5" t="n">
        <v>1</v>
      </c>
      <c r="C12" s="5" t="n">
        <f aca="false">COUNTIF('Периодический 2026'!$B$5:$B$1000,A12)</f>
        <v>1</v>
      </c>
      <c r="D12" s="5" t="n">
        <f aca="false">COUNTIFS('Периодический 2026'!$B$5:$B$1000,A12,'Периодический 2026'!$J$5:$J$1000,"Нет сведений об осмотрах")</f>
        <v>1</v>
      </c>
      <c r="E12" s="5" t="n">
        <f aca="false">COUNTIFS('Периодический 2026'!$B$5:$B$1000,A12,'Периодический 2026'!$J$5:$J$1000,"Просрочен")</f>
        <v>0</v>
      </c>
      <c r="F12" s="5" t="n">
        <f aca="false">COUNTIFS('Периодический 2026'!$B$5:$B$1000,A12,'Периодический 2026'!$J$5:$J$1000,"Предстоит")</f>
        <v>0</v>
      </c>
      <c r="G12" s="5" t="n">
        <f aca="false">COUNTIFS('Периодический 2026'!$B$5:$B$1000,A12,'Периодический 2026'!$G$5:$G$1000,"&gt;="&amp;DATE(2026,1,1))</f>
        <v>0</v>
      </c>
      <c r="H12" s="5" t="n">
        <f aca="false">COUNTIF(Психиатрическое!$B$5:$B$1000,A12)</f>
        <v>0</v>
      </c>
    </row>
    <row r="13" customFormat="false" ht="15" hidden="false" customHeight="false" outlineLevel="0" collapsed="false">
      <c r="A13" s="6" t="s">
        <v>18</v>
      </c>
      <c r="B13" s="7" t="n">
        <f aca="false">SUM(B5:B12)</f>
        <v>365</v>
      </c>
      <c r="C13" s="7" t="n">
        <f aca="false">SUM(C5:C12)</f>
        <v>331</v>
      </c>
      <c r="D13" s="7" t="n">
        <f aca="false">SUM(D5:D12)</f>
        <v>288</v>
      </c>
      <c r="E13" s="7" t="n">
        <f aca="false">SUM(E5:E12)</f>
        <v>34</v>
      </c>
      <c r="F13" s="7" t="n">
        <f aca="false">SUM(F5:F12)</f>
        <v>9</v>
      </c>
      <c r="G13" s="7" t="n">
        <f aca="false">SUM(G5:G12)</f>
        <v>48</v>
      </c>
      <c r="H13" s="7" t="n">
        <f aca="false">SUM(H5:H12)</f>
        <v>51</v>
      </c>
    </row>
    <row r="14" customFormat="false" ht="15" hidden="false" customHeight="false" outlineLevel="0" collapsed="false">
      <c r="A14" s="2" t="s">
        <v>19</v>
      </c>
      <c r="C14" s="2" t="str">
        <f aca="false">IF(C13=D13+E13+F13,"сходится","ОШИБКА")</f>
        <v>сходится</v>
      </c>
    </row>
    <row r="15" customFormat="false" ht="15" hidden="false" customHeight="false" outlineLevel="0" collapsed="false">
      <c r="A15" s="2" t="s">
        <v>20</v>
      </c>
      <c r="C15" s="2" t="str">
        <f aca="false">IF(C13=COUNTA('Периодический 2026'!$C$5:$C$1000),"сходится","ОШИБКА")</f>
        <v>сходится</v>
      </c>
      <c r="H15" s="2" t="str">
        <f aca="false">IF(H13=COUNTA(Психиатрическое!$C$5:$C$1000),"сходится","ОШИБКА")</f>
        <v>сходится</v>
      </c>
    </row>
    <row r="16" customFormat="false" ht="15" hidden="false" customHeight="false" outlineLevel="0" collapsed="false">
      <c r="A16" s="2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32"/>
    <col collapsed="false" customWidth="true" hidden="false" outlineLevel="0" max="4" min="4" style="0" width="30"/>
    <col collapsed="false" customWidth="true" hidden="false" outlineLevel="0" max="6" min="5" style="0" width="36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18"/>
  </cols>
  <sheetData>
    <row r="1" customFormat="false" ht="15" hidden="false" customHeight="false" outlineLevel="0" collapsed="false">
      <c r="A1" s="1" t="s">
        <v>22</v>
      </c>
    </row>
    <row r="2" customFormat="false" ht="15" hidden="false" customHeight="false" outlineLevel="0" collapsed="false">
      <c r="A2" s="2" t="s">
        <v>23</v>
      </c>
    </row>
    <row r="4" customFormat="false" ht="46.25" hidden="false" customHeight="false" outlineLevel="0" collapsed="false">
      <c r="A4" s="3" t="s">
        <v>24</v>
      </c>
      <c r="B4" s="3" t="s">
        <v>2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30</v>
      </c>
      <c r="I4" s="3" t="s">
        <v>31</v>
      </c>
      <c r="J4" s="3" t="s">
        <v>32</v>
      </c>
    </row>
    <row r="5" customFormat="false" ht="23.85" hidden="false" customHeight="false" outlineLevel="0" collapsed="false">
      <c r="A5" s="8" t="n">
        <v>1</v>
      </c>
      <c r="B5" s="9" t="s">
        <v>15</v>
      </c>
      <c r="C5" s="9" t="s">
        <v>33</v>
      </c>
      <c r="D5" s="9" t="s">
        <v>34</v>
      </c>
      <c r="E5" s="9" t="s">
        <v>35</v>
      </c>
      <c r="F5" s="9" t="s">
        <v>36</v>
      </c>
      <c r="G5" s="10" t="n">
        <v>44327</v>
      </c>
      <c r="H5" s="9"/>
      <c r="I5" s="9"/>
      <c r="J5" s="9" t="s">
        <v>37</v>
      </c>
    </row>
    <row r="6" customFormat="false" ht="23.85" hidden="false" customHeight="false" outlineLevel="0" collapsed="false">
      <c r="A6" s="8" t="n">
        <v>2</v>
      </c>
      <c r="B6" s="9" t="s">
        <v>15</v>
      </c>
      <c r="C6" s="9" t="s">
        <v>38</v>
      </c>
      <c r="D6" s="9" t="s">
        <v>39</v>
      </c>
      <c r="E6" s="9" t="s">
        <v>35</v>
      </c>
      <c r="F6" s="9" t="s">
        <v>40</v>
      </c>
      <c r="G6" s="10" t="n">
        <v>44152</v>
      </c>
      <c r="H6" s="9"/>
      <c r="I6" s="9"/>
      <c r="J6" s="9" t="s">
        <v>37</v>
      </c>
    </row>
    <row r="7" customFormat="false" ht="23.85" hidden="false" customHeight="false" outlineLevel="0" collapsed="false">
      <c r="A7" s="8" t="n">
        <v>3</v>
      </c>
      <c r="B7" s="9" t="s">
        <v>15</v>
      </c>
      <c r="C7" s="9" t="s">
        <v>41</v>
      </c>
      <c r="D7" s="9" t="s">
        <v>42</v>
      </c>
      <c r="E7" s="9" t="s">
        <v>35</v>
      </c>
      <c r="F7" s="9" t="s">
        <v>43</v>
      </c>
      <c r="G7" s="10" t="n">
        <v>40087</v>
      </c>
      <c r="H7" s="9"/>
      <c r="I7" s="9"/>
      <c r="J7" s="9" t="s">
        <v>37</v>
      </c>
    </row>
    <row r="8" customFormat="false" ht="46.25" hidden="false" customHeight="false" outlineLevel="0" collapsed="false">
      <c r="A8" s="8" t="n">
        <v>4</v>
      </c>
      <c r="B8" s="9" t="s">
        <v>15</v>
      </c>
      <c r="C8" s="9" t="s">
        <v>44</v>
      </c>
      <c r="D8" s="9" t="s">
        <v>45</v>
      </c>
      <c r="E8" s="9" t="s">
        <v>35</v>
      </c>
      <c r="F8" s="9" t="s">
        <v>46</v>
      </c>
      <c r="G8" s="10" t="n">
        <v>41334</v>
      </c>
      <c r="H8" s="9"/>
      <c r="I8" s="9"/>
      <c r="J8" s="9" t="s">
        <v>37</v>
      </c>
    </row>
    <row r="9" customFormat="false" ht="23.85" hidden="false" customHeight="false" outlineLevel="0" collapsed="false">
      <c r="A9" s="8" t="n">
        <v>5</v>
      </c>
      <c r="B9" s="9" t="s">
        <v>15</v>
      </c>
      <c r="C9" s="9" t="s">
        <v>47</v>
      </c>
      <c r="D9" s="9" t="s">
        <v>48</v>
      </c>
      <c r="E9" s="9" t="s">
        <v>35</v>
      </c>
      <c r="F9" s="9" t="s">
        <v>49</v>
      </c>
      <c r="G9" s="10" t="n">
        <v>45789</v>
      </c>
      <c r="H9" s="9"/>
      <c r="I9" s="9"/>
      <c r="J9" s="9" t="s">
        <v>37</v>
      </c>
    </row>
    <row r="10" customFormat="false" ht="23.85" hidden="false" customHeight="false" outlineLevel="0" collapsed="false">
      <c r="A10" s="11" t="n">
        <v>6</v>
      </c>
      <c r="B10" s="12" t="s">
        <v>15</v>
      </c>
      <c r="C10" s="12" t="s">
        <v>50</v>
      </c>
      <c r="D10" s="12" t="s">
        <v>51</v>
      </c>
      <c r="E10" s="12" t="s">
        <v>35</v>
      </c>
      <c r="F10" s="12" t="s">
        <v>43</v>
      </c>
      <c r="G10" s="13" t="n">
        <v>45950</v>
      </c>
      <c r="H10" s="13" t="n">
        <v>45940</v>
      </c>
      <c r="I10" s="13" t="n">
        <v>46305</v>
      </c>
      <c r="J10" s="12" t="s">
        <v>52</v>
      </c>
    </row>
    <row r="11" customFormat="false" ht="23.85" hidden="false" customHeight="false" outlineLevel="0" collapsed="false">
      <c r="A11" s="8" t="n">
        <v>7</v>
      </c>
      <c r="B11" s="9" t="s">
        <v>15</v>
      </c>
      <c r="C11" s="9" t="s">
        <v>53</v>
      </c>
      <c r="D11" s="9" t="s">
        <v>54</v>
      </c>
      <c r="E11" s="9" t="s">
        <v>35</v>
      </c>
      <c r="F11" s="9" t="s">
        <v>43</v>
      </c>
      <c r="G11" s="10" t="n">
        <v>42438</v>
      </c>
      <c r="H11" s="9"/>
      <c r="I11" s="9"/>
      <c r="J11" s="9" t="s">
        <v>37</v>
      </c>
    </row>
    <row r="12" customFormat="false" ht="23.85" hidden="false" customHeight="false" outlineLevel="0" collapsed="false">
      <c r="A12" s="8" t="n">
        <v>8</v>
      </c>
      <c r="B12" s="9" t="s">
        <v>15</v>
      </c>
      <c r="C12" s="9" t="s">
        <v>55</v>
      </c>
      <c r="D12" s="9" t="s">
        <v>54</v>
      </c>
      <c r="E12" s="9" t="s">
        <v>35</v>
      </c>
      <c r="F12" s="9" t="s">
        <v>43</v>
      </c>
      <c r="G12" s="10" t="n">
        <v>45208</v>
      </c>
      <c r="H12" s="9"/>
      <c r="I12" s="9"/>
      <c r="J12" s="9" t="s">
        <v>37</v>
      </c>
    </row>
    <row r="13" customFormat="false" ht="23.85" hidden="false" customHeight="false" outlineLevel="0" collapsed="false">
      <c r="A13" s="8" t="n">
        <v>9</v>
      </c>
      <c r="B13" s="9" t="s">
        <v>15</v>
      </c>
      <c r="C13" s="9" t="s">
        <v>56</v>
      </c>
      <c r="D13" s="9" t="s">
        <v>57</v>
      </c>
      <c r="E13" s="9" t="s">
        <v>35</v>
      </c>
      <c r="F13" s="9" t="s">
        <v>36</v>
      </c>
      <c r="G13" s="10" t="n">
        <v>45429</v>
      </c>
      <c r="H13" s="9"/>
      <c r="I13" s="9"/>
      <c r="J13" s="9" t="s">
        <v>37</v>
      </c>
    </row>
    <row r="14" customFormat="false" ht="23.85" hidden="false" customHeight="false" outlineLevel="0" collapsed="false">
      <c r="A14" s="8" t="n">
        <v>10</v>
      </c>
      <c r="B14" s="9" t="s">
        <v>15</v>
      </c>
      <c r="C14" s="9" t="s">
        <v>58</v>
      </c>
      <c r="D14" s="9" t="s">
        <v>59</v>
      </c>
      <c r="E14" s="9" t="s">
        <v>35</v>
      </c>
      <c r="F14" s="9" t="s">
        <v>49</v>
      </c>
      <c r="G14" s="10" t="n">
        <v>40210</v>
      </c>
      <c r="H14" s="9"/>
      <c r="I14" s="9"/>
      <c r="J14" s="9" t="s">
        <v>37</v>
      </c>
    </row>
    <row r="15" customFormat="false" ht="23.85" hidden="false" customHeight="false" outlineLevel="0" collapsed="false">
      <c r="A15" s="8" t="n">
        <v>11</v>
      </c>
      <c r="B15" s="9" t="s">
        <v>12</v>
      </c>
      <c r="C15" s="9" t="s">
        <v>60</v>
      </c>
      <c r="D15" s="9" t="s">
        <v>61</v>
      </c>
      <c r="E15" s="9" t="s">
        <v>62</v>
      </c>
      <c r="F15" s="9" t="s">
        <v>63</v>
      </c>
      <c r="G15" s="10" t="n">
        <v>41351</v>
      </c>
      <c r="H15" s="9"/>
      <c r="I15" s="9"/>
      <c r="J15" s="9" t="s">
        <v>37</v>
      </c>
    </row>
    <row r="16" customFormat="false" ht="23.85" hidden="false" customHeight="false" outlineLevel="0" collapsed="false">
      <c r="A16" s="8" t="n">
        <v>12</v>
      </c>
      <c r="B16" s="9" t="s">
        <v>12</v>
      </c>
      <c r="C16" s="9" t="s">
        <v>64</v>
      </c>
      <c r="D16" s="9" t="s">
        <v>65</v>
      </c>
      <c r="E16" s="9" t="s">
        <v>62</v>
      </c>
      <c r="F16" s="9" t="s">
        <v>63</v>
      </c>
      <c r="G16" s="10" t="n">
        <v>45852</v>
      </c>
      <c r="H16" s="9"/>
      <c r="I16" s="9"/>
      <c r="J16" s="9" t="s">
        <v>37</v>
      </c>
    </row>
    <row r="17" customFormat="false" ht="23.85" hidden="false" customHeight="false" outlineLevel="0" collapsed="false">
      <c r="A17" s="8" t="n">
        <v>13</v>
      </c>
      <c r="B17" s="9" t="s">
        <v>12</v>
      </c>
      <c r="C17" s="9" t="s">
        <v>66</v>
      </c>
      <c r="D17" s="9" t="s">
        <v>67</v>
      </c>
      <c r="E17" s="9" t="s">
        <v>68</v>
      </c>
      <c r="F17" s="9" t="s">
        <v>63</v>
      </c>
      <c r="G17" s="10" t="n">
        <v>46245</v>
      </c>
      <c r="H17" s="9"/>
      <c r="I17" s="9"/>
      <c r="J17" s="9" t="s">
        <v>37</v>
      </c>
    </row>
    <row r="18" customFormat="false" ht="35.05" hidden="false" customHeight="false" outlineLevel="0" collapsed="false">
      <c r="A18" s="8" t="n">
        <v>14</v>
      </c>
      <c r="B18" s="9" t="s">
        <v>12</v>
      </c>
      <c r="C18" s="9" t="s">
        <v>69</v>
      </c>
      <c r="D18" s="9" t="s">
        <v>70</v>
      </c>
      <c r="E18" s="9" t="s">
        <v>71</v>
      </c>
      <c r="F18" s="9" t="s">
        <v>72</v>
      </c>
      <c r="G18" s="10" t="n">
        <v>44966</v>
      </c>
      <c r="H18" s="9"/>
      <c r="I18" s="9"/>
      <c r="J18" s="9" t="s">
        <v>37</v>
      </c>
    </row>
    <row r="19" customFormat="false" ht="23.85" hidden="false" customHeight="false" outlineLevel="0" collapsed="false">
      <c r="A19" s="8" t="n">
        <v>15</v>
      </c>
      <c r="B19" s="9" t="s">
        <v>12</v>
      </c>
      <c r="C19" s="9" t="s">
        <v>73</v>
      </c>
      <c r="D19" s="9" t="s">
        <v>74</v>
      </c>
      <c r="E19" s="9" t="s">
        <v>75</v>
      </c>
      <c r="F19" s="9" t="s">
        <v>43</v>
      </c>
      <c r="G19" s="10" t="n">
        <v>45693</v>
      </c>
      <c r="H19" s="9"/>
      <c r="I19" s="9"/>
      <c r="J19" s="9" t="s">
        <v>37</v>
      </c>
    </row>
    <row r="20" customFormat="false" ht="23.85" hidden="false" customHeight="false" outlineLevel="0" collapsed="false">
      <c r="A20" s="8" t="n">
        <v>16</v>
      </c>
      <c r="B20" s="9" t="s">
        <v>12</v>
      </c>
      <c r="C20" s="9" t="s">
        <v>76</v>
      </c>
      <c r="D20" s="9" t="s">
        <v>77</v>
      </c>
      <c r="E20" s="9" t="s">
        <v>75</v>
      </c>
      <c r="F20" s="9" t="s">
        <v>63</v>
      </c>
      <c r="G20" s="10" t="n">
        <v>42121</v>
      </c>
      <c r="H20" s="9"/>
      <c r="I20" s="9"/>
      <c r="J20" s="9" t="s">
        <v>37</v>
      </c>
    </row>
    <row r="21" customFormat="false" ht="23.85" hidden="false" customHeight="false" outlineLevel="0" collapsed="false">
      <c r="A21" s="11" t="n">
        <v>17</v>
      </c>
      <c r="B21" s="12" t="s">
        <v>12</v>
      </c>
      <c r="C21" s="12" t="s">
        <v>78</v>
      </c>
      <c r="D21" s="12" t="s">
        <v>79</v>
      </c>
      <c r="E21" s="12" t="s">
        <v>75</v>
      </c>
      <c r="F21" s="12" t="s">
        <v>43</v>
      </c>
      <c r="G21" s="13" t="n">
        <v>45425</v>
      </c>
      <c r="H21" s="13" t="n">
        <v>45461</v>
      </c>
      <c r="I21" s="13" t="n">
        <v>45826</v>
      </c>
      <c r="J21" s="12" t="s">
        <v>52</v>
      </c>
    </row>
    <row r="22" customFormat="false" ht="23.85" hidden="false" customHeight="false" outlineLevel="0" collapsed="false">
      <c r="A22" s="8" t="n">
        <v>18</v>
      </c>
      <c r="B22" s="9" t="s">
        <v>12</v>
      </c>
      <c r="C22" s="9" t="s">
        <v>80</v>
      </c>
      <c r="D22" s="9" t="s">
        <v>74</v>
      </c>
      <c r="E22" s="9" t="s">
        <v>75</v>
      </c>
      <c r="F22" s="9" t="s">
        <v>43</v>
      </c>
      <c r="G22" s="10" t="n">
        <v>45901</v>
      </c>
      <c r="H22" s="9"/>
      <c r="I22" s="9"/>
      <c r="J22" s="9" t="s">
        <v>37</v>
      </c>
    </row>
    <row r="23" customFormat="false" ht="23.85" hidden="false" customHeight="false" outlineLevel="0" collapsed="false">
      <c r="A23" s="8" t="n">
        <v>19</v>
      </c>
      <c r="B23" s="9" t="s">
        <v>12</v>
      </c>
      <c r="C23" s="9" t="s">
        <v>81</v>
      </c>
      <c r="D23" s="9" t="s">
        <v>74</v>
      </c>
      <c r="E23" s="9" t="s">
        <v>75</v>
      </c>
      <c r="F23" s="9" t="s">
        <v>43</v>
      </c>
      <c r="G23" s="10" t="n">
        <v>46043</v>
      </c>
      <c r="H23" s="9"/>
      <c r="I23" s="9"/>
      <c r="J23" s="9" t="s">
        <v>37</v>
      </c>
    </row>
    <row r="24" customFormat="false" ht="23.85" hidden="false" customHeight="false" outlineLevel="0" collapsed="false">
      <c r="A24" s="11" t="n">
        <v>20</v>
      </c>
      <c r="B24" s="12" t="s">
        <v>12</v>
      </c>
      <c r="C24" s="12" t="s">
        <v>82</v>
      </c>
      <c r="D24" s="12" t="s">
        <v>34</v>
      </c>
      <c r="E24" s="12" t="s">
        <v>75</v>
      </c>
      <c r="F24" s="12" t="s">
        <v>36</v>
      </c>
      <c r="G24" s="13" t="n">
        <v>44124</v>
      </c>
      <c r="H24" s="13" t="n">
        <v>44662</v>
      </c>
      <c r="I24" s="13" t="n">
        <v>45027</v>
      </c>
      <c r="J24" s="12" t="s">
        <v>52</v>
      </c>
    </row>
    <row r="25" customFormat="false" ht="23.85" hidden="false" customHeight="false" outlineLevel="0" collapsed="false">
      <c r="A25" s="8" t="n">
        <v>21</v>
      </c>
      <c r="B25" s="9" t="s">
        <v>12</v>
      </c>
      <c r="C25" s="9" t="s">
        <v>83</v>
      </c>
      <c r="D25" s="9" t="s">
        <v>74</v>
      </c>
      <c r="E25" s="9" t="s">
        <v>75</v>
      </c>
      <c r="F25" s="9" t="s">
        <v>43</v>
      </c>
      <c r="G25" s="10" t="n">
        <v>45911</v>
      </c>
      <c r="H25" s="9"/>
      <c r="I25" s="9"/>
      <c r="J25" s="9" t="s">
        <v>37</v>
      </c>
    </row>
    <row r="26" customFormat="false" ht="23.85" hidden="false" customHeight="false" outlineLevel="0" collapsed="false">
      <c r="A26" s="8" t="n">
        <v>22</v>
      </c>
      <c r="B26" s="9" t="s">
        <v>12</v>
      </c>
      <c r="C26" s="9" t="s">
        <v>84</v>
      </c>
      <c r="D26" s="9" t="s">
        <v>79</v>
      </c>
      <c r="E26" s="9" t="s">
        <v>75</v>
      </c>
      <c r="F26" s="9" t="s">
        <v>43</v>
      </c>
      <c r="G26" s="10" t="n">
        <v>44368</v>
      </c>
      <c r="H26" s="9"/>
      <c r="I26" s="9"/>
      <c r="J26" s="9" t="s">
        <v>37</v>
      </c>
    </row>
    <row r="27" customFormat="false" ht="23.85" hidden="false" customHeight="false" outlineLevel="0" collapsed="false">
      <c r="A27" s="8" t="n">
        <v>23</v>
      </c>
      <c r="B27" s="9" t="s">
        <v>12</v>
      </c>
      <c r="C27" s="9" t="s">
        <v>85</v>
      </c>
      <c r="D27" s="9" t="s">
        <v>74</v>
      </c>
      <c r="E27" s="9" t="s">
        <v>75</v>
      </c>
      <c r="F27" s="9" t="s">
        <v>43</v>
      </c>
      <c r="G27" s="10" t="n">
        <v>45782</v>
      </c>
      <c r="H27" s="9"/>
      <c r="I27" s="9"/>
      <c r="J27" s="9" t="s">
        <v>37</v>
      </c>
    </row>
    <row r="28" customFormat="false" ht="23.85" hidden="false" customHeight="false" outlineLevel="0" collapsed="false">
      <c r="A28" s="8" t="n">
        <v>24</v>
      </c>
      <c r="B28" s="9" t="s">
        <v>12</v>
      </c>
      <c r="C28" s="9" t="s">
        <v>86</v>
      </c>
      <c r="D28" s="9" t="s">
        <v>74</v>
      </c>
      <c r="E28" s="9" t="s">
        <v>75</v>
      </c>
      <c r="F28" s="9" t="s">
        <v>43</v>
      </c>
      <c r="G28" s="10" t="n">
        <v>45847</v>
      </c>
      <c r="H28" s="9"/>
      <c r="I28" s="9"/>
      <c r="J28" s="9" t="s">
        <v>37</v>
      </c>
    </row>
    <row r="29" customFormat="false" ht="23.85" hidden="false" customHeight="false" outlineLevel="0" collapsed="false">
      <c r="A29" s="11" t="n">
        <v>25</v>
      </c>
      <c r="B29" s="12" t="s">
        <v>12</v>
      </c>
      <c r="C29" s="12" t="s">
        <v>87</v>
      </c>
      <c r="D29" s="12" t="s">
        <v>88</v>
      </c>
      <c r="E29" s="12" t="s">
        <v>75</v>
      </c>
      <c r="F29" s="12" t="s">
        <v>36</v>
      </c>
      <c r="G29" s="13" t="n">
        <v>42983</v>
      </c>
      <c r="H29" s="13" t="n">
        <v>44662</v>
      </c>
      <c r="I29" s="13" t="n">
        <v>45027</v>
      </c>
      <c r="J29" s="12" t="s">
        <v>52</v>
      </c>
    </row>
    <row r="30" customFormat="false" ht="23.85" hidden="false" customHeight="false" outlineLevel="0" collapsed="false">
      <c r="A30" s="8" t="n">
        <v>26</v>
      </c>
      <c r="B30" s="9" t="s">
        <v>12</v>
      </c>
      <c r="C30" s="9" t="s">
        <v>89</v>
      </c>
      <c r="D30" s="9" t="s">
        <v>90</v>
      </c>
      <c r="E30" s="9" t="s">
        <v>75</v>
      </c>
      <c r="F30" s="9" t="s">
        <v>43</v>
      </c>
      <c r="G30" s="10" t="n">
        <v>45782</v>
      </c>
      <c r="H30" s="9"/>
      <c r="I30" s="9"/>
      <c r="J30" s="9" t="s">
        <v>37</v>
      </c>
    </row>
    <row r="31" customFormat="false" ht="23.85" hidden="false" customHeight="false" outlineLevel="0" collapsed="false">
      <c r="A31" s="8" t="n">
        <v>27</v>
      </c>
      <c r="B31" s="9" t="s">
        <v>12</v>
      </c>
      <c r="C31" s="9" t="s">
        <v>91</v>
      </c>
      <c r="D31" s="9" t="s">
        <v>74</v>
      </c>
      <c r="E31" s="9" t="s">
        <v>75</v>
      </c>
      <c r="F31" s="9" t="s">
        <v>43</v>
      </c>
      <c r="G31" s="10" t="n">
        <v>45765</v>
      </c>
      <c r="H31" s="9"/>
      <c r="I31" s="9"/>
      <c r="J31" s="9" t="s">
        <v>37</v>
      </c>
    </row>
    <row r="32" customFormat="false" ht="23.85" hidden="false" customHeight="false" outlineLevel="0" collapsed="false">
      <c r="A32" s="8" t="n">
        <v>28</v>
      </c>
      <c r="B32" s="9" t="s">
        <v>12</v>
      </c>
      <c r="C32" s="9" t="s">
        <v>92</v>
      </c>
      <c r="D32" s="9" t="s">
        <v>74</v>
      </c>
      <c r="E32" s="9" t="s">
        <v>75</v>
      </c>
      <c r="F32" s="9" t="s">
        <v>43</v>
      </c>
      <c r="G32" s="10" t="n">
        <v>45666</v>
      </c>
      <c r="H32" s="9"/>
      <c r="I32" s="9"/>
      <c r="J32" s="9" t="s">
        <v>37</v>
      </c>
    </row>
    <row r="33" customFormat="false" ht="23.85" hidden="false" customHeight="false" outlineLevel="0" collapsed="false">
      <c r="A33" s="8" t="n">
        <v>29</v>
      </c>
      <c r="B33" s="9" t="s">
        <v>12</v>
      </c>
      <c r="C33" s="9" t="s">
        <v>93</v>
      </c>
      <c r="D33" s="9" t="s">
        <v>74</v>
      </c>
      <c r="E33" s="9" t="s">
        <v>75</v>
      </c>
      <c r="F33" s="9" t="s">
        <v>43</v>
      </c>
      <c r="G33" s="10" t="n">
        <v>46062</v>
      </c>
      <c r="H33" s="9"/>
      <c r="I33" s="9"/>
      <c r="J33" s="9" t="s">
        <v>37</v>
      </c>
    </row>
    <row r="34" customFormat="false" ht="23.85" hidden="false" customHeight="false" outlineLevel="0" collapsed="false">
      <c r="A34" s="8" t="n">
        <v>30</v>
      </c>
      <c r="B34" s="9" t="s">
        <v>12</v>
      </c>
      <c r="C34" s="9" t="s">
        <v>94</v>
      </c>
      <c r="D34" s="9" t="s">
        <v>95</v>
      </c>
      <c r="E34" s="9" t="s">
        <v>96</v>
      </c>
      <c r="F34" s="9" t="s">
        <v>40</v>
      </c>
      <c r="G34" s="10" t="n">
        <v>46127</v>
      </c>
      <c r="H34" s="9"/>
      <c r="I34" s="9"/>
      <c r="J34" s="9" t="s">
        <v>37</v>
      </c>
    </row>
    <row r="35" customFormat="false" ht="23.85" hidden="false" customHeight="false" outlineLevel="0" collapsed="false">
      <c r="A35" s="8" t="n">
        <v>31</v>
      </c>
      <c r="B35" s="9" t="s">
        <v>12</v>
      </c>
      <c r="C35" s="9" t="s">
        <v>97</v>
      </c>
      <c r="D35" s="9" t="s">
        <v>34</v>
      </c>
      <c r="E35" s="9" t="s">
        <v>98</v>
      </c>
      <c r="F35" s="9" t="s">
        <v>36</v>
      </c>
      <c r="G35" s="10" t="n">
        <v>45852</v>
      </c>
      <c r="H35" s="9"/>
      <c r="I35" s="9"/>
      <c r="J35" s="9" t="s">
        <v>37</v>
      </c>
    </row>
    <row r="36" customFormat="false" ht="23.85" hidden="false" customHeight="false" outlineLevel="0" collapsed="false">
      <c r="A36" s="8" t="n">
        <v>32</v>
      </c>
      <c r="B36" s="9" t="s">
        <v>12</v>
      </c>
      <c r="C36" s="9" t="s">
        <v>99</v>
      </c>
      <c r="D36" s="9" t="s">
        <v>100</v>
      </c>
      <c r="E36" s="9" t="s">
        <v>98</v>
      </c>
      <c r="F36" s="9" t="s">
        <v>36</v>
      </c>
      <c r="G36" s="10" t="n">
        <v>46293</v>
      </c>
      <c r="H36" s="9"/>
      <c r="I36" s="9"/>
      <c r="J36" s="9" t="s">
        <v>37</v>
      </c>
    </row>
    <row r="37" customFormat="false" ht="23.85" hidden="false" customHeight="false" outlineLevel="0" collapsed="false">
      <c r="A37" s="11" t="n">
        <v>33</v>
      </c>
      <c r="B37" s="12" t="s">
        <v>12</v>
      </c>
      <c r="C37" s="12" t="s">
        <v>101</v>
      </c>
      <c r="D37" s="12" t="s">
        <v>34</v>
      </c>
      <c r="E37" s="12" t="s">
        <v>98</v>
      </c>
      <c r="F37" s="12" t="s">
        <v>36</v>
      </c>
      <c r="G37" s="13" t="n">
        <v>45797</v>
      </c>
      <c r="H37" s="13" t="n">
        <v>45768</v>
      </c>
      <c r="I37" s="13" t="n">
        <v>46133</v>
      </c>
      <c r="J37" s="12" t="s">
        <v>52</v>
      </c>
    </row>
    <row r="38" customFormat="false" ht="23.85" hidden="false" customHeight="false" outlineLevel="0" collapsed="false">
      <c r="A38" s="11" t="n">
        <v>34</v>
      </c>
      <c r="B38" s="12" t="s">
        <v>12</v>
      </c>
      <c r="C38" s="12" t="s">
        <v>102</v>
      </c>
      <c r="D38" s="12" t="s">
        <v>34</v>
      </c>
      <c r="E38" s="12" t="s">
        <v>98</v>
      </c>
      <c r="F38" s="12" t="s">
        <v>36</v>
      </c>
      <c r="G38" s="13" t="n">
        <v>45793</v>
      </c>
      <c r="H38" s="13" t="n">
        <v>45791</v>
      </c>
      <c r="I38" s="13" t="n">
        <v>46156</v>
      </c>
      <c r="J38" s="12" t="s">
        <v>52</v>
      </c>
    </row>
    <row r="39" customFormat="false" ht="23.85" hidden="false" customHeight="false" outlineLevel="0" collapsed="false">
      <c r="A39" s="11" t="n">
        <v>35</v>
      </c>
      <c r="B39" s="12" t="s">
        <v>12</v>
      </c>
      <c r="C39" s="12" t="s">
        <v>103</v>
      </c>
      <c r="D39" s="12" t="s">
        <v>34</v>
      </c>
      <c r="E39" s="12" t="s">
        <v>98</v>
      </c>
      <c r="F39" s="12" t="s">
        <v>36</v>
      </c>
      <c r="G39" s="13" t="n">
        <v>44322</v>
      </c>
      <c r="H39" s="13" t="n">
        <v>44662</v>
      </c>
      <c r="I39" s="13" t="n">
        <v>45027</v>
      </c>
      <c r="J39" s="12" t="s">
        <v>52</v>
      </c>
    </row>
    <row r="40" customFormat="false" ht="23.85" hidden="false" customHeight="false" outlineLevel="0" collapsed="false">
      <c r="A40" s="8" t="n">
        <v>36</v>
      </c>
      <c r="B40" s="9" t="s">
        <v>12</v>
      </c>
      <c r="C40" s="9" t="s">
        <v>104</v>
      </c>
      <c r="D40" s="9" t="s">
        <v>57</v>
      </c>
      <c r="E40" s="9" t="s">
        <v>98</v>
      </c>
      <c r="F40" s="9" t="s">
        <v>36</v>
      </c>
      <c r="G40" s="10" t="n">
        <v>46140</v>
      </c>
      <c r="H40" s="9"/>
      <c r="I40" s="9"/>
      <c r="J40" s="9" t="s">
        <v>37</v>
      </c>
    </row>
    <row r="41" customFormat="false" ht="23.85" hidden="false" customHeight="false" outlineLevel="0" collapsed="false">
      <c r="A41" s="11" t="n">
        <v>37</v>
      </c>
      <c r="B41" s="12" t="s">
        <v>12</v>
      </c>
      <c r="C41" s="12" t="s">
        <v>105</v>
      </c>
      <c r="D41" s="12" t="s">
        <v>57</v>
      </c>
      <c r="E41" s="12" t="s">
        <v>98</v>
      </c>
      <c r="F41" s="12" t="s">
        <v>36</v>
      </c>
      <c r="G41" s="13" t="n">
        <v>45796</v>
      </c>
      <c r="H41" s="13" t="n">
        <v>45784</v>
      </c>
      <c r="I41" s="13" t="n">
        <v>46149</v>
      </c>
      <c r="J41" s="12" t="s">
        <v>52</v>
      </c>
    </row>
    <row r="42" customFormat="false" ht="23.85" hidden="false" customHeight="false" outlineLevel="0" collapsed="false">
      <c r="A42" s="8" t="n">
        <v>38</v>
      </c>
      <c r="B42" s="9" t="s">
        <v>12</v>
      </c>
      <c r="C42" s="9" t="s">
        <v>106</v>
      </c>
      <c r="D42" s="9" t="s">
        <v>57</v>
      </c>
      <c r="E42" s="9" t="s">
        <v>98</v>
      </c>
      <c r="F42" s="9" t="s">
        <v>36</v>
      </c>
      <c r="G42" s="10" t="n">
        <v>45873</v>
      </c>
      <c r="H42" s="9"/>
      <c r="I42" s="9"/>
      <c r="J42" s="9" t="s">
        <v>37</v>
      </c>
    </row>
    <row r="43" customFormat="false" ht="23.85" hidden="false" customHeight="false" outlineLevel="0" collapsed="false">
      <c r="A43" s="11" t="n">
        <v>39</v>
      </c>
      <c r="B43" s="12" t="s">
        <v>12</v>
      </c>
      <c r="C43" s="12" t="s">
        <v>107</v>
      </c>
      <c r="D43" s="12" t="s">
        <v>34</v>
      </c>
      <c r="E43" s="12" t="s">
        <v>98</v>
      </c>
      <c r="F43" s="12" t="s">
        <v>36</v>
      </c>
      <c r="G43" s="13" t="n">
        <v>45810</v>
      </c>
      <c r="H43" s="13" t="n">
        <v>45805</v>
      </c>
      <c r="I43" s="13" t="n">
        <v>46170</v>
      </c>
      <c r="J43" s="12" t="s">
        <v>52</v>
      </c>
    </row>
    <row r="44" customFormat="false" ht="23.85" hidden="false" customHeight="false" outlineLevel="0" collapsed="false">
      <c r="A44" s="8" t="n">
        <v>40</v>
      </c>
      <c r="B44" s="9" t="s">
        <v>12</v>
      </c>
      <c r="C44" s="9" t="s">
        <v>108</v>
      </c>
      <c r="D44" s="9" t="s">
        <v>34</v>
      </c>
      <c r="E44" s="9" t="s">
        <v>98</v>
      </c>
      <c r="F44" s="9" t="s">
        <v>36</v>
      </c>
      <c r="G44" s="10" t="n">
        <v>45846</v>
      </c>
      <c r="H44" s="9"/>
      <c r="I44" s="9"/>
      <c r="J44" s="9" t="s">
        <v>37</v>
      </c>
    </row>
    <row r="45" customFormat="false" ht="23.85" hidden="false" customHeight="false" outlineLevel="0" collapsed="false">
      <c r="A45" s="11" t="n">
        <v>41</v>
      </c>
      <c r="B45" s="12" t="s">
        <v>12</v>
      </c>
      <c r="C45" s="12" t="s">
        <v>109</v>
      </c>
      <c r="D45" s="12" t="s">
        <v>34</v>
      </c>
      <c r="E45" s="12" t="s">
        <v>98</v>
      </c>
      <c r="F45" s="12" t="s">
        <v>36</v>
      </c>
      <c r="G45" s="13" t="n">
        <v>44153</v>
      </c>
      <c r="H45" s="13" t="n">
        <v>44662</v>
      </c>
      <c r="I45" s="13" t="n">
        <v>45027</v>
      </c>
      <c r="J45" s="12" t="s">
        <v>52</v>
      </c>
    </row>
    <row r="46" customFormat="false" ht="23.85" hidden="false" customHeight="false" outlineLevel="0" collapsed="false">
      <c r="A46" s="11" t="n">
        <v>42</v>
      </c>
      <c r="B46" s="12" t="s">
        <v>12</v>
      </c>
      <c r="C46" s="12" t="s">
        <v>110</v>
      </c>
      <c r="D46" s="12" t="s">
        <v>57</v>
      </c>
      <c r="E46" s="12" t="s">
        <v>98</v>
      </c>
      <c r="F46" s="12" t="s">
        <v>36</v>
      </c>
      <c r="G46" s="13" t="n">
        <v>45813</v>
      </c>
      <c r="H46" s="13" t="n">
        <v>45810</v>
      </c>
      <c r="I46" s="13" t="n">
        <v>46175</v>
      </c>
      <c r="J46" s="12" t="s">
        <v>52</v>
      </c>
    </row>
    <row r="47" customFormat="false" ht="23.85" hidden="false" customHeight="false" outlineLevel="0" collapsed="false">
      <c r="A47" s="11" t="n">
        <v>43</v>
      </c>
      <c r="B47" s="12" t="s">
        <v>12</v>
      </c>
      <c r="C47" s="12" t="s">
        <v>111</v>
      </c>
      <c r="D47" s="12" t="s">
        <v>34</v>
      </c>
      <c r="E47" s="12" t="s">
        <v>98</v>
      </c>
      <c r="F47" s="12" t="s">
        <v>36</v>
      </c>
      <c r="G47" s="13" t="n">
        <v>45806</v>
      </c>
      <c r="H47" s="13" t="n">
        <v>45784</v>
      </c>
      <c r="I47" s="13" t="n">
        <v>46149</v>
      </c>
      <c r="J47" s="12" t="s">
        <v>52</v>
      </c>
    </row>
    <row r="48" customFormat="false" ht="23.85" hidden="false" customHeight="false" outlineLevel="0" collapsed="false">
      <c r="A48" s="8" t="n">
        <v>44</v>
      </c>
      <c r="B48" s="9" t="s">
        <v>12</v>
      </c>
      <c r="C48" s="9" t="s">
        <v>112</v>
      </c>
      <c r="D48" s="9" t="s">
        <v>57</v>
      </c>
      <c r="E48" s="9" t="s">
        <v>98</v>
      </c>
      <c r="F48" s="9" t="s">
        <v>36</v>
      </c>
      <c r="G48" s="10" t="n">
        <v>45789</v>
      </c>
      <c r="H48" s="9"/>
      <c r="I48" s="9"/>
      <c r="J48" s="9" t="s">
        <v>37</v>
      </c>
    </row>
    <row r="49" customFormat="false" ht="23.85" hidden="false" customHeight="false" outlineLevel="0" collapsed="false">
      <c r="A49" s="8" t="n">
        <v>45</v>
      </c>
      <c r="B49" s="9" t="s">
        <v>12</v>
      </c>
      <c r="C49" s="9" t="s">
        <v>113</v>
      </c>
      <c r="D49" s="9" t="s">
        <v>57</v>
      </c>
      <c r="E49" s="9" t="s">
        <v>98</v>
      </c>
      <c r="F49" s="9" t="s">
        <v>36</v>
      </c>
      <c r="G49" s="10" t="n">
        <v>45769</v>
      </c>
      <c r="H49" s="9"/>
      <c r="I49" s="9"/>
      <c r="J49" s="9" t="s">
        <v>37</v>
      </c>
    </row>
    <row r="50" customFormat="false" ht="23.85" hidden="false" customHeight="false" outlineLevel="0" collapsed="false">
      <c r="A50" s="8" t="n">
        <v>46</v>
      </c>
      <c r="B50" s="9" t="s">
        <v>12</v>
      </c>
      <c r="C50" s="9" t="s">
        <v>114</v>
      </c>
      <c r="D50" s="9" t="s">
        <v>54</v>
      </c>
      <c r="E50" s="9" t="s">
        <v>115</v>
      </c>
      <c r="F50" s="9" t="s">
        <v>43</v>
      </c>
      <c r="G50" s="10" t="n">
        <v>45852</v>
      </c>
      <c r="H50" s="9"/>
      <c r="I50" s="9"/>
      <c r="J50" s="9" t="s">
        <v>37</v>
      </c>
    </row>
    <row r="51" customFormat="false" ht="23.85" hidden="false" customHeight="false" outlineLevel="0" collapsed="false">
      <c r="A51" s="8" t="n">
        <v>47</v>
      </c>
      <c r="B51" s="9" t="s">
        <v>12</v>
      </c>
      <c r="C51" s="9" t="s">
        <v>116</v>
      </c>
      <c r="D51" s="9" t="s">
        <v>117</v>
      </c>
      <c r="E51" s="9" t="s">
        <v>115</v>
      </c>
      <c r="F51" s="9" t="s">
        <v>63</v>
      </c>
      <c r="G51" s="10" t="n">
        <v>45700</v>
      </c>
      <c r="H51" s="9"/>
      <c r="I51" s="9"/>
      <c r="J51" s="9" t="s">
        <v>37</v>
      </c>
    </row>
    <row r="52" customFormat="false" ht="23.85" hidden="false" customHeight="false" outlineLevel="0" collapsed="false">
      <c r="A52" s="8" t="n">
        <v>48</v>
      </c>
      <c r="B52" s="9" t="s">
        <v>12</v>
      </c>
      <c r="C52" s="9" t="s">
        <v>118</v>
      </c>
      <c r="D52" s="9" t="s">
        <v>54</v>
      </c>
      <c r="E52" s="9" t="s">
        <v>115</v>
      </c>
      <c r="F52" s="9" t="s">
        <v>43</v>
      </c>
      <c r="G52" s="10" t="n">
        <v>45915</v>
      </c>
      <c r="H52" s="9"/>
      <c r="I52" s="9"/>
      <c r="J52" s="9" t="s">
        <v>37</v>
      </c>
    </row>
    <row r="53" customFormat="false" ht="23.85" hidden="false" customHeight="false" outlineLevel="0" collapsed="false">
      <c r="A53" s="8" t="n">
        <v>49</v>
      </c>
      <c r="B53" s="9" t="s">
        <v>12</v>
      </c>
      <c r="C53" s="9" t="s">
        <v>119</v>
      </c>
      <c r="D53" s="9" t="s">
        <v>51</v>
      </c>
      <c r="E53" s="9" t="s">
        <v>115</v>
      </c>
      <c r="F53" s="9" t="s">
        <v>43</v>
      </c>
      <c r="G53" s="10" t="n">
        <v>46141</v>
      </c>
      <c r="H53" s="9"/>
      <c r="I53" s="9"/>
      <c r="J53" s="9" t="s">
        <v>37</v>
      </c>
    </row>
    <row r="54" customFormat="false" ht="23.85" hidden="false" customHeight="false" outlineLevel="0" collapsed="false">
      <c r="A54" s="8" t="n">
        <v>50</v>
      </c>
      <c r="B54" s="9" t="s">
        <v>12</v>
      </c>
      <c r="C54" s="9" t="s">
        <v>120</v>
      </c>
      <c r="D54" s="9" t="s">
        <v>51</v>
      </c>
      <c r="E54" s="9" t="s">
        <v>115</v>
      </c>
      <c r="F54" s="9" t="s">
        <v>43</v>
      </c>
      <c r="G54" s="10" t="n">
        <v>45551</v>
      </c>
      <c r="H54" s="9"/>
      <c r="I54" s="9"/>
      <c r="J54" s="9" t="s">
        <v>37</v>
      </c>
    </row>
    <row r="55" customFormat="false" ht="15" hidden="false" customHeight="false" outlineLevel="0" collapsed="false">
      <c r="A55" s="11" t="n">
        <v>51</v>
      </c>
      <c r="B55" s="12" t="s">
        <v>12</v>
      </c>
      <c r="C55" s="12" t="s">
        <v>121</v>
      </c>
      <c r="D55" s="12" t="s">
        <v>117</v>
      </c>
      <c r="E55" s="12" t="s">
        <v>115</v>
      </c>
      <c r="F55" s="12" t="s">
        <v>63</v>
      </c>
      <c r="G55" s="13" t="n">
        <v>45838</v>
      </c>
      <c r="H55" s="13" t="n">
        <v>45825</v>
      </c>
      <c r="I55" s="13" t="n">
        <v>46190</v>
      </c>
      <c r="J55" s="12" t="s">
        <v>52</v>
      </c>
    </row>
    <row r="56" customFormat="false" ht="23.85" hidden="false" customHeight="false" outlineLevel="0" collapsed="false">
      <c r="A56" s="8" t="n">
        <v>52</v>
      </c>
      <c r="B56" s="9" t="s">
        <v>12</v>
      </c>
      <c r="C56" s="9" t="s">
        <v>122</v>
      </c>
      <c r="D56" s="9" t="s">
        <v>51</v>
      </c>
      <c r="E56" s="9" t="s">
        <v>115</v>
      </c>
      <c r="F56" s="9" t="s">
        <v>43</v>
      </c>
      <c r="G56" s="10" t="n">
        <v>45614</v>
      </c>
      <c r="H56" s="9"/>
      <c r="I56" s="9"/>
      <c r="J56" s="9" t="s">
        <v>37</v>
      </c>
    </row>
    <row r="57" customFormat="false" ht="23.85" hidden="false" customHeight="false" outlineLevel="0" collapsed="false">
      <c r="A57" s="8" t="n">
        <v>53</v>
      </c>
      <c r="B57" s="9" t="s">
        <v>12</v>
      </c>
      <c r="C57" s="9" t="s">
        <v>123</v>
      </c>
      <c r="D57" s="9" t="s">
        <v>54</v>
      </c>
      <c r="E57" s="9" t="s">
        <v>115</v>
      </c>
      <c r="F57" s="9" t="s">
        <v>43</v>
      </c>
      <c r="G57" s="10" t="n">
        <v>46296</v>
      </c>
      <c r="H57" s="9"/>
      <c r="I57" s="9"/>
      <c r="J57" s="9" t="s">
        <v>37</v>
      </c>
    </row>
    <row r="58" customFormat="false" ht="15" hidden="false" customHeight="false" outlineLevel="0" collapsed="false">
      <c r="A58" s="11" t="n">
        <v>54</v>
      </c>
      <c r="B58" s="12" t="s">
        <v>12</v>
      </c>
      <c r="C58" s="12" t="s">
        <v>124</v>
      </c>
      <c r="D58" s="12" t="s">
        <v>51</v>
      </c>
      <c r="E58" s="12" t="s">
        <v>115</v>
      </c>
      <c r="F58" s="12" t="s">
        <v>43</v>
      </c>
      <c r="G58" s="13" t="n">
        <v>45817</v>
      </c>
      <c r="H58" s="13" t="n">
        <v>45813</v>
      </c>
      <c r="I58" s="13" t="n">
        <v>46178</v>
      </c>
      <c r="J58" s="12" t="s">
        <v>52</v>
      </c>
    </row>
    <row r="59" customFormat="false" ht="23.85" hidden="false" customHeight="false" outlineLevel="0" collapsed="false">
      <c r="A59" s="8" t="n">
        <v>55</v>
      </c>
      <c r="B59" s="9" t="s">
        <v>12</v>
      </c>
      <c r="C59" s="9" t="s">
        <v>125</v>
      </c>
      <c r="D59" s="9" t="s">
        <v>54</v>
      </c>
      <c r="E59" s="9" t="s">
        <v>115</v>
      </c>
      <c r="F59" s="9" t="s">
        <v>43</v>
      </c>
      <c r="G59" s="10" t="n">
        <v>44600</v>
      </c>
      <c r="H59" s="9"/>
      <c r="I59" s="9"/>
      <c r="J59" s="9" t="s">
        <v>37</v>
      </c>
    </row>
    <row r="60" customFormat="false" ht="15" hidden="false" customHeight="false" outlineLevel="0" collapsed="false">
      <c r="A60" s="14" t="n">
        <v>56</v>
      </c>
      <c r="B60" s="15" t="s">
        <v>12</v>
      </c>
      <c r="C60" s="15" t="s">
        <v>126</v>
      </c>
      <c r="D60" s="15" t="s">
        <v>51</v>
      </c>
      <c r="E60" s="15" t="s">
        <v>115</v>
      </c>
      <c r="F60" s="15" t="s">
        <v>43</v>
      </c>
      <c r="G60" s="16" t="n">
        <v>45969</v>
      </c>
      <c r="H60" s="16" t="n">
        <v>45948</v>
      </c>
      <c r="I60" s="16" t="n">
        <v>46313</v>
      </c>
      <c r="J60" s="15" t="s">
        <v>127</v>
      </c>
    </row>
    <row r="61" customFormat="false" ht="23.85" hidden="false" customHeight="false" outlineLevel="0" collapsed="false">
      <c r="A61" s="8" t="n">
        <v>57</v>
      </c>
      <c r="B61" s="9" t="s">
        <v>12</v>
      </c>
      <c r="C61" s="9" t="s">
        <v>128</v>
      </c>
      <c r="D61" s="9" t="s">
        <v>54</v>
      </c>
      <c r="E61" s="9" t="s">
        <v>115</v>
      </c>
      <c r="F61" s="9" t="s">
        <v>43</v>
      </c>
      <c r="G61" s="10" t="n">
        <v>45873</v>
      </c>
      <c r="H61" s="9"/>
      <c r="I61" s="9"/>
      <c r="J61" s="9" t="s">
        <v>37</v>
      </c>
    </row>
    <row r="62" customFormat="false" ht="23.85" hidden="false" customHeight="false" outlineLevel="0" collapsed="false">
      <c r="A62" s="8" t="n">
        <v>58</v>
      </c>
      <c r="B62" s="9" t="s">
        <v>12</v>
      </c>
      <c r="C62" s="9" t="s">
        <v>129</v>
      </c>
      <c r="D62" s="9" t="s">
        <v>54</v>
      </c>
      <c r="E62" s="9" t="s">
        <v>115</v>
      </c>
      <c r="F62" s="9" t="s">
        <v>43</v>
      </c>
      <c r="G62" s="10" t="n">
        <v>45425</v>
      </c>
      <c r="H62" s="9"/>
      <c r="I62" s="9"/>
      <c r="J62" s="9" t="s">
        <v>37</v>
      </c>
    </row>
    <row r="63" customFormat="false" ht="23.85" hidden="false" customHeight="false" outlineLevel="0" collapsed="false">
      <c r="A63" s="8" t="n">
        <v>59</v>
      </c>
      <c r="B63" s="9" t="s">
        <v>12</v>
      </c>
      <c r="C63" s="9" t="s">
        <v>130</v>
      </c>
      <c r="D63" s="9" t="s">
        <v>51</v>
      </c>
      <c r="E63" s="9" t="s">
        <v>115</v>
      </c>
      <c r="F63" s="9" t="s">
        <v>43</v>
      </c>
      <c r="G63" s="10" t="n">
        <v>45775</v>
      </c>
      <c r="H63" s="9"/>
      <c r="I63" s="9"/>
      <c r="J63" s="9" t="s">
        <v>37</v>
      </c>
    </row>
    <row r="64" customFormat="false" ht="15" hidden="false" customHeight="false" outlineLevel="0" collapsed="false">
      <c r="A64" s="11" t="n">
        <v>60</v>
      </c>
      <c r="B64" s="12" t="s">
        <v>12</v>
      </c>
      <c r="C64" s="12" t="s">
        <v>131</v>
      </c>
      <c r="D64" s="12" t="s">
        <v>54</v>
      </c>
      <c r="E64" s="12" t="s">
        <v>115</v>
      </c>
      <c r="F64" s="12" t="s">
        <v>43</v>
      </c>
      <c r="G64" s="13" t="n">
        <v>45917</v>
      </c>
      <c r="H64" s="13" t="n">
        <v>45909</v>
      </c>
      <c r="I64" s="13" t="n">
        <v>46274</v>
      </c>
      <c r="J64" s="12" t="s">
        <v>52</v>
      </c>
    </row>
    <row r="65" customFormat="false" ht="23.85" hidden="false" customHeight="false" outlineLevel="0" collapsed="false">
      <c r="A65" s="8" t="n">
        <v>61</v>
      </c>
      <c r="B65" s="9" t="s">
        <v>12</v>
      </c>
      <c r="C65" s="9" t="s">
        <v>132</v>
      </c>
      <c r="D65" s="9" t="s">
        <v>51</v>
      </c>
      <c r="E65" s="9" t="s">
        <v>115</v>
      </c>
      <c r="F65" s="9" t="s">
        <v>43</v>
      </c>
      <c r="G65" s="10" t="n">
        <v>45775</v>
      </c>
      <c r="H65" s="9"/>
      <c r="I65" s="9"/>
      <c r="J65" s="9" t="s">
        <v>37</v>
      </c>
    </row>
    <row r="66" customFormat="false" ht="23.85" hidden="false" customHeight="false" outlineLevel="0" collapsed="false">
      <c r="A66" s="8" t="n">
        <v>62</v>
      </c>
      <c r="B66" s="9" t="s">
        <v>12</v>
      </c>
      <c r="C66" s="9" t="s">
        <v>133</v>
      </c>
      <c r="D66" s="9" t="s">
        <v>51</v>
      </c>
      <c r="E66" s="9" t="s">
        <v>115</v>
      </c>
      <c r="F66" s="9" t="s">
        <v>43</v>
      </c>
      <c r="G66" s="10" t="n">
        <v>45995</v>
      </c>
      <c r="H66" s="9"/>
      <c r="I66" s="9"/>
      <c r="J66" s="9" t="s">
        <v>37</v>
      </c>
    </row>
    <row r="67" customFormat="false" ht="23.85" hidden="false" customHeight="false" outlineLevel="0" collapsed="false">
      <c r="A67" s="8" t="n">
        <v>63</v>
      </c>
      <c r="B67" s="9" t="s">
        <v>12</v>
      </c>
      <c r="C67" s="9" t="s">
        <v>134</v>
      </c>
      <c r="D67" s="9" t="s">
        <v>54</v>
      </c>
      <c r="E67" s="9" t="s">
        <v>115</v>
      </c>
      <c r="F67" s="9" t="s">
        <v>43</v>
      </c>
      <c r="G67" s="10" t="n">
        <v>44378</v>
      </c>
      <c r="H67" s="9"/>
      <c r="I67" s="9"/>
      <c r="J67" s="9" t="s">
        <v>37</v>
      </c>
    </row>
    <row r="68" customFormat="false" ht="23.85" hidden="false" customHeight="false" outlineLevel="0" collapsed="false">
      <c r="A68" s="8" t="n">
        <v>64</v>
      </c>
      <c r="B68" s="9" t="s">
        <v>12</v>
      </c>
      <c r="C68" s="9" t="s">
        <v>135</v>
      </c>
      <c r="D68" s="9" t="s">
        <v>54</v>
      </c>
      <c r="E68" s="9" t="s">
        <v>115</v>
      </c>
      <c r="F68" s="9" t="s">
        <v>43</v>
      </c>
      <c r="G68" s="10" t="n">
        <v>44789</v>
      </c>
      <c r="H68" s="9"/>
      <c r="I68" s="9"/>
      <c r="J68" s="9" t="s">
        <v>37</v>
      </c>
    </row>
    <row r="69" customFormat="false" ht="23.85" hidden="false" customHeight="false" outlineLevel="0" collapsed="false">
      <c r="A69" s="8" t="n">
        <v>65</v>
      </c>
      <c r="B69" s="9" t="s">
        <v>12</v>
      </c>
      <c r="C69" s="9" t="s">
        <v>136</v>
      </c>
      <c r="D69" s="9" t="s">
        <v>54</v>
      </c>
      <c r="E69" s="9" t="s">
        <v>115</v>
      </c>
      <c r="F69" s="9" t="s">
        <v>43</v>
      </c>
      <c r="G69" s="10" t="n">
        <v>44153</v>
      </c>
      <c r="H69" s="9"/>
      <c r="I69" s="9"/>
      <c r="J69" s="9" t="s">
        <v>37</v>
      </c>
    </row>
    <row r="70" customFormat="false" ht="23.85" hidden="false" customHeight="false" outlineLevel="0" collapsed="false">
      <c r="A70" s="8" t="n">
        <v>66</v>
      </c>
      <c r="B70" s="9" t="s">
        <v>12</v>
      </c>
      <c r="C70" s="9" t="s">
        <v>137</v>
      </c>
      <c r="D70" s="9" t="s">
        <v>51</v>
      </c>
      <c r="E70" s="9" t="s">
        <v>115</v>
      </c>
      <c r="F70" s="9" t="s">
        <v>43</v>
      </c>
      <c r="G70" s="10" t="n">
        <v>44977</v>
      </c>
      <c r="H70" s="9"/>
      <c r="I70" s="9"/>
      <c r="J70" s="9" t="s">
        <v>37</v>
      </c>
    </row>
    <row r="71" customFormat="false" ht="23.85" hidden="false" customHeight="false" outlineLevel="0" collapsed="false">
      <c r="A71" s="8" t="n">
        <v>67</v>
      </c>
      <c r="B71" s="9" t="s">
        <v>12</v>
      </c>
      <c r="C71" s="9" t="s">
        <v>138</v>
      </c>
      <c r="D71" s="9" t="s">
        <v>51</v>
      </c>
      <c r="E71" s="9" t="s">
        <v>115</v>
      </c>
      <c r="F71" s="9" t="s">
        <v>43</v>
      </c>
      <c r="G71" s="10" t="n">
        <v>45567</v>
      </c>
      <c r="H71" s="9"/>
      <c r="I71" s="9"/>
      <c r="J71" s="9" t="s">
        <v>37</v>
      </c>
    </row>
    <row r="72" customFormat="false" ht="23.85" hidden="false" customHeight="false" outlineLevel="0" collapsed="false">
      <c r="A72" s="8" t="n">
        <v>68</v>
      </c>
      <c r="B72" s="9" t="s">
        <v>12</v>
      </c>
      <c r="C72" s="9" t="s">
        <v>139</v>
      </c>
      <c r="D72" s="9" t="s">
        <v>51</v>
      </c>
      <c r="E72" s="9" t="s">
        <v>115</v>
      </c>
      <c r="F72" s="9" t="s">
        <v>43</v>
      </c>
      <c r="G72" s="10" t="n">
        <v>45896</v>
      </c>
      <c r="H72" s="9"/>
      <c r="I72" s="9"/>
      <c r="J72" s="9" t="s">
        <v>37</v>
      </c>
    </row>
    <row r="73" customFormat="false" ht="23.85" hidden="false" customHeight="false" outlineLevel="0" collapsed="false">
      <c r="A73" s="8" t="n">
        <v>69</v>
      </c>
      <c r="B73" s="9" t="s">
        <v>12</v>
      </c>
      <c r="C73" s="9" t="s">
        <v>140</v>
      </c>
      <c r="D73" s="9" t="s">
        <v>117</v>
      </c>
      <c r="E73" s="9" t="s">
        <v>115</v>
      </c>
      <c r="F73" s="9" t="s">
        <v>63</v>
      </c>
      <c r="G73" s="10" t="n">
        <v>46041</v>
      </c>
      <c r="H73" s="9"/>
      <c r="I73" s="9"/>
      <c r="J73" s="9" t="s">
        <v>37</v>
      </c>
    </row>
    <row r="74" customFormat="false" ht="23.85" hidden="false" customHeight="false" outlineLevel="0" collapsed="false">
      <c r="A74" s="8" t="n">
        <v>70</v>
      </c>
      <c r="B74" s="9" t="s">
        <v>12</v>
      </c>
      <c r="C74" s="9" t="s">
        <v>141</v>
      </c>
      <c r="D74" s="9" t="s">
        <v>54</v>
      </c>
      <c r="E74" s="9" t="s">
        <v>115</v>
      </c>
      <c r="F74" s="9" t="s">
        <v>43</v>
      </c>
      <c r="G74" s="10" t="n">
        <v>45873</v>
      </c>
      <c r="H74" s="9"/>
      <c r="I74" s="9"/>
      <c r="J74" s="9" t="s">
        <v>37</v>
      </c>
    </row>
    <row r="75" customFormat="false" ht="23.85" hidden="false" customHeight="false" outlineLevel="0" collapsed="false">
      <c r="A75" s="8" t="n">
        <v>71</v>
      </c>
      <c r="B75" s="9" t="s">
        <v>12</v>
      </c>
      <c r="C75" s="9" t="s">
        <v>142</v>
      </c>
      <c r="D75" s="9" t="s">
        <v>54</v>
      </c>
      <c r="E75" s="9" t="s">
        <v>115</v>
      </c>
      <c r="F75" s="9" t="s">
        <v>43</v>
      </c>
      <c r="G75" s="10" t="n">
        <v>45425</v>
      </c>
      <c r="H75" s="9"/>
      <c r="I75" s="9"/>
      <c r="J75" s="9" t="s">
        <v>37</v>
      </c>
    </row>
    <row r="76" customFormat="false" ht="23.85" hidden="false" customHeight="false" outlineLevel="0" collapsed="false">
      <c r="A76" s="8" t="n">
        <v>72</v>
      </c>
      <c r="B76" s="9" t="s">
        <v>17</v>
      </c>
      <c r="C76" s="9" t="s">
        <v>143</v>
      </c>
      <c r="D76" s="9" t="s">
        <v>144</v>
      </c>
      <c r="E76" s="9" t="s">
        <v>145</v>
      </c>
      <c r="F76" s="9" t="s">
        <v>146</v>
      </c>
      <c r="G76" s="10" t="n">
        <v>46002</v>
      </c>
      <c r="H76" s="9"/>
      <c r="I76" s="9"/>
      <c r="J76" s="9" t="s">
        <v>37</v>
      </c>
    </row>
    <row r="77" customFormat="false" ht="23.85" hidden="false" customHeight="false" outlineLevel="0" collapsed="false">
      <c r="A77" s="11" t="n">
        <v>73</v>
      </c>
      <c r="B77" s="12" t="s">
        <v>14</v>
      </c>
      <c r="C77" s="12" t="s">
        <v>147</v>
      </c>
      <c r="D77" s="12" t="s">
        <v>34</v>
      </c>
      <c r="E77" s="12" t="s">
        <v>148</v>
      </c>
      <c r="F77" s="12" t="s">
        <v>36</v>
      </c>
      <c r="G77" s="13" t="n">
        <v>45509</v>
      </c>
      <c r="H77" s="13" t="n">
        <v>45496</v>
      </c>
      <c r="I77" s="13" t="n">
        <v>45861</v>
      </c>
      <c r="J77" s="12" t="s">
        <v>52</v>
      </c>
    </row>
    <row r="78" customFormat="false" ht="23.85" hidden="false" customHeight="false" outlineLevel="0" collapsed="false">
      <c r="A78" s="14" t="n">
        <v>74</v>
      </c>
      <c r="B78" s="15" t="s">
        <v>14</v>
      </c>
      <c r="C78" s="15" t="s">
        <v>149</v>
      </c>
      <c r="D78" s="15" t="s">
        <v>57</v>
      </c>
      <c r="E78" s="15" t="s">
        <v>148</v>
      </c>
      <c r="F78" s="15" t="s">
        <v>36</v>
      </c>
      <c r="G78" s="16" t="n">
        <v>45968</v>
      </c>
      <c r="H78" s="16" t="n">
        <v>45951</v>
      </c>
      <c r="I78" s="16" t="n">
        <v>46316</v>
      </c>
      <c r="J78" s="15" t="s">
        <v>127</v>
      </c>
    </row>
    <row r="79" customFormat="false" ht="23.85" hidden="false" customHeight="false" outlineLevel="0" collapsed="false">
      <c r="A79" s="8" t="n">
        <v>75</v>
      </c>
      <c r="B79" s="9" t="s">
        <v>14</v>
      </c>
      <c r="C79" s="9" t="s">
        <v>150</v>
      </c>
      <c r="D79" s="9" t="s">
        <v>100</v>
      </c>
      <c r="E79" s="9" t="s">
        <v>148</v>
      </c>
      <c r="F79" s="9" t="s">
        <v>36</v>
      </c>
      <c r="G79" s="10" t="n">
        <v>46125</v>
      </c>
      <c r="H79" s="9"/>
      <c r="I79" s="9"/>
      <c r="J79" s="9" t="s">
        <v>37</v>
      </c>
    </row>
    <row r="80" customFormat="false" ht="15" hidden="false" customHeight="false" outlineLevel="0" collapsed="false">
      <c r="A80" s="11" t="n">
        <v>76</v>
      </c>
      <c r="B80" s="12" t="s">
        <v>14</v>
      </c>
      <c r="C80" s="12" t="s">
        <v>151</v>
      </c>
      <c r="D80" s="12" t="s">
        <v>152</v>
      </c>
      <c r="E80" s="12" t="s">
        <v>148</v>
      </c>
      <c r="F80" s="12" t="s">
        <v>153</v>
      </c>
      <c r="G80" s="13" t="n">
        <v>45460</v>
      </c>
      <c r="H80" s="13" t="n">
        <v>45454</v>
      </c>
      <c r="I80" s="13" t="n">
        <v>45819</v>
      </c>
      <c r="J80" s="12" t="s">
        <v>52</v>
      </c>
    </row>
    <row r="81" customFormat="false" ht="23.85" hidden="false" customHeight="false" outlineLevel="0" collapsed="false">
      <c r="A81" s="8" t="n">
        <v>77</v>
      </c>
      <c r="B81" s="9" t="s">
        <v>14</v>
      </c>
      <c r="C81" s="9" t="s">
        <v>154</v>
      </c>
      <c r="D81" s="9" t="s">
        <v>95</v>
      </c>
      <c r="E81" s="9" t="s">
        <v>148</v>
      </c>
      <c r="F81" s="9" t="s">
        <v>40</v>
      </c>
      <c r="G81" s="10" t="n">
        <v>46091</v>
      </c>
      <c r="H81" s="9"/>
      <c r="I81" s="9"/>
      <c r="J81" s="9" t="s">
        <v>37</v>
      </c>
    </row>
    <row r="82" customFormat="false" ht="23.85" hidden="false" customHeight="false" outlineLevel="0" collapsed="false">
      <c r="A82" s="8" t="n">
        <v>78</v>
      </c>
      <c r="B82" s="9" t="s">
        <v>14</v>
      </c>
      <c r="C82" s="9" t="s">
        <v>155</v>
      </c>
      <c r="D82" s="9" t="s">
        <v>42</v>
      </c>
      <c r="E82" s="9" t="s">
        <v>148</v>
      </c>
      <c r="F82" s="9" t="s">
        <v>43</v>
      </c>
      <c r="G82" s="10" t="n">
        <v>39730</v>
      </c>
      <c r="H82" s="9"/>
      <c r="I82" s="9"/>
      <c r="J82" s="9" t="s">
        <v>37</v>
      </c>
    </row>
    <row r="83" customFormat="false" ht="15" hidden="false" customHeight="false" outlineLevel="0" collapsed="false">
      <c r="A83" s="11" t="n">
        <v>79</v>
      </c>
      <c r="B83" s="12" t="s">
        <v>14</v>
      </c>
      <c r="C83" s="12" t="s">
        <v>156</v>
      </c>
      <c r="D83" s="12" t="s">
        <v>74</v>
      </c>
      <c r="E83" s="12" t="s">
        <v>148</v>
      </c>
      <c r="F83" s="12" t="s">
        <v>43</v>
      </c>
      <c r="G83" s="13" t="n">
        <v>45722</v>
      </c>
      <c r="H83" s="13" t="n">
        <v>45721</v>
      </c>
      <c r="I83" s="13" t="n">
        <v>46086</v>
      </c>
      <c r="J83" s="12" t="s">
        <v>52</v>
      </c>
    </row>
    <row r="84" customFormat="false" ht="23.85" hidden="false" customHeight="false" outlineLevel="0" collapsed="false">
      <c r="A84" s="8" t="n">
        <v>80</v>
      </c>
      <c r="B84" s="9" t="s">
        <v>14</v>
      </c>
      <c r="C84" s="9" t="s">
        <v>157</v>
      </c>
      <c r="D84" s="9" t="s">
        <v>158</v>
      </c>
      <c r="E84" s="9" t="s">
        <v>148</v>
      </c>
      <c r="F84" s="9" t="s">
        <v>36</v>
      </c>
      <c r="G84" s="10" t="n">
        <v>45853</v>
      </c>
      <c r="H84" s="9"/>
      <c r="I84" s="9"/>
      <c r="J84" s="9" t="s">
        <v>37</v>
      </c>
    </row>
    <row r="85" customFormat="false" ht="23.85" hidden="false" customHeight="false" outlineLevel="0" collapsed="false">
      <c r="A85" s="8" t="n">
        <v>81</v>
      </c>
      <c r="B85" s="9" t="s">
        <v>14</v>
      </c>
      <c r="C85" s="9" t="s">
        <v>159</v>
      </c>
      <c r="D85" s="9" t="s">
        <v>74</v>
      </c>
      <c r="E85" s="9" t="s">
        <v>148</v>
      </c>
      <c r="F85" s="9" t="s">
        <v>43</v>
      </c>
      <c r="G85" s="10" t="n">
        <v>45797</v>
      </c>
      <c r="H85" s="9"/>
      <c r="I85" s="9"/>
      <c r="J85" s="9" t="s">
        <v>37</v>
      </c>
    </row>
    <row r="86" customFormat="false" ht="23.85" hidden="false" customHeight="false" outlineLevel="0" collapsed="false">
      <c r="A86" s="8" t="n">
        <v>82</v>
      </c>
      <c r="B86" s="9" t="s">
        <v>14</v>
      </c>
      <c r="C86" s="9" t="s">
        <v>160</v>
      </c>
      <c r="D86" s="9" t="s">
        <v>67</v>
      </c>
      <c r="E86" s="9" t="s">
        <v>148</v>
      </c>
      <c r="F86" s="9" t="s">
        <v>63</v>
      </c>
      <c r="G86" s="10" t="n">
        <v>45497</v>
      </c>
      <c r="H86" s="9"/>
      <c r="I86" s="9"/>
      <c r="J86" s="9" t="s">
        <v>37</v>
      </c>
    </row>
    <row r="87" customFormat="false" ht="23.85" hidden="false" customHeight="false" outlineLevel="0" collapsed="false">
      <c r="A87" s="11" t="n">
        <v>83</v>
      </c>
      <c r="B87" s="12" t="s">
        <v>14</v>
      </c>
      <c r="C87" s="12" t="s">
        <v>161</v>
      </c>
      <c r="D87" s="12" t="s">
        <v>34</v>
      </c>
      <c r="E87" s="12" t="s">
        <v>148</v>
      </c>
      <c r="F87" s="12" t="s">
        <v>36</v>
      </c>
      <c r="G87" s="13" t="n">
        <v>45506</v>
      </c>
      <c r="H87" s="13" t="n">
        <v>45503</v>
      </c>
      <c r="I87" s="13" t="n">
        <v>45868</v>
      </c>
      <c r="J87" s="12" t="s">
        <v>52</v>
      </c>
    </row>
    <row r="88" customFormat="false" ht="23.85" hidden="false" customHeight="false" outlineLevel="0" collapsed="false">
      <c r="A88" s="8" t="n">
        <v>84</v>
      </c>
      <c r="B88" s="9" t="s">
        <v>14</v>
      </c>
      <c r="C88" s="9" t="s">
        <v>162</v>
      </c>
      <c r="D88" s="9" t="s">
        <v>95</v>
      </c>
      <c r="E88" s="9" t="s">
        <v>148</v>
      </c>
      <c r="F88" s="9" t="s">
        <v>40</v>
      </c>
      <c r="G88" s="10" t="n">
        <v>45867</v>
      </c>
      <c r="H88" s="9"/>
      <c r="I88" s="9"/>
      <c r="J88" s="9" t="s">
        <v>37</v>
      </c>
    </row>
    <row r="89" customFormat="false" ht="23.85" hidden="false" customHeight="false" outlineLevel="0" collapsed="false">
      <c r="A89" s="14" t="n">
        <v>85</v>
      </c>
      <c r="B89" s="15" t="s">
        <v>14</v>
      </c>
      <c r="C89" s="15" t="s">
        <v>163</v>
      </c>
      <c r="D89" s="15" t="s">
        <v>100</v>
      </c>
      <c r="E89" s="15" t="s">
        <v>148</v>
      </c>
      <c r="F89" s="15" t="s">
        <v>36</v>
      </c>
      <c r="G89" s="16" t="n">
        <v>45968</v>
      </c>
      <c r="H89" s="16" t="n">
        <v>45966</v>
      </c>
      <c r="I89" s="16" t="n">
        <v>46331</v>
      </c>
      <c r="J89" s="15" t="s">
        <v>127</v>
      </c>
    </row>
    <row r="90" customFormat="false" ht="23.85" hidden="false" customHeight="false" outlineLevel="0" collapsed="false">
      <c r="A90" s="8" t="n">
        <v>86</v>
      </c>
      <c r="B90" s="9" t="s">
        <v>14</v>
      </c>
      <c r="C90" s="9" t="s">
        <v>164</v>
      </c>
      <c r="D90" s="9" t="s">
        <v>165</v>
      </c>
      <c r="E90" s="9" t="s">
        <v>166</v>
      </c>
      <c r="F90" s="9" t="s">
        <v>63</v>
      </c>
      <c r="G90" s="10" t="n">
        <v>45870</v>
      </c>
      <c r="H90" s="9"/>
      <c r="I90" s="9"/>
      <c r="J90" s="9" t="s">
        <v>37</v>
      </c>
    </row>
    <row r="91" customFormat="false" ht="23.85" hidden="false" customHeight="false" outlineLevel="0" collapsed="false">
      <c r="A91" s="8" t="n">
        <v>87</v>
      </c>
      <c r="B91" s="9" t="s">
        <v>10</v>
      </c>
      <c r="C91" s="9" t="s">
        <v>167</v>
      </c>
      <c r="D91" s="9" t="s">
        <v>168</v>
      </c>
      <c r="E91" s="9" t="s">
        <v>169</v>
      </c>
      <c r="F91" s="9" t="s">
        <v>146</v>
      </c>
      <c r="G91" s="10" t="n">
        <v>45098</v>
      </c>
      <c r="H91" s="9"/>
      <c r="I91" s="9"/>
      <c r="J91" s="9" t="s">
        <v>37</v>
      </c>
    </row>
    <row r="92" customFormat="false" ht="23.85" hidden="false" customHeight="false" outlineLevel="0" collapsed="false">
      <c r="A92" s="8" t="n">
        <v>88</v>
      </c>
      <c r="B92" s="9" t="s">
        <v>10</v>
      </c>
      <c r="C92" s="9" t="s">
        <v>170</v>
      </c>
      <c r="D92" s="9" t="s">
        <v>168</v>
      </c>
      <c r="E92" s="9" t="s">
        <v>169</v>
      </c>
      <c r="F92" s="9" t="s">
        <v>146</v>
      </c>
      <c r="G92" s="10" t="n">
        <v>42849</v>
      </c>
      <c r="H92" s="9"/>
      <c r="I92" s="9"/>
      <c r="J92" s="9" t="s">
        <v>37</v>
      </c>
    </row>
    <row r="93" customFormat="false" ht="23.85" hidden="false" customHeight="false" outlineLevel="0" collapsed="false">
      <c r="A93" s="8" t="n">
        <v>89</v>
      </c>
      <c r="B93" s="9" t="s">
        <v>10</v>
      </c>
      <c r="C93" s="9" t="s">
        <v>171</v>
      </c>
      <c r="D93" s="9" t="s">
        <v>172</v>
      </c>
      <c r="E93" s="9" t="s">
        <v>169</v>
      </c>
      <c r="F93" s="9" t="s">
        <v>63</v>
      </c>
      <c r="G93" s="10" t="n">
        <v>45698</v>
      </c>
      <c r="H93" s="9"/>
      <c r="I93" s="9"/>
      <c r="J93" s="9" t="s">
        <v>37</v>
      </c>
    </row>
    <row r="94" customFormat="false" ht="23.85" hidden="false" customHeight="false" outlineLevel="0" collapsed="false">
      <c r="A94" s="8" t="n">
        <v>90</v>
      </c>
      <c r="B94" s="9" t="s">
        <v>10</v>
      </c>
      <c r="C94" s="9" t="s">
        <v>173</v>
      </c>
      <c r="D94" s="9" t="s">
        <v>168</v>
      </c>
      <c r="E94" s="9" t="s">
        <v>169</v>
      </c>
      <c r="F94" s="9" t="s">
        <v>146</v>
      </c>
      <c r="G94" s="10" t="n">
        <v>46086</v>
      </c>
      <c r="H94" s="9"/>
      <c r="I94" s="9"/>
      <c r="J94" s="9" t="s">
        <v>37</v>
      </c>
    </row>
    <row r="95" customFormat="false" ht="23.85" hidden="false" customHeight="false" outlineLevel="0" collapsed="false">
      <c r="A95" s="8" t="n">
        <v>91</v>
      </c>
      <c r="B95" s="9" t="s">
        <v>10</v>
      </c>
      <c r="C95" s="9" t="s">
        <v>174</v>
      </c>
      <c r="D95" s="9" t="s">
        <v>168</v>
      </c>
      <c r="E95" s="9" t="s">
        <v>169</v>
      </c>
      <c r="F95" s="9" t="s">
        <v>146</v>
      </c>
      <c r="G95" s="10" t="n">
        <v>45978</v>
      </c>
      <c r="H95" s="9"/>
      <c r="I95" s="9"/>
      <c r="J95" s="9" t="s">
        <v>37</v>
      </c>
    </row>
    <row r="96" customFormat="false" ht="23.85" hidden="false" customHeight="false" outlineLevel="0" collapsed="false">
      <c r="A96" s="8" t="n">
        <v>92</v>
      </c>
      <c r="B96" s="9" t="s">
        <v>10</v>
      </c>
      <c r="C96" s="9" t="s">
        <v>175</v>
      </c>
      <c r="D96" s="9" t="s">
        <v>168</v>
      </c>
      <c r="E96" s="9" t="s">
        <v>169</v>
      </c>
      <c r="F96" s="9" t="s">
        <v>146</v>
      </c>
      <c r="G96" s="10" t="n">
        <v>45936</v>
      </c>
      <c r="H96" s="9"/>
      <c r="I96" s="9"/>
      <c r="J96" s="9" t="s">
        <v>37</v>
      </c>
    </row>
    <row r="97" customFormat="false" ht="23.85" hidden="false" customHeight="false" outlineLevel="0" collapsed="false">
      <c r="A97" s="8" t="n">
        <v>93</v>
      </c>
      <c r="B97" s="9" t="s">
        <v>10</v>
      </c>
      <c r="C97" s="9" t="s">
        <v>176</v>
      </c>
      <c r="D97" s="9" t="s">
        <v>168</v>
      </c>
      <c r="E97" s="9" t="s">
        <v>169</v>
      </c>
      <c r="F97" s="9" t="s">
        <v>146</v>
      </c>
      <c r="G97" s="10" t="n">
        <v>45930</v>
      </c>
      <c r="H97" s="9"/>
      <c r="I97" s="9"/>
      <c r="J97" s="9" t="s">
        <v>37</v>
      </c>
    </row>
    <row r="98" customFormat="false" ht="23.85" hidden="false" customHeight="false" outlineLevel="0" collapsed="false">
      <c r="A98" s="8" t="n">
        <v>94</v>
      </c>
      <c r="B98" s="9" t="s">
        <v>10</v>
      </c>
      <c r="C98" s="9" t="s">
        <v>177</v>
      </c>
      <c r="D98" s="9" t="s">
        <v>178</v>
      </c>
      <c r="E98" s="9" t="s">
        <v>179</v>
      </c>
      <c r="F98" s="9" t="s">
        <v>180</v>
      </c>
      <c r="G98" s="10" t="n">
        <v>46237</v>
      </c>
      <c r="H98" s="9"/>
      <c r="I98" s="9"/>
      <c r="J98" s="9" t="s">
        <v>37</v>
      </c>
    </row>
    <row r="99" customFormat="false" ht="23.85" hidden="false" customHeight="false" outlineLevel="0" collapsed="false">
      <c r="A99" s="8" t="n">
        <v>95</v>
      </c>
      <c r="B99" s="9" t="s">
        <v>10</v>
      </c>
      <c r="C99" s="9" t="s">
        <v>181</v>
      </c>
      <c r="D99" s="9" t="s">
        <v>182</v>
      </c>
      <c r="E99" s="9" t="s">
        <v>179</v>
      </c>
      <c r="F99" s="9" t="s">
        <v>180</v>
      </c>
      <c r="G99" s="10" t="n">
        <v>45999</v>
      </c>
      <c r="H99" s="9"/>
      <c r="I99" s="9"/>
      <c r="J99" s="9" t="s">
        <v>37</v>
      </c>
    </row>
    <row r="100" customFormat="false" ht="23.85" hidden="false" customHeight="false" outlineLevel="0" collapsed="false">
      <c r="A100" s="8" t="n">
        <v>96</v>
      </c>
      <c r="B100" s="9" t="s">
        <v>10</v>
      </c>
      <c r="C100" s="9" t="s">
        <v>183</v>
      </c>
      <c r="D100" s="9" t="s">
        <v>184</v>
      </c>
      <c r="E100" s="9" t="s">
        <v>179</v>
      </c>
      <c r="F100" s="9" t="s">
        <v>185</v>
      </c>
      <c r="G100" s="10" t="n">
        <v>45719</v>
      </c>
      <c r="H100" s="9"/>
      <c r="I100" s="9"/>
      <c r="J100" s="9" t="s">
        <v>37</v>
      </c>
    </row>
    <row r="101" customFormat="false" ht="23.85" hidden="false" customHeight="false" outlineLevel="0" collapsed="false">
      <c r="A101" s="8" t="n">
        <v>97</v>
      </c>
      <c r="B101" s="9" t="s">
        <v>10</v>
      </c>
      <c r="C101" s="9" t="s">
        <v>186</v>
      </c>
      <c r="D101" s="9" t="s">
        <v>187</v>
      </c>
      <c r="E101" s="9" t="s">
        <v>179</v>
      </c>
      <c r="F101" s="9" t="s">
        <v>185</v>
      </c>
      <c r="G101" s="10" t="n">
        <v>42494</v>
      </c>
      <c r="H101" s="9"/>
      <c r="I101" s="9"/>
      <c r="J101" s="9" t="s">
        <v>37</v>
      </c>
    </row>
    <row r="102" customFormat="false" ht="23.85" hidden="false" customHeight="false" outlineLevel="0" collapsed="false">
      <c r="A102" s="8" t="n">
        <v>98</v>
      </c>
      <c r="B102" s="9" t="s">
        <v>10</v>
      </c>
      <c r="C102" s="9" t="s">
        <v>188</v>
      </c>
      <c r="D102" s="9" t="s">
        <v>189</v>
      </c>
      <c r="E102" s="9" t="s">
        <v>179</v>
      </c>
      <c r="F102" s="9" t="s">
        <v>185</v>
      </c>
      <c r="G102" s="10" t="n">
        <v>45616</v>
      </c>
      <c r="H102" s="9"/>
      <c r="I102" s="9"/>
      <c r="J102" s="9" t="s">
        <v>37</v>
      </c>
    </row>
    <row r="103" customFormat="false" ht="23.85" hidden="false" customHeight="false" outlineLevel="0" collapsed="false">
      <c r="A103" s="8" t="n">
        <v>99</v>
      </c>
      <c r="B103" s="9" t="s">
        <v>10</v>
      </c>
      <c r="C103" s="9" t="s">
        <v>190</v>
      </c>
      <c r="D103" s="9" t="s">
        <v>187</v>
      </c>
      <c r="E103" s="9" t="s">
        <v>179</v>
      </c>
      <c r="F103" s="9" t="s">
        <v>185</v>
      </c>
      <c r="G103" s="10" t="n">
        <v>45159</v>
      </c>
      <c r="H103" s="9"/>
      <c r="I103" s="9"/>
      <c r="J103" s="9" t="s">
        <v>37</v>
      </c>
    </row>
    <row r="104" customFormat="false" ht="23.85" hidden="false" customHeight="false" outlineLevel="0" collapsed="false">
      <c r="A104" s="8" t="n">
        <v>100</v>
      </c>
      <c r="B104" s="9" t="s">
        <v>10</v>
      </c>
      <c r="C104" s="9" t="s">
        <v>191</v>
      </c>
      <c r="D104" s="9" t="s">
        <v>192</v>
      </c>
      <c r="E104" s="9" t="s">
        <v>179</v>
      </c>
      <c r="F104" s="9" t="s">
        <v>63</v>
      </c>
      <c r="G104" s="10" t="n">
        <v>43132</v>
      </c>
      <c r="H104" s="9"/>
      <c r="I104" s="9"/>
      <c r="J104" s="9" t="s">
        <v>37</v>
      </c>
    </row>
    <row r="105" customFormat="false" ht="23.85" hidden="false" customHeight="false" outlineLevel="0" collapsed="false">
      <c r="A105" s="8" t="n">
        <v>101</v>
      </c>
      <c r="B105" s="9" t="s">
        <v>10</v>
      </c>
      <c r="C105" s="9" t="s">
        <v>193</v>
      </c>
      <c r="D105" s="9" t="s">
        <v>194</v>
      </c>
      <c r="E105" s="9" t="s">
        <v>179</v>
      </c>
      <c r="F105" s="9" t="s">
        <v>185</v>
      </c>
      <c r="G105" s="10" t="n">
        <v>43276</v>
      </c>
      <c r="H105" s="9"/>
      <c r="I105" s="9"/>
      <c r="J105" s="9" t="s">
        <v>37</v>
      </c>
    </row>
    <row r="106" customFormat="false" ht="23.85" hidden="false" customHeight="false" outlineLevel="0" collapsed="false">
      <c r="A106" s="8" t="n">
        <v>102</v>
      </c>
      <c r="B106" s="9" t="s">
        <v>10</v>
      </c>
      <c r="C106" s="9" t="s">
        <v>195</v>
      </c>
      <c r="D106" s="9" t="s">
        <v>117</v>
      </c>
      <c r="E106" s="9" t="s">
        <v>179</v>
      </c>
      <c r="F106" s="9" t="s">
        <v>63</v>
      </c>
      <c r="G106" s="10" t="n">
        <v>45768</v>
      </c>
      <c r="H106" s="9"/>
      <c r="I106" s="9"/>
      <c r="J106" s="9" t="s">
        <v>37</v>
      </c>
    </row>
    <row r="107" customFormat="false" ht="23.85" hidden="false" customHeight="false" outlineLevel="0" collapsed="false">
      <c r="A107" s="8" t="n">
        <v>103</v>
      </c>
      <c r="B107" s="9" t="s">
        <v>10</v>
      </c>
      <c r="C107" s="9" t="s">
        <v>196</v>
      </c>
      <c r="D107" s="9" t="s">
        <v>117</v>
      </c>
      <c r="E107" s="9" t="s">
        <v>179</v>
      </c>
      <c r="F107" s="9" t="s">
        <v>63</v>
      </c>
      <c r="G107" s="10" t="n">
        <v>39359</v>
      </c>
      <c r="H107" s="9"/>
      <c r="I107" s="9"/>
      <c r="J107" s="9" t="s">
        <v>37</v>
      </c>
    </row>
    <row r="108" customFormat="false" ht="23.85" hidden="false" customHeight="false" outlineLevel="0" collapsed="false">
      <c r="A108" s="8" t="n">
        <v>104</v>
      </c>
      <c r="B108" s="9" t="s">
        <v>10</v>
      </c>
      <c r="C108" s="9" t="s">
        <v>197</v>
      </c>
      <c r="D108" s="9" t="s">
        <v>198</v>
      </c>
      <c r="E108" s="9" t="s">
        <v>179</v>
      </c>
      <c r="F108" s="9" t="s">
        <v>185</v>
      </c>
      <c r="G108" s="10" t="n">
        <v>45623</v>
      </c>
      <c r="H108" s="9"/>
      <c r="I108" s="9"/>
      <c r="J108" s="9" t="s">
        <v>37</v>
      </c>
    </row>
    <row r="109" customFormat="false" ht="23.85" hidden="false" customHeight="false" outlineLevel="0" collapsed="false">
      <c r="A109" s="8" t="n">
        <v>105</v>
      </c>
      <c r="B109" s="9" t="s">
        <v>10</v>
      </c>
      <c r="C109" s="9" t="s">
        <v>199</v>
      </c>
      <c r="D109" s="9" t="s">
        <v>200</v>
      </c>
      <c r="E109" s="9" t="s">
        <v>179</v>
      </c>
      <c r="F109" s="9" t="s">
        <v>185</v>
      </c>
      <c r="G109" s="10" t="n">
        <v>42570</v>
      </c>
      <c r="H109" s="9"/>
      <c r="I109" s="9"/>
      <c r="J109" s="9" t="s">
        <v>37</v>
      </c>
    </row>
    <row r="110" customFormat="false" ht="23.85" hidden="false" customHeight="false" outlineLevel="0" collapsed="false">
      <c r="A110" s="8" t="n">
        <v>106</v>
      </c>
      <c r="B110" s="9" t="s">
        <v>10</v>
      </c>
      <c r="C110" s="9" t="s">
        <v>201</v>
      </c>
      <c r="D110" s="9" t="s">
        <v>202</v>
      </c>
      <c r="E110" s="9" t="s">
        <v>179</v>
      </c>
      <c r="F110" s="9" t="s">
        <v>185</v>
      </c>
      <c r="G110" s="10" t="n">
        <v>46149</v>
      </c>
      <c r="H110" s="9"/>
      <c r="I110" s="9"/>
      <c r="J110" s="9" t="s">
        <v>37</v>
      </c>
    </row>
    <row r="111" customFormat="false" ht="23.85" hidden="false" customHeight="false" outlineLevel="0" collapsed="false">
      <c r="A111" s="8" t="n">
        <v>107</v>
      </c>
      <c r="B111" s="9" t="s">
        <v>10</v>
      </c>
      <c r="C111" s="9" t="s">
        <v>203</v>
      </c>
      <c r="D111" s="9" t="s">
        <v>200</v>
      </c>
      <c r="E111" s="9" t="s">
        <v>179</v>
      </c>
      <c r="F111" s="9" t="s">
        <v>185</v>
      </c>
      <c r="G111" s="10" t="n">
        <v>46106</v>
      </c>
      <c r="H111" s="9"/>
      <c r="I111" s="9"/>
      <c r="J111" s="9" t="s">
        <v>37</v>
      </c>
    </row>
    <row r="112" customFormat="false" ht="23.85" hidden="false" customHeight="false" outlineLevel="0" collapsed="false">
      <c r="A112" s="8" t="n">
        <v>108</v>
      </c>
      <c r="B112" s="9" t="s">
        <v>10</v>
      </c>
      <c r="C112" s="9" t="s">
        <v>204</v>
      </c>
      <c r="D112" s="9" t="s">
        <v>192</v>
      </c>
      <c r="E112" s="9" t="s">
        <v>179</v>
      </c>
      <c r="F112" s="9" t="s">
        <v>63</v>
      </c>
      <c r="G112" s="10" t="n">
        <v>42614</v>
      </c>
      <c r="H112" s="9"/>
      <c r="I112" s="9"/>
      <c r="J112" s="9" t="s">
        <v>37</v>
      </c>
    </row>
    <row r="113" customFormat="false" ht="23.85" hidden="false" customHeight="false" outlineLevel="0" collapsed="false">
      <c r="A113" s="8" t="n">
        <v>109</v>
      </c>
      <c r="B113" s="9" t="s">
        <v>10</v>
      </c>
      <c r="C113" s="9" t="s">
        <v>205</v>
      </c>
      <c r="D113" s="9" t="s">
        <v>202</v>
      </c>
      <c r="E113" s="9" t="s">
        <v>206</v>
      </c>
      <c r="F113" s="9" t="s">
        <v>185</v>
      </c>
      <c r="G113" s="10" t="n">
        <v>41381</v>
      </c>
      <c r="H113" s="9"/>
      <c r="I113" s="9"/>
      <c r="J113" s="9" t="s">
        <v>37</v>
      </c>
    </row>
    <row r="114" customFormat="false" ht="23.85" hidden="false" customHeight="false" outlineLevel="0" collapsed="false">
      <c r="A114" s="8" t="n">
        <v>110</v>
      </c>
      <c r="B114" s="9" t="s">
        <v>10</v>
      </c>
      <c r="C114" s="9" t="s">
        <v>207</v>
      </c>
      <c r="D114" s="9" t="s">
        <v>187</v>
      </c>
      <c r="E114" s="9" t="s">
        <v>206</v>
      </c>
      <c r="F114" s="9" t="s">
        <v>185</v>
      </c>
      <c r="G114" s="10" t="n">
        <v>44655</v>
      </c>
      <c r="H114" s="9"/>
      <c r="I114" s="9"/>
      <c r="J114" s="9" t="s">
        <v>37</v>
      </c>
    </row>
    <row r="115" customFormat="false" ht="23.85" hidden="false" customHeight="false" outlineLevel="0" collapsed="false">
      <c r="A115" s="8" t="n">
        <v>111</v>
      </c>
      <c r="B115" s="9" t="s">
        <v>10</v>
      </c>
      <c r="C115" s="9" t="s">
        <v>208</v>
      </c>
      <c r="D115" s="9" t="s">
        <v>209</v>
      </c>
      <c r="E115" s="9" t="s">
        <v>206</v>
      </c>
      <c r="F115" s="9" t="s">
        <v>180</v>
      </c>
      <c r="G115" s="10" t="n">
        <v>45593</v>
      </c>
      <c r="H115" s="9"/>
      <c r="I115" s="9"/>
      <c r="J115" s="9" t="s">
        <v>37</v>
      </c>
    </row>
    <row r="116" customFormat="false" ht="23.85" hidden="false" customHeight="false" outlineLevel="0" collapsed="false">
      <c r="A116" s="8" t="n">
        <v>112</v>
      </c>
      <c r="B116" s="9" t="s">
        <v>10</v>
      </c>
      <c r="C116" s="9" t="s">
        <v>210</v>
      </c>
      <c r="D116" s="9" t="s">
        <v>198</v>
      </c>
      <c r="E116" s="9" t="s">
        <v>206</v>
      </c>
      <c r="F116" s="9" t="s">
        <v>185</v>
      </c>
      <c r="G116" s="10" t="n">
        <v>41295</v>
      </c>
      <c r="H116" s="9"/>
      <c r="I116" s="9"/>
      <c r="J116" s="9" t="s">
        <v>37</v>
      </c>
    </row>
    <row r="117" customFormat="false" ht="23.85" hidden="false" customHeight="false" outlineLevel="0" collapsed="false">
      <c r="A117" s="8" t="n">
        <v>113</v>
      </c>
      <c r="B117" s="9" t="s">
        <v>10</v>
      </c>
      <c r="C117" s="9" t="s">
        <v>211</v>
      </c>
      <c r="D117" s="9" t="s">
        <v>194</v>
      </c>
      <c r="E117" s="9" t="s">
        <v>206</v>
      </c>
      <c r="F117" s="9" t="s">
        <v>185</v>
      </c>
      <c r="G117" s="10" t="n">
        <v>39419</v>
      </c>
      <c r="H117" s="9"/>
      <c r="I117" s="9"/>
      <c r="J117" s="9" t="s">
        <v>37</v>
      </c>
    </row>
    <row r="118" customFormat="false" ht="23.85" hidden="false" customHeight="false" outlineLevel="0" collapsed="false">
      <c r="A118" s="8" t="n">
        <v>114</v>
      </c>
      <c r="B118" s="9" t="s">
        <v>10</v>
      </c>
      <c r="C118" s="9" t="s">
        <v>212</v>
      </c>
      <c r="D118" s="9" t="s">
        <v>213</v>
      </c>
      <c r="E118" s="9" t="s">
        <v>206</v>
      </c>
      <c r="F118" s="9" t="s">
        <v>180</v>
      </c>
      <c r="G118" s="10" t="n">
        <v>42461</v>
      </c>
      <c r="H118" s="9"/>
      <c r="I118" s="9"/>
      <c r="J118" s="9" t="s">
        <v>37</v>
      </c>
    </row>
    <row r="119" customFormat="false" ht="23.85" hidden="false" customHeight="false" outlineLevel="0" collapsed="false">
      <c r="A119" s="8" t="n">
        <v>115</v>
      </c>
      <c r="B119" s="9" t="s">
        <v>10</v>
      </c>
      <c r="C119" s="9" t="s">
        <v>214</v>
      </c>
      <c r="D119" s="9" t="s">
        <v>215</v>
      </c>
      <c r="E119" s="9" t="s">
        <v>206</v>
      </c>
      <c r="F119" s="9" t="s">
        <v>153</v>
      </c>
      <c r="G119" s="10" t="n">
        <v>40148</v>
      </c>
      <c r="H119" s="9"/>
      <c r="I119" s="9"/>
      <c r="J119" s="9" t="s">
        <v>37</v>
      </c>
    </row>
    <row r="120" customFormat="false" ht="23.85" hidden="false" customHeight="false" outlineLevel="0" collapsed="false">
      <c r="A120" s="8" t="n">
        <v>116</v>
      </c>
      <c r="B120" s="9" t="s">
        <v>10</v>
      </c>
      <c r="C120" s="9" t="s">
        <v>216</v>
      </c>
      <c r="D120" s="9" t="s">
        <v>209</v>
      </c>
      <c r="E120" s="9" t="s">
        <v>206</v>
      </c>
      <c r="F120" s="9" t="s">
        <v>180</v>
      </c>
      <c r="G120" s="10" t="n">
        <v>44636</v>
      </c>
      <c r="H120" s="9"/>
      <c r="I120" s="9"/>
      <c r="J120" s="9" t="s">
        <v>37</v>
      </c>
    </row>
    <row r="121" customFormat="false" ht="23.85" hidden="false" customHeight="false" outlineLevel="0" collapsed="false">
      <c r="A121" s="8" t="n">
        <v>117</v>
      </c>
      <c r="B121" s="9" t="s">
        <v>10</v>
      </c>
      <c r="C121" s="9" t="s">
        <v>217</v>
      </c>
      <c r="D121" s="9" t="s">
        <v>202</v>
      </c>
      <c r="E121" s="9" t="s">
        <v>206</v>
      </c>
      <c r="F121" s="9" t="s">
        <v>185</v>
      </c>
      <c r="G121" s="10" t="n">
        <v>46163</v>
      </c>
      <c r="H121" s="9"/>
      <c r="I121" s="9"/>
      <c r="J121" s="9" t="s">
        <v>37</v>
      </c>
    </row>
    <row r="122" customFormat="false" ht="23.85" hidden="false" customHeight="false" outlineLevel="0" collapsed="false">
      <c r="A122" s="8" t="n">
        <v>118</v>
      </c>
      <c r="B122" s="9" t="s">
        <v>10</v>
      </c>
      <c r="C122" s="9" t="s">
        <v>218</v>
      </c>
      <c r="D122" s="9" t="s">
        <v>200</v>
      </c>
      <c r="E122" s="9" t="s">
        <v>206</v>
      </c>
      <c r="F122" s="9" t="s">
        <v>185</v>
      </c>
      <c r="G122" s="10" t="n">
        <v>45688</v>
      </c>
      <c r="H122" s="9"/>
      <c r="I122" s="9"/>
      <c r="J122" s="9" t="s">
        <v>37</v>
      </c>
    </row>
    <row r="123" customFormat="false" ht="23.85" hidden="false" customHeight="false" outlineLevel="0" collapsed="false">
      <c r="A123" s="11" t="n">
        <v>119</v>
      </c>
      <c r="B123" s="12" t="s">
        <v>10</v>
      </c>
      <c r="C123" s="12" t="s">
        <v>219</v>
      </c>
      <c r="D123" s="12" t="s">
        <v>178</v>
      </c>
      <c r="E123" s="12" t="s">
        <v>206</v>
      </c>
      <c r="F123" s="12" t="s">
        <v>180</v>
      </c>
      <c r="G123" s="13" t="n">
        <v>45812</v>
      </c>
      <c r="H123" s="13" t="n">
        <v>45803</v>
      </c>
      <c r="I123" s="13" t="n">
        <v>46168</v>
      </c>
      <c r="J123" s="12" t="s">
        <v>52</v>
      </c>
    </row>
    <row r="124" customFormat="false" ht="23.85" hidden="false" customHeight="false" outlineLevel="0" collapsed="false">
      <c r="A124" s="8" t="n">
        <v>120</v>
      </c>
      <c r="B124" s="9" t="s">
        <v>10</v>
      </c>
      <c r="C124" s="9" t="s">
        <v>220</v>
      </c>
      <c r="D124" s="9" t="s">
        <v>194</v>
      </c>
      <c r="E124" s="9" t="s">
        <v>206</v>
      </c>
      <c r="F124" s="9" t="s">
        <v>185</v>
      </c>
      <c r="G124" s="10" t="n">
        <v>39753</v>
      </c>
      <c r="H124" s="9"/>
      <c r="I124" s="9"/>
      <c r="J124" s="9" t="s">
        <v>37</v>
      </c>
    </row>
    <row r="125" customFormat="false" ht="23.85" hidden="false" customHeight="false" outlineLevel="0" collapsed="false">
      <c r="A125" s="8" t="n">
        <v>121</v>
      </c>
      <c r="B125" s="9" t="s">
        <v>10</v>
      </c>
      <c r="C125" s="9" t="s">
        <v>221</v>
      </c>
      <c r="D125" s="9" t="s">
        <v>187</v>
      </c>
      <c r="E125" s="9" t="s">
        <v>206</v>
      </c>
      <c r="F125" s="9" t="s">
        <v>185</v>
      </c>
      <c r="G125" s="10" t="n">
        <v>38363</v>
      </c>
      <c r="H125" s="9"/>
      <c r="I125" s="9"/>
      <c r="J125" s="9" t="s">
        <v>37</v>
      </c>
    </row>
    <row r="126" customFormat="false" ht="23.85" hidden="false" customHeight="false" outlineLevel="0" collapsed="false">
      <c r="A126" s="8" t="n">
        <v>122</v>
      </c>
      <c r="B126" s="9" t="s">
        <v>10</v>
      </c>
      <c r="C126" s="9" t="s">
        <v>222</v>
      </c>
      <c r="D126" s="9" t="s">
        <v>200</v>
      </c>
      <c r="E126" s="9" t="s">
        <v>206</v>
      </c>
      <c r="F126" s="9" t="s">
        <v>185</v>
      </c>
      <c r="G126" s="10" t="n">
        <v>45832</v>
      </c>
      <c r="H126" s="9"/>
      <c r="I126" s="9"/>
      <c r="J126" s="9" t="s">
        <v>37</v>
      </c>
    </row>
    <row r="127" customFormat="false" ht="23.85" hidden="false" customHeight="false" outlineLevel="0" collapsed="false">
      <c r="A127" s="8" t="n">
        <v>123</v>
      </c>
      <c r="B127" s="9" t="s">
        <v>10</v>
      </c>
      <c r="C127" s="9" t="s">
        <v>223</v>
      </c>
      <c r="D127" s="9" t="s">
        <v>224</v>
      </c>
      <c r="E127" s="9" t="s">
        <v>206</v>
      </c>
      <c r="F127" s="9" t="s">
        <v>153</v>
      </c>
      <c r="G127" s="10" t="n">
        <v>43678</v>
      </c>
      <c r="H127" s="9"/>
      <c r="I127" s="9"/>
      <c r="J127" s="9" t="s">
        <v>37</v>
      </c>
    </row>
    <row r="128" customFormat="false" ht="23.85" hidden="false" customHeight="false" outlineLevel="0" collapsed="false">
      <c r="A128" s="8" t="n">
        <v>124</v>
      </c>
      <c r="B128" s="9" t="s">
        <v>10</v>
      </c>
      <c r="C128" s="9" t="s">
        <v>225</v>
      </c>
      <c r="D128" s="9" t="s">
        <v>200</v>
      </c>
      <c r="E128" s="9" t="s">
        <v>206</v>
      </c>
      <c r="F128" s="9" t="s">
        <v>185</v>
      </c>
      <c r="G128" s="10" t="n">
        <v>40926</v>
      </c>
      <c r="H128" s="9"/>
      <c r="I128" s="9"/>
      <c r="J128" s="9" t="s">
        <v>37</v>
      </c>
    </row>
    <row r="129" customFormat="false" ht="23.85" hidden="false" customHeight="false" outlineLevel="0" collapsed="false">
      <c r="A129" s="8" t="n">
        <v>125</v>
      </c>
      <c r="B129" s="9" t="s">
        <v>10</v>
      </c>
      <c r="C129" s="9" t="s">
        <v>226</v>
      </c>
      <c r="D129" s="9" t="s">
        <v>182</v>
      </c>
      <c r="E129" s="9" t="s">
        <v>206</v>
      </c>
      <c r="F129" s="9" t="s">
        <v>180</v>
      </c>
      <c r="G129" s="10" t="n">
        <v>46036</v>
      </c>
      <c r="H129" s="9"/>
      <c r="I129" s="9"/>
      <c r="J129" s="9" t="s">
        <v>37</v>
      </c>
    </row>
    <row r="130" customFormat="false" ht="23.85" hidden="false" customHeight="false" outlineLevel="0" collapsed="false">
      <c r="A130" s="8" t="n">
        <v>126</v>
      </c>
      <c r="B130" s="9" t="s">
        <v>10</v>
      </c>
      <c r="C130" s="9" t="s">
        <v>227</v>
      </c>
      <c r="D130" s="9" t="s">
        <v>200</v>
      </c>
      <c r="E130" s="9" t="s">
        <v>206</v>
      </c>
      <c r="F130" s="9" t="s">
        <v>185</v>
      </c>
      <c r="G130" s="10" t="n">
        <v>43046</v>
      </c>
      <c r="H130" s="9"/>
      <c r="I130" s="9"/>
      <c r="J130" s="9" t="s">
        <v>37</v>
      </c>
    </row>
    <row r="131" customFormat="false" ht="23.85" hidden="false" customHeight="false" outlineLevel="0" collapsed="false">
      <c r="A131" s="8" t="n">
        <v>127</v>
      </c>
      <c r="B131" s="9" t="s">
        <v>10</v>
      </c>
      <c r="C131" s="9" t="s">
        <v>228</v>
      </c>
      <c r="D131" s="9" t="s">
        <v>187</v>
      </c>
      <c r="E131" s="9" t="s">
        <v>206</v>
      </c>
      <c r="F131" s="9" t="s">
        <v>185</v>
      </c>
      <c r="G131" s="10" t="n">
        <v>39356</v>
      </c>
      <c r="H131" s="9"/>
      <c r="I131" s="9"/>
      <c r="J131" s="9" t="s">
        <v>37</v>
      </c>
    </row>
    <row r="132" customFormat="false" ht="23.85" hidden="false" customHeight="false" outlineLevel="0" collapsed="false">
      <c r="A132" s="8" t="n">
        <v>128</v>
      </c>
      <c r="B132" s="9" t="s">
        <v>10</v>
      </c>
      <c r="C132" s="9" t="s">
        <v>229</v>
      </c>
      <c r="D132" s="9" t="s">
        <v>187</v>
      </c>
      <c r="E132" s="9" t="s">
        <v>206</v>
      </c>
      <c r="F132" s="9" t="s">
        <v>185</v>
      </c>
      <c r="G132" s="10" t="n">
        <v>38810</v>
      </c>
      <c r="H132" s="9"/>
      <c r="I132" s="9"/>
      <c r="J132" s="9" t="s">
        <v>37</v>
      </c>
    </row>
    <row r="133" customFormat="false" ht="23.85" hidden="false" customHeight="false" outlineLevel="0" collapsed="false">
      <c r="A133" s="8" t="n">
        <v>129</v>
      </c>
      <c r="B133" s="9" t="s">
        <v>10</v>
      </c>
      <c r="C133" s="9" t="s">
        <v>230</v>
      </c>
      <c r="D133" s="9" t="s">
        <v>182</v>
      </c>
      <c r="E133" s="9" t="s">
        <v>206</v>
      </c>
      <c r="F133" s="9" t="s">
        <v>180</v>
      </c>
      <c r="G133" s="10" t="n">
        <v>46051</v>
      </c>
      <c r="H133" s="9"/>
      <c r="I133" s="9"/>
      <c r="J133" s="9" t="s">
        <v>37</v>
      </c>
    </row>
    <row r="134" customFormat="false" ht="23.85" hidden="false" customHeight="false" outlineLevel="0" collapsed="false">
      <c r="A134" s="8" t="n">
        <v>130</v>
      </c>
      <c r="B134" s="9" t="s">
        <v>10</v>
      </c>
      <c r="C134" s="9" t="s">
        <v>231</v>
      </c>
      <c r="D134" s="9" t="s">
        <v>187</v>
      </c>
      <c r="E134" s="9" t="s">
        <v>206</v>
      </c>
      <c r="F134" s="9" t="s">
        <v>185</v>
      </c>
      <c r="G134" s="10" t="n">
        <v>38728</v>
      </c>
      <c r="H134" s="9"/>
      <c r="I134" s="9"/>
      <c r="J134" s="9" t="s">
        <v>37</v>
      </c>
    </row>
    <row r="135" customFormat="false" ht="23.85" hidden="false" customHeight="false" outlineLevel="0" collapsed="false">
      <c r="A135" s="8" t="n">
        <v>131</v>
      </c>
      <c r="B135" s="9" t="s">
        <v>10</v>
      </c>
      <c r="C135" s="9" t="s">
        <v>232</v>
      </c>
      <c r="D135" s="9" t="s">
        <v>233</v>
      </c>
      <c r="E135" s="9" t="s">
        <v>206</v>
      </c>
      <c r="F135" s="9" t="s">
        <v>153</v>
      </c>
      <c r="G135" s="10" t="n">
        <v>45125</v>
      </c>
      <c r="H135" s="9"/>
      <c r="I135" s="9"/>
      <c r="J135" s="9" t="s">
        <v>37</v>
      </c>
    </row>
    <row r="136" customFormat="false" ht="23.85" hidden="false" customHeight="false" outlineLevel="0" collapsed="false">
      <c r="A136" s="8" t="n">
        <v>132</v>
      </c>
      <c r="B136" s="9" t="s">
        <v>10</v>
      </c>
      <c r="C136" s="9" t="s">
        <v>234</v>
      </c>
      <c r="D136" s="9" t="s">
        <v>187</v>
      </c>
      <c r="E136" s="9" t="s">
        <v>206</v>
      </c>
      <c r="F136" s="9" t="s">
        <v>185</v>
      </c>
      <c r="G136" s="10" t="n">
        <v>38810</v>
      </c>
      <c r="H136" s="9"/>
      <c r="I136" s="9"/>
      <c r="J136" s="9" t="s">
        <v>37</v>
      </c>
    </row>
    <row r="137" customFormat="false" ht="23.85" hidden="false" customHeight="false" outlineLevel="0" collapsed="false">
      <c r="A137" s="8" t="n">
        <v>133</v>
      </c>
      <c r="B137" s="9" t="s">
        <v>10</v>
      </c>
      <c r="C137" s="9" t="s">
        <v>235</v>
      </c>
      <c r="D137" s="9" t="s">
        <v>200</v>
      </c>
      <c r="E137" s="9" t="s">
        <v>206</v>
      </c>
      <c r="F137" s="9" t="s">
        <v>185</v>
      </c>
      <c r="G137" s="10" t="n">
        <v>45688</v>
      </c>
      <c r="H137" s="9"/>
      <c r="I137" s="9"/>
      <c r="J137" s="9" t="s">
        <v>37</v>
      </c>
    </row>
    <row r="138" customFormat="false" ht="23.85" hidden="false" customHeight="false" outlineLevel="0" collapsed="false">
      <c r="A138" s="8" t="n">
        <v>134</v>
      </c>
      <c r="B138" s="9" t="s">
        <v>10</v>
      </c>
      <c r="C138" s="9" t="s">
        <v>236</v>
      </c>
      <c r="D138" s="9" t="s">
        <v>237</v>
      </c>
      <c r="E138" s="9" t="s">
        <v>238</v>
      </c>
      <c r="F138" s="9" t="s">
        <v>153</v>
      </c>
      <c r="G138" s="10" t="n">
        <v>45509</v>
      </c>
      <c r="H138" s="9"/>
      <c r="I138" s="9"/>
      <c r="J138" s="9" t="s">
        <v>37</v>
      </c>
    </row>
    <row r="139" customFormat="false" ht="23.85" hidden="false" customHeight="false" outlineLevel="0" collapsed="false">
      <c r="A139" s="8" t="n">
        <v>135</v>
      </c>
      <c r="B139" s="9" t="s">
        <v>10</v>
      </c>
      <c r="C139" s="9" t="s">
        <v>239</v>
      </c>
      <c r="D139" s="9" t="s">
        <v>237</v>
      </c>
      <c r="E139" s="9" t="s">
        <v>238</v>
      </c>
      <c r="F139" s="9" t="s">
        <v>153</v>
      </c>
      <c r="G139" s="10" t="n">
        <v>45565</v>
      </c>
      <c r="H139" s="9"/>
      <c r="I139" s="9"/>
      <c r="J139" s="9" t="s">
        <v>37</v>
      </c>
    </row>
    <row r="140" customFormat="false" ht="23.85" hidden="false" customHeight="false" outlineLevel="0" collapsed="false">
      <c r="A140" s="8" t="n">
        <v>136</v>
      </c>
      <c r="B140" s="9" t="s">
        <v>10</v>
      </c>
      <c r="C140" s="9" t="s">
        <v>240</v>
      </c>
      <c r="D140" s="9" t="s">
        <v>241</v>
      </c>
      <c r="E140" s="9" t="s">
        <v>238</v>
      </c>
      <c r="F140" s="9" t="s">
        <v>153</v>
      </c>
      <c r="G140" s="10" t="n">
        <v>45691</v>
      </c>
      <c r="H140" s="9"/>
      <c r="I140" s="9"/>
      <c r="J140" s="9" t="s">
        <v>37</v>
      </c>
    </row>
    <row r="141" customFormat="false" ht="23.85" hidden="false" customHeight="false" outlineLevel="0" collapsed="false">
      <c r="A141" s="8" t="n">
        <v>137</v>
      </c>
      <c r="B141" s="9" t="s">
        <v>10</v>
      </c>
      <c r="C141" s="9" t="s">
        <v>242</v>
      </c>
      <c r="D141" s="9" t="s">
        <v>233</v>
      </c>
      <c r="E141" s="9" t="s">
        <v>238</v>
      </c>
      <c r="F141" s="9" t="s">
        <v>153</v>
      </c>
      <c r="G141" s="10" t="n">
        <v>45362</v>
      </c>
      <c r="H141" s="9"/>
      <c r="I141" s="9"/>
      <c r="J141" s="9" t="s">
        <v>37</v>
      </c>
    </row>
    <row r="142" customFormat="false" ht="23.85" hidden="false" customHeight="false" outlineLevel="0" collapsed="false">
      <c r="A142" s="8" t="n">
        <v>138</v>
      </c>
      <c r="B142" s="9" t="s">
        <v>10</v>
      </c>
      <c r="C142" s="9" t="s">
        <v>243</v>
      </c>
      <c r="D142" s="9" t="s">
        <v>233</v>
      </c>
      <c r="E142" s="9" t="s">
        <v>238</v>
      </c>
      <c r="F142" s="9" t="s">
        <v>153</v>
      </c>
      <c r="G142" s="10" t="n">
        <v>45917</v>
      </c>
      <c r="H142" s="9"/>
      <c r="I142" s="9"/>
      <c r="J142" s="9" t="s">
        <v>37</v>
      </c>
    </row>
    <row r="143" customFormat="false" ht="23.85" hidden="false" customHeight="false" outlineLevel="0" collapsed="false">
      <c r="A143" s="8" t="n">
        <v>139</v>
      </c>
      <c r="B143" s="9" t="s">
        <v>10</v>
      </c>
      <c r="C143" s="9" t="s">
        <v>244</v>
      </c>
      <c r="D143" s="9" t="s">
        <v>233</v>
      </c>
      <c r="E143" s="9" t="s">
        <v>238</v>
      </c>
      <c r="F143" s="9" t="s">
        <v>153</v>
      </c>
      <c r="G143" s="10" t="n">
        <v>45922</v>
      </c>
      <c r="H143" s="9"/>
      <c r="I143" s="9"/>
      <c r="J143" s="9" t="s">
        <v>37</v>
      </c>
    </row>
    <row r="144" customFormat="false" ht="23.85" hidden="false" customHeight="false" outlineLevel="0" collapsed="false">
      <c r="A144" s="8" t="n">
        <v>140</v>
      </c>
      <c r="B144" s="9" t="s">
        <v>10</v>
      </c>
      <c r="C144" s="9" t="s">
        <v>245</v>
      </c>
      <c r="D144" s="9" t="s">
        <v>233</v>
      </c>
      <c r="E144" s="9" t="s">
        <v>238</v>
      </c>
      <c r="F144" s="9" t="s">
        <v>153</v>
      </c>
      <c r="G144" s="10" t="n">
        <v>45454</v>
      </c>
      <c r="H144" s="9"/>
      <c r="I144" s="9"/>
      <c r="J144" s="9" t="s">
        <v>37</v>
      </c>
    </row>
    <row r="145" customFormat="false" ht="23.85" hidden="false" customHeight="false" outlineLevel="0" collapsed="false">
      <c r="A145" s="8" t="n">
        <v>141</v>
      </c>
      <c r="B145" s="9" t="s">
        <v>10</v>
      </c>
      <c r="C145" s="9" t="s">
        <v>246</v>
      </c>
      <c r="D145" s="9" t="s">
        <v>247</v>
      </c>
      <c r="E145" s="9" t="s">
        <v>238</v>
      </c>
      <c r="F145" s="9" t="s">
        <v>153</v>
      </c>
      <c r="G145" s="10" t="n">
        <v>45638</v>
      </c>
      <c r="H145" s="9"/>
      <c r="I145" s="9"/>
      <c r="J145" s="9" t="s">
        <v>37</v>
      </c>
    </row>
    <row r="146" customFormat="false" ht="23.85" hidden="false" customHeight="false" outlineLevel="0" collapsed="false">
      <c r="A146" s="8" t="n">
        <v>142</v>
      </c>
      <c r="B146" s="9" t="s">
        <v>10</v>
      </c>
      <c r="C146" s="9" t="s">
        <v>248</v>
      </c>
      <c r="D146" s="9" t="s">
        <v>247</v>
      </c>
      <c r="E146" s="9" t="s">
        <v>238</v>
      </c>
      <c r="F146" s="9" t="s">
        <v>153</v>
      </c>
      <c r="G146" s="10" t="n">
        <v>45792</v>
      </c>
      <c r="H146" s="9"/>
      <c r="I146" s="9"/>
      <c r="J146" s="9" t="s">
        <v>37</v>
      </c>
    </row>
    <row r="147" customFormat="false" ht="15" hidden="false" customHeight="false" outlineLevel="0" collapsed="false">
      <c r="A147" s="11" t="n">
        <v>143</v>
      </c>
      <c r="B147" s="12" t="s">
        <v>10</v>
      </c>
      <c r="C147" s="12" t="s">
        <v>249</v>
      </c>
      <c r="D147" s="12" t="s">
        <v>237</v>
      </c>
      <c r="E147" s="12" t="s">
        <v>238</v>
      </c>
      <c r="F147" s="12" t="s">
        <v>153</v>
      </c>
      <c r="G147" s="13" t="n">
        <v>45924</v>
      </c>
      <c r="H147" s="13" t="n">
        <v>45882</v>
      </c>
      <c r="I147" s="13" t="n">
        <v>46247</v>
      </c>
      <c r="J147" s="12" t="s">
        <v>52</v>
      </c>
    </row>
    <row r="148" customFormat="false" ht="15" hidden="false" customHeight="false" outlineLevel="0" collapsed="false">
      <c r="A148" s="11" t="n">
        <v>144</v>
      </c>
      <c r="B148" s="12" t="s">
        <v>10</v>
      </c>
      <c r="C148" s="12" t="s">
        <v>250</v>
      </c>
      <c r="D148" s="12" t="s">
        <v>251</v>
      </c>
      <c r="E148" s="12" t="s">
        <v>238</v>
      </c>
      <c r="F148" s="12" t="s">
        <v>153</v>
      </c>
      <c r="G148" s="13" t="n">
        <v>45930</v>
      </c>
      <c r="H148" s="13" t="n">
        <v>45916</v>
      </c>
      <c r="I148" s="13" t="n">
        <v>46281</v>
      </c>
      <c r="J148" s="12" t="s">
        <v>52</v>
      </c>
    </row>
    <row r="149" customFormat="false" ht="15" hidden="false" customHeight="false" outlineLevel="0" collapsed="false">
      <c r="A149" s="11" t="n">
        <v>145</v>
      </c>
      <c r="B149" s="12" t="s">
        <v>10</v>
      </c>
      <c r="C149" s="12" t="s">
        <v>252</v>
      </c>
      <c r="D149" s="12" t="s">
        <v>251</v>
      </c>
      <c r="E149" s="12" t="s">
        <v>238</v>
      </c>
      <c r="F149" s="12" t="s">
        <v>153</v>
      </c>
      <c r="G149" s="13" t="n">
        <v>45840</v>
      </c>
      <c r="H149" s="13" t="n">
        <v>45835</v>
      </c>
      <c r="I149" s="13" t="n">
        <v>46200</v>
      </c>
      <c r="J149" s="12" t="s">
        <v>52</v>
      </c>
    </row>
    <row r="150" customFormat="false" ht="23.85" hidden="false" customHeight="false" outlineLevel="0" collapsed="false">
      <c r="A150" s="8" t="n">
        <v>146</v>
      </c>
      <c r="B150" s="9" t="s">
        <v>10</v>
      </c>
      <c r="C150" s="9" t="s">
        <v>253</v>
      </c>
      <c r="D150" s="9" t="s">
        <v>254</v>
      </c>
      <c r="E150" s="9" t="s">
        <v>255</v>
      </c>
      <c r="F150" s="9" t="s">
        <v>153</v>
      </c>
      <c r="G150" s="10" t="n">
        <v>44692</v>
      </c>
      <c r="H150" s="9"/>
      <c r="I150" s="9"/>
      <c r="J150" s="9" t="s">
        <v>37</v>
      </c>
    </row>
    <row r="151" customFormat="false" ht="23.85" hidden="false" customHeight="false" outlineLevel="0" collapsed="false">
      <c r="A151" s="8" t="n">
        <v>147</v>
      </c>
      <c r="B151" s="9" t="s">
        <v>10</v>
      </c>
      <c r="C151" s="9" t="s">
        <v>256</v>
      </c>
      <c r="D151" s="9" t="s">
        <v>257</v>
      </c>
      <c r="E151" s="9" t="s">
        <v>255</v>
      </c>
      <c r="F151" s="9" t="s">
        <v>153</v>
      </c>
      <c r="G151" s="10" t="n">
        <v>45212</v>
      </c>
      <c r="H151" s="9"/>
      <c r="I151" s="9"/>
      <c r="J151" s="9" t="s">
        <v>37</v>
      </c>
    </row>
    <row r="152" customFormat="false" ht="23.85" hidden="false" customHeight="false" outlineLevel="0" collapsed="false">
      <c r="A152" s="8" t="n">
        <v>148</v>
      </c>
      <c r="B152" s="9" t="s">
        <v>10</v>
      </c>
      <c r="C152" s="9" t="s">
        <v>258</v>
      </c>
      <c r="D152" s="9" t="s">
        <v>117</v>
      </c>
      <c r="E152" s="9" t="s">
        <v>255</v>
      </c>
      <c r="F152" s="9" t="s">
        <v>63</v>
      </c>
      <c r="G152" s="10" t="n">
        <v>39615</v>
      </c>
      <c r="H152" s="9"/>
      <c r="I152" s="9"/>
      <c r="J152" s="9" t="s">
        <v>37</v>
      </c>
    </row>
    <row r="153" customFormat="false" ht="23.85" hidden="false" customHeight="false" outlineLevel="0" collapsed="false">
      <c r="A153" s="8" t="n">
        <v>149</v>
      </c>
      <c r="B153" s="9" t="s">
        <v>10</v>
      </c>
      <c r="C153" s="9" t="s">
        <v>259</v>
      </c>
      <c r="D153" s="9" t="s">
        <v>233</v>
      </c>
      <c r="E153" s="9" t="s">
        <v>260</v>
      </c>
      <c r="F153" s="9" t="s">
        <v>153</v>
      </c>
      <c r="G153" s="10" t="n">
        <v>45938</v>
      </c>
      <c r="H153" s="9"/>
      <c r="I153" s="9"/>
      <c r="J153" s="9" t="s">
        <v>37</v>
      </c>
    </row>
    <row r="154" customFormat="false" ht="23.85" hidden="false" customHeight="false" outlineLevel="0" collapsed="false">
      <c r="A154" s="8" t="n">
        <v>150</v>
      </c>
      <c r="B154" s="9" t="s">
        <v>10</v>
      </c>
      <c r="C154" s="9" t="s">
        <v>261</v>
      </c>
      <c r="D154" s="9" t="s">
        <v>262</v>
      </c>
      <c r="E154" s="9" t="s">
        <v>263</v>
      </c>
      <c r="F154" s="9" t="s">
        <v>264</v>
      </c>
      <c r="G154" s="10" t="n">
        <v>45545</v>
      </c>
      <c r="H154" s="9"/>
      <c r="I154" s="9"/>
      <c r="J154" s="9" t="s">
        <v>37</v>
      </c>
    </row>
    <row r="155" customFormat="false" ht="23.85" hidden="false" customHeight="false" outlineLevel="0" collapsed="false">
      <c r="A155" s="8" t="n">
        <v>151</v>
      </c>
      <c r="B155" s="9" t="s">
        <v>10</v>
      </c>
      <c r="C155" s="9" t="s">
        <v>265</v>
      </c>
      <c r="D155" s="9" t="s">
        <v>262</v>
      </c>
      <c r="E155" s="9" t="s">
        <v>263</v>
      </c>
      <c r="F155" s="9" t="s">
        <v>264</v>
      </c>
      <c r="G155" s="10" t="n">
        <v>42919</v>
      </c>
      <c r="H155" s="9"/>
      <c r="I155" s="9"/>
      <c r="J155" s="9" t="s">
        <v>37</v>
      </c>
    </row>
    <row r="156" customFormat="false" ht="23.85" hidden="false" customHeight="false" outlineLevel="0" collapsed="false">
      <c r="A156" s="8" t="n">
        <v>152</v>
      </c>
      <c r="B156" s="9" t="s">
        <v>10</v>
      </c>
      <c r="C156" s="9" t="s">
        <v>266</v>
      </c>
      <c r="D156" s="9" t="s">
        <v>262</v>
      </c>
      <c r="E156" s="9" t="s">
        <v>263</v>
      </c>
      <c r="F156" s="9" t="s">
        <v>264</v>
      </c>
      <c r="G156" s="10" t="n">
        <v>42919</v>
      </c>
      <c r="H156" s="9"/>
      <c r="I156" s="9"/>
      <c r="J156" s="9" t="s">
        <v>37</v>
      </c>
    </row>
    <row r="157" customFormat="false" ht="23.85" hidden="false" customHeight="false" outlineLevel="0" collapsed="false">
      <c r="A157" s="8" t="n">
        <v>153</v>
      </c>
      <c r="B157" s="9" t="s">
        <v>10</v>
      </c>
      <c r="C157" s="9" t="s">
        <v>267</v>
      </c>
      <c r="D157" s="9" t="s">
        <v>262</v>
      </c>
      <c r="E157" s="9" t="s">
        <v>263</v>
      </c>
      <c r="F157" s="9" t="s">
        <v>264</v>
      </c>
      <c r="G157" s="10" t="n">
        <v>45398</v>
      </c>
      <c r="H157" s="9"/>
      <c r="I157" s="9"/>
      <c r="J157" s="9" t="s">
        <v>37</v>
      </c>
    </row>
    <row r="158" customFormat="false" ht="23.85" hidden="false" customHeight="false" outlineLevel="0" collapsed="false">
      <c r="A158" s="8" t="n">
        <v>154</v>
      </c>
      <c r="B158" s="9" t="s">
        <v>10</v>
      </c>
      <c r="C158" s="9" t="s">
        <v>268</v>
      </c>
      <c r="D158" s="9" t="s">
        <v>262</v>
      </c>
      <c r="E158" s="9" t="s">
        <v>263</v>
      </c>
      <c r="F158" s="9" t="s">
        <v>264</v>
      </c>
      <c r="G158" s="10" t="n">
        <v>42919</v>
      </c>
      <c r="H158" s="9"/>
      <c r="I158" s="9"/>
      <c r="J158" s="9" t="s">
        <v>37</v>
      </c>
    </row>
    <row r="159" customFormat="false" ht="23.85" hidden="false" customHeight="false" outlineLevel="0" collapsed="false">
      <c r="A159" s="8" t="n">
        <v>155</v>
      </c>
      <c r="B159" s="9" t="s">
        <v>10</v>
      </c>
      <c r="C159" s="9" t="s">
        <v>269</v>
      </c>
      <c r="D159" s="9" t="s">
        <v>270</v>
      </c>
      <c r="E159" s="9" t="s">
        <v>263</v>
      </c>
      <c r="F159" s="9" t="s">
        <v>264</v>
      </c>
      <c r="G159" s="10" t="n">
        <v>42919</v>
      </c>
      <c r="H159" s="9"/>
      <c r="I159" s="9"/>
      <c r="J159" s="9" t="s">
        <v>37</v>
      </c>
    </row>
    <row r="160" customFormat="false" ht="23.85" hidden="false" customHeight="false" outlineLevel="0" collapsed="false">
      <c r="A160" s="8" t="n">
        <v>156</v>
      </c>
      <c r="B160" s="9" t="s">
        <v>10</v>
      </c>
      <c r="C160" s="9" t="s">
        <v>271</v>
      </c>
      <c r="D160" s="9" t="s">
        <v>262</v>
      </c>
      <c r="E160" s="9" t="s">
        <v>263</v>
      </c>
      <c r="F160" s="9" t="s">
        <v>264</v>
      </c>
      <c r="G160" s="10" t="n">
        <v>42919</v>
      </c>
      <c r="H160" s="9"/>
      <c r="I160" s="9"/>
      <c r="J160" s="9" t="s">
        <v>37</v>
      </c>
    </row>
    <row r="161" customFormat="false" ht="23.85" hidden="false" customHeight="false" outlineLevel="0" collapsed="false">
      <c r="A161" s="8" t="n">
        <v>157</v>
      </c>
      <c r="B161" s="9" t="s">
        <v>10</v>
      </c>
      <c r="C161" s="9" t="s">
        <v>272</v>
      </c>
      <c r="D161" s="9" t="s">
        <v>262</v>
      </c>
      <c r="E161" s="9" t="s">
        <v>263</v>
      </c>
      <c r="F161" s="9" t="s">
        <v>264</v>
      </c>
      <c r="G161" s="10" t="n">
        <v>42919</v>
      </c>
      <c r="H161" s="9"/>
      <c r="I161" s="9"/>
      <c r="J161" s="9" t="s">
        <v>37</v>
      </c>
    </row>
    <row r="162" customFormat="false" ht="23.85" hidden="false" customHeight="false" outlineLevel="0" collapsed="false">
      <c r="A162" s="8" t="n">
        <v>158</v>
      </c>
      <c r="B162" s="9" t="s">
        <v>10</v>
      </c>
      <c r="C162" s="9" t="s">
        <v>273</v>
      </c>
      <c r="D162" s="9" t="s">
        <v>274</v>
      </c>
      <c r="E162" s="9" t="s">
        <v>263</v>
      </c>
      <c r="F162" s="9" t="s">
        <v>264</v>
      </c>
      <c r="G162" s="10" t="n">
        <v>45756</v>
      </c>
      <c r="H162" s="9"/>
      <c r="I162" s="9"/>
      <c r="J162" s="9" t="s">
        <v>37</v>
      </c>
    </row>
    <row r="163" customFormat="false" ht="23.85" hidden="false" customHeight="false" outlineLevel="0" collapsed="false">
      <c r="A163" s="8" t="n">
        <v>159</v>
      </c>
      <c r="B163" s="9" t="s">
        <v>10</v>
      </c>
      <c r="C163" s="9" t="s">
        <v>275</v>
      </c>
      <c r="D163" s="9" t="s">
        <v>65</v>
      </c>
      <c r="E163" s="9" t="s">
        <v>166</v>
      </c>
      <c r="F163" s="9" t="s">
        <v>63</v>
      </c>
      <c r="G163" s="10" t="n">
        <v>45720</v>
      </c>
      <c r="H163" s="9"/>
      <c r="I163" s="9"/>
      <c r="J163" s="9" t="s">
        <v>37</v>
      </c>
    </row>
    <row r="164" customFormat="false" ht="23.85" hidden="false" customHeight="false" outlineLevel="0" collapsed="false">
      <c r="A164" s="8" t="n">
        <v>160</v>
      </c>
      <c r="B164" s="9" t="s">
        <v>10</v>
      </c>
      <c r="C164" s="9" t="s">
        <v>276</v>
      </c>
      <c r="D164" s="9" t="s">
        <v>65</v>
      </c>
      <c r="E164" s="9" t="s">
        <v>166</v>
      </c>
      <c r="F164" s="9" t="s">
        <v>63</v>
      </c>
      <c r="G164" s="10" t="n">
        <v>45908</v>
      </c>
      <c r="H164" s="9"/>
      <c r="I164" s="9"/>
      <c r="J164" s="9" t="s">
        <v>37</v>
      </c>
    </row>
    <row r="165" customFormat="false" ht="23.85" hidden="false" customHeight="false" outlineLevel="0" collapsed="false">
      <c r="A165" s="8" t="n">
        <v>161</v>
      </c>
      <c r="B165" s="9" t="s">
        <v>10</v>
      </c>
      <c r="C165" s="9" t="s">
        <v>277</v>
      </c>
      <c r="D165" s="9" t="s">
        <v>165</v>
      </c>
      <c r="E165" s="9" t="s">
        <v>166</v>
      </c>
      <c r="F165" s="9" t="s">
        <v>63</v>
      </c>
      <c r="G165" s="10" t="n">
        <v>38664</v>
      </c>
      <c r="H165" s="9"/>
      <c r="I165" s="9"/>
      <c r="J165" s="9" t="s">
        <v>37</v>
      </c>
    </row>
    <row r="166" customFormat="false" ht="23.85" hidden="false" customHeight="false" outlineLevel="0" collapsed="false">
      <c r="A166" s="8" t="n">
        <v>162</v>
      </c>
      <c r="B166" s="9" t="s">
        <v>10</v>
      </c>
      <c r="C166" s="9" t="s">
        <v>278</v>
      </c>
      <c r="D166" s="9" t="s">
        <v>61</v>
      </c>
      <c r="E166" s="9" t="s">
        <v>279</v>
      </c>
      <c r="F166" s="9" t="s">
        <v>63</v>
      </c>
      <c r="G166" s="10" t="n">
        <v>45943</v>
      </c>
      <c r="H166" s="9"/>
      <c r="I166" s="9"/>
      <c r="J166" s="9" t="s">
        <v>37</v>
      </c>
    </row>
    <row r="167" customFormat="false" ht="23.85" hidden="false" customHeight="false" outlineLevel="0" collapsed="false">
      <c r="A167" s="8" t="n">
        <v>163</v>
      </c>
      <c r="B167" s="9" t="s">
        <v>10</v>
      </c>
      <c r="C167" s="9" t="s">
        <v>280</v>
      </c>
      <c r="D167" s="9" t="s">
        <v>65</v>
      </c>
      <c r="E167" s="9" t="s">
        <v>279</v>
      </c>
      <c r="F167" s="9" t="s">
        <v>63</v>
      </c>
      <c r="G167" s="10" t="n">
        <v>46077</v>
      </c>
      <c r="H167" s="9"/>
      <c r="I167" s="9"/>
      <c r="J167" s="9" t="s">
        <v>37</v>
      </c>
    </row>
    <row r="168" customFormat="false" ht="23.85" hidden="false" customHeight="false" outlineLevel="0" collapsed="false">
      <c r="A168" s="8" t="n">
        <v>164</v>
      </c>
      <c r="B168" s="9" t="s">
        <v>10</v>
      </c>
      <c r="C168" s="9" t="s">
        <v>281</v>
      </c>
      <c r="D168" s="9" t="s">
        <v>65</v>
      </c>
      <c r="E168" s="9" t="s">
        <v>279</v>
      </c>
      <c r="F168" s="9" t="s">
        <v>63</v>
      </c>
      <c r="G168" s="10" t="n">
        <v>46097</v>
      </c>
      <c r="H168" s="9"/>
      <c r="I168" s="9"/>
      <c r="J168" s="9" t="s">
        <v>37</v>
      </c>
    </row>
    <row r="169" customFormat="false" ht="23.85" hidden="false" customHeight="false" outlineLevel="0" collapsed="false">
      <c r="A169" s="8" t="n">
        <v>165</v>
      </c>
      <c r="B169" s="9" t="s">
        <v>10</v>
      </c>
      <c r="C169" s="9" t="s">
        <v>282</v>
      </c>
      <c r="D169" s="9" t="s">
        <v>283</v>
      </c>
      <c r="E169" s="9" t="s">
        <v>284</v>
      </c>
      <c r="F169" s="9" t="s">
        <v>285</v>
      </c>
      <c r="G169" s="10" t="n">
        <v>43024</v>
      </c>
      <c r="H169" s="9"/>
      <c r="I169" s="9"/>
      <c r="J169" s="9" t="s">
        <v>37</v>
      </c>
    </row>
    <row r="170" customFormat="false" ht="23.85" hidden="false" customHeight="false" outlineLevel="0" collapsed="false">
      <c r="A170" s="8" t="n">
        <v>166</v>
      </c>
      <c r="B170" s="9" t="s">
        <v>10</v>
      </c>
      <c r="C170" s="9" t="s">
        <v>286</v>
      </c>
      <c r="D170" s="9" t="s">
        <v>283</v>
      </c>
      <c r="E170" s="9" t="s">
        <v>284</v>
      </c>
      <c r="F170" s="9" t="s">
        <v>285</v>
      </c>
      <c r="G170" s="10" t="n">
        <v>41219</v>
      </c>
      <c r="H170" s="9"/>
      <c r="I170" s="9"/>
      <c r="J170" s="9" t="s">
        <v>37</v>
      </c>
    </row>
    <row r="171" customFormat="false" ht="23.85" hidden="false" customHeight="false" outlineLevel="0" collapsed="false">
      <c r="A171" s="8" t="n">
        <v>167</v>
      </c>
      <c r="B171" s="9" t="s">
        <v>10</v>
      </c>
      <c r="C171" s="9" t="s">
        <v>287</v>
      </c>
      <c r="D171" s="9" t="s">
        <v>283</v>
      </c>
      <c r="E171" s="9" t="s">
        <v>284</v>
      </c>
      <c r="F171" s="9" t="s">
        <v>285</v>
      </c>
      <c r="G171" s="10" t="n">
        <v>43557</v>
      </c>
      <c r="H171" s="9"/>
      <c r="I171" s="9"/>
      <c r="J171" s="9" t="s">
        <v>37</v>
      </c>
    </row>
    <row r="172" customFormat="false" ht="23.85" hidden="false" customHeight="false" outlineLevel="0" collapsed="false">
      <c r="A172" s="8" t="n">
        <v>168</v>
      </c>
      <c r="B172" s="9" t="s">
        <v>10</v>
      </c>
      <c r="C172" s="9" t="s">
        <v>288</v>
      </c>
      <c r="D172" s="9" t="s">
        <v>283</v>
      </c>
      <c r="E172" s="9" t="s">
        <v>284</v>
      </c>
      <c r="F172" s="9" t="s">
        <v>285</v>
      </c>
      <c r="G172" s="10" t="n">
        <v>41183</v>
      </c>
      <c r="H172" s="9"/>
      <c r="I172" s="9"/>
      <c r="J172" s="9" t="s">
        <v>37</v>
      </c>
    </row>
    <row r="173" customFormat="false" ht="23.85" hidden="false" customHeight="false" outlineLevel="0" collapsed="false">
      <c r="A173" s="8" t="n">
        <v>169</v>
      </c>
      <c r="B173" s="9" t="s">
        <v>10</v>
      </c>
      <c r="C173" s="9" t="s">
        <v>289</v>
      </c>
      <c r="D173" s="9" t="s">
        <v>283</v>
      </c>
      <c r="E173" s="9" t="s">
        <v>284</v>
      </c>
      <c r="F173" s="9" t="s">
        <v>285</v>
      </c>
      <c r="G173" s="10" t="n">
        <v>40035</v>
      </c>
      <c r="H173" s="9"/>
      <c r="I173" s="9"/>
      <c r="J173" s="9" t="s">
        <v>37</v>
      </c>
    </row>
    <row r="174" customFormat="false" ht="23.85" hidden="false" customHeight="false" outlineLevel="0" collapsed="false">
      <c r="A174" s="8" t="n">
        <v>170</v>
      </c>
      <c r="B174" s="9" t="s">
        <v>10</v>
      </c>
      <c r="C174" s="9" t="s">
        <v>290</v>
      </c>
      <c r="D174" s="9" t="s">
        <v>283</v>
      </c>
      <c r="E174" s="9" t="s">
        <v>284</v>
      </c>
      <c r="F174" s="9" t="s">
        <v>285</v>
      </c>
      <c r="G174" s="10" t="n">
        <v>44879</v>
      </c>
      <c r="H174" s="9"/>
      <c r="I174" s="9"/>
      <c r="J174" s="9" t="s">
        <v>37</v>
      </c>
    </row>
    <row r="175" customFormat="false" ht="23.85" hidden="false" customHeight="false" outlineLevel="0" collapsed="false">
      <c r="A175" s="8" t="n">
        <v>171</v>
      </c>
      <c r="B175" s="9" t="s">
        <v>10</v>
      </c>
      <c r="C175" s="9" t="s">
        <v>291</v>
      </c>
      <c r="D175" s="9" t="s">
        <v>283</v>
      </c>
      <c r="E175" s="9" t="s">
        <v>284</v>
      </c>
      <c r="F175" s="9" t="s">
        <v>285</v>
      </c>
      <c r="G175" s="10" t="n">
        <v>41375</v>
      </c>
      <c r="H175" s="9"/>
      <c r="I175" s="9"/>
      <c r="J175" s="9" t="s">
        <v>37</v>
      </c>
    </row>
    <row r="176" customFormat="false" ht="23.85" hidden="false" customHeight="false" outlineLevel="0" collapsed="false">
      <c r="A176" s="8" t="n">
        <v>172</v>
      </c>
      <c r="B176" s="9" t="s">
        <v>10</v>
      </c>
      <c r="C176" s="9" t="s">
        <v>292</v>
      </c>
      <c r="D176" s="9" t="s">
        <v>283</v>
      </c>
      <c r="E176" s="9" t="s">
        <v>284</v>
      </c>
      <c r="F176" s="9" t="s">
        <v>285</v>
      </c>
      <c r="G176" s="10" t="n">
        <v>43557</v>
      </c>
      <c r="H176" s="9"/>
      <c r="I176" s="9"/>
      <c r="J176" s="9" t="s">
        <v>37</v>
      </c>
    </row>
    <row r="177" customFormat="false" ht="23.85" hidden="false" customHeight="false" outlineLevel="0" collapsed="false">
      <c r="A177" s="8" t="n">
        <v>173</v>
      </c>
      <c r="B177" s="9" t="s">
        <v>10</v>
      </c>
      <c r="C177" s="9" t="s">
        <v>293</v>
      </c>
      <c r="D177" s="9" t="s">
        <v>283</v>
      </c>
      <c r="E177" s="9" t="s">
        <v>284</v>
      </c>
      <c r="F177" s="9" t="s">
        <v>285</v>
      </c>
      <c r="G177" s="10" t="n">
        <v>39875</v>
      </c>
      <c r="H177" s="9"/>
      <c r="I177" s="9"/>
      <c r="J177" s="9" t="s">
        <v>37</v>
      </c>
    </row>
    <row r="178" customFormat="false" ht="23.85" hidden="false" customHeight="false" outlineLevel="0" collapsed="false">
      <c r="A178" s="8" t="n">
        <v>174</v>
      </c>
      <c r="B178" s="9" t="s">
        <v>10</v>
      </c>
      <c r="C178" s="9" t="s">
        <v>294</v>
      </c>
      <c r="D178" s="9" t="s">
        <v>67</v>
      </c>
      <c r="E178" s="9" t="s">
        <v>295</v>
      </c>
      <c r="F178" s="9" t="s">
        <v>63</v>
      </c>
      <c r="G178" s="10" t="n">
        <v>45719</v>
      </c>
      <c r="H178" s="9"/>
      <c r="I178" s="9"/>
      <c r="J178" s="9" t="s">
        <v>37</v>
      </c>
    </row>
    <row r="179" customFormat="false" ht="23.85" hidden="false" customHeight="false" outlineLevel="0" collapsed="false">
      <c r="A179" s="8" t="n">
        <v>175</v>
      </c>
      <c r="B179" s="9" t="s">
        <v>10</v>
      </c>
      <c r="C179" s="9" t="s">
        <v>296</v>
      </c>
      <c r="D179" s="9" t="s">
        <v>67</v>
      </c>
      <c r="E179" s="9" t="s">
        <v>295</v>
      </c>
      <c r="F179" s="9" t="s">
        <v>63</v>
      </c>
      <c r="G179" s="10" t="n">
        <v>45803</v>
      </c>
      <c r="H179" s="9"/>
      <c r="I179" s="9"/>
      <c r="J179" s="9" t="s">
        <v>37</v>
      </c>
    </row>
    <row r="180" customFormat="false" ht="23.85" hidden="false" customHeight="false" outlineLevel="0" collapsed="false">
      <c r="A180" s="8" t="n">
        <v>176</v>
      </c>
      <c r="B180" s="9" t="s">
        <v>10</v>
      </c>
      <c r="C180" s="9" t="s">
        <v>297</v>
      </c>
      <c r="D180" s="9" t="s">
        <v>67</v>
      </c>
      <c r="E180" s="9" t="s">
        <v>295</v>
      </c>
      <c r="F180" s="9" t="s">
        <v>63</v>
      </c>
      <c r="G180" s="10" t="n">
        <v>45833</v>
      </c>
      <c r="H180" s="9"/>
      <c r="I180" s="9"/>
      <c r="J180" s="9" t="s">
        <v>37</v>
      </c>
    </row>
    <row r="181" customFormat="false" ht="23.85" hidden="false" customHeight="false" outlineLevel="0" collapsed="false">
      <c r="A181" s="8" t="n">
        <v>177</v>
      </c>
      <c r="B181" s="9" t="s">
        <v>10</v>
      </c>
      <c r="C181" s="9" t="s">
        <v>298</v>
      </c>
      <c r="D181" s="9" t="s">
        <v>299</v>
      </c>
      <c r="E181" s="9" t="s">
        <v>295</v>
      </c>
      <c r="F181" s="9" t="s">
        <v>63</v>
      </c>
      <c r="G181" s="10" t="n">
        <v>45691</v>
      </c>
      <c r="H181" s="9"/>
      <c r="I181" s="9"/>
      <c r="J181" s="9" t="s">
        <v>37</v>
      </c>
    </row>
    <row r="182" customFormat="false" ht="23.85" hidden="false" customHeight="false" outlineLevel="0" collapsed="false">
      <c r="A182" s="8" t="n">
        <v>178</v>
      </c>
      <c r="B182" s="9" t="s">
        <v>10</v>
      </c>
      <c r="C182" s="9" t="s">
        <v>300</v>
      </c>
      <c r="D182" s="9" t="s">
        <v>299</v>
      </c>
      <c r="E182" s="9" t="s">
        <v>295</v>
      </c>
      <c r="F182" s="9" t="s">
        <v>63</v>
      </c>
      <c r="G182" s="10" t="n">
        <v>45537</v>
      </c>
      <c r="H182" s="9"/>
      <c r="I182" s="9"/>
      <c r="J182" s="9" t="s">
        <v>37</v>
      </c>
    </row>
    <row r="183" customFormat="false" ht="23.85" hidden="false" customHeight="false" outlineLevel="0" collapsed="false">
      <c r="A183" s="8" t="n">
        <v>179</v>
      </c>
      <c r="B183" s="9" t="s">
        <v>10</v>
      </c>
      <c r="C183" s="9" t="s">
        <v>301</v>
      </c>
      <c r="D183" s="9" t="s">
        <v>67</v>
      </c>
      <c r="E183" s="9" t="s">
        <v>295</v>
      </c>
      <c r="F183" s="9" t="s">
        <v>63</v>
      </c>
      <c r="G183" s="10" t="n">
        <v>45908</v>
      </c>
      <c r="H183" s="9"/>
      <c r="I183" s="9"/>
      <c r="J183" s="9" t="s">
        <v>37</v>
      </c>
    </row>
    <row r="184" customFormat="false" ht="23.85" hidden="false" customHeight="false" outlineLevel="0" collapsed="false">
      <c r="A184" s="8" t="n">
        <v>180</v>
      </c>
      <c r="B184" s="9" t="s">
        <v>10</v>
      </c>
      <c r="C184" s="9" t="s">
        <v>302</v>
      </c>
      <c r="D184" s="9" t="s">
        <v>67</v>
      </c>
      <c r="E184" s="9" t="s">
        <v>295</v>
      </c>
      <c r="F184" s="9" t="s">
        <v>63</v>
      </c>
      <c r="G184" s="10" t="n">
        <v>42360</v>
      </c>
      <c r="H184" s="9"/>
      <c r="I184" s="9"/>
      <c r="J184" s="9" t="s">
        <v>37</v>
      </c>
    </row>
    <row r="185" customFormat="false" ht="23.85" hidden="false" customHeight="false" outlineLevel="0" collapsed="false">
      <c r="A185" s="8" t="n">
        <v>181</v>
      </c>
      <c r="B185" s="9" t="s">
        <v>10</v>
      </c>
      <c r="C185" s="9" t="s">
        <v>303</v>
      </c>
      <c r="D185" s="9" t="s">
        <v>67</v>
      </c>
      <c r="E185" s="9" t="s">
        <v>295</v>
      </c>
      <c r="F185" s="9" t="s">
        <v>63</v>
      </c>
      <c r="G185" s="10" t="n">
        <v>45966</v>
      </c>
      <c r="H185" s="9"/>
      <c r="I185" s="9"/>
      <c r="J185" s="9" t="s">
        <v>37</v>
      </c>
    </row>
    <row r="186" customFormat="false" ht="23.85" hidden="false" customHeight="false" outlineLevel="0" collapsed="false">
      <c r="A186" s="8" t="n">
        <v>182</v>
      </c>
      <c r="B186" s="9" t="s">
        <v>10</v>
      </c>
      <c r="C186" s="9" t="s">
        <v>304</v>
      </c>
      <c r="D186" s="9" t="s">
        <v>67</v>
      </c>
      <c r="E186" s="9" t="s">
        <v>295</v>
      </c>
      <c r="F186" s="9" t="s">
        <v>63</v>
      </c>
      <c r="G186" s="10" t="n">
        <v>46113</v>
      </c>
      <c r="H186" s="9"/>
      <c r="I186" s="9"/>
      <c r="J186" s="9" t="s">
        <v>37</v>
      </c>
    </row>
    <row r="187" customFormat="false" ht="23.85" hidden="false" customHeight="false" outlineLevel="0" collapsed="false">
      <c r="A187" s="8" t="n">
        <v>183</v>
      </c>
      <c r="B187" s="9" t="s">
        <v>10</v>
      </c>
      <c r="C187" s="9" t="s">
        <v>305</v>
      </c>
      <c r="D187" s="9" t="s">
        <v>299</v>
      </c>
      <c r="E187" s="9" t="s">
        <v>295</v>
      </c>
      <c r="F187" s="9" t="s">
        <v>63</v>
      </c>
      <c r="G187" s="10" t="n">
        <v>45579</v>
      </c>
      <c r="H187" s="9"/>
      <c r="I187" s="9"/>
      <c r="J187" s="9" t="s">
        <v>37</v>
      </c>
    </row>
    <row r="188" customFormat="false" ht="23.85" hidden="false" customHeight="false" outlineLevel="0" collapsed="false">
      <c r="A188" s="8" t="n">
        <v>184</v>
      </c>
      <c r="B188" s="9" t="s">
        <v>10</v>
      </c>
      <c r="C188" s="9" t="s">
        <v>306</v>
      </c>
      <c r="D188" s="9" t="s">
        <v>307</v>
      </c>
      <c r="E188" s="9" t="s">
        <v>295</v>
      </c>
      <c r="F188" s="9" t="s">
        <v>63</v>
      </c>
      <c r="G188" s="10" t="n">
        <v>40616</v>
      </c>
      <c r="H188" s="9"/>
      <c r="I188" s="9"/>
      <c r="J188" s="9" t="s">
        <v>37</v>
      </c>
    </row>
    <row r="189" customFormat="false" ht="23.85" hidden="false" customHeight="false" outlineLevel="0" collapsed="false">
      <c r="A189" s="8" t="n">
        <v>185</v>
      </c>
      <c r="B189" s="9" t="s">
        <v>10</v>
      </c>
      <c r="C189" s="9" t="s">
        <v>308</v>
      </c>
      <c r="D189" s="9" t="s">
        <v>309</v>
      </c>
      <c r="E189" s="9" t="s">
        <v>295</v>
      </c>
      <c r="F189" s="9" t="s">
        <v>63</v>
      </c>
      <c r="G189" s="10" t="n">
        <v>45397</v>
      </c>
      <c r="H189" s="9"/>
      <c r="I189" s="9"/>
      <c r="J189" s="9" t="s">
        <v>37</v>
      </c>
    </row>
    <row r="190" customFormat="false" ht="23.85" hidden="false" customHeight="false" outlineLevel="0" collapsed="false">
      <c r="A190" s="8" t="n">
        <v>186</v>
      </c>
      <c r="B190" s="9" t="s">
        <v>10</v>
      </c>
      <c r="C190" s="9" t="s">
        <v>310</v>
      </c>
      <c r="D190" s="9" t="s">
        <v>311</v>
      </c>
      <c r="E190" s="9" t="s">
        <v>295</v>
      </c>
      <c r="F190" s="9" t="s">
        <v>63</v>
      </c>
      <c r="G190" s="10" t="n">
        <v>43031</v>
      </c>
      <c r="H190" s="9"/>
      <c r="I190" s="9"/>
      <c r="J190" s="9" t="s">
        <v>37</v>
      </c>
    </row>
    <row r="191" customFormat="false" ht="23.85" hidden="false" customHeight="false" outlineLevel="0" collapsed="false">
      <c r="A191" s="8" t="n">
        <v>187</v>
      </c>
      <c r="B191" s="9" t="s">
        <v>10</v>
      </c>
      <c r="C191" s="9" t="s">
        <v>312</v>
      </c>
      <c r="D191" s="9" t="s">
        <v>313</v>
      </c>
      <c r="E191" s="9" t="s">
        <v>314</v>
      </c>
      <c r="F191" s="9" t="s">
        <v>315</v>
      </c>
      <c r="G191" s="10" t="n">
        <v>46139</v>
      </c>
      <c r="H191" s="9"/>
      <c r="I191" s="9"/>
      <c r="J191" s="9" t="s">
        <v>37</v>
      </c>
    </row>
    <row r="192" customFormat="false" ht="23.85" hidden="false" customHeight="false" outlineLevel="0" collapsed="false">
      <c r="A192" s="8" t="n">
        <v>188</v>
      </c>
      <c r="B192" s="9" t="s">
        <v>10</v>
      </c>
      <c r="C192" s="9" t="s">
        <v>316</v>
      </c>
      <c r="D192" s="9" t="s">
        <v>317</v>
      </c>
      <c r="E192" s="9" t="s">
        <v>318</v>
      </c>
      <c r="F192" s="9" t="s">
        <v>40</v>
      </c>
      <c r="G192" s="10" t="n">
        <v>45782</v>
      </c>
      <c r="H192" s="9"/>
      <c r="I192" s="9"/>
      <c r="J192" s="9" t="s">
        <v>37</v>
      </c>
    </row>
    <row r="193" customFormat="false" ht="23.85" hidden="false" customHeight="false" outlineLevel="0" collapsed="false">
      <c r="A193" s="8" t="n">
        <v>189</v>
      </c>
      <c r="B193" s="9" t="s">
        <v>10</v>
      </c>
      <c r="C193" s="9" t="s">
        <v>319</v>
      </c>
      <c r="D193" s="9" t="s">
        <v>320</v>
      </c>
      <c r="E193" s="9" t="s">
        <v>318</v>
      </c>
      <c r="F193" s="9" t="s">
        <v>40</v>
      </c>
      <c r="G193" s="10" t="n">
        <v>40560</v>
      </c>
      <c r="H193" s="9"/>
      <c r="I193" s="9"/>
      <c r="J193" s="9" t="s">
        <v>37</v>
      </c>
    </row>
    <row r="194" customFormat="false" ht="23.85" hidden="false" customHeight="false" outlineLevel="0" collapsed="false">
      <c r="A194" s="8" t="n">
        <v>190</v>
      </c>
      <c r="B194" s="9" t="s">
        <v>10</v>
      </c>
      <c r="C194" s="9" t="s">
        <v>321</v>
      </c>
      <c r="D194" s="9" t="s">
        <v>322</v>
      </c>
      <c r="E194" s="9" t="s">
        <v>318</v>
      </c>
      <c r="F194" s="9" t="s">
        <v>323</v>
      </c>
      <c r="G194" s="10" t="n">
        <v>42461</v>
      </c>
      <c r="H194" s="9"/>
      <c r="I194" s="9"/>
      <c r="J194" s="9" t="s">
        <v>37</v>
      </c>
    </row>
    <row r="195" customFormat="false" ht="23.85" hidden="false" customHeight="false" outlineLevel="0" collapsed="false">
      <c r="A195" s="8" t="n">
        <v>191</v>
      </c>
      <c r="B195" s="9" t="s">
        <v>10</v>
      </c>
      <c r="C195" s="9" t="s">
        <v>324</v>
      </c>
      <c r="D195" s="9" t="s">
        <v>95</v>
      </c>
      <c r="E195" s="9" t="s">
        <v>318</v>
      </c>
      <c r="F195" s="9" t="s">
        <v>40</v>
      </c>
      <c r="G195" s="10" t="n">
        <v>45771</v>
      </c>
      <c r="H195" s="9"/>
      <c r="I195" s="9"/>
      <c r="J195" s="9" t="s">
        <v>37</v>
      </c>
    </row>
    <row r="196" customFormat="false" ht="23.85" hidden="false" customHeight="false" outlineLevel="0" collapsed="false">
      <c r="A196" s="8" t="n">
        <v>192</v>
      </c>
      <c r="B196" s="9" t="s">
        <v>10</v>
      </c>
      <c r="C196" s="9" t="s">
        <v>325</v>
      </c>
      <c r="D196" s="9" t="s">
        <v>95</v>
      </c>
      <c r="E196" s="9" t="s">
        <v>318</v>
      </c>
      <c r="F196" s="9" t="s">
        <v>40</v>
      </c>
      <c r="G196" s="10" t="n">
        <v>46083</v>
      </c>
      <c r="H196" s="9"/>
      <c r="I196" s="9"/>
      <c r="J196" s="9" t="s">
        <v>37</v>
      </c>
    </row>
    <row r="197" customFormat="false" ht="23.85" hidden="false" customHeight="false" outlineLevel="0" collapsed="false">
      <c r="A197" s="8" t="n">
        <v>193</v>
      </c>
      <c r="B197" s="9" t="s">
        <v>10</v>
      </c>
      <c r="C197" s="9" t="s">
        <v>326</v>
      </c>
      <c r="D197" s="9" t="s">
        <v>317</v>
      </c>
      <c r="E197" s="9" t="s">
        <v>318</v>
      </c>
      <c r="F197" s="9" t="s">
        <v>40</v>
      </c>
      <c r="G197" s="10" t="n">
        <v>45805</v>
      </c>
      <c r="H197" s="9"/>
      <c r="I197" s="9"/>
      <c r="J197" s="9" t="s">
        <v>37</v>
      </c>
    </row>
    <row r="198" customFormat="false" ht="23.85" hidden="false" customHeight="false" outlineLevel="0" collapsed="false">
      <c r="A198" s="8" t="n">
        <v>194</v>
      </c>
      <c r="B198" s="9" t="s">
        <v>10</v>
      </c>
      <c r="C198" s="9" t="s">
        <v>327</v>
      </c>
      <c r="D198" s="9" t="s">
        <v>320</v>
      </c>
      <c r="E198" s="9" t="s">
        <v>318</v>
      </c>
      <c r="F198" s="9" t="s">
        <v>40</v>
      </c>
      <c r="G198" s="10" t="n">
        <v>45365</v>
      </c>
      <c r="H198" s="9"/>
      <c r="I198" s="9"/>
      <c r="J198" s="9" t="s">
        <v>37</v>
      </c>
    </row>
    <row r="199" customFormat="false" ht="23.85" hidden="false" customHeight="false" outlineLevel="0" collapsed="false">
      <c r="A199" s="8" t="n">
        <v>195</v>
      </c>
      <c r="B199" s="9" t="s">
        <v>10</v>
      </c>
      <c r="C199" s="9" t="s">
        <v>328</v>
      </c>
      <c r="D199" s="9" t="s">
        <v>313</v>
      </c>
      <c r="E199" s="9" t="s">
        <v>318</v>
      </c>
      <c r="F199" s="9" t="s">
        <v>315</v>
      </c>
      <c r="G199" s="10" t="n">
        <v>45828</v>
      </c>
      <c r="H199" s="9"/>
      <c r="I199" s="9"/>
      <c r="J199" s="9" t="s">
        <v>37</v>
      </c>
    </row>
    <row r="200" customFormat="false" ht="23.85" hidden="false" customHeight="false" outlineLevel="0" collapsed="false">
      <c r="A200" s="8" t="n">
        <v>196</v>
      </c>
      <c r="B200" s="9" t="s">
        <v>10</v>
      </c>
      <c r="C200" s="9" t="s">
        <v>329</v>
      </c>
      <c r="D200" s="9" t="s">
        <v>317</v>
      </c>
      <c r="E200" s="9" t="s">
        <v>318</v>
      </c>
      <c r="F200" s="9" t="s">
        <v>40</v>
      </c>
      <c r="G200" s="10" t="n">
        <v>42016</v>
      </c>
      <c r="H200" s="9"/>
      <c r="I200" s="9"/>
      <c r="J200" s="9" t="s">
        <v>37</v>
      </c>
    </row>
    <row r="201" customFormat="false" ht="23.85" hidden="false" customHeight="false" outlineLevel="0" collapsed="false">
      <c r="A201" s="8" t="n">
        <v>197</v>
      </c>
      <c r="B201" s="9" t="s">
        <v>10</v>
      </c>
      <c r="C201" s="9" t="s">
        <v>330</v>
      </c>
      <c r="D201" s="9" t="s">
        <v>313</v>
      </c>
      <c r="E201" s="9" t="s">
        <v>318</v>
      </c>
      <c r="F201" s="9" t="s">
        <v>315</v>
      </c>
      <c r="G201" s="10" t="n">
        <v>45971</v>
      </c>
      <c r="H201" s="9"/>
      <c r="I201" s="9"/>
      <c r="J201" s="9" t="s">
        <v>37</v>
      </c>
    </row>
    <row r="202" customFormat="false" ht="23.85" hidden="false" customHeight="false" outlineLevel="0" collapsed="false">
      <c r="A202" s="8" t="n">
        <v>198</v>
      </c>
      <c r="B202" s="9" t="s">
        <v>10</v>
      </c>
      <c r="C202" s="9" t="s">
        <v>331</v>
      </c>
      <c r="D202" s="9" t="s">
        <v>317</v>
      </c>
      <c r="E202" s="9" t="s">
        <v>318</v>
      </c>
      <c r="F202" s="9" t="s">
        <v>40</v>
      </c>
      <c r="G202" s="10" t="n">
        <v>45775</v>
      </c>
      <c r="H202" s="9"/>
      <c r="I202" s="9"/>
      <c r="J202" s="9" t="s">
        <v>37</v>
      </c>
    </row>
    <row r="203" customFormat="false" ht="23.85" hidden="false" customHeight="false" outlineLevel="0" collapsed="false">
      <c r="A203" s="8" t="n">
        <v>199</v>
      </c>
      <c r="B203" s="9" t="s">
        <v>10</v>
      </c>
      <c r="C203" s="9" t="s">
        <v>332</v>
      </c>
      <c r="D203" s="9" t="s">
        <v>320</v>
      </c>
      <c r="E203" s="9" t="s">
        <v>318</v>
      </c>
      <c r="F203" s="9" t="s">
        <v>40</v>
      </c>
      <c r="G203" s="10" t="n">
        <v>44802</v>
      </c>
      <c r="H203" s="9"/>
      <c r="I203" s="9"/>
      <c r="J203" s="9" t="s">
        <v>37</v>
      </c>
    </row>
    <row r="204" customFormat="false" ht="23.85" hidden="false" customHeight="false" outlineLevel="0" collapsed="false">
      <c r="A204" s="8" t="n">
        <v>200</v>
      </c>
      <c r="B204" s="9" t="s">
        <v>10</v>
      </c>
      <c r="C204" s="9" t="s">
        <v>333</v>
      </c>
      <c r="D204" s="9" t="s">
        <v>95</v>
      </c>
      <c r="E204" s="9" t="s">
        <v>318</v>
      </c>
      <c r="F204" s="9" t="s">
        <v>40</v>
      </c>
      <c r="G204" s="10" t="n">
        <v>45791</v>
      </c>
      <c r="H204" s="9"/>
      <c r="I204" s="9"/>
      <c r="J204" s="9" t="s">
        <v>37</v>
      </c>
    </row>
    <row r="205" customFormat="false" ht="23.85" hidden="false" customHeight="false" outlineLevel="0" collapsed="false">
      <c r="A205" s="8" t="n">
        <v>201</v>
      </c>
      <c r="B205" s="9" t="s">
        <v>10</v>
      </c>
      <c r="C205" s="9" t="s">
        <v>334</v>
      </c>
      <c r="D205" s="9" t="s">
        <v>95</v>
      </c>
      <c r="E205" s="9" t="s">
        <v>318</v>
      </c>
      <c r="F205" s="9" t="s">
        <v>40</v>
      </c>
      <c r="G205" s="10" t="n">
        <v>42248</v>
      </c>
      <c r="H205" s="9"/>
      <c r="I205" s="9"/>
      <c r="J205" s="9" t="s">
        <v>37</v>
      </c>
    </row>
    <row r="206" customFormat="false" ht="23.85" hidden="false" customHeight="false" outlineLevel="0" collapsed="false">
      <c r="A206" s="8" t="n">
        <v>202</v>
      </c>
      <c r="B206" s="9" t="s">
        <v>10</v>
      </c>
      <c r="C206" s="9" t="s">
        <v>335</v>
      </c>
      <c r="D206" s="9" t="s">
        <v>95</v>
      </c>
      <c r="E206" s="9" t="s">
        <v>318</v>
      </c>
      <c r="F206" s="9" t="s">
        <v>40</v>
      </c>
      <c r="G206" s="10" t="n">
        <v>45950</v>
      </c>
      <c r="H206" s="9"/>
      <c r="I206" s="9"/>
      <c r="J206" s="9" t="s">
        <v>37</v>
      </c>
    </row>
    <row r="207" customFormat="false" ht="23.85" hidden="false" customHeight="false" outlineLevel="0" collapsed="false">
      <c r="A207" s="8" t="n">
        <v>203</v>
      </c>
      <c r="B207" s="9" t="s">
        <v>10</v>
      </c>
      <c r="C207" s="9" t="s">
        <v>336</v>
      </c>
      <c r="D207" s="9" t="s">
        <v>317</v>
      </c>
      <c r="E207" s="9" t="s">
        <v>318</v>
      </c>
      <c r="F207" s="9" t="s">
        <v>40</v>
      </c>
      <c r="G207" s="10" t="n">
        <v>45789</v>
      </c>
      <c r="H207" s="9"/>
      <c r="I207" s="9"/>
      <c r="J207" s="9" t="s">
        <v>37</v>
      </c>
    </row>
    <row r="208" customFormat="false" ht="23.85" hidden="false" customHeight="false" outlineLevel="0" collapsed="false">
      <c r="A208" s="8" t="n">
        <v>204</v>
      </c>
      <c r="B208" s="9" t="s">
        <v>10</v>
      </c>
      <c r="C208" s="9" t="s">
        <v>337</v>
      </c>
      <c r="D208" s="9" t="s">
        <v>338</v>
      </c>
      <c r="E208" s="9" t="s">
        <v>339</v>
      </c>
      <c r="F208" s="9" t="s">
        <v>340</v>
      </c>
      <c r="G208" s="10" t="n">
        <v>41673</v>
      </c>
      <c r="H208" s="9"/>
      <c r="I208" s="9"/>
      <c r="J208" s="9" t="s">
        <v>37</v>
      </c>
    </row>
    <row r="209" customFormat="false" ht="23.85" hidden="false" customHeight="false" outlineLevel="0" collapsed="false">
      <c r="A209" s="8" t="n">
        <v>205</v>
      </c>
      <c r="B209" s="9" t="s">
        <v>10</v>
      </c>
      <c r="C209" s="9" t="s">
        <v>341</v>
      </c>
      <c r="D209" s="9" t="s">
        <v>342</v>
      </c>
      <c r="E209" s="9" t="s">
        <v>339</v>
      </c>
      <c r="F209" s="9" t="s">
        <v>340</v>
      </c>
      <c r="G209" s="10" t="n">
        <v>45974</v>
      </c>
      <c r="H209" s="9"/>
      <c r="I209" s="9"/>
      <c r="J209" s="9" t="s">
        <v>37</v>
      </c>
    </row>
    <row r="210" customFormat="false" ht="23.85" hidden="false" customHeight="false" outlineLevel="0" collapsed="false">
      <c r="A210" s="8" t="n">
        <v>206</v>
      </c>
      <c r="B210" s="9" t="s">
        <v>10</v>
      </c>
      <c r="C210" s="9" t="s">
        <v>343</v>
      </c>
      <c r="D210" s="9" t="s">
        <v>344</v>
      </c>
      <c r="E210" s="9" t="s">
        <v>339</v>
      </c>
      <c r="F210" s="9" t="s">
        <v>340</v>
      </c>
      <c r="G210" s="10" t="n">
        <v>45714</v>
      </c>
      <c r="H210" s="9"/>
      <c r="I210" s="9"/>
      <c r="J210" s="9" t="s">
        <v>37</v>
      </c>
    </row>
    <row r="211" customFormat="false" ht="23.85" hidden="false" customHeight="false" outlineLevel="0" collapsed="false">
      <c r="A211" s="8" t="n">
        <v>207</v>
      </c>
      <c r="B211" s="9" t="s">
        <v>10</v>
      </c>
      <c r="C211" s="9" t="s">
        <v>345</v>
      </c>
      <c r="D211" s="9" t="s">
        <v>342</v>
      </c>
      <c r="E211" s="9" t="s">
        <v>339</v>
      </c>
      <c r="F211" s="9" t="s">
        <v>340</v>
      </c>
      <c r="G211" s="10" t="n">
        <v>45958</v>
      </c>
      <c r="H211" s="9"/>
      <c r="I211" s="9"/>
      <c r="J211" s="9" t="s">
        <v>37</v>
      </c>
    </row>
    <row r="212" customFormat="false" ht="23.85" hidden="false" customHeight="false" outlineLevel="0" collapsed="false">
      <c r="A212" s="8" t="n">
        <v>208</v>
      </c>
      <c r="B212" s="9" t="s">
        <v>10</v>
      </c>
      <c r="C212" s="9" t="s">
        <v>346</v>
      </c>
      <c r="D212" s="9" t="s">
        <v>338</v>
      </c>
      <c r="E212" s="9" t="s">
        <v>339</v>
      </c>
      <c r="F212" s="9" t="s">
        <v>340</v>
      </c>
      <c r="G212" s="10" t="n">
        <v>45643</v>
      </c>
      <c r="H212" s="9"/>
      <c r="I212" s="9"/>
      <c r="J212" s="9" t="s">
        <v>37</v>
      </c>
    </row>
    <row r="213" customFormat="false" ht="23.85" hidden="false" customHeight="false" outlineLevel="0" collapsed="false">
      <c r="A213" s="8" t="n">
        <v>209</v>
      </c>
      <c r="B213" s="9" t="s">
        <v>10</v>
      </c>
      <c r="C213" s="9" t="s">
        <v>347</v>
      </c>
      <c r="D213" s="9" t="s">
        <v>342</v>
      </c>
      <c r="E213" s="9" t="s">
        <v>339</v>
      </c>
      <c r="F213" s="9" t="s">
        <v>340</v>
      </c>
      <c r="G213" s="10" t="n">
        <v>45833</v>
      </c>
      <c r="H213" s="9"/>
      <c r="I213" s="9"/>
      <c r="J213" s="9" t="s">
        <v>37</v>
      </c>
    </row>
    <row r="214" customFormat="false" ht="23.85" hidden="false" customHeight="false" outlineLevel="0" collapsed="false">
      <c r="A214" s="8" t="n">
        <v>210</v>
      </c>
      <c r="B214" s="9" t="s">
        <v>10</v>
      </c>
      <c r="C214" s="9" t="s">
        <v>348</v>
      </c>
      <c r="D214" s="9" t="s">
        <v>338</v>
      </c>
      <c r="E214" s="9" t="s">
        <v>339</v>
      </c>
      <c r="F214" s="9" t="s">
        <v>340</v>
      </c>
      <c r="G214" s="10" t="n">
        <v>45565</v>
      </c>
      <c r="H214" s="9"/>
      <c r="I214" s="9"/>
      <c r="J214" s="9" t="s">
        <v>37</v>
      </c>
    </row>
    <row r="215" customFormat="false" ht="23.85" hidden="false" customHeight="false" outlineLevel="0" collapsed="false">
      <c r="A215" s="8" t="n">
        <v>211</v>
      </c>
      <c r="B215" s="9" t="s">
        <v>10</v>
      </c>
      <c r="C215" s="9" t="s">
        <v>349</v>
      </c>
      <c r="D215" s="9" t="s">
        <v>338</v>
      </c>
      <c r="E215" s="9" t="s">
        <v>339</v>
      </c>
      <c r="F215" s="9" t="s">
        <v>340</v>
      </c>
      <c r="G215" s="10" t="n">
        <v>44795</v>
      </c>
      <c r="H215" s="9"/>
      <c r="I215" s="9"/>
      <c r="J215" s="9" t="s">
        <v>37</v>
      </c>
    </row>
    <row r="216" customFormat="false" ht="23.85" hidden="false" customHeight="false" outlineLevel="0" collapsed="false">
      <c r="A216" s="8" t="n">
        <v>212</v>
      </c>
      <c r="B216" s="9" t="s">
        <v>10</v>
      </c>
      <c r="C216" s="9" t="s">
        <v>350</v>
      </c>
      <c r="D216" s="9" t="s">
        <v>344</v>
      </c>
      <c r="E216" s="9" t="s">
        <v>339</v>
      </c>
      <c r="F216" s="9" t="s">
        <v>340</v>
      </c>
      <c r="G216" s="10" t="n">
        <v>45587</v>
      </c>
      <c r="H216" s="9"/>
      <c r="I216" s="9"/>
      <c r="J216" s="9" t="s">
        <v>37</v>
      </c>
    </row>
    <row r="217" customFormat="false" ht="23.85" hidden="false" customHeight="false" outlineLevel="0" collapsed="false">
      <c r="A217" s="8" t="n">
        <v>213</v>
      </c>
      <c r="B217" s="9" t="s">
        <v>10</v>
      </c>
      <c r="C217" s="9" t="s">
        <v>351</v>
      </c>
      <c r="D217" s="9" t="s">
        <v>344</v>
      </c>
      <c r="E217" s="9" t="s">
        <v>339</v>
      </c>
      <c r="F217" s="9" t="s">
        <v>340</v>
      </c>
      <c r="G217" s="10" t="n">
        <v>37438</v>
      </c>
      <c r="H217" s="9"/>
      <c r="I217" s="9"/>
      <c r="J217" s="9" t="s">
        <v>37</v>
      </c>
    </row>
    <row r="218" customFormat="false" ht="23.85" hidden="false" customHeight="false" outlineLevel="0" collapsed="false">
      <c r="A218" s="8" t="n">
        <v>214</v>
      </c>
      <c r="B218" s="9" t="s">
        <v>10</v>
      </c>
      <c r="C218" s="9" t="s">
        <v>352</v>
      </c>
      <c r="D218" s="9" t="s">
        <v>342</v>
      </c>
      <c r="E218" s="9" t="s">
        <v>339</v>
      </c>
      <c r="F218" s="9" t="s">
        <v>340</v>
      </c>
      <c r="G218" s="10" t="n">
        <v>45714</v>
      </c>
      <c r="H218" s="9"/>
      <c r="I218" s="9"/>
      <c r="J218" s="9" t="s">
        <v>37</v>
      </c>
    </row>
    <row r="219" customFormat="false" ht="23.85" hidden="false" customHeight="false" outlineLevel="0" collapsed="false">
      <c r="A219" s="8" t="n">
        <v>215</v>
      </c>
      <c r="B219" s="9" t="s">
        <v>10</v>
      </c>
      <c r="C219" s="9" t="s">
        <v>353</v>
      </c>
      <c r="D219" s="9" t="s">
        <v>338</v>
      </c>
      <c r="E219" s="9" t="s">
        <v>339</v>
      </c>
      <c r="F219" s="9" t="s">
        <v>340</v>
      </c>
      <c r="G219" s="10" t="n">
        <v>42429</v>
      </c>
      <c r="H219" s="9"/>
      <c r="I219" s="9"/>
      <c r="J219" s="9" t="s">
        <v>37</v>
      </c>
    </row>
    <row r="220" customFormat="false" ht="35.05" hidden="false" customHeight="false" outlineLevel="0" collapsed="false">
      <c r="A220" s="8" t="n">
        <v>216</v>
      </c>
      <c r="B220" s="9" t="s">
        <v>10</v>
      </c>
      <c r="C220" s="9" t="s">
        <v>354</v>
      </c>
      <c r="D220" s="9" t="s">
        <v>355</v>
      </c>
      <c r="E220" s="9" t="s">
        <v>356</v>
      </c>
      <c r="F220" s="9" t="s">
        <v>357</v>
      </c>
      <c r="G220" s="10" t="n">
        <v>45649</v>
      </c>
      <c r="H220" s="9"/>
      <c r="I220" s="9"/>
      <c r="J220" s="9" t="s">
        <v>37</v>
      </c>
    </row>
    <row r="221" customFormat="false" ht="35.05" hidden="false" customHeight="false" outlineLevel="0" collapsed="false">
      <c r="A221" s="8" t="n">
        <v>217</v>
      </c>
      <c r="B221" s="9" t="s">
        <v>10</v>
      </c>
      <c r="C221" s="9" t="s">
        <v>358</v>
      </c>
      <c r="D221" s="9" t="s">
        <v>359</v>
      </c>
      <c r="E221" s="9" t="s">
        <v>360</v>
      </c>
      <c r="F221" s="9" t="s">
        <v>361</v>
      </c>
      <c r="G221" s="10" t="n">
        <v>46036</v>
      </c>
      <c r="H221" s="9"/>
      <c r="I221" s="9"/>
      <c r="J221" s="9" t="s">
        <v>37</v>
      </c>
    </row>
    <row r="222" customFormat="false" ht="35.05" hidden="false" customHeight="false" outlineLevel="0" collapsed="false">
      <c r="A222" s="8" t="n">
        <v>218</v>
      </c>
      <c r="B222" s="9" t="s">
        <v>10</v>
      </c>
      <c r="C222" s="9" t="s">
        <v>362</v>
      </c>
      <c r="D222" s="9" t="s">
        <v>363</v>
      </c>
      <c r="E222" s="9" t="s">
        <v>360</v>
      </c>
      <c r="F222" s="9" t="s">
        <v>361</v>
      </c>
      <c r="G222" s="10" t="n">
        <v>44621</v>
      </c>
      <c r="H222" s="9"/>
      <c r="I222" s="9"/>
      <c r="J222" s="9" t="s">
        <v>37</v>
      </c>
    </row>
    <row r="223" customFormat="false" ht="23.85" hidden="false" customHeight="false" outlineLevel="0" collapsed="false">
      <c r="A223" s="8" t="n">
        <v>219</v>
      </c>
      <c r="B223" s="9" t="s">
        <v>10</v>
      </c>
      <c r="C223" s="9" t="s">
        <v>364</v>
      </c>
      <c r="D223" s="9" t="s">
        <v>365</v>
      </c>
      <c r="E223" s="9" t="s">
        <v>360</v>
      </c>
      <c r="F223" s="9" t="s">
        <v>361</v>
      </c>
      <c r="G223" s="10" t="n">
        <v>45817</v>
      </c>
      <c r="H223" s="9"/>
      <c r="I223" s="9"/>
      <c r="J223" s="9" t="s">
        <v>37</v>
      </c>
    </row>
    <row r="224" customFormat="false" ht="35.05" hidden="false" customHeight="false" outlineLevel="0" collapsed="false">
      <c r="A224" s="8" t="n">
        <v>220</v>
      </c>
      <c r="B224" s="9" t="s">
        <v>10</v>
      </c>
      <c r="C224" s="9" t="s">
        <v>366</v>
      </c>
      <c r="D224" s="9" t="s">
        <v>355</v>
      </c>
      <c r="E224" s="9" t="s">
        <v>360</v>
      </c>
      <c r="F224" s="9" t="s">
        <v>357</v>
      </c>
      <c r="G224" s="10" t="n">
        <v>46080</v>
      </c>
      <c r="H224" s="9"/>
      <c r="I224" s="9"/>
      <c r="J224" s="9" t="s">
        <v>37</v>
      </c>
    </row>
    <row r="225" customFormat="false" ht="23.85" hidden="false" customHeight="false" outlineLevel="0" collapsed="false">
      <c r="A225" s="8" t="n">
        <v>221</v>
      </c>
      <c r="B225" s="9" t="s">
        <v>10</v>
      </c>
      <c r="C225" s="9" t="s">
        <v>367</v>
      </c>
      <c r="D225" s="9" t="s">
        <v>368</v>
      </c>
      <c r="E225" s="9" t="s">
        <v>360</v>
      </c>
      <c r="F225" s="9" t="s">
        <v>369</v>
      </c>
      <c r="G225" s="10" t="n">
        <v>45748</v>
      </c>
      <c r="H225" s="9"/>
      <c r="I225" s="9"/>
      <c r="J225" s="9" t="s">
        <v>37</v>
      </c>
    </row>
    <row r="226" customFormat="false" ht="23.85" hidden="false" customHeight="false" outlineLevel="0" collapsed="false">
      <c r="A226" s="8" t="n">
        <v>222</v>
      </c>
      <c r="B226" s="9" t="s">
        <v>10</v>
      </c>
      <c r="C226" s="9" t="s">
        <v>370</v>
      </c>
      <c r="D226" s="9" t="s">
        <v>371</v>
      </c>
      <c r="E226" s="9" t="s">
        <v>360</v>
      </c>
      <c r="F226" s="9" t="s">
        <v>372</v>
      </c>
      <c r="G226" s="10" t="n">
        <v>45596</v>
      </c>
      <c r="H226" s="9"/>
      <c r="I226" s="9"/>
      <c r="J226" s="9" t="s">
        <v>37</v>
      </c>
    </row>
    <row r="227" customFormat="false" ht="35.05" hidden="false" customHeight="false" outlineLevel="0" collapsed="false">
      <c r="A227" s="8" t="n">
        <v>223</v>
      </c>
      <c r="B227" s="9" t="s">
        <v>10</v>
      </c>
      <c r="C227" s="9" t="s">
        <v>373</v>
      </c>
      <c r="D227" s="9" t="s">
        <v>363</v>
      </c>
      <c r="E227" s="9" t="s">
        <v>360</v>
      </c>
      <c r="F227" s="9" t="s">
        <v>361</v>
      </c>
      <c r="G227" s="10" t="n">
        <v>46084</v>
      </c>
      <c r="H227" s="9"/>
      <c r="I227" s="9"/>
      <c r="J227" s="9" t="s">
        <v>37</v>
      </c>
    </row>
    <row r="228" customFormat="false" ht="23.85" hidden="false" customHeight="false" outlineLevel="0" collapsed="false">
      <c r="A228" s="8" t="n">
        <v>224</v>
      </c>
      <c r="B228" s="9" t="s">
        <v>10</v>
      </c>
      <c r="C228" s="9" t="s">
        <v>374</v>
      </c>
      <c r="D228" s="9" t="s">
        <v>375</v>
      </c>
      <c r="E228" s="9" t="s">
        <v>360</v>
      </c>
      <c r="F228" s="9" t="s">
        <v>357</v>
      </c>
      <c r="G228" s="10" t="n">
        <v>46064</v>
      </c>
      <c r="H228" s="9"/>
      <c r="I228" s="9"/>
      <c r="J228" s="9" t="s">
        <v>37</v>
      </c>
    </row>
    <row r="229" customFormat="false" ht="35.05" hidden="false" customHeight="false" outlineLevel="0" collapsed="false">
      <c r="A229" s="8" t="n">
        <v>225</v>
      </c>
      <c r="B229" s="9" t="s">
        <v>10</v>
      </c>
      <c r="C229" s="9" t="s">
        <v>376</v>
      </c>
      <c r="D229" s="9" t="s">
        <v>355</v>
      </c>
      <c r="E229" s="9" t="s">
        <v>360</v>
      </c>
      <c r="F229" s="9" t="s">
        <v>357</v>
      </c>
      <c r="G229" s="10" t="n">
        <v>46111</v>
      </c>
      <c r="H229" s="9"/>
      <c r="I229" s="9"/>
      <c r="J229" s="9" t="s">
        <v>37</v>
      </c>
    </row>
    <row r="230" customFormat="false" ht="23.85" hidden="false" customHeight="false" outlineLevel="0" collapsed="false">
      <c r="A230" s="8" t="n">
        <v>226</v>
      </c>
      <c r="B230" s="9" t="s">
        <v>10</v>
      </c>
      <c r="C230" s="9" t="s">
        <v>377</v>
      </c>
      <c r="D230" s="9" t="s">
        <v>375</v>
      </c>
      <c r="E230" s="9" t="s">
        <v>360</v>
      </c>
      <c r="F230" s="9" t="s">
        <v>357</v>
      </c>
      <c r="G230" s="10" t="n">
        <v>46049</v>
      </c>
      <c r="H230" s="9"/>
      <c r="I230" s="9"/>
      <c r="J230" s="9" t="s">
        <v>37</v>
      </c>
    </row>
    <row r="231" customFormat="false" ht="23.85" hidden="false" customHeight="false" outlineLevel="0" collapsed="false">
      <c r="A231" s="8" t="n">
        <v>227</v>
      </c>
      <c r="B231" s="9" t="s">
        <v>10</v>
      </c>
      <c r="C231" s="9" t="s">
        <v>378</v>
      </c>
      <c r="D231" s="9" t="s">
        <v>379</v>
      </c>
      <c r="E231" s="9" t="s">
        <v>360</v>
      </c>
      <c r="F231" s="9" t="s">
        <v>369</v>
      </c>
      <c r="G231" s="10" t="n">
        <v>46091</v>
      </c>
      <c r="H231" s="9"/>
      <c r="I231" s="9"/>
      <c r="J231" s="9" t="s">
        <v>37</v>
      </c>
    </row>
    <row r="232" customFormat="false" ht="23.85" hidden="false" customHeight="false" outlineLevel="0" collapsed="false">
      <c r="A232" s="8" t="n">
        <v>228</v>
      </c>
      <c r="B232" s="9" t="s">
        <v>10</v>
      </c>
      <c r="C232" s="9" t="s">
        <v>380</v>
      </c>
      <c r="D232" s="9" t="s">
        <v>381</v>
      </c>
      <c r="E232" s="9" t="s">
        <v>360</v>
      </c>
      <c r="F232" s="9" t="s">
        <v>382</v>
      </c>
      <c r="G232" s="10" t="n">
        <v>43040</v>
      </c>
      <c r="H232" s="9"/>
      <c r="I232" s="9"/>
      <c r="J232" s="9" t="s">
        <v>37</v>
      </c>
    </row>
    <row r="233" customFormat="false" ht="23.85" hidden="false" customHeight="false" outlineLevel="0" collapsed="false">
      <c r="A233" s="8" t="n">
        <v>229</v>
      </c>
      <c r="B233" s="9" t="s">
        <v>10</v>
      </c>
      <c r="C233" s="9" t="s">
        <v>383</v>
      </c>
      <c r="D233" s="9" t="s">
        <v>384</v>
      </c>
      <c r="E233" s="9" t="s">
        <v>360</v>
      </c>
      <c r="F233" s="9" t="s">
        <v>385</v>
      </c>
      <c r="G233" s="10" t="n">
        <v>42388</v>
      </c>
      <c r="H233" s="9"/>
      <c r="I233" s="9"/>
      <c r="J233" s="9" t="s">
        <v>37</v>
      </c>
    </row>
    <row r="234" customFormat="false" ht="23.85" hidden="false" customHeight="false" outlineLevel="0" collapsed="false">
      <c r="A234" s="11" t="n">
        <v>230</v>
      </c>
      <c r="B234" s="12" t="s">
        <v>10</v>
      </c>
      <c r="C234" s="12" t="s">
        <v>386</v>
      </c>
      <c r="D234" s="12" t="s">
        <v>34</v>
      </c>
      <c r="E234" s="12" t="s">
        <v>387</v>
      </c>
      <c r="F234" s="12" t="s">
        <v>36</v>
      </c>
      <c r="G234" s="13" t="n">
        <v>45846</v>
      </c>
      <c r="H234" s="13" t="n">
        <v>45840</v>
      </c>
      <c r="I234" s="13" t="n">
        <v>46205</v>
      </c>
      <c r="J234" s="12" t="s">
        <v>52</v>
      </c>
    </row>
    <row r="235" customFormat="false" ht="23.85" hidden="false" customHeight="false" outlineLevel="0" collapsed="false">
      <c r="A235" s="8" t="n">
        <v>231</v>
      </c>
      <c r="B235" s="9" t="s">
        <v>10</v>
      </c>
      <c r="C235" s="9" t="s">
        <v>388</v>
      </c>
      <c r="D235" s="9" t="s">
        <v>34</v>
      </c>
      <c r="E235" s="9" t="s">
        <v>387</v>
      </c>
      <c r="F235" s="9" t="s">
        <v>36</v>
      </c>
      <c r="G235" s="10" t="n">
        <v>45958</v>
      </c>
      <c r="H235" s="9"/>
      <c r="I235" s="9"/>
      <c r="J235" s="9" t="s">
        <v>37</v>
      </c>
    </row>
    <row r="236" customFormat="false" ht="23.85" hidden="false" customHeight="false" outlineLevel="0" collapsed="false">
      <c r="A236" s="8" t="n">
        <v>232</v>
      </c>
      <c r="B236" s="9" t="s">
        <v>10</v>
      </c>
      <c r="C236" s="9" t="s">
        <v>389</v>
      </c>
      <c r="D236" s="9" t="s">
        <v>34</v>
      </c>
      <c r="E236" s="9" t="s">
        <v>390</v>
      </c>
      <c r="F236" s="9" t="s">
        <v>36</v>
      </c>
      <c r="G236" s="10" t="n">
        <v>43313</v>
      </c>
      <c r="H236" s="9"/>
      <c r="I236" s="9"/>
      <c r="J236" s="9" t="s">
        <v>37</v>
      </c>
    </row>
    <row r="237" customFormat="false" ht="23.85" hidden="false" customHeight="false" outlineLevel="0" collapsed="false">
      <c r="A237" s="8" t="n">
        <v>233</v>
      </c>
      <c r="B237" s="9" t="s">
        <v>10</v>
      </c>
      <c r="C237" s="9" t="s">
        <v>391</v>
      </c>
      <c r="D237" s="9" t="s">
        <v>34</v>
      </c>
      <c r="E237" s="9" t="s">
        <v>390</v>
      </c>
      <c r="F237" s="9" t="s">
        <v>36</v>
      </c>
      <c r="G237" s="10" t="n">
        <v>42289</v>
      </c>
      <c r="H237" s="9"/>
      <c r="I237" s="9"/>
      <c r="J237" s="9" t="s">
        <v>37</v>
      </c>
    </row>
    <row r="238" customFormat="false" ht="23.85" hidden="false" customHeight="false" outlineLevel="0" collapsed="false">
      <c r="A238" s="8" t="n">
        <v>234</v>
      </c>
      <c r="B238" s="9" t="s">
        <v>10</v>
      </c>
      <c r="C238" s="9" t="s">
        <v>392</v>
      </c>
      <c r="D238" s="9" t="s">
        <v>192</v>
      </c>
      <c r="E238" s="9" t="s">
        <v>393</v>
      </c>
      <c r="F238" s="9" t="s">
        <v>63</v>
      </c>
      <c r="G238" s="10" t="n">
        <v>42443</v>
      </c>
      <c r="H238" s="9"/>
      <c r="I238" s="9"/>
      <c r="J238" s="9" t="s">
        <v>37</v>
      </c>
    </row>
    <row r="239" customFormat="false" ht="23.85" hidden="false" customHeight="false" outlineLevel="0" collapsed="false">
      <c r="A239" s="8" t="n">
        <v>235</v>
      </c>
      <c r="B239" s="9" t="s">
        <v>10</v>
      </c>
      <c r="C239" s="9" t="s">
        <v>394</v>
      </c>
      <c r="D239" s="9" t="s">
        <v>192</v>
      </c>
      <c r="E239" s="9" t="s">
        <v>393</v>
      </c>
      <c r="F239" s="9" t="s">
        <v>63</v>
      </c>
      <c r="G239" s="10" t="n">
        <v>42382</v>
      </c>
      <c r="H239" s="9"/>
      <c r="I239" s="9"/>
      <c r="J239" s="9" t="s">
        <v>37</v>
      </c>
    </row>
    <row r="240" customFormat="false" ht="23.85" hidden="false" customHeight="false" outlineLevel="0" collapsed="false">
      <c r="A240" s="8" t="n">
        <v>236</v>
      </c>
      <c r="B240" s="9" t="s">
        <v>10</v>
      </c>
      <c r="C240" s="9" t="s">
        <v>395</v>
      </c>
      <c r="D240" s="9" t="s">
        <v>396</v>
      </c>
      <c r="E240" s="9" t="s">
        <v>393</v>
      </c>
      <c r="F240" s="9" t="s">
        <v>397</v>
      </c>
      <c r="G240" s="10" t="n">
        <v>45972</v>
      </c>
      <c r="H240" s="9"/>
      <c r="I240" s="9"/>
      <c r="J240" s="9" t="s">
        <v>37</v>
      </c>
    </row>
    <row r="241" customFormat="false" ht="23.85" hidden="false" customHeight="false" outlineLevel="0" collapsed="false">
      <c r="A241" s="8" t="n">
        <v>237</v>
      </c>
      <c r="B241" s="9" t="s">
        <v>10</v>
      </c>
      <c r="C241" s="9" t="s">
        <v>398</v>
      </c>
      <c r="D241" s="9" t="s">
        <v>399</v>
      </c>
      <c r="E241" s="9" t="s">
        <v>393</v>
      </c>
      <c r="F241" s="9" t="s">
        <v>185</v>
      </c>
      <c r="G241" s="10" t="n">
        <v>39824</v>
      </c>
      <c r="H241" s="9"/>
      <c r="I241" s="9"/>
      <c r="J241" s="9" t="s">
        <v>37</v>
      </c>
    </row>
    <row r="242" customFormat="false" ht="23.85" hidden="false" customHeight="false" outlineLevel="0" collapsed="false">
      <c r="A242" s="8" t="n">
        <v>238</v>
      </c>
      <c r="B242" s="9" t="s">
        <v>10</v>
      </c>
      <c r="C242" s="9" t="s">
        <v>400</v>
      </c>
      <c r="D242" s="9" t="s">
        <v>401</v>
      </c>
      <c r="E242" s="9" t="s">
        <v>393</v>
      </c>
      <c r="F242" s="9" t="s">
        <v>397</v>
      </c>
      <c r="G242" s="10" t="n">
        <v>45754</v>
      </c>
      <c r="H242" s="9"/>
      <c r="I242" s="9"/>
      <c r="J242" s="9" t="s">
        <v>37</v>
      </c>
    </row>
    <row r="243" customFormat="false" ht="23.85" hidden="false" customHeight="false" outlineLevel="0" collapsed="false">
      <c r="A243" s="8" t="n">
        <v>239</v>
      </c>
      <c r="B243" s="9" t="s">
        <v>10</v>
      </c>
      <c r="C243" s="9" t="s">
        <v>402</v>
      </c>
      <c r="D243" s="9" t="s">
        <v>401</v>
      </c>
      <c r="E243" s="9" t="s">
        <v>393</v>
      </c>
      <c r="F243" s="9" t="s">
        <v>397</v>
      </c>
      <c r="G243" s="10" t="n">
        <v>46136</v>
      </c>
      <c r="H243" s="9"/>
      <c r="I243" s="9"/>
      <c r="J243" s="9" t="s">
        <v>37</v>
      </c>
    </row>
    <row r="244" customFormat="false" ht="23.85" hidden="false" customHeight="false" outlineLevel="0" collapsed="false">
      <c r="A244" s="8" t="n">
        <v>240</v>
      </c>
      <c r="B244" s="9" t="s">
        <v>10</v>
      </c>
      <c r="C244" s="9" t="s">
        <v>403</v>
      </c>
      <c r="D244" s="9" t="s">
        <v>404</v>
      </c>
      <c r="E244" s="9" t="s">
        <v>393</v>
      </c>
      <c r="F244" s="9" t="s">
        <v>397</v>
      </c>
      <c r="G244" s="10" t="n">
        <v>42495</v>
      </c>
      <c r="H244" s="9"/>
      <c r="I244" s="9"/>
      <c r="J244" s="9" t="s">
        <v>37</v>
      </c>
    </row>
    <row r="245" customFormat="false" ht="23.85" hidden="false" customHeight="false" outlineLevel="0" collapsed="false">
      <c r="A245" s="8" t="n">
        <v>241</v>
      </c>
      <c r="B245" s="9" t="s">
        <v>10</v>
      </c>
      <c r="C245" s="9" t="s">
        <v>405</v>
      </c>
      <c r="D245" s="9" t="s">
        <v>117</v>
      </c>
      <c r="E245" s="9" t="s">
        <v>393</v>
      </c>
      <c r="F245" s="9" t="s">
        <v>63</v>
      </c>
      <c r="G245" s="10" t="n">
        <v>39734</v>
      </c>
      <c r="H245" s="9"/>
      <c r="I245" s="9"/>
      <c r="J245" s="9" t="s">
        <v>37</v>
      </c>
    </row>
    <row r="246" customFormat="false" ht="23.85" hidden="false" customHeight="false" outlineLevel="0" collapsed="false">
      <c r="A246" s="8" t="n">
        <v>242</v>
      </c>
      <c r="B246" s="9" t="s">
        <v>10</v>
      </c>
      <c r="C246" s="9" t="s">
        <v>406</v>
      </c>
      <c r="D246" s="9" t="s">
        <v>407</v>
      </c>
      <c r="E246" s="9" t="s">
        <v>393</v>
      </c>
      <c r="F246" s="9" t="s">
        <v>397</v>
      </c>
      <c r="G246" s="10" t="n">
        <v>45428</v>
      </c>
      <c r="H246" s="9"/>
      <c r="I246" s="9"/>
      <c r="J246" s="9" t="s">
        <v>37</v>
      </c>
    </row>
    <row r="247" customFormat="false" ht="23.85" hidden="false" customHeight="false" outlineLevel="0" collapsed="false">
      <c r="A247" s="8" t="n">
        <v>243</v>
      </c>
      <c r="B247" s="9" t="s">
        <v>10</v>
      </c>
      <c r="C247" s="9" t="s">
        <v>408</v>
      </c>
      <c r="D247" s="9" t="s">
        <v>409</v>
      </c>
      <c r="E247" s="9" t="s">
        <v>393</v>
      </c>
      <c r="F247" s="9" t="s">
        <v>397</v>
      </c>
      <c r="G247" s="10" t="n">
        <v>46080</v>
      </c>
      <c r="H247" s="9"/>
      <c r="I247" s="9"/>
      <c r="J247" s="9" t="s">
        <v>37</v>
      </c>
    </row>
    <row r="248" customFormat="false" ht="23.85" hidden="false" customHeight="false" outlineLevel="0" collapsed="false">
      <c r="A248" s="8" t="n">
        <v>244</v>
      </c>
      <c r="B248" s="9" t="s">
        <v>10</v>
      </c>
      <c r="C248" s="9" t="s">
        <v>410</v>
      </c>
      <c r="D248" s="9" t="s">
        <v>198</v>
      </c>
      <c r="E248" s="9" t="s">
        <v>411</v>
      </c>
      <c r="F248" s="9" t="s">
        <v>185</v>
      </c>
      <c r="G248" s="10" t="n">
        <v>44706</v>
      </c>
      <c r="H248" s="9"/>
      <c r="I248" s="9"/>
      <c r="J248" s="9" t="s">
        <v>37</v>
      </c>
    </row>
    <row r="249" customFormat="false" ht="23.85" hidden="false" customHeight="false" outlineLevel="0" collapsed="false">
      <c r="A249" s="11" t="n">
        <v>245</v>
      </c>
      <c r="B249" s="12" t="s">
        <v>10</v>
      </c>
      <c r="C249" s="12" t="s">
        <v>412</v>
      </c>
      <c r="D249" s="12" t="s">
        <v>413</v>
      </c>
      <c r="E249" s="12" t="s">
        <v>411</v>
      </c>
      <c r="F249" s="12" t="s">
        <v>397</v>
      </c>
      <c r="G249" s="13" t="n">
        <v>45952</v>
      </c>
      <c r="H249" s="13" t="n">
        <v>45945</v>
      </c>
      <c r="I249" s="13" t="n">
        <v>46310</v>
      </c>
      <c r="J249" s="12" t="s">
        <v>52</v>
      </c>
    </row>
    <row r="250" customFormat="false" ht="23.85" hidden="false" customHeight="false" outlineLevel="0" collapsed="false">
      <c r="A250" s="8" t="n">
        <v>246</v>
      </c>
      <c r="B250" s="9" t="s">
        <v>10</v>
      </c>
      <c r="C250" s="9" t="s">
        <v>414</v>
      </c>
      <c r="D250" s="9" t="s">
        <v>404</v>
      </c>
      <c r="E250" s="9" t="s">
        <v>411</v>
      </c>
      <c r="F250" s="9" t="s">
        <v>397</v>
      </c>
      <c r="G250" s="10" t="n">
        <v>40819</v>
      </c>
      <c r="H250" s="9"/>
      <c r="I250" s="9"/>
      <c r="J250" s="9" t="s">
        <v>37</v>
      </c>
    </row>
    <row r="251" customFormat="false" ht="23.85" hidden="false" customHeight="false" outlineLevel="0" collapsed="false">
      <c r="A251" s="8" t="n">
        <v>247</v>
      </c>
      <c r="B251" s="9" t="s">
        <v>10</v>
      </c>
      <c r="C251" s="9" t="s">
        <v>415</v>
      </c>
      <c r="D251" s="9" t="s">
        <v>404</v>
      </c>
      <c r="E251" s="9" t="s">
        <v>411</v>
      </c>
      <c r="F251" s="9" t="s">
        <v>397</v>
      </c>
      <c r="G251" s="10" t="n">
        <v>39420</v>
      </c>
      <c r="H251" s="9"/>
      <c r="I251" s="9"/>
      <c r="J251" s="9" t="s">
        <v>37</v>
      </c>
    </row>
    <row r="252" customFormat="false" ht="23.85" hidden="false" customHeight="false" outlineLevel="0" collapsed="false">
      <c r="A252" s="8" t="n">
        <v>248</v>
      </c>
      <c r="B252" s="9" t="s">
        <v>10</v>
      </c>
      <c r="C252" s="9" t="s">
        <v>416</v>
      </c>
      <c r="D252" s="9" t="s">
        <v>404</v>
      </c>
      <c r="E252" s="9" t="s">
        <v>411</v>
      </c>
      <c r="F252" s="9" t="s">
        <v>397</v>
      </c>
      <c r="G252" s="10" t="n">
        <v>44482</v>
      </c>
      <c r="H252" s="9"/>
      <c r="I252" s="9"/>
      <c r="J252" s="9" t="s">
        <v>37</v>
      </c>
    </row>
    <row r="253" customFormat="false" ht="23.85" hidden="false" customHeight="false" outlineLevel="0" collapsed="false">
      <c r="A253" s="8" t="n">
        <v>249</v>
      </c>
      <c r="B253" s="9" t="s">
        <v>10</v>
      </c>
      <c r="C253" s="9" t="s">
        <v>417</v>
      </c>
      <c r="D253" s="9" t="s">
        <v>399</v>
      </c>
      <c r="E253" s="9" t="s">
        <v>411</v>
      </c>
      <c r="F253" s="9" t="s">
        <v>185</v>
      </c>
      <c r="G253" s="10" t="n">
        <v>37683</v>
      </c>
      <c r="H253" s="9"/>
      <c r="I253" s="9"/>
      <c r="J253" s="9" t="s">
        <v>37</v>
      </c>
    </row>
    <row r="254" customFormat="false" ht="23.85" hidden="false" customHeight="false" outlineLevel="0" collapsed="false">
      <c r="A254" s="8" t="n">
        <v>250</v>
      </c>
      <c r="B254" s="9" t="s">
        <v>10</v>
      </c>
      <c r="C254" s="9" t="s">
        <v>418</v>
      </c>
      <c r="D254" s="9" t="s">
        <v>419</v>
      </c>
      <c r="E254" s="9" t="s">
        <v>411</v>
      </c>
      <c r="F254" s="9" t="s">
        <v>397</v>
      </c>
      <c r="G254" s="10" t="n">
        <v>46148</v>
      </c>
      <c r="H254" s="9"/>
      <c r="I254" s="9"/>
      <c r="J254" s="9" t="s">
        <v>37</v>
      </c>
    </row>
    <row r="255" customFormat="false" ht="23.85" hidden="false" customHeight="false" outlineLevel="0" collapsed="false">
      <c r="A255" s="8" t="n">
        <v>251</v>
      </c>
      <c r="B255" s="9" t="s">
        <v>10</v>
      </c>
      <c r="C255" s="9" t="s">
        <v>420</v>
      </c>
      <c r="D255" s="9" t="s">
        <v>413</v>
      </c>
      <c r="E255" s="9" t="s">
        <v>411</v>
      </c>
      <c r="F255" s="9" t="s">
        <v>397</v>
      </c>
      <c r="G255" s="10" t="n">
        <v>45831</v>
      </c>
      <c r="H255" s="9"/>
      <c r="I255" s="9"/>
      <c r="J255" s="9" t="s">
        <v>37</v>
      </c>
    </row>
    <row r="256" customFormat="false" ht="23.85" hidden="false" customHeight="false" outlineLevel="0" collapsed="false">
      <c r="A256" s="8" t="n">
        <v>252</v>
      </c>
      <c r="B256" s="9" t="s">
        <v>16</v>
      </c>
      <c r="C256" s="9" t="s">
        <v>421</v>
      </c>
      <c r="D256" s="9" t="s">
        <v>422</v>
      </c>
      <c r="E256" s="9" t="s">
        <v>423</v>
      </c>
      <c r="F256" s="9" t="s">
        <v>146</v>
      </c>
      <c r="G256" s="10" t="n">
        <v>43283</v>
      </c>
      <c r="H256" s="9"/>
      <c r="I256" s="9"/>
      <c r="J256" s="9" t="s">
        <v>37</v>
      </c>
    </row>
    <row r="257" customFormat="false" ht="23.85" hidden="false" customHeight="false" outlineLevel="0" collapsed="false">
      <c r="A257" s="8" t="n">
        <v>253</v>
      </c>
      <c r="B257" s="9" t="s">
        <v>16</v>
      </c>
      <c r="C257" s="9" t="s">
        <v>424</v>
      </c>
      <c r="D257" s="9" t="s">
        <v>422</v>
      </c>
      <c r="E257" s="9" t="s">
        <v>423</v>
      </c>
      <c r="F257" s="9" t="s">
        <v>146</v>
      </c>
      <c r="G257" s="10" t="n">
        <v>46065</v>
      </c>
      <c r="H257" s="9"/>
      <c r="I257" s="9"/>
      <c r="J257" s="9" t="s">
        <v>37</v>
      </c>
    </row>
    <row r="258" customFormat="false" ht="23.85" hidden="false" customHeight="false" outlineLevel="0" collapsed="false">
      <c r="A258" s="8" t="n">
        <v>254</v>
      </c>
      <c r="B258" s="9" t="s">
        <v>16</v>
      </c>
      <c r="C258" s="9" t="s">
        <v>425</v>
      </c>
      <c r="D258" s="9" t="s">
        <v>422</v>
      </c>
      <c r="E258" s="9" t="s">
        <v>423</v>
      </c>
      <c r="F258" s="9" t="s">
        <v>146</v>
      </c>
      <c r="G258" s="10" t="n">
        <v>43845</v>
      </c>
      <c r="H258" s="9"/>
      <c r="I258" s="9"/>
      <c r="J258" s="9" t="s">
        <v>37</v>
      </c>
    </row>
    <row r="259" customFormat="false" ht="23.85" hidden="false" customHeight="false" outlineLevel="0" collapsed="false">
      <c r="A259" s="8" t="n">
        <v>255</v>
      </c>
      <c r="B259" s="9" t="s">
        <v>16</v>
      </c>
      <c r="C259" s="9" t="s">
        <v>426</v>
      </c>
      <c r="D259" s="9" t="s">
        <v>427</v>
      </c>
      <c r="E259" s="9" t="s">
        <v>428</v>
      </c>
      <c r="F259" s="9" t="s">
        <v>264</v>
      </c>
      <c r="G259" s="10" t="n">
        <v>45551</v>
      </c>
      <c r="H259" s="9"/>
      <c r="I259" s="9"/>
      <c r="J259" s="9" t="s">
        <v>37</v>
      </c>
    </row>
    <row r="260" customFormat="false" ht="23.85" hidden="false" customHeight="false" outlineLevel="0" collapsed="false">
      <c r="A260" s="8" t="n">
        <v>256</v>
      </c>
      <c r="B260" s="9" t="s">
        <v>16</v>
      </c>
      <c r="C260" s="9" t="s">
        <v>429</v>
      </c>
      <c r="D260" s="9" t="s">
        <v>430</v>
      </c>
      <c r="E260" s="9" t="s">
        <v>428</v>
      </c>
      <c r="F260" s="9" t="s">
        <v>264</v>
      </c>
      <c r="G260" s="10" t="n">
        <v>45957</v>
      </c>
      <c r="H260" s="9"/>
      <c r="I260" s="9"/>
      <c r="J260" s="9" t="s">
        <v>37</v>
      </c>
    </row>
    <row r="261" customFormat="false" ht="23.85" hidden="false" customHeight="false" outlineLevel="0" collapsed="false">
      <c r="A261" s="8" t="n">
        <v>257</v>
      </c>
      <c r="B261" s="9" t="s">
        <v>16</v>
      </c>
      <c r="C261" s="9" t="s">
        <v>431</v>
      </c>
      <c r="D261" s="9" t="s">
        <v>427</v>
      </c>
      <c r="E261" s="9" t="s">
        <v>428</v>
      </c>
      <c r="F261" s="9" t="s">
        <v>264</v>
      </c>
      <c r="G261" s="10" t="n">
        <v>44092</v>
      </c>
      <c r="H261" s="9"/>
      <c r="I261" s="9"/>
      <c r="J261" s="9" t="s">
        <v>37</v>
      </c>
    </row>
    <row r="262" customFormat="false" ht="23.85" hidden="false" customHeight="false" outlineLevel="0" collapsed="false">
      <c r="A262" s="8" t="n">
        <v>258</v>
      </c>
      <c r="B262" s="9" t="s">
        <v>16</v>
      </c>
      <c r="C262" s="9" t="s">
        <v>432</v>
      </c>
      <c r="D262" s="9" t="s">
        <v>427</v>
      </c>
      <c r="E262" s="9" t="s">
        <v>428</v>
      </c>
      <c r="F262" s="9" t="s">
        <v>264</v>
      </c>
      <c r="G262" s="10" t="n">
        <v>46052</v>
      </c>
      <c r="H262" s="9"/>
      <c r="I262" s="9"/>
      <c r="J262" s="9" t="s">
        <v>37</v>
      </c>
    </row>
    <row r="263" customFormat="false" ht="23.85" hidden="false" customHeight="false" outlineLevel="0" collapsed="false">
      <c r="A263" s="8" t="n">
        <v>259</v>
      </c>
      <c r="B263" s="9" t="s">
        <v>16</v>
      </c>
      <c r="C263" s="9" t="s">
        <v>433</v>
      </c>
      <c r="D263" s="9" t="s">
        <v>434</v>
      </c>
      <c r="E263" s="9" t="s">
        <v>166</v>
      </c>
      <c r="F263" s="9" t="s">
        <v>63</v>
      </c>
      <c r="G263" s="10" t="n">
        <v>44970</v>
      </c>
      <c r="H263" s="9"/>
      <c r="I263" s="9"/>
      <c r="J263" s="9" t="s">
        <v>37</v>
      </c>
    </row>
    <row r="264" customFormat="false" ht="23.85" hidden="false" customHeight="false" outlineLevel="0" collapsed="false">
      <c r="A264" s="8" t="n">
        <v>260</v>
      </c>
      <c r="B264" s="9" t="s">
        <v>16</v>
      </c>
      <c r="C264" s="9" t="s">
        <v>435</v>
      </c>
      <c r="D264" s="9" t="s">
        <v>436</v>
      </c>
      <c r="E264" s="9" t="s">
        <v>437</v>
      </c>
      <c r="F264" s="9" t="s">
        <v>438</v>
      </c>
      <c r="G264" s="10" t="n">
        <v>41365</v>
      </c>
      <c r="H264" s="9"/>
      <c r="I264" s="9"/>
      <c r="J264" s="9" t="s">
        <v>37</v>
      </c>
    </row>
    <row r="265" customFormat="false" ht="23.85" hidden="false" customHeight="false" outlineLevel="0" collapsed="false">
      <c r="A265" s="8" t="n">
        <v>261</v>
      </c>
      <c r="B265" s="9" t="s">
        <v>11</v>
      </c>
      <c r="C265" s="9" t="s">
        <v>439</v>
      </c>
      <c r="D265" s="9" t="s">
        <v>440</v>
      </c>
      <c r="E265" s="9" t="s">
        <v>441</v>
      </c>
      <c r="F265" s="9" t="s">
        <v>146</v>
      </c>
      <c r="G265" s="10" t="n">
        <v>45446</v>
      </c>
      <c r="H265" s="9"/>
      <c r="I265" s="9"/>
      <c r="J265" s="9" t="s">
        <v>37</v>
      </c>
    </row>
    <row r="266" customFormat="false" ht="23.85" hidden="false" customHeight="false" outlineLevel="0" collapsed="false">
      <c r="A266" s="8" t="n">
        <v>262</v>
      </c>
      <c r="B266" s="9" t="s">
        <v>11</v>
      </c>
      <c r="C266" s="9" t="s">
        <v>442</v>
      </c>
      <c r="D266" s="9" t="s">
        <v>168</v>
      </c>
      <c r="E266" s="9" t="s">
        <v>441</v>
      </c>
      <c r="F266" s="9" t="s">
        <v>146</v>
      </c>
      <c r="G266" s="10" t="n">
        <v>45944</v>
      </c>
      <c r="H266" s="9"/>
      <c r="I266" s="9"/>
      <c r="J266" s="9" t="s">
        <v>37</v>
      </c>
    </row>
    <row r="267" customFormat="false" ht="23.85" hidden="false" customHeight="false" outlineLevel="0" collapsed="false">
      <c r="A267" s="8" t="n">
        <v>263</v>
      </c>
      <c r="B267" s="9" t="s">
        <v>11</v>
      </c>
      <c r="C267" s="9" t="s">
        <v>443</v>
      </c>
      <c r="D267" s="9" t="s">
        <v>168</v>
      </c>
      <c r="E267" s="9" t="s">
        <v>441</v>
      </c>
      <c r="F267" s="9" t="s">
        <v>146</v>
      </c>
      <c r="G267" s="10" t="n">
        <v>46104</v>
      </c>
      <c r="H267" s="9"/>
      <c r="I267" s="9"/>
      <c r="J267" s="9" t="s">
        <v>37</v>
      </c>
    </row>
    <row r="268" customFormat="false" ht="23.85" hidden="false" customHeight="false" outlineLevel="0" collapsed="false">
      <c r="A268" s="8" t="n">
        <v>264</v>
      </c>
      <c r="B268" s="9" t="s">
        <v>11</v>
      </c>
      <c r="C268" s="9" t="s">
        <v>444</v>
      </c>
      <c r="D268" s="9" t="s">
        <v>168</v>
      </c>
      <c r="E268" s="9" t="s">
        <v>441</v>
      </c>
      <c r="F268" s="9" t="s">
        <v>146</v>
      </c>
      <c r="G268" s="10" t="n">
        <v>46113</v>
      </c>
      <c r="H268" s="9"/>
      <c r="I268" s="9"/>
      <c r="J268" s="9" t="s">
        <v>37</v>
      </c>
    </row>
    <row r="269" customFormat="false" ht="23.85" hidden="false" customHeight="false" outlineLevel="0" collapsed="false">
      <c r="A269" s="8" t="n">
        <v>265</v>
      </c>
      <c r="B269" s="9" t="s">
        <v>11</v>
      </c>
      <c r="C269" s="9" t="s">
        <v>445</v>
      </c>
      <c r="D269" s="9" t="s">
        <v>446</v>
      </c>
      <c r="E269" s="9" t="s">
        <v>260</v>
      </c>
      <c r="F269" s="9" t="s">
        <v>153</v>
      </c>
      <c r="G269" s="10" t="n">
        <v>46084</v>
      </c>
      <c r="H269" s="9"/>
      <c r="I269" s="9"/>
      <c r="J269" s="9" t="s">
        <v>37</v>
      </c>
    </row>
    <row r="270" customFormat="false" ht="23.85" hidden="false" customHeight="false" outlineLevel="0" collapsed="false">
      <c r="A270" s="8" t="n">
        <v>266</v>
      </c>
      <c r="B270" s="9" t="s">
        <v>11</v>
      </c>
      <c r="C270" s="9" t="s">
        <v>447</v>
      </c>
      <c r="D270" s="9" t="s">
        <v>448</v>
      </c>
      <c r="E270" s="9" t="s">
        <v>260</v>
      </c>
      <c r="F270" s="9" t="s">
        <v>449</v>
      </c>
      <c r="G270" s="10" t="n">
        <v>45812</v>
      </c>
      <c r="H270" s="9"/>
      <c r="I270" s="9"/>
      <c r="J270" s="9" t="s">
        <v>37</v>
      </c>
    </row>
    <row r="271" customFormat="false" ht="23.85" hidden="false" customHeight="false" outlineLevel="0" collapsed="false">
      <c r="A271" s="8" t="n">
        <v>267</v>
      </c>
      <c r="B271" s="9" t="s">
        <v>11</v>
      </c>
      <c r="C271" s="9" t="s">
        <v>450</v>
      </c>
      <c r="D271" s="9" t="s">
        <v>251</v>
      </c>
      <c r="E271" s="9" t="s">
        <v>260</v>
      </c>
      <c r="F271" s="9" t="s">
        <v>153</v>
      </c>
      <c r="G271" s="10" t="n">
        <v>45993</v>
      </c>
      <c r="H271" s="9"/>
      <c r="I271" s="9"/>
      <c r="J271" s="9" t="s">
        <v>37</v>
      </c>
    </row>
    <row r="272" customFormat="false" ht="15" hidden="false" customHeight="false" outlineLevel="0" collapsed="false">
      <c r="A272" s="11" t="n">
        <v>268</v>
      </c>
      <c r="B272" s="12" t="s">
        <v>11</v>
      </c>
      <c r="C272" s="12" t="s">
        <v>451</v>
      </c>
      <c r="D272" s="12" t="s">
        <v>241</v>
      </c>
      <c r="E272" s="12" t="s">
        <v>260</v>
      </c>
      <c r="F272" s="12" t="s">
        <v>153</v>
      </c>
      <c r="G272" s="13" t="n">
        <v>45924</v>
      </c>
      <c r="H272" s="13" t="n">
        <v>45922</v>
      </c>
      <c r="I272" s="13" t="n">
        <v>46287</v>
      </c>
      <c r="J272" s="12" t="s">
        <v>52</v>
      </c>
    </row>
    <row r="273" customFormat="false" ht="23.85" hidden="false" customHeight="false" outlineLevel="0" collapsed="false">
      <c r="A273" s="8" t="n">
        <v>269</v>
      </c>
      <c r="B273" s="9" t="s">
        <v>11</v>
      </c>
      <c r="C273" s="9" t="s">
        <v>452</v>
      </c>
      <c r="D273" s="9" t="s">
        <v>453</v>
      </c>
      <c r="E273" s="9" t="s">
        <v>260</v>
      </c>
      <c r="F273" s="9" t="s">
        <v>153</v>
      </c>
      <c r="G273" s="10" t="n">
        <v>45798</v>
      </c>
      <c r="H273" s="9"/>
      <c r="I273" s="9"/>
      <c r="J273" s="9" t="s">
        <v>37</v>
      </c>
    </row>
    <row r="274" customFormat="false" ht="23.85" hidden="false" customHeight="false" outlineLevel="0" collapsed="false">
      <c r="A274" s="8" t="n">
        <v>270</v>
      </c>
      <c r="B274" s="9" t="s">
        <v>11</v>
      </c>
      <c r="C274" s="9" t="s">
        <v>454</v>
      </c>
      <c r="D274" s="9" t="s">
        <v>251</v>
      </c>
      <c r="E274" s="9" t="s">
        <v>260</v>
      </c>
      <c r="F274" s="9" t="s">
        <v>153</v>
      </c>
      <c r="G274" s="10" t="n">
        <v>46001</v>
      </c>
      <c r="H274" s="9"/>
      <c r="I274" s="9"/>
      <c r="J274" s="9" t="s">
        <v>37</v>
      </c>
    </row>
    <row r="275" customFormat="false" ht="23.85" hidden="false" customHeight="false" outlineLevel="0" collapsed="false">
      <c r="A275" s="11" t="n">
        <v>271</v>
      </c>
      <c r="B275" s="12" t="s">
        <v>11</v>
      </c>
      <c r="C275" s="12" t="s">
        <v>455</v>
      </c>
      <c r="D275" s="12" t="s">
        <v>338</v>
      </c>
      <c r="E275" s="12" t="s">
        <v>260</v>
      </c>
      <c r="F275" s="12" t="s">
        <v>340</v>
      </c>
      <c r="G275" s="13" t="n">
        <v>45932</v>
      </c>
      <c r="H275" s="13" t="n">
        <v>45926</v>
      </c>
      <c r="I275" s="13" t="n">
        <v>46291</v>
      </c>
      <c r="J275" s="12" t="s">
        <v>52</v>
      </c>
    </row>
    <row r="276" customFormat="false" ht="15" hidden="false" customHeight="false" outlineLevel="0" collapsed="false">
      <c r="A276" s="11" t="n">
        <v>272</v>
      </c>
      <c r="B276" s="12" t="s">
        <v>11</v>
      </c>
      <c r="C276" s="12" t="s">
        <v>456</v>
      </c>
      <c r="D276" s="12" t="s">
        <v>241</v>
      </c>
      <c r="E276" s="12" t="s">
        <v>260</v>
      </c>
      <c r="F276" s="12" t="s">
        <v>153</v>
      </c>
      <c r="G276" s="13" t="n">
        <v>45922</v>
      </c>
      <c r="H276" s="13" t="n">
        <v>45919</v>
      </c>
      <c r="I276" s="13" t="n">
        <v>46284</v>
      </c>
      <c r="J276" s="12" t="s">
        <v>52</v>
      </c>
    </row>
    <row r="277" customFormat="false" ht="23.85" hidden="false" customHeight="false" outlineLevel="0" collapsed="false">
      <c r="A277" s="8" t="n">
        <v>273</v>
      </c>
      <c r="B277" s="9" t="s">
        <v>11</v>
      </c>
      <c r="C277" s="9" t="s">
        <v>457</v>
      </c>
      <c r="D277" s="9" t="s">
        <v>251</v>
      </c>
      <c r="E277" s="9" t="s">
        <v>260</v>
      </c>
      <c r="F277" s="9" t="s">
        <v>153</v>
      </c>
      <c r="G277" s="10" t="n">
        <v>45993</v>
      </c>
      <c r="H277" s="9"/>
      <c r="I277" s="9"/>
      <c r="J277" s="9" t="s">
        <v>37</v>
      </c>
    </row>
    <row r="278" customFormat="false" ht="23.85" hidden="false" customHeight="false" outlineLevel="0" collapsed="false">
      <c r="A278" s="8" t="n">
        <v>274</v>
      </c>
      <c r="B278" s="9" t="s">
        <v>11</v>
      </c>
      <c r="C278" s="9" t="s">
        <v>458</v>
      </c>
      <c r="D278" s="9" t="s">
        <v>241</v>
      </c>
      <c r="E278" s="9" t="s">
        <v>260</v>
      </c>
      <c r="F278" s="9" t="s">
        <v>153</v>
      </c>
      <c r="G278" s="10" t="n">
        <v>46044</v>
      </c>
      <c r="H278" s="9"/>
      <c r="I278" s="9"/>
      <c r="J278" s="9" t="s">
        <v>37</v>
      </c>
    </row>
    <row r="279" customFormat="false" ht="23.85" hidden="false" customHeight="false" outlineLevel="0" collapsed="false">
      <c r="A279" s="8" t="n">
        <v>275</v>
      </c>
      <c r="B279" s="9" t="s">
        <v>11</v>
      </c>
      <c r="C279" s="9" t="s">
        <v>459</v>
      </c>
      <c r="D279" s="9" t="s">
        <v>453</v>
      </c>
      <c r="E279" s="9" t="s">
        <v>260</v>
      </c>
      <c r="F279" s="9" t="s">
        <v>153</v>
      </c>
      <c r="G279" s="10" t="n">
        <v>45744</v>
      </c>
      <c r="H279" s="9"/>
      <c r="I279" s="9"/>
      <c r="J279" s="9" t="s">
        <v>37</v>
      </c>
    </row>
    <row r="280" customFormat="false" ht="23.85" hidden="false" customHeight="false" outlineLevel="0" collapsed="false">
      <c r="A280" s="8" t="n">
        <v>276</v>
      </c>
      <c r="B280" s="9" t="s">
        <v>11</v>
      </c>
      <c r="C280" s="9" t="s">
        <v>460</v>
      </c>
      <c r="D280" s="9" t="s">
        <v>247</v>
      </c>
      <c r="E280" s="9" t="s">
        <v>260</v>
      </c>
      <c r="F280" s="9" t="s">
        <v>153</v>
      </c>
      <c r="G280" s="10" t="n">
        <v>46148</v>
      </c>
      <c r="H280" s="9"/>
      <c r="I280" s="9"/>
      <c r="J280" s="9" t="s">
        <v>37</v>
      </c>
    </row>
    <row r="281" customFormat="false" ht="23.85" hidden="false" customHeight="false" outlineLevel="0" collapsed="false">
      <c r="A281" s="8" t="n">
        <v>277</v>
      </c>
      <c r="B281" s="9" t="s">
        <v>11</v>
      </c>
      <c r="C281" s="9" t="s">
        <v>461</v>
      </c>
      <c r="D281" s="9" t="s">
        <v>233</v>
      </c>
      <c r="E281" s="9" t="s">
        <v>260</v>
      </c>
      <c r="F281" s="9" t="s">
        <v>153</v>
      </c>
      <c r="G281" s="10" t="n">
        <v>45910</v>
      </c>
      <c r="H281" s="9"/>
      <c r="I281" s="9"/>
      <c r="J281" s="9" t="s">
        <v>37</v>
      </c>
    </row>
    <row r="282" customFormat="false" ht="23.85" hidden="false" customHeight="false" outlineLevel="0" collapsed="false">
      <c r="A282" s="11" t="n">
        <v>278</v>
      </c>
      <c r="B282" s="12" t="s">
        <v>11</v>
      </c>
      <c r="C282" s="12" t="s">
        <v>462</v>
      </c>
      <c r="D282" s="12" t="s">
        <v>344</v>
      </c>
      <c r="E282" s="12" t="s">
        <v>260</v>
      </c>
      <c r="F282" s="12" t="s">
        <v>340</v>
      </c>
      <c r="G282" s="13" t="n">
        <v>45931</v>
      </c>
      <c r="H282" s="13" t="n">
        <v>45922</v>
      </c>
      <c r="I282" s="13" t="n">
        <v>46287</v>
      </c>
      <c r="J282" s="12" t="s">
        <v>52</v>
      </c>
    </row>
    <row r="283" customFormat="false" ht="23.85" hidden="false" customHeight="false" outlineLevel="0" collapsed="false">
      <c r="A283" s="8" t="n">
        <v>279</v>
      </c>
      <c r="B283" s="9" t="s">
        <v>11</v>
      </c>
      <c r="C283" s="9" t="s">
        <v>463</v>
      </c>
      <c r="D283" s="9" t="s">
        <v>247</v>
      </c>
      <c r="E283" s="9" t="s">
        <v>260</v>
      </c>
      <c r="F283" s="9" t="s">
        <v>153</v>
      </c>
      <c r="G283" s="10" t="n">
        <v>46034</v>
      </c>
      <c r="H283" s="9"/>
      <c r="I283" s="9"/>
      <c r="J283" s="9" t="s">
        <v>37</v>
      </c>
    </row>
    <row r="284" customFormat="false" ht="23.85" hidden="false" customHeight="false" outlineLevel="0" collapsed="false">
      <c r="A284" s="8" t="n">
        <v>280</v>
      </c>
      <c r="B284" s="9" t="s">
        <v>11</v>
      </c>
      <c r="C284" s="9" t="s">
        <v>464</v>
      </c>
      <c r="D284" s="9" t="s">
        <v>165</v>
      </c>
      <c r="E284" s="9" t="s">
        <v>465</v>
      </c>
      <c r="F284" s="9" t="s">
        <v>63</v>
      </c>
      <c r="G284" s="10" t="n">
        <v>44713</v>
      </c>
      <c r="H284" s="9"/>
      <c r="I284" s="9"/>
      <c r="J284" s="9" t="s">
        <v>37</v>
      </c>
    </row>
    <row r="285" customFormat="false" ht="23.85" hidden="false" customHeight="false" outlineLevel="0" collapsed="false">
      <c r="A285" s="8" t="n">
        <v>281</v>
      </c>
      <c r="B285" s="9" t="s">
        <v>11</v>
      </c>
      <c r="C285" s="9" t="s">
        <v>466</v>
      </c>
      <c r="D285" s="9" t="s">
        <v>311</v>
      </c>
      <c r="E285" s="9" t="s">
        <v>295</v>
      </c>
      <c r="F285" s="9" t="s">
        <v>63</v>
      </c>
      <c r="G285" s="10" t="n">
        <v>45558</v>
      </c>
      <c r="H285" s="9"/>
      <c r="I285" s="9"/>
      <c r="J285" s="9" t="s">
        <v>37</v>
      </c>
    </row>
    <row r="286" customFormat="false" ht="23.85" hidden="false" customHeight="false" outlineLevel="0" collapsed="false">
      <c r="A286" s="8" t="n">
        <v>282</v>
      </c>
      <c r="B286" s="9" t="s">
        <v>11</v>
      </c>
      <c r="C286" s="9" t="s">
        <v>467</v>
      </c>
      <c r="D286" s="9" t="s">
        <v>299</v>
      </c>
      <c r="E286" s="9" t="s">
        <v>468</v>
      </c>
      <c r="F286" s="9" t="s">
        <v>63</v>
      </c>
      <c r="G286" s="10" t="n">
        <v>46156</v>
      </c>
      <c r="H286" s="9"/>
      <c r="I286" s="9"/>
      <c r="J286" s="9" t="s">
        <v>37</v>
      </c>
    </row>
    <row r="287" customFormat="false" ht="23.85" hidden="false" customHeight="false" outlineLevel="0" collapsed="false">
      <c r="A287" s="8" t="n">
        <v>283</v>
      </c>
      <c r="B287" s="9" t="s">
        <v>11</v>
      </c>
      <c r="C287" s="9" t="s">
        <v>469</v>
      </c>
      <c r="D287" s="9" t="s">
        <v>299</v>
      </c>
      <c r="E287" s="9" t="s">
        <v>468</v>
      </c>
      <c r="F287" s="9" t="s">
        <v>63</v>
      </c>
      <c r="G287" s="10" t="n">
        <v>45793</v>
      </c>
      <c r="H287" s="9"/>
      <c r="I287" s="9"/>
      <c r="J287" s="9" t="s">
        <v>37</v>
      </c>
    </row>
    <row r="288" customFormat="false" ht="23.85" hidden="false" customHeight="false" outlineLevel="0" collapsed="false">
      <c r="A288" s="8" t="n">
        <v>284</v>
      </c>
      <c r="B288" s="9" t="s">
        <v>11</v>
      </c>
      <c r="C288" s="9" t="s">
        <v>470</v>
      </c>
      <c r="D288" s="9" t="s">
        <v>67</v>
      </c>
      <c r="E288" s="9" t="s">
        <v>468</v>
      </c>
      <c r="F288" s="9" t="s">
        <v>63</v>
      </c>
      <c r="G288" s="10" t="n">
        <v>46155</v>
      </c>
      <c r="H288" s="9"/>
      <c r="I288" s="9"/>
      <c r="J288" s="9" t="s">
        <v>37</v>
      </c>
    </row>
    <row r="289" customFormat="false" ht="23.85" hidden="false" customHeight="false" outlineLevel="0" collapsed="false">
      <c r="A289" s="8" t="n">
        <v>285</v>
      </c>
      <c r="B289" s="9" t="s">
        <v>11</v>
      </c>
      <c r="C289" s="9" t="s">
        <v>471</v>
      </c>
      <c r="D289" s="9" t="s">
        <v>307</v>
      </c>
      <c r="E289" s="9" t="s">
        <v>468</v>
      </c>
      <c r="F289" s="9" t="s">
        <v>63</v>
      </c>
      <c r="G289" s="10" t="n">
        <v>40931</v>
      </c>
      <c r="H289" s="9"/>
      <c r="I289" s="9"/>
      <c r="J289" s="9" t="s">
        <v>37</v>
      </c>
    </row>
    <row r="290" customFormat="false" ht="23.85" hidden="false" customHeight="false" outlineLevel="0" collapsed="false">
      <c r="A290" s="8" t="n">
        <v>286</v>
      </c>
      <c r="B290" s="9" t="s">
        <v>11</v>
      </c>
      <c r="C290" s="9" t="s">
        <v>472</v>
      </c>
      <c r="D290" s="9" t="s">
        <v>95</v>
      </c>
      <c r="E290" s="9" t="s">
        <v>473</v>
      </c>
      <c r="F290" s="9" t="s">
        <v>40</v>
      </c>
      <c r="G290" s="10" t="n">
        <v>45252</v>
      </c>
      <c r="H290" s="9"/>
      <c r="I290" s="9"/>
      <c r="J290" s="9" t="s">
        <v>37</v>
      </c>
    </row>
    <row r="291" customFormat="false" ht="23.85" hidden="false" customHeight="false" outlineLevel="0" collapsed="false">
      <c r="A291" s="8" t="n">
        <v>287</v>
      </c>
      <c r="B291" s="9" t="s">
        <v>11</v>
      </c>
      <c r="C291" s="9" t="s">
        <v>474</v>
      </c>
      <c r="D291" s="9" t="s">
        <v>320</v>
      </c>
      <c r="E291" s="9" t="s">
        <v>473</v>
      </c>
      <c r="F291" s="9" t="s">
        <v>40</v>
      </c>
      <c r="G291" s="10" t="n">
        <v>45265</v>
      </c>
      <c r="H291" s="9"/>
      <c r="I291" s="9"/>
      <c r="J291" s="9" t="s">
        <v>37</v>
      </c>
    </row>
    <row r="292" customFormat="false" ht="23.85" hidden="false" customHeight="false" outlineLevel="0" collapsed="false">
      <c r="A292" s="8" t="n">
        <v>288</v>
      </c>
      <c r="B292" s="9" t="s">
        <v>11</v>
      </c>
      <c r="C292" s="9" t="s">
        <v>475</v>
      </c>
      <c r="D292" s="9" t="s">
        <v>338</v>
      </c>
      <c r="E292" s="9" t="s">
        <v>476</v>
      </c>
      <c r="F292" s="9" t="s">
        <v>340</v>
      </c>
      <c r="G292" s="10" t="n">
        <v>46119</v>
      </c>
      <c r="H292" s="9"/>
      <c r="I292" s="9"/>
      <c r="J292" s="9" t="s">
        <v>37</v>
      </c>
    </row>
    <row r="293" customFormat="false" ht="23.85" hidden="false" customHeight="false" outlineLevel="0" collapsed="false">
      <c r="A293" s="8" t="n">
        <v>289</v>
      </c>
      <c r="B293" s="9" t="s">
        <v>11</v>
      </c>
      <c r="C293" s="9" t="s">
        <v>477</v>
      </c>
      <c r="D293" s="9" t="s">
        <v>344</v>
      </c>
      <c r="E293" s="9" t="s">
        <v>476</v>
      </c>
      <c r="F293" s="9" t="s">
        <v>340</v>
      </c>
      <c r="G293" s="10" t="n">
        <v>46094</v>
      </c>
      <c r="H293" s="9"/>
      <c r="I293" s="9"/>
      <c r="J293" s="9" t="s">
        <v>37</v>
      </c>
    </row>
    <row r="294" customFormat="false" ht="23.85" hidden="false" customHeight="false" outlineLevel="0" collapsed="false">
      <c r="A294" s="8" t="n">
        <v>290</v>
      </c>
      <c r="B294" s="9" t="s">
        <v>11</v>
      </c>
      <c r="C294" s="9" t="s">
        <v>478</v>
      </c>
      <c r="D294" s="9" t="s">
        <v>479</v>
      </c>
      <c r="E294" s="9" t="s">
        <v>480</v>
      </c>
      <c r="F294" s="9" t="s">
        <v>481</v>
      </c>
      <c r="G294" s="10" t="n">
        <v>46055</v>
      </c>
      <c r="H294" s="9"/>
      <c r="I294" s="9"/>
      <c r="J294" s="9" t="s">
        <v>37</v>
      </c>
    </row>
    <row r="295" customFormat="false" ht="23.85" hidden="false" customHeight="false" outlineLevel="0" collapsed="false">
      <c r="A295" s="8" t="n">
        <v>291</v>
      </c>
      <c r="B295" s="9" t="s">
        <v>11</v>
      </c>
      <c r="C295" s="9" t="s">
        <v>482</v>
      </c>
      <c r="D295" s="9" t="s">
        <v>51</v>
      </c>
      <c r="E295" s="9" t="s">
        <v>483</v>
      </c>
      <c r="F295" s="9" t="s">
        <v>43</v>
      </c>
      <c r="G295" s="10" t="n">
        <v>45516</v>
      </c>
      <c r="H295" s="9"/>
      <c r="I295" s="9"/>
      <c r="J295" s="9" t="s">
        <v>37</v>
      </c>
    </row>
    <row r="296" customFormat="false" ht="23.85" hidden="false" customHeight="false" outlineLevel="0" collapsed="false">
      <c r="A296" s="8" t="n">
        <v>292</v>
      </c>
      <c r="B296" s="9" t="s">
        <v>11</v>
      </c>
      <c r="C296" s="9" t="s">
        <v>484</v>
      </c>
      <c r="D296" s="9" t="s">
        <v>54</v>
      </c>
      <c r="E296" s="9" t="s">
        <v>483</v>
      </c>
      <c r="F296" s="9" t="s">
        <v>43</v>
      </c>
      <c r="G296" s="10" t="n">
        <v>44602</v>
      </c>
      <c r="H296" s="9"/>
      <c r="I296" s="9"/>
      <c r="J296" s="9" t="s">
        <v>37</v>
      </c>
    </row>
    <row r="297" customFormat="false" ht="23.85" hidden="false" customHeight="false" outlineLevel="0" collapsed="false">
      <c r="A297" s="8" t="n">
        <v>293</v>
      </c>
      <c r="B297" s="9" t="s">
        <v>11</v>
      </c>
      <c r="C297" s="9" t="s">
        <v>485</v>
      </c>
      <c r="D297" s="9" t="s">
        <v>51</v>
      </c>
      <c r="E297" s="9" t="s">
        <v>483</v>
      </c>
      <c r="F297" s="9" t="s">
        <v>43</v>
      </c>
      <c r="G297" s="10" t="n">
        <v>45243</v>
      </c>
      <c r="H297" s="9"/>
      <c r="I297" s="9"/>
      <c r="J297" s="9" t="s">
        <v>37</v>
      </c>
    </row>
    <row r="298" customFormat="false" ht="23.85" hidden="false" customHeight="false" outlineLevel="0" collapsed="false">
      <c r="A298" s="8" t="n">
        <v>294</v>
      </c>
      <c r="B298" s="9" t="s">
        <v>11</v>
      </c>
      <c r="C298" s="9" t="s">
        <v>486</v>
      </c>
      <c r="D298" s="9" t="s">
        <v>54</v>
      </c>
      <c r="E298" s="9" t="s">
        <v>483</v>
      </c>
      <c r="F298" s="9" t="s">
        <v>43</v>
      </c>
      <c r="G298" s="10" t="n">
        <v>45250</v>
      </c>
      <c r="H298" s="9"/>
      <c r="I298" s="9"/>
      <c r="J298" s="9" t="s">
        <v>37</v>
      </c>
    </row>
    <row r="299" customFormat="false" ht="23.85" hidden="false" customHeight="false" outlineLevel="0" collapsed="false">
      <c r="A299" s="8" t="n">
        <v>295</v>
      </c>
      <c r="B299" s="9" t="s">
        <v>11</v>
      </c>
      <c r="C299" s="9" t="s">
        <v>487</v>
      </c>
      <c r="D299" s="9" t="s">
        <v>90</v>
      </c>
      <c r="E299" s="9" t="s">
        <v>483</v>
      </c>
      <c r="F299" s="9" t="s">
        <v>43</v>
      </c>
      <c r="G299" s="10" t="n">
        <v>45560</v>
      </c>
      <c r="H299" s="9"/>
      <c r="I299" s="9"/>
      <c r="J299" s="9" t="s">
        <v>37</v>
      </c>
    </row>
    <row r="300" customFormat="false" ht="15" hidden="false" customHeight="false" outlineLevel="0" collapsed="false">
      <c r="A300" s="11" t="n">
        <v>296</v>
      </c>
      <c r="B300" s="12" t="s">
        <v>11</v>
      </c>
      <c r="C300" s="12" t="s">
        <v>488</v>
      </c>
      <c r="D300" s="12" t="s">
        <v>90</v>
      </c>
      <c r="E300" s="12" t="s">
        <v>483</v>
      </c>
      <c r="F300" s="12" t="s">
        <v>43</v>
      </c>
      <c r="G300" s="13" t="n">
        <v>45937</v>
      </c>
      <c r="H300" s="13" t="n">
        <v>45932</v>
      </c>
      <c r="I300" s="13" t="n">
        <v>46297</v>
      </c>
      <c r="J300" s="12" t="s">
        <v>52</v>
      </c>
    </row>
    <row r="301" customFormat="false" ht="23.85" hidden="false" customHeight="false" outlineLevel="0" collapsed="false">
      <c r="A301" s="8" t="n">
        <v>297</v>
      </c>
      <c r="B301" s="9" t="s">
        <v>11</v>
      </c>
      <c r="C301" s="9" t="s">
        <v>489</v>
      </c>
      <c r="D301" s="9" t="s">
        <v>51</v>
      </c>
      <c r="E301" s="9" t="s">
        <v>483</v>
      </c>
      <c r="F301" s="9" t="s">
        <v>43</v>
      </c>
      <c r="G301" s="10" t="n">
        <v>45544</v>
      </c>
      <c r="H301" s="9"/>
      <c r="I301" s="9"/>
      <c r="J301" s="9" t="s">
        <v>37</v>
      </c>
    </row>
    <row r="302" customFormat="false" ht="23.85" hidden="false" customHeight="false" outlineLevel="0" collapsed="false">
      <c r="A302" s="8" t="n">
        <v>298</v>
      </c>
      <c r="B302" s="9" t="s">
        <v>11</v>
      </c>
      <c r="C302" s="9" t="s">
        <v>490</v>
      </c>
      <c r="D302" s="9" t="s">
        <v>90</v>
      </c>
      <c r="E302" s="9" t="s">
        <v>483</v>
      </c>
      <c r="F302" s="9" t="s">
        <v>43</v>
      </c>
      <c r="G302" s="10" t="n">
        <v>45545</v>
      </c>
      <c r="H302" s="9"/>
      <c r="I302" s="9"/>
      <c r="J302" s="9" t="s">
        <v>37</v>
      </c>
    </row>
    <row r="303" customFormat="false" ht="23.85" hidden="false" customHeight="false" outlineLevel="0" collapsed="false">
      <c r="A303" s="8" t="n">
        <v>299</v>
      </c>
      <c r="B303" s="9" t="s">
        <v>11</v>
      </c>
      <c r="C303" s="9" t="s">
        <v>491</v>
      </c>
      <c r="D303" s="9" t="s">
        <v>42</v>
      </c>
      <c r="E303" s="9" t="s">
        <v>483</v>
      </c>
      <c r="F303" s="9" t="s">
        <v>43</v>
      </c>
      <c r="G303" s="10" t="n">
        <v>42494</v>
      </c>
      <c r="H303" s="9"/>
      <c r="I303" s="9"/>
      <c r="J303" s="9" t="s">
        <v>37</v>
      </c>
    </row>
    <row r="304" customFormat="false" ht="23.85" hidden="false" customHeight="false" outlineLevel="0" collapsed="false">
      <c r="A304" s="8" t="n">
        <v>300</v>
      </c>
      <c r="B304" s="9" t="s">
        <v>11</v>
      </c>
      <c r="C304" s="9" t="s">
        <v>492</v>
      </c>
      <c r="D304" s="9" t="s">
        <v>51</v>
      </c>
      <c r="E304" s="9" t="s">
        <v>483</v>
      </c>
      <c r="F304" s="9" t="s">
        <v>43</v>
      </c>
      <c r="G304" s="10" t="n">
        <v>45551</v>
      </c>
      <c r="H304" s="9"/>
      <c r="I304" s="9"/>
      <c r="J304" s="9" t="s">
        <v>37</v>
      </c>
    </row>
    <row r="305" customFormat="false" ht="23.85" hidden="false" customHeight="false" outlineLevel="0" collapsed="false">
      <c r="A305" s="8" t="n">
        <v>301</v>
      </c>
      <c r="B305" s="9" t="s">
        <v>11</v>
      </c>
      <c r="C305" s="9" t="s">
        <v>493</v>
      </c>
      <c r="D305" s="9" t="s">
        <v>494</v>
      </c>
      <c r="E305" s="9" t="s">
        <v>495</v>
      </c>
      <c r="F305" s="9" t="s">
        <v>153</v>
      </c>
      <c r="G305" s="10" t="n">
        <v>45497</v>
      </c>
      <c r="H305" s="9"/>
      <c r="I305" s="9"/>
      <c r="J305" s="9" t="s">
        <v>37</v>
      </c>
    </row>
    <row r="306" customFormat="false" ht="23.85" hidden="false" customHeight="false" outlineLevel="0" collapsed="false">
      <c r="A306" s="8" t="n">
        <v>302</v>
      </c>
      <c r="B306" s="9" t="s">
        <v>11</v>
      </c>
      <c r="C306" s="9" t="s">
        <v>496</v>
      </c>
      <c r="D306" s="9" t="s">
        <v>494</v>
      </c>
      <c r="E306" s="9" t="s">
        <v>495</v>
      </c>
      <c r="F306" s="9" t="s">
        <v>153</v>
      </c>
      <c r="G306" s="10" t="n">
        <v>46057</v>
      </c>
      <c r="H306" s="9"/>
      <c r="I306" s="9"/>
      <c r="J306" s="9" t="s">
        <v>37</v>
      </c>
    </row>
    <row r="307" customFormat="false" ht="23.85" hidden="false" customHeight="false" outlineLevel="0" collapsed="false">
      <c r="A307" s="8" t="n">
        <v>303</v>
      </c>
      <c r="B307" s="9" t="s">
        <v>11</v>
      </c>
      <c r="C307" s="9" t="s">
        <v>497</v>
      </c>
      <c r="D307" s="9" t="s">
        <v>494</v>
      </c>
      <c r="E307" s="9" t="s">
        <v>495</v>
      </c>
      <c r="F307" s="9" t="s">
        <v>153</v>
      </c>
      <c r="G307" s="10" t="n">
        <v>42156</v>
      </c>
      <c r="H307" s="9"/>
      <c r="I307" s="9"/>
      <c r="J307" s="9" t="s">
        <v>37</v>
      </c>
    </row>
    <row r="308" customFormat="false" ht="23.85" hidden="false" customHeight="false" outlineLevel="0" collapsed="false">
      <c r="A308" s="8" t="n">
        <v>304</v>
      </c>
      <c r="B308" s="9" t="s">
        <v>11</v>
      </c>
      <c r="C308" s="9" t="s">
        <v>498</v>
      </c>
      <c r="D308" s="9" t="s">
        <v>499</v>
      </c>
      <c r="E308" s="9" t="s">
        <v>495</v>
      </c>
      <c r="F308" s="9" t="s">
        <v>153</v>
      </c>
      <c r="G308" s="10" t="n">
        <v>44718</v>
      </c>
      <c r="H308" s="9"/>
      <c r="I308" s="9"/>
      <c r="J308" s="9" t="s">
        <v>37</v>
      </c>
    </row>
    <row r="309" customFormat="false" ht="23.85" hidden="false" customHeight="false" outlineLevel="0" collapsed="false">
      <c r="A309" s="8" t="n">
        <v>305</v>
      </c>
      <c r="B309" s="9" t="s">
        <v>11</v>
      </c>
      <c r="C309" s="9" t="s">
        <v>500</v>
      </c>
      <c r="D309" s="9" t="s">
        <v>499</v>
      </c>
      <c r="E309" s="9" t="s">
        <v>495</v>
      </c>
      <c r="F309" s="9" t="s">
        <v>153</v>
      </c>
      <c r="G309" s="10" t="n">
        <v>45194</v>
      </c>
      <c r="H309" s="9"/>
      <c r="I309" s="9"/>
      <c r="J309" s="9" t="s">
        <v>37</v>
      </c>
    </row>
    <row r="310" customFormat="false" ht="23.85" hidden="false" customHeight="false" outlineLevel="0" collapsed="false">
      <c r="A310" s="8" t="n">
        <v>306</v>
      </c>
      <c r="B310" s="9" t="s">
        <v>11</v>
      </c>
      <c r="C310" s="9" t="s">
        <v>501</v>
      </c>
      <c r="D310" s="9" t="s">
        <v>502</v>
      </c>
      <c r="E310" s="9" t="s">
        <v>495</v>
      </c>
      <c r="F310" s="9" t="s">
        <v>153</v>
      </c>
      <c r="G310" s="10" t="n">
        <v>45859</v>
      </c>
      <c r="H310" s="9"/>
      <c r="I310" s="9"/>
      <c r="J310" s="9" t="s">
        <v>37</v>
      </c>
    </row>
    <row r="311" customFormat="false" ht="23.85" hidden="false" customHeight="false" outlineLevel="0" collapsed="false">
      <c r="A311" s="8" t="n">
        <v>307</v>
      </c>
      <c r="B311" s="9" t="s">
        <v>11</v>
      </c>
      <c r="C311" s="9" t="s">
        <v>503</v>
      </c>
      <c r="D311" s="9" t="s">
        <v>499</v>
      </c>
      <c r="E311" s="9" t="s">
        <v>495</v>
      </c>
      <c r="F311" s="9" t="s">
        <v>153</v>
      </c>
      <c r="G311" s="10" t="n">
        <v>44621</v>
      </c>
      <c r="H311" s="9"/>
      <c r="I311" s="9"/>
      <c r="J311" s="9" t="s">
        <v>37</v>
      </c>
    </row>
    <row r="312" customFormat="false" ht="23.85" hidden="false" customHeight="false" outlineLevel="0" collapsed="false">
      <c r="A312" s="8" t="n">
        <v>308</v>
      </c>
      <c r="B312" s="9" t="s">
        <v>11</v>
      </c>
      <c r="C312" s="9" t="s">
        <v>504</v>
      </c>
      <c r="D312" s="9" t="s">
        <v>494</v>
      </c>
      <c r="E312" s="9" t="s">
        <v>495</v>
      </c>
      <c r="F312" s="9" t="s">
        <v>153</v>
      </c>
      <c r="G312" s="10" t="n">
        <v>45819</v>
      </c>
      <c r="H312" s="9"/>
      <c r="I312" s="9"/>
      <c r="J312" s="9" t="s">
        <v>37</v>
      </c>
    </row>
    <row r="313" customFormat="false" ht="15" hidden="false" customHeight="false" outlineLevel="0" collapsed="false">
      <c r="A313" s="14" t="n">
        <v>309</v>
      </c>
      <c r="B313" s="15" t="s">
        <v>11</v>
      </c>
      <c r="C313" s="15" t="s">
        <v>505</v>
      </c>
      <c r="D313" s="15" t="s">
        <v>494</v>
      </c>
      <c r="E313" s="15" t="s">
        <v>495</v>
      </c>
      <c r="F313" s="15" t="s">
        <v>153</v>
      </c>
      <c r="G313" s="16" t="n">
        <v>45968</v>
      </c>
      <c r="H313" s="16" t="n">
        <v>45957</v>
      </c>
      <c r="I313" s="16" t="n">
        <v>46322</v>
      </c>
      <c r="J313" s="15" t="s">
        <v>127</v>
      </c>
    </row>
    <row r="314" customFormat="false" ht="23.85" hidden="false" customHeight="false" outlineLevel="0" collapsed="false">
      <c r="A314" s="8" t="n">
        <v>310</v>
      </c>
      <c r="B314" s="9" t="s">
        <v>11</v>
      </c>
      <c r="C314" s="9" t="s">
        <v>506</v>
      </c>
      <c r="D314" s="9" t="s">
        <v>502</v>
      </c>
      <c r="E314" s="9" t="s">
        <v>495</v>
      </c>
      <c r="F314" s="9" t="s">
        <v>153</v>
      </c>
      <c r="G314" s="10" t="n">
        <v>45034</v>
      </c>
      <c r="H314" s="9"/>
      <c r="I314" s="9"/>
      <c r="J314" s="9" t="s">
        <v>37</v>
      </c>
    </row>
    <row r="315" customFormat="false" ht="23.85" hidden="false" customHeight="false" outlineLevel="0" collapsed="false">
      <c r="A315" s="8" t="n">
        <v>311</v>
      </c>
      <c r="B315" s="9" t="s">
        <v>11</v>
      </c>
      <c r="C315" s="9" t="s">
        <v>507</v>
      </c>
      <c r="D315" s="9" t="s">
        <v>499</v>
      </c>
      <c r="E315" s="9" t="s">
        <v>495</v>
      </c>
      <c r="F315" s="9" t="s">
        <v>153</v>
      </c>
      <c r="G315" s="10" t="n">
        <v>43132</v>
      </c>
      <c r="H315" s="9"/>
      <c r="I315" s="9"/>
      <c r="J315" s="9" t="s">
        <v>37</v>
      </c>
    </row>
    <row r="316" customFormat="false" ht="23.85" hidden="false" customHeight="false" outlineLevel="0" collapsed="false">
      <c r="A316" s="8" t="n">
        <v>312</v>
      </c>
      <c r="B316" s="9" t="s">
        <v>11</v>
      </c>
      <c r="C316" s="9" t="s">
        <v>508</v>
      </c>
      <c r="D316" s="9" t="s">
        <v>494</v>
      </c>
      <c r="E316" s="9" t="s">
        <v>495</v>
      </c>
      <c r="F316" s="9" t="s">
        <v>153</v>
      </c>
      <c r="G316" s="10" t="n">
        <v>46077</v>
      </c>
      <c r="H316" s="9"/>
      <c r="I316" s="9"/>
      <c r="J316" s="9" t="s">
        <v>37</v>
      </c>
    </row>
    <row r="317" customFormat="false" ht="23.85" hidden="false" customHeight="false" outlineLevel="0" collapsed="false">
      <c r="A317" s="8" t="n">
        <v>313</v>
      </c>
      <c r="B317" s="9" t="s">
        <v>11</v>
      </c>
      <c r="C317" s="9" t="s">
        <v>509</v>
      </c>
      <c r="D317" s="9" t="s">
        <v>499</v>
      </c>
      <c r="E317" s="9" t="s">
        <v>495</v>
      </c>
      <c r="F317" s="9" t="s">
        <v>153</v>
      </c>
      <c r="G317" s="10" t="n">
        <v>40088</v>
      </c>
      <c r="H317" s="9"/>
      <c r="I317" s="9"/>
      <c r="J317" s="9" t="s">
        <v>37</v>
      </c>
    </row>
    <row r="318" customFormat="false" ht="23.85" hidden="false" customHeight="false" outlineLevel="0" collapsed="false">
      <c r="A318" s="8" t="n">
        <v>314</v>
      </c>
      <c r="B318" s="9" t="s">
        <v>11</v>
      </c>
      <c r="C318" s="9" t="s">
        <v>510</v>
      </c>
      <c r="D318" s="9" t="s">
        <v>494</v>
      </c>
      <c r="E318" s="9" t="s">
        <v>495</v>
      </c>
      <c r="F318" s="9" t="s">
        <v>153</v>
      </c>
      <c r="G318" s="10" t="n">
        <v>42380</v>
      </c>
      <c r="H318" s="9"/>
      <c r="I318" s="9"/>
      <c r="J318" s="9" t="s">
        <v>37</v>
      </c>
    </row>
    <row r="319" customFormat="false" ht="23.85" hidden="false" customHeight="false" outlineLevel="0" collapsed="false">
      <c r="A319" s="8" t="n">
        <v>315</v>
      </c>
      <c r="B319" s="9" t="s">
        <v>13</v>
      </c>
      <c r="C319" s="9" t="s">
        <v>511</v>
      </c>
      <c r="D319" s="9" t="s">
        <v>61</v>
      </c>
      <c r="E319" s="9" t="s">
        <v>166</v>
      </c>
      <c r="F319" s="9" t="s">
        <v>63</v>
      </c>
      <c r="G319" s="10" t="n">
        <v>45874</v>
      </c>
      <c r="H319" s="9"/>
      <c r="I319" s="9"/>
      <c r="J319" s="9" t="s">
        <v>37</v>
      </c>
    </row>
    <row r="320" customFormat="false" ht="23.85" hidden="false" customHeight="false" outlineLevel="0" collapsed="false">
      <c r="A320" s="8" t="n">
        <v>316</v>
      </c>
      <c r="B320" s="9" t="s">
        <v>13</v>
      </c>
      <c r="C320" s="9" t="s">
        <v>512</v>
      </c>
      <c r="D320" s="9" t="s">
        <v>67</v>
      </c>
      <c r="E320" s="9" t="s">
        <v>513</v>
      </c>
      <c r="F320" s="9" t="s">
        <v>63</v>
      </c>
      <c r="G320" s="10" t="n">
        <v>45817</v>
      </c>
      <c r="H320" s="9"/>
      <c r="I320" s="9"/>
      <c r="J320" s="9" t="s">
        <v>37</v>
      </c>
    </row>
    <row r="321" customFormat="false" ht="15" hidden="false" customHeight="false" outlineLevel="0" collapsed="false">
      <c r="A321" s="14" t="n">
        <v>317</v>
      </c>
      <c r="B321" s="15" t="s">
        <v>13</v>
      </c>
      <c r="C321" s="15" t="s">
        <v>514</v>
      </c>
      <c r="D321" s="15" t="s">
        <v>90</v>
      </c>
      <c r="E321" s="15" t="s">
        <v>515</v>
      </c>
      <c r="F321" s="15" t="s">
        <v>43</v>
      </c>
      <c r="G321" s="16" t="n">
        <v>45967</v>
      </c>
      <c r="H321" s="16" t="n">
        <v>45959</v>
      </c>
      <c r="I321" s="16" t="n">
        <v>46324</v>
      </c>
      <c r="J321" s="15" t="s">
        <v>127</v>
      </c>
    </row>
    <row r="322" customFormat="false" ht="15" hidden="false" customHeight="false" outlineLevel="0" collapsed="false">
      <c r="A322" s="14" t="n">
        <v>318</v>
      </c>
      <c r="B322" s="15" t="s">
        <v>13</v>
      </c>
      <c r="C322" s="15" t="s">
        <v>516</v>
      </c>
      <c r="D322" s="15" t="s">
        <v>90</v>
      </c>
      <c r="E322" s="15" t="s">
        <v>515</v>
      </c>
      <c r="F322" s="15" t="s">
        <v>43</v>
      </c>
      <c r="G322" s="16" t="n">
        <v>45999</v>
      </c>
      <c r="H322" s="16" t="n">
        <v>45989</v>
      </c>
      <c r="I322" s="16" t="n">
        <v>46354</v>
      </c>
      <c r="J322" s="15" t="s">
        <v>127</v>
      </c>
    </row>
    <row r="323" customFormat="false" ht="15" hidden="false" customHeight="false" outlineLevel="0" collapsed="false">
      <c r="A323" s="11" t="n">
        <v>319</v>
      </c>
      <c r="B323" s="12" t="s">
        <v>13</v>
      </c>
      <c r="C323" s="12" t="s">
        <v>517</v>
      </c>
      <c r="D323" s="12" t="s">
        <v>90</v>
      </c>
      <c r="E323" s="12" t="s">
        <v>515</v>
      </c>
      <c r="F323" s="12" t="s">
        <v>43</v>
      </c>
      <c r="G323" s="13" t="n">
        <v>45882</v>
      </c>
      <c r="H323" s="13" t="n">
        <v>45873</v>
      </c>
      <c r="I323" s="13" t="n">
        <v>46238</v>
      </c>
      <c r="J323" s="12" t="s">
        <v>52</v>
      </c>
    </row>
    <row r="324" customFormat="false" ht="23.85" hidden="false" customHeight="false" outlineLevel="0" collapsed="false">
      <c r="A324" s="8" t="n">
        <v>320</v>
      </c>
      <c r="B324" s="9" t="s">
        <v>13</v>
      </c>
      <c r="C324" s="9" t="s">
        <v>518</v>
      </c>
      <c r="D324" s="9" t="s">
        <v>519</v>
      </c>
      <c r="E324" s="9" t="s">
        <v>515</v>
      </c>
      <c r="F324" s="9" t="s">
        <v>43</v>
      </c>
      <c r="G324" s="10" t="n">
        <v>45966</v>
      </c>
      <c r="H324" s="9"/>
      <c r="I324" s="9"/>
      <c r="J324" s="9" t="s">
        <v>37</v>
      </c>
    </row>
    <row r="325" customFormat="false" ht="15" hidden="false" customHeight="false" outlineLevel="0" collapsed="false">
      <c r="A325" s="11" t="n">
        <v>321</v>
      </c>
      <c r="B325" s="12" t="s">
        <v>13</v>
      </c>
      <c r="C325" s="12" t="s">
        <v>520</v>
      </c>
      <c r="D325" s="12" t="s">
        <v>90</v>
      </c>
      <c r="E325" s="12" t="s">
        <v>515</v>
      </c>
      <c r="F325" s="12" t="s">
        <v>43</v>
      </c>
      <c r="G325" s="13" t="n">
        <v>45847</v>
      </c>
      <c r="H325" s="13" t="n">
        <v>45843</v>
      </c>
      <c r="I325" s="13" t="n">
        <v>46208</v>
      </c>
      <c r="J325" s="12" t="s">
        <v>52</v>
      </c>
    </row>
    <row r="326" customFormat="false" ht="23.85" hidden="false" customHeight="false" outlineLevel="0" collapsed="false">
      <c r="A326" s="8" t="n">
        <v>322</v>
      </c>
      <c r="B326" s="9" t="s">
        <v>13</v>
      </c>
      <c r="C326" s="9" t="s">
        <v>521</v>
      </c>
      <c r="D326" s="9" t="s">
        <v>90</v>
      </c>
      <c r="E326" s="9" t="s">
        <v>515</v>
      </c>
      <c r="F326" s="9" t="s">
        <v>43</v>
      </c>
      <c r="G326" s="10" t="n">
        <v>45908</v>
      </c>
      <c r="H326" s="9"/>
      <c r="I326" s="9"/>
      <c r="J326" s="9" t="s">
        <v>37</v>
      </c>
    </row>
    <row r="327" customFormat="false" ht="15" hidden="false" customHeight="false" outlineLevel="0" collapsed="false">
      <c r="A327" s="14" t="n">
        <v>323</v>
      </c>
      <c r="B327" s="15" t="s">
        <v>13</v>
      </c>
      <c r="C327" s="15" t="s">
        <v>522</v>
      </c>
      <c r="D327" s="15" t="s">
        <v>90</v>
      </c>
      <c r="E327" s="15" t="s">
        <v>515</v>
      </c>
      <c r="F327" s="15" t="s">
        <v>43</v>
      </c>
      <c r="G327" s="16" t="n">
        <v>46007</v>
      </c>
      <c r="H327" s="16" t="n">
        <v>46001</v>
      </c>
      <c r="I327" s="16" t="n">
        <v>46366</v>
      </c>
      <c r="J327" s="15" t="s">
        <v>127</v>
      </c>
    </row>
    <row r="328" customFormat="false" ht="23.85" hidden="false" customHeight="false" outlineLevel="0" collapsed="false">
      <c r="A328" s="8" t="n">
        <v>324</v>
      </c>
      <c r="B328" s="9" t="s">
        <v>13</v>
      </c>
      <c r="C328" s="9" t="s">
        <v>523</v>
      </c>
      <c r="D328" s="9" t="s">
        <v>90</v>
      </c>
      <c r="E328" s="9" t="s">
        <v>515</v>
      </c>
      <c r="F328" s="9" t="s">
        <v>43</v>
      </c>
      <c r="G328" s="10" t="n">
        <v>45958</v>
      </c>
      <c r="H328" s="9"/>
      <c r="I328" s="9"/>
      <c r="J328" s="9" t="s">
        <v>37</v>
      </c>
    </row>
    <row r="329" customFormat="false" ht="23.85" hidden="false" customHeight="false" outlineLevel="0" collapsed="false">
      <c r="A329" s="8" t="n">
        <v>325</v>
      </c>
      <c r="B329" s="9" t="s">
        <v>13</v>
      </c>
      <c r="C329" s="9" t="s">
        <v>524</v>
      </c>
      <c r="D329" s="9" t="s">
        <v>519</v>
      </c>
      <c r="E329" s="9" t="s">
        <v>515</v>
      </c>
      <c r="F329" s="9" t="s">
        <v>43</v>
      </c>
      <c r="G329" s="10" t="n">
        <v>45932</v>
      </c>
      <c r="H329" s="9"/>
      <c r="I329" s="9"/>
      <c r="J329" s="9" t="s">
        <v>37</v>
      </c>
    </row>
    <row r="330" customFormat="false" ht="15" hidden="false" customHeight="false" outlineLevel="0" collapsed="false">
      <c r="A330" s="14" t="n">
        <v>326</v>
      </c>
      <c r="B330" s="15" t="s">
        <v>13</v>
      </c>
      <c r="C330" s="15" t="s">
        <v>525</v>
      </c>
      <c r="D330" s="15" t="s">
        <v>95</v>
      </c>
      <c r="E330" s="15" t="s">
        <v>526</v>
      </c>
      <c r="F330" s="15" t="s">
        <v>40</v>
      </c>
      <c r="G330" s="16" t="n">
        <v>45989</v>
      </c>
      <c r="H330" s="16" t="n">
        <v>45987</v>
      </c>
      <c r="I330" s="16" t="n">
        <v>46352</v>
      </c>
      <c r="J330" s="15" t="s">
        <v>127</v>
      </c>
    </row>
    <row r="331" customFormat="false" ht="23.85" hidden="false" customHeight="false" outlineLevel="0" collapsed="false">
      <c r="A331" s="8" t="n">
        <v>327</v>
      </c>
      <c r="B331" s="9" t="s">
        <v>13</v>
      </c>
      <c r="C331" s="9" t="s">
        <v>527</v>
      </c>
      <c r="D331" s="9" t="s">
        <v>100</v>
      </c>
      <c r="E331" s="9" t="s">
        <v>528</v>
      </c>
      <c r="F331" s="9" t="s">
        <v>36</v>
      </c>
      <c r="G331" s="10" t="n">
        <v>45845</v>
      </c>
      <c r="H331" s="9"/>
      <c r="I331" s="9"/>
      <c r="J331" s="9" t="s">
        <v>37</v>
      </c>
    </row>
    <row r="332" customFormat="false" ht="23.85" hidden="false" customHeight="false" outlineLevel="0" collapsed="false">
      <c r="A332" s="11" t="n">
        <v>328</v>
      </c>
      <c r="B332" s="12" t="s">
        <v>13</v>
      </c>
      <c r="C332" s="12" t="s">
        <v>529</v>
      </c>
      <c r="D332" s="12" t="s">
        <v>100</v>
      </c>
      <c r="E332" s="12" t="s">
        <v>528</v>
      </c>
      <c r="F332" s="12" t="s">
        <v>36</v>
      </c>
      <c r="G332" s="13" t="n">
        <v>45875</v>
      </c>
      <c r="H332" s="13" t="n">
        <v>45874</v>
      </c>
      <c r="I332" s="13" t="n">
        <v>46239</v>
      </c>
      <c r="J332" s="12" t="s">
        <v>52</v>
      </c>
    </row>
    <row r="333" customFormat="false" ht="23.85" hidden="false" customHeight="false" outlineLevel="0" collapsed="false">
      <c r="A333" s="11" t="n">
        <v>329</v>
      </c>
      <c r="B333" s="12" t="s">
        <v>13</v>
      </c>
      <c r="C333" s="12" t="s">
        <v>530</v>
      </c>
      <c r="D333" s="12" t="s">
        <v>100</v>
      </c>
      <c r="E333" s="12" t="s">
        <v>528</v>
      </c>
      <c r="F333" s="12" t="s">
        <v>36</v>
      </c>
      <c r="G333" s="13" t="n">
        <v>45838</v>
      </c>
      <c r="H333" s="13" t="n">
        <v>45832</v>
      </c>
      <c r="I333" s="13" t="n">
        <v>46197</v>
      </c>
      <c r="J333" s="12" t="s">
        <v>52</v>
      </c>
    </row>
    <row r="334" customFormat="false" ht="23.85" hidden="false" customHeight="false" outlineLevel="0" collapsed="false">
      <c r="A334" s="8" t="n">
        <v>330</v>
      </c>
      <c r="B334" s="9" t="s">
        <v>13</v>
      </c>
      <c r="C334" s="9" t="s">
        <v>531</v>
      </c>
      <c r="D334" s="9" t="s">
        <v>34</v>
      </c>
      <c r="E334" s="9" t="s">
        <v>528</v>
      </c>
      <c r="F334" s="9" t="s">
        <v>36</v>
      </c>
      <c r="G334" s="10" t="n">
        <v>45918</v>
      </c>
      <c r="H334" s="9"/>
      <c r="I334" s="9"/>
      <c r="J334" s="9" t="s">
        <v>37</v>
      </c>
    </row>
    <row r="335" customFormat="false" ht="23.85" hidden="false" customHeight="false" outlineLevel="0" collapsed="false">
      <c r="A335" s="14" t="n">
        <v>331</v>
      </c>
      <c r="B335" s="15" t="s">
        <v>13</v>
      </c>
      <c r="C335" s="15" t="s">
        <v>532</v>
      </c>
      <c r="D335" s="15" t="s">
        <v>100</v>
      </c>
      <c r="E335" s="15" t="s">
        <v>528</v>
      </c>
      <c r="F335" s="15" t="s">
        <v>36</v>
      </c>
      <c r="G335" s="16" t="n">
        <v>45992</v>
      </c>
      <c r="H335" s="16" t="n">
        <v>45967</v>
      </c>
      <c r="I335" s="16" t="n">
        <v>46332</v>
      </c>
      <c r="J335" s="15" t="s">
        <v>127</v>
      </c>
    </row>
  </sheetData>
  <autoFilter ref="A4:J3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4" min="3" style="0" width="34"/>
    <col collapsed="false" customWidth="true" hidden="false" outlineLevel="0" max="5" min="5" style="0" width="40"/>
    <col collapsed="false" customWidth="true" hidden="false" outlineLevel="0" max="6" min="6" style="0" width="50"/>
  </cols>
  <sheetData>
    <row r="1" customFormat="false" ht="15" hidden="false" customHeight="false" outlineLevel="0" collapsed="false">
      <c r="A1" s="1" t="s">
        <v>533</v>
      </c>
    </row>
    <row r="2" customFormat="false" ht="15" hidden="false" customHeight="false" outlineLevel="0" collapsed="false">
      <c r="A2" s="2" t="s">
        <v>534</v>
      </c>
    </row>
    <row r="4" customFormat="false" ht="15" hidden="false" customHeight="false" outlineLevel="0" collapsed="false">
      <c r="A4" s="3" t="s">
        <v>24</v>
      </c>
      <c r="B4" s="3" t="s">
        <v>2</v>
      </c>
      <c r="C4" s="3" t="s">
        <v>25</v>
      </c>
      <c r="D4" s="3" t="s">
        <v>26</v>
      </c>
      <c r="E4" s="3" t="s">
        <v>27</v>
      </c>
      <c r="F4" s="3" t="s">
        <v>535</v>
      </c>
    </row>
    <row r="5" customFormat="false" ht="23.85" hidden="false" customHeight="false" outlineLevel="0" collapsed="false">
      <c r="A5" s="14" t="n">
        <v>1</v>
      </c>
      <c r="B5" s="15" t="s">
        <v>14</v>
      </c>
      <c r="C5" s="15" t="s">
        <v>147</v>
      </c>
      <c r="D5" s="15" t="s">
        <v>34</v>
      </c>
      <c r="E5" s="15" t="s">
        <v>148</v>
      </c>
      <c r="F5" s="15" t="s">
        <v>536</v>
      </c>
    </row>
    <row r="6" customFormat="false" ht="23.85" hidden="false" customHeight="false" outlineLevel="0" collapsed="false">
      <c r="A6" s="14" t="n">
        <v>2</v>
      </c>
      <c r="B6" s="15" t="s">
        <v>14</v>
      </c>
      <c r="C6" s="15" t="s">
        <v>149</v>
      </c>
      <c r="D6" s="15" t="s">
        <v>57</v>
      </c>
      <c r="E6" s="15" t="s">
        <v>148</v>
      </c>
      <c r="F6" s="15" t="s">
        <v>536</v>
      </c>
    </row>
    <row r="7" customFormat="false" ht="23.85" hidden="false" customHeight="false" outlineLevel="0" collapsed="false">
      <c r="A7" s="14" t="n">
        <v>3</v>
      </c>
      <c r="B7" s="15" t="s">
        <v>14</v>
      </c>
      <c r="C7" s="15" t="s">
        <v>150</v>
      </c>
      <c r="D7" s="15" t="s">
        <v>100</v>
      </c>
      <c r="E7" s="15" t="s">
        <v>148</v>
      </c>
      <c r="F7" s="15" t="s">
        <v>536</v>
      </c>
    </row>
    <row r="8" customFormat="false" ht="35.05" hidden="false" customHeight="false" outlineLevel="0" collapsed="false">
      <c r="A8" s="14" t="n">
        <v>4</v>
      </c>
      <c r="B8" s="15" t="s">
        <v>14</v>
      </c>
      <c r="C8" s="15" t="s">
        <v>157</v>
      </c>
      <c r="D8" s="15" t="s">
        <v>158</v>
      </c>
      <c r="E8" s="15" t="s">
        <v>148</v>
      </c>
      <c r="F8" s="15" t="s">
        <v>537</v>
      </c>
    </row>
    <row r="9" customFormat="false" ht="23.85" hidden="false" customHeight="false" outlineLevel="0" collapsed="false">
      <c r="A9" s="14" t="n">
        <v>5</v>
      </c>
      <c r="B9" s="15" t="s">
        <v>14</v>
      </c>
      <c r="C9" s="15" t="s">
        <v>161</v>
      </c>
      <c r="D9" s="15" t="s">
        <v>34</v>
      </c>
      <c r="E9" s="15" t="s">
        <v>148</v>
      </c>
      <c r="F9" s="15" t="s">
        <v>536</v>
      </c>
    </row>
    <row r="10" customFormat="false" ht="23.85" hidden="false" customHeight="false" outlineLevel="0" collapsed="false">
      <c r="A10" s="14" t="n">
        <v>6</v>
      </c>
      <c r="B10" s="15" t="s">
        <v>14</v>
      </c>
      <c r="C10" s="15" t="s">
        <v>163</v>
      </c>
      <c r="D10" s="15" t="s">
        <v>100</v>
      </c>
      <c r="E10" s="15" t="s">
        <v>148</v>
      </c>
      <c r="F10" s="15" t="s">
        <v>536</v>
      </c>
    </row>
    <row r="11" customFormat="false" ht="23.85" hidden="false" customHeight="false" outlineLevel="0" collapsed="false">
      <c r="A11" s="14" t="n">
        <v>7</v>
      </c>
      <c r="B11" s="15" t="s">
        <v>16</v>
      </c>
      <c r="C11" s="15" t="s">
        <v>435</v>
      </c>
      <c r="D11" s="15" t="s">
        <v>436</v>
      </c>
      <c r="E11" s="15" t="s">
        <v>437</v>
      </c>
      <c r="F11" s="15" t="s">
        <v>538</v>
      </c>
    </row>
    <row r="12" customFormat="false" ht="15" hidden="false" customHeight="false" outlineLevel="0" collapsed="false">
      <c r="A12" s="14" t="n">
        <v>8</v>
      </c>
      <c r="B12" s="15" t="s">
        <v>10</v>
      </c>
      <c r="C12" s="15" t="s">
        <v>282</v>
      </c>
      <c r="D12" s="15" t="s">
        <v>283</v>
      </c>
      <c r="E12" s="15" t="s">
        <v>284</v>
      </c>
      <c r="F12" s="15" t="s">
        <v>538</v>
      </c>
    </row>
    <row r="13" customFormat="false" ht="15" hidden="false" customHeight="false" outlineLevel="0" collapsed="false">
      <c r="A13" s="14" t="n">
        <v>9</v>
      </c>
      <c r="B13" s="15" t="s">
        <v>10</v>
      </c>
      <c r="C13" s="15" t="s">
        <v>286</v>
      </c>
      <c r="D13" s="15" t="s">
        <v>283</v>
      </c>
      <c r="E13" s="15" t="s">
        <v>284</v>
      </c>
      <c r="F13" s="15" t="s">
        <v>538</v>
      </c>
    </row>
    <row r="14" customFormat="false" ht="15" hidden="false" customHeight="false" outlineLevel="0" collapsed="false">
      <c r="A14" s="14" t="n">
        <v>10</v>
      </c>
      <c r="B14" s="15" t="s">
        <v>10</v>
      </c>
      <c r="C14" s="15" t="s">
        <v>287</v>
      </c>
      <c r="D14" s="15" t="s">
        <v>283</v>
      </c>
      <c r="E14" s="15" t="s">
        <v>284</v>
      </c>
      <c r="F14" s="15" t="s">
        <v>538</v>
      </c>
    </row>
    <row r="15" customFormat="false" ht="15" hidden="false" customHeight="false" outlineLevel="0" collapsed="false">
      <c r="A15" s="14" t="n">
        <v>11</v>
      </c>
      <c r="B15" s="15" t="s">
        <v>10</v>
      </c>
      <c r="C15" s="15" t="s">
        <v>288</v>
      </c>
      <c r="D15" s="15" t="s">
        <v>283</v>
      </c>
      <c r="E15" s="15" t="s">
        <v>284</v>
      </c>
      <c r="F15" s="15" t="s">
        <v>538</v>
      </c>
    </row>
    <row r="16" customFormat="false" ht="15" hidden="false" customHeight="false" outlineLevel="0" collapsed="false">
      <c r="A16" s="14" t="n">
        <v>12</v>
      </c>
      <c r="B16" s="15" t="s">
        <v>10</v>
      </c>
      <c r="C16" s="15" t="s">
        <v>289</v>
      </c>
      <c r="D16" s="15" t="s">
        <v>283</v>
      </c>
      <c r="E16" s="15" t="s">
        <v>284</v>
      </c>
      <c r="F16" s="15" t="s">
        <v>538</v>
      </c>
    </row>
    <row r="17" customFormat="false" ht="15" hidden="false" customHeight="false" outlineLevel="0" collapsed="false">
      <c r="A17" s="14" t="n">
        <v>13</v>
      </c>
      <c r="B17" s="15" t="s">
        <v>10</v>
      </c>
      <c r="C17" s="15" t="s">
        <v>290</v>
      </c>
      <c r="D17" s="15" t="s">
        <v>283</v>
      </c>
      <c r="E17" s="15" t="s">
        <v>284</v>
      </c>
      <c r="F17" s="15" t="s">
        <v>538</v>
      </c>
    </row>
    <row r="18" customFormat="false" ht="15" hidden="false" customHeight="false" outlineLevel="0" collapsed="false">
      <c r="A18" s="14" t="n">
        <v>14</v>
      </c>
      <c r="B18" s="15" t="s">
        <v>10</v>
      </c>
      <c r="C18" s="15" t="s">
        <v>291</v>
      </c>
      <c r="D18" s="15" t="s">
        <v>283</v>
      </c>
      <c r="E18" s="15" t="s">
        <v>284</v>
      </c>
      <c r="F18" s="15" t="s">
        <v>538</v>
      </c>
    </row>
    <row r="19" customFormat="false" ht="15" hidden="false" customHeight="false" outlineLevel="0" collapsed="false">
      <c r="A19" s="14" t="n">
        <v>15</v>
      </c>
      <c r="B19" s="15" t="s">
        <v>10</v>
      </c>
      <c r="C19" s="15" t="s">
        <v>292</v>
      </c>
      <c r="D19" s="15" t="s">
        <v>283</v>
      </c>
      <c r="E19" s="15" t="s">
        <v>284</v>
      </c>
      <c r="F19" s="15" t="s">
        <v>538</v>
      </c>
    </row>
    <row r="20" customFormat="false" ht="15" hidden="false" customHeight="false" outlineLevel="0" collapsed="false">
      <c r="A20" s="14" t="n">
        <v>16</v>
      </c>
      <c r="B20" s="15" t="s">
        <v>10</v>
      </c>
      <c r="C20" s="15" t="s">
        <v>293</v>
      </c>
      <c r="D20" s="15" t="s">
        <v>283</v>
      </c>
      <c r="E20" s="15" t="s">
        <v>284</v>
      </c>
      <c r="F20" s="15" t="s">
        <v>538</v>
      </c>
    </row>
    <row r="21" customFormat="false" ht="23.85" hidden="false" customHeight="false" outlineLevel="0" collapsed="false">
      <c r="A21" s="14" t="n">
        <v>17</v>
      </c>
      <c r="B21" s="15" t="s">
        <v>15</v>
      </c>
      <c r="C21" s="15" t="s">
        <v>33</v>
      </c>
      <c r="D21" s="15" t="s">
        <v>34</v>
      </c>
      <c r="E21" s="15" t="s">
        <v>35</v>
      </c>
      <c r="F21" s="15" t="s">
        <v>536</v>
      </c>
    </row>
    <row r="22" customFormat="false" ht="23.85" hidden="false" customHeight="false" outlineLevel="0" collapsed="false">
      <c r="A22" s="14" t="n">
        <v>18</v>
      </c>
      <c r="B22" s="15" t="s">
        <v>15</v>
      </c>
      <c r="C22" s="15" t="s">
        <v>56</v>
      </c>
      <c r="D22" s="15" t="s">
        <v>57</v>
      </c>
      <c r="E22" s="15" t="s">
        <v>35</v>
      </c>
      <c r="F22" s="15" t="s">
        <v>536</v>
      </c>
    </row>
    <row r="23" customFormat="false" ht="23.85" hidden="false" customHeight="false" outlineLevel="0" collapsed="false">
      <c r="A23" s="14" t="n">
        <v>19</v>
      </c>
      <c r="B23" s="15" t="s">
        <v>12</v>
      </c>
      <c r="C23" s="15" t="s">
        <v>82</v>
      </c>
      <c r="D23" s="15" t="s">
        <v>34</v>
      </c>
      <c r="E23" s="15" t="s">
        <v>75</v>
      </c>
      <c r="F23" s="15" t="s">
        <v>536</v>
      </c>
    </row>
    <row r="24" customFormat="false" ht="35.05" hidden="false" customHeight="false" outlineLevel="0" collapsed="false">
      <c r="A24" s="14" t="n">
        <v>20</v>
      </c>
      <c r="B24" s="15" t="s">
        <v>12</v>
      </c>
      <c r="C24" s="15" t="s">
        <v>87</v>
      </c>
      <c r="D24" s="15" t="s">
        <v>88</v>
      </c>
      <c r="E24" s="15" t="s">
        <v>75</v>
      </c>
      <c r="F24" s="15" t="s">
        <v>537</v>
      </c>
    </row>
    <row r="25" customFormat="false" ht="35.05" hidden="false" customHeight="false" outlineLevel="0" collapsed="false">
      <c r="A25" s="14" t="n">
        <v>21</v>
      </c>
      <c r="B25" s="15" t="s">
        <v>10</v>
      </c>
      <c r="C25" s="15" t="s">
        <v>358</v>
      </c>
      <c r="D25" s="15" t="s">
        <v>359</v>
      </c>
      <c r="E25" s="15" t="s">
        <v>360</v>
      </c>
      <c r="F25" s="15" t="s">
        <v>539</v>
      </c>
    </row>
    <row r="26" customFormat="false" ht="35.05" hidden="false" customHeight="false" outlineLevel="0" collapsed="false">
      <c r="A26" s="14" t="n">
        <v>22</v>
      </c>
      <c r="B26" s="15" t="s">
        <v>10</v>
      </c>
      <c r="C26" s="15" t="s">
        <v>362</v>
      </c>
      <c r="D26" s="15" t="s">
        <v>363</v>
      </c>
      <c r="E26" s="15" t="s">
        <v>360</v>
      </c>
      <c r="F26" s="15" t="s">
        <v>539</v>
      </c>
    </row>
    <row r="27" customFormat="false" ht="23.85" hidden="false" customHeight="false" outlineLevel="0" collapsed="false">
      <c r="A27" s="14" t="n">
        <v>23</v>
      </c>
      <c r="B27" s="15" t="s">
        <v>10</v>
      </c>
      <c r="C27" s="15" t="s">
        <v>364</v>
      </c>
      <c r="D27" s="15" t="s">
        <v>365</v>
      </c>
      <c r="E27" s="15" t="s">
        <v>360</v>
      </c>
      <c r="F27" s="15" t="s">
        <v>539</v>
      </c>
    </row>
    <row r="28" customFormat="false" ht="23.85" hidden="false" customHeight="false" outlineLevel="0" collapsed="false">
      <c r="A28" s="14" t="n">
        <v>24</v>
      </c>
      <c r="B28" s="15" t="s">
        <v>10</v>
      </c>
      <c r="C28" s="15" t="s">
        <v>367</v>
      </c>
      <c r="D28" s="15" t="s">
        <v>368</v>
      </c>
      <c r="E28" s="15" t="s">
        <v>360</v>
      </c>
      <c r="F28" s="15" t="s">
        <v>540</v>
      </c>
    </row>
    <row r="29" customFormat="false" ht="35.05" hidden="false" customHeight="false" outlineLevel="0" collapsed="false">
      <c r="A29" s="14" t="n">
        <v>25</v>
      </c>
      <c r="B29" s="15" t="s">
        <v>10</v>
      </c>
      <c r="C29" s="15" t="s">
        <v>373</v>
      </c>
      <c r="D29" s="15" t="s">
        <v>363</v>
      </c>
      <c r="E29" s="15" t="s">
        <v>360</v>
      </c>
      <c r="F29" s="15" t="s">
        <v>539</v>
      </c>
    </row>
    <row r="30" customFormat="false" ht="35.05" hidden="false" customHeight="false" outlineLevel="0" collapsed="false">
      <c r="A30" s="14" t="n">
        <v>26</v>
      </c>
      <c r="B30" s="15" t="s">
        <v>11</v>
      </c>
      <c r="C30" s="15" t="s">
        <v>541</v>
      </c>
      <c r="D30" s="15" t="s">
        <v>363</v>
      </c>
      <c r="E30" s="15" t="s">
        <v>480</v>
      </c>
      <c r="F30" s="15" t="s">
        <v>539</v>
      </c>
    </row>
    <row r="31" customFormat="false" ht="23.85" hidden="false" customHeight="false" outlineLevel="0" collapsed="false">
      <c r="A31" s="14" t="n">
        <v>27</v>
      </c>
      <c r="B31" s="15" t="s">
        <v>10</v>
      </c>
      <c r="C31" s="15" t="s">
        <v>386</v>
      </c>
      <c r="D31" s="15" t="s">
        <v>34</v>
      </c>
      <c r="E31" s="15" t="s">
        <v>387</v>
      </c>
      <c r="F31" s="15" t="s">
        <v>536</v>
      </c>
    </row>
    <row r="32" customFormat="false" ht="35.05" hidden="false" customHeight="false" outlineLevel="0" collapsed="false">
      <c r="A32" s="14" t="n">
        <v>28</v>
      </c>
      <c r="B32" s="15" t="s">
        <v>10</v>
      </c>
      <c r="C32" s="15" t="s">
        <v>542</v>
      </c>
      <c r="D32" s="15" t="s">
        <v>117</v>
      </c>
      <c r="E32" s="15" t="s">
        <v>387</v>
      </c>
      <c r="F32" s="15" t="s">
        <v>537</v>
      </c>
    </row>
    <row r="33" customFormat="false" ht="23.85" hidden="false" customHeight="false" outlineLevel="0" collapsed="false">
      <c r="A33" s="14" t="n">
        <v>29</v>
      </c>
      <c r="B33" s="15" t="s">
        <v>10</v>
      </c>
      <c r="C33" s="15" t="s">
        <v>388</v>
      </c>
      <c r="D33" s="15" t="s">
        <v>34</v>
      </c>
      <c r="E33" s="15" t="s">
        <v>387</v>
      </c>
      <c r="F33" s="15" t="s">
        <v>536</v>
      </c>
    </row>
    <row r="34" customFormat="false" ht="23.85" hidden="false" customHeight="false" outlineLevel="0" collapsed="false">
      <c r="A34" s="14" t="n">
        <v>30</v>
      </c>
      <c r="B34" s="15" t="s">
        <v>12</v>
      </c>
      <c r="C34" s="15" t="s">
        <v>97</v>
      </c>
      <c r="D34" s="15" t="s">
        <v>34</v>
      </c>
      <c r="E34" s="15" t="s">
        <v>98</v>
      </c>
      <c r="F34" s="15" t="s">
        <v>536</v>
      </c>
    </row>
    <row r="35" customFormat="false" ht="23.85" hidden="false" customHeight="false" outlineLevel="0" collapsed="false">
      <c r="A35" s="14" t="n">
        <v>31</v>
      </c>
      <c r="B35" s="15" t="s">
        <v>12</v>
      </c>
      <c r="C35" s="15" t="s">
        <v>99</v>
      </c>
      <c r="D35" s="15" t="s">
        <v>100</v>
      </c>
      <c r="E35" s="15" t="s">
        <v>98</v>
      </c>
      <c r="F35" s="15" t="s">
        <v>536</v>
      </c>
    </row>
    <row r="36" customFormat="false" ht="23.85" hidden="false" customHeight="false" outlineLevel="0" collapsed="false">
      <c r="A36" s="14" t="n">
        <v>32</v>
      </c>
      <c r="B36" s="15" t="s">
        <v>12</v>
      </c>
      <c r="C36" s="15" t="s">
        <v>101</v>
      </c>
      <c r="D36" s="15" t="s">
        <v>34</v>
      </c>
      <c r="E36" s="15" t="s">
        <v>98</v>
      </c>
      <c r="F36" s="15" t="s">
        <v>536</v>
      </c>
    </row>
    <row r="37" customFormat="false" ht="23.85" hidden="false" customHeight="false" outlineLevel="0" collapsed="false">
      <c r="A37" s="14" t="n">
        <v>33</v>
      </c>
      <c r="B37" s="15" t="s">
        <v>12</v>
      </c>
      <c r="C37" s="15" t="s">
        <v>102</v>
      </c>
      <c r="D37" s="15" t="s">
        <v>34</v>
      </c>
      <c r="E37" s="15" t="s">
        <v>98</v>
      </c>
      <c r="F37" s="15" t="s">
        <v>536</v>
      </c>
    </row>
    <row r="38" customFormat="false" ht="23.85" hidden="false" customHeight="false" outlineLevel="0" collapsed="false">
      <c r="A38" s="14" t="n">
        <v>34</v>
      </c>
      <c r="B38" s="15" t="s">
        <v>12</v>
      </c>
      <c r="C38" s="15" t="s">
        <v>103</v>
      </c>
      <c r="D38" s="15" t="s">
        <v>34</v>
      </c>
      <c r="E38" s="15" t="s">
        <v>98</v>
      </c>
      <c r="F38" s="15" t="s">
        <v>536</v>
      </c>
    </row>
    <row r="39" customFormat="false" ht="23.85" hidden="false" customHeight="false" outlineLevel="0" collapsed="false">
      <c r="A39" s="14" t="n">
        <v>35</v>
      </c>
      <c r="B39" s="15" t="s">
        <v>12</v>
      </c>
      <c r="C39" s="15" t="s">
        <v>104</v>
      </c>
      <c r="D39" s="15" t="s">
        <v>57</v>
      </c>
      <c r="E39" s="15" t="s">
        <v>98</v>
      </c>
      <c r="F39" s="15" t="s">
        <v>536</v>
      </c>
    </row>
    <row r="40" customFormat="false" ht="23.85" hidden="false" customHeight="false" outlineLevel="0" collapsed="false">
      <c r="A40" s="14" t="n">
        <v>36</v>
      </c>
      <c r="B40" s="15" t="s">
        <v>12</v>
      </c>
      <c r="C40" s="15" t="s">
        <v>105</v>
      </c>
      <c r="D40" s="15" t="s">
        <v>57</v>
      </c>
      <c r="E40" s="15" t="s">
        <v>98</v>
      </c>
      <c r="F40" s="15" t="s">
        <v>536</v>
      </c>
    </row>
    <row r="41" customFormat="false" ht="23.85" hidden="false" customHeight="false" outlineLevel="0" collapsed="false">
      <c r="A41" s="14" t="n">
        <v>37</v>
      </c>
      <c r="B41" s="15" t="s">
        <v>12</v>
      </c>
      <c r="C41" s="15" t="s">
        <v>106</v>
      </c>
      <c r="D41" s="15" t="s">
        <v>57</v>
      </c>
      <c r="E41" s="15" t="s">
        <v>98</v>
      </c>
      <c r="F41" s="15" t="s">
        <v>536</v>
      </c>
    </row>
    <row r="42" customFormat="false" ht="23.85" hidden="false" customHeight="false" outlineLevel="0" collapsed="false">
      <c r="A42" s="14" t="n">
        <v>38</v>
      </c>
      <c r="B42" s="15" t="s">
        <v>12</v>
      </c>
      <c r="C42" s="15" t="s">
        <v>107</v>
      </c>
      <c r="D42" s="15" t="s">
        <v>34</v>
      </c>
      <c r="E42" s="15" t="s">
        <v>98</v>
      </c>
      <c r="F42" s="15" t="s">
        <v>536</v>
      </c>
    </row>
    <row r="43" customFormat="false" ht="23.85" hidden="false" customHeight="false" outlineLevel="0" collapsed="false">
      <c r="A43" s="14" t="n">
        <v>39</v>
      </c>
      <c r="B43" s="15" t="s">
        <v>12</v>
      </c>
      <c r="C43" s="15" t="s">
        <v>108</v>
      </c>
      <c r="D43" s="15" t="s">
        <v>34</v>
      </c>
      <c r="E43" s="15" t="s">
        <v>98</v>
      </c>
      <c r="F43" s="15" t="s">
        <v>536</v>
      </c>
    </row>
    <row r="44" customFormat="false" ht="23.85" hidden="false" customHeight="false" outlineLevel="0" collapsed="false">
      <c r="A44" s="14" t="n">
        <v>40</v>
      </c>
      <c r="B44" s="15" t="s">
        <v>12</v>
      </c>
      <c r="C44" s="15" t="s">
        <v>109</v>
      </c>
      <c r="D44" s="15" t="s">
        <v>34</v>
      </c>
      <c r="E44" s="15" t="s">
        <v>98</v>
      </c>
      <c r="F44" s="15" t="s">
        <v>536</v>
      </c>
    </row>
    <row r="45" customFormat="false" ht="23.85" hidden="false" customHeight="false" outlineLevel="0" collapsed="false">
      <c r="A45" s="14" t="n">
        <v>41</v>
      </c>
      <c r="B45" s="15" t="s">
        <v>12</v>
      </c>
      <c r="C45" s="15" t="s">
        <v>110</v>
      </c>
      <c r="D45" s="15" t="s">
        <v>57</v>
      </c>
      <c r="E45" s="15" t="s">
        <v>98</v>
      </c>
      <c r="F45" s="15" t="s">
        <v>536</v>
      </c>
    </row>
    <row r="46" customFormat="false" ht="23.85" hidden="false" customHeight="false" outlineLevel="0" collapsed="false">
      <c r="A46" s="14" t="n">
        <v>42</v>
      </c>
      <c r="B46" s="15" t="s">
        <v>12</v>
      </c>
      <c r="C46" s="15" t="s">
        <v>111</v>
      </c>
      <c r="D46" s="15" t="s">
        <v>34</v>
      </c>
      <c r="E46" s="15" t="s">
        <v>98</v>
      </c>
      <c r="F46" s="15" t="s">
        <v>536</v>
      </c>
    </row>
    <row r="47" customFormat="false" ht="23.85" hidden="false" customHeight="false" outlineLevel="0" collapsed="false">
      <c r="A47" s="14" t="n">
        <v>43</v>
      </c>
      <c r="B47" s="15" t="s">
        <v>12</v>
      </c>
      <c r="C47" s="15" t="s">
        <v>112</v>
      </c>
      <c r="D47" s="15" t="s">
        <v>57</v>
      </c>
      <c r="E47" s="15" t="s">
        <v>98</v>
      </c>
      <c r="F47" s="15" t="s">
        <v>536</v>
      </c>
    </row>
    <row r="48" customFormat="false" ht="23.85" hidden="false" customHeight="false" outlineLevel="0" collapsed="false">
      <c r="A48" s="14" t="n">
        <v>44</v>
      </c>
      <c r="B48" s="15" t="s">
        <v>12</v>
      </c>
      <c r="C48" s="15" t="s">
        <v>113</v>
      </c>
      <c r="D48" s="15" t="s">
        <v>57</v>
      </c>
      <c r="E48" s="15" t="s">
        <v>98</v>
      </c>
      <c r="F48" s="15" t="s">
        <v>536</v>
      </c>
    </row>
    <row r="49" customFormat="false" ht="23.85" hidden="false" customHeight="false" outlineLevel="0" collapsed="false">
      <c r="A49" s="14" t="n">
        <v>45</v>
      </c>
      <c r="B49" s="15" t="s">
        <v>10</v>
      </c>
      <c r="C49" s="15" t="s">
        <v>389</v>
      </c>
      <c r="D49" s="15" t="s">
        <v>34</v>
      </c>
      <c r="E49" s="15" t="s">
        <v>390</v>
      </c>
      <c r="F49" s="15" t="s">
        <v>536</v>
      </c>
    </row>
    <row r="50" customFormat="false" ht="23.85" hidden="false" customHeight="false" outlineLevel="0" collapsed="false">
      <c r="A50" s="14" t="n">
        <v>46</v>
      </c>
      <c r="B50" s="15" t="s">
        <v>10</v>
      </c>
      <c r="C50" s="15" t="s">
        <v>391</v>
      </c>
      <c r="D50" s="15" t="s">
        <v>34</v>
      </c>
      <c r="E50" s="15" t="s">
        <v>390</v>
      </c>
      <c r="F50" s="15" t="s">
        <v>536</v>
      </c>
    </row>
    <row r="51" customFormat="false" ht="23.85" hidden="false" customHeight="false" outlineLevel="0" collapsed="false">
      <c r="A51" s="14" t="n">
        <v>47</v>
      </c>
      <c r="B51" s="15" t="s">
        <v>13</v>
      </c>
      <c r="C51" s="15" t="s">
        <v>527</v>
      </c>
      <c r="D51" s="15" t="s">
        <v>100</v>
      </c>
      <c r="E51" s="15" t="s">
        <v>528</v>
      </c>
      <c r="F51" s="15" t="s">
        <v>536</v>
      </c>
    </row>
    <row r="52" customFormat="false" ht="23.85" hidden="false" customHeight="false" outlineLevel="0" collapsed="false">
      <c r="A52" s="14" t="n">
        <v>48</v>
      </c>
      <c r="B52" s="15" t="s">
        <v>13</v>
      </c>
      <c r="C52" s="15" t="s">
        <v>529</v>
      </c>
      <c r="D52" s="15" t="s">
        <v>100</v>
      </c>
      <c r="E52" s="15" t="s">
        <v>528</v>
      </c>
      <c r="F52" s="15" t="s">
        <v>536</v>
      </c>
    </row>
    <row r="53" customFormat="false" ht="23.85" hidden="false" customHeight="false" outlineLevel="0" collapsed="false">
      <c r="A53" s="14" t="n">
        <v>49</v>
      </c>
      <c r="B53" s="15" t="s">
        <v>13</v>
      </c>
      <c r="C53" s="15" t="s">
        <v>530</v>
      </c>
      <c r="D53" s="15" t="s">
        <v>100</v>
      </c>
      <c r="E53" s="15" t="s">
        <v>528</v>
      </c>
      <c r="F53" s="15" t="s">
        <v>536</v>
      </c>
    </row>
    <row r="54" customFormat="false" ht="23.85" hidden="false" customHeight="false" outlineLevel="0" collapsed="false">
      <c r="A54" s="14" t="n">
        <v>50</v>
      </c>
      <c r="B54" s="15" t="s">
        <v>13</v>
      </c>
      <c r="C54" s="15" t="s">
        <v>531</v>
      </c>
      <c r="D54" s="15" t="s">
        <v>34</v>
      </c>
      <c r="E54" s="15" t="s">
        <v>528</v>
      </c>
      <c r="F54" s="15" t="s">
        <v>536</v>
      </c>
    </row>
    <row r="55" customFormat="false" ht="23.85" hidden="false" customHeight="false" outlineLevel="0" collapsed="false">
      <c r="A55" s="14" t="n">
        <v>51</v>
      </c>
      <c r="B55" s="15" t="s">
        <v>13</v>
      </c>
      <c r="C55" s="15" t="s">
        <v>532</v>
      </c>
      <c r="D55" s="15" t="s">
        <v>100</v>
      </c>
      <c r="E55" s="15" t="s">
        <v>528</v>
      </c>
      <c r="F55" s="15" t="s">
        <v>536</v>
      </c>
    </row>
  </sheetData>
  <autoFilter ref="A4:F5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2026-10-16T08:48:39Z</dcterms:created>
  <dc:creator>openpyxl</dc:creator>
  <dc:description/>
  <dc:language>en-US</dc:language>
  <cp:lastModifiedBy/>
  <dcterms:modified xsi:type="dcterms:W3CDTF">2026-10-16T08:48:39Z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