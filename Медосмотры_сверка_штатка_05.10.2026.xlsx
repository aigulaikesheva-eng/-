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Инструкция" sheetId="1" state="visible" r:id="rId3"/>
    <sheet name="Сверка 05.10.2026" sheetId="2" state="visible" r:id="rId4"/>
    <sheet name="Перечень должностей" sheetId="3" state="visible" r:id="rId5"/>
    <sheet name="Учёт медосмотров" sheetId="4" state="visible" r:id="rId6"/>
    <sheet name="Дашборд" sheetId="5" state="visible" r:id="rId7"/>
    <sheet name="Соответствие" sheetId="6" state="hidden" r:id="rId8"/>
    <sheet name="Выбывшие" sheetId="7" state="visible" r:id="rId9"/>
  </sheets>
  <definedNames>
    <definedName function="false" hidden="true" localSheetId="6" name="_xlnm._FilterDatabase" vbProcedure="false">Выбывшие!$A$4:$G$10</definedName>
    <definedName function="false" hidden="true" localSheetId="2" name="_xlnm._FilterDatabase" vbProcedure="false">'Перечень должностей'!$A$1:$H$46</definedName>
    <definedName function="false" hidden="true" localSheetId="3" name="_xlnm._FilterDatabase" vbProcedure="false">'Учёт медосмотров'!$A$1:$R$372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<sst xmlns="http://schemas.openxmlformats.org/spreadsheetml/2006/main" count="2357" uniqueCount="944">
  <si>
    <t xml:space="preserve">Учёт предварительных и периодических медицинских осмотров</t>
  </si>
  <si>
    <t xml:space="preserve">ООО «Авиационные интерьеры-СН»</t>
  </si>
  <si>
    <t xml:space="preserve">Составлено на основании Приказа №43 от 03.04.2026 «Об утверждении перечня должностей и профессий в ООО «Авиационные интерьеры-СН», подлежащих предварительному (периодическому) медицинскому осмотру» и штатного расписания (по состоянию на 05.10.2026; ранее — 04.09.2026).</t>
  </si>
  <si>
    <t xml:space="preserve">Лист «Перечень должностей»</t>
  </si>
  <si>
    <t xml:space="preserve">Перечень должностей и профессий из Приложения №1 к Приказу №43, пункты приказов №988н/1420н от 31.12.2020 и №29н от 28.01.2021. Столбец «Периодичность периодического осмотра, мес.» проверен по таблице периодичности из приложения к Порядку (Приказ №29н) и подтверждён на уровне 12 месяцев для всех 45 должностей; столбец «Обоснование периодичности» показывает, какой пункт это определяет. Поле остаётся редактируемым (выделено жёлтым) на случай изменения перечня факторов после специальной оценки условий труда.</t>
  </si>
  <si>
    <t xml:space="preserve">Лист «Учёт медосмотров»</t>
  </si>
  <si>
    <t xml:space="preserve">Построчно по каждому сотруднику: должность, пункты приказа, дата предварительного осмотра (жёлтым, вносится фактическая дата), дата последнего фактически пройденного периодического осмотра (жёлтым, заполняется по мере прохождения) и расчётная дата очередного периодического осмотра. Далее - подлежит ли должность психиатрическому освидетельствованию по Приказу №342н, дата его фактического прохождения (жёлтым) и внутренняя контрольная дата повторного освидетельствования (+5 лет; законом не требуется — см. п.6 ниже). Столбцы с расчётными датами окрашиваются автоматически: красный - срок уже прошёл, жёлтый - наступает в течение 30 дней, зелёный - срок ещё не подошёл. Пустая дата предварительного осмотра также подсвечивается красным. Последний столбец отмечает «ДА», если дата предварительного осмотра позже даты приёма на работу (возможное нарушение).</t>
  </si>
  <si>
    <t xml:space="preserve">Лист «Дашборд»</t>
  </si>
  <si>
    <t xml:space="preserve">Сводные показатели по компании и по площадкам: у скольких указаны даты предварительного, периодического и психиатрического освидетельствования, у скольких просрочена плановая дата, сколько случаев требуют проверки на нарушение сроков.</t>
  </si>
  <si>
    <t xml:space="preserve">Лист «Соответствие»</t>
  </si>
  <si>
    <t xml:space="preserve">Служебная таблица для формул ИНДЕКС и ПОИСКПОЗ: сопоставление названия должности пункту Перечня. Лист скрыт, редактировать не нужно.</t>
  </si>
  <si>
    <t xml:space="preserve">Источники данных:</t>
  </si>
  <si>
    <t xml:space="preserve">1. Приказ №43 от 03.04.2026, Приложение №1 (перечень должностей, пункты приказов 988н/1420н/29н).</t>
  </si>
  <si>
    <t xml:space="preserve">2. Файл со списком сотрудников и датами предварительных медосмотров (лист «Общая» и листы по площадкам: Жуковский, Машково, Внуково, Руднево, Москва).</t>
  </si>
  <si>
    <t xml:space="preserve">3. Штатное расписание ООО «Авиационные интерьеры-СН» по состоянию на 04.09.2026 (уточнение подразделений).</t>
  </si>
  <si>
    <t xml:space="preserve">4. Приказ Минздрава России №29н от 28.01.2021 «Об утверждении Порядка проведения обязательных предварительных и периодических медицинских осмотров работников...» (приложение к Порядку - таблица периодичности и объёма осмотров, использована для проверки столбца «Периодичность»).</t>
  </si>
  <si>
    <t xml:space="preserve">5. Приказ Минздрава России №342н от 20.05.2022 «Об утверждении Порядка прохождения обязательного психиатрического освидетельствования работниками, осуществляющими отдельные виды деятельности, его периодичности, а также видов деятельности, при осуществлении которых проводится психиатрическое освидетельствование» (Приложение №2 - использовано для столбца «Психиатрическое освидетельствование»).</t>
  </si>
  <si>
    <t xml:space="preserve">Слабые места и допущения, требующие внимания:</t>
  </si>
  <si>
    <t xml:space="preserve">1. Периодичность (12 мес.) ПРОВЕРЕНА 13.10.2026 по тексту Приказа №29н (КонсультантПлюс, ред. 327н от 29.04.2026): для всех 45 позиций минимальный интервал — 1 раз в год, столбец «Обоснование периодичности» совпадает с таблицей приложения. Работники моложе 21 года — ежегодно (п.18 Порядка).</t>
  </si>
  <si>
    <t xml:space="preserve">2. Для части должностей («Инженер», «Ведущий инженер», «Контролер») исходный файл не уточнял, к какому пункту Перечня они относятся: соответствие определено формулой по названию подразделения (ОТК или ПДО). При переименовании подразделений формулу на листе «Учёт медосмотров» (столбец G) нужно будет пересмотреть.</t>
  </si>
  <si>
    <t xml:space="preserve">3. У большей части сотрудников (около 60%) в исходном файле нет даты предварительного медосмотра, хотя многие приняты на работу более года назад. Это может быть как пробел в учёте, так и фактическое отсутствие осмотра, - требуется сверка с медицинским центром и личными делами.</t>
  </si>
  <si>
    <t xml:space="preserve">4. В нескольких случаях дата предварительного осмотра в исходном файле позже даты приёма на работу, что формально противоречит ст. 213 ТК РФ (осмотр должен предшествовать допуску к работе). Такие случаи автоматически помечены «ДА» в столбце «Нарушение» на листе «Учёт медосмотров».</t>
  </si>
  <si>
    <t xml:space="preserve">5. Ни для одного сотрудника ещё не зафиксирована дата фактически пройденного периодического осмотра, поэтому все расчётные даты очередного осмотра - это первый плановый цикл от даты предварительного осмотра. По мере прохождения периодических осмотров вносите их даты в столбец «Факт. дата последнего пройденного периодического осмотра», и следующая дата пересчитается автоматически.</t>
  </si>
  <si>
    <t xml:space="preserve">6. Список должностей, подлежащих психиатрическому освидетельствованию по Приказу №342н, определён по названию должности и общей логике вида деятельности (управление транспортом - п.1 Приложения №2; работа с электроустановками - п.11-12), это помечено «Да». Для должностей Главный механик, Сборщик стеклопластиковых изделий, Старший сторож/сторож/старший оперативный дежурный/оперативный дежурный совпадение с категориями Приложения №2 первоначально выглядело вероятным (сосуды под давлением/автоклавы, оружие у охраны), но специалист по охране труда подтвердил, что эти должности освидетельствование не проходят, - в столбце «Психиатрическое освидетельствование» проставлено «Нет» с примечанием об этом уточнении. ИСПРАВЛЕНО 13.10.2026: по Приказу №342н (с 01.09.2022) периодичность освидетельствования не установлена (письмо Минздрава №30-0/3066769); дата «+5 лет» в столбце P — только внутренняя контрольная мера, не требование закона («5 лет» в ст.6 Закона №3185-1 — срок временной непригодности, а не периодичность). С 01.03.2026 действуют изменения 342н (Приказ №392н от 02.07.2025) — нумерацию пунктов Приложения №2 сверить. УТОЧНЕНО 13.10.2026 по тексту 342н: п.11 Приложения №2 касается работ с электроустановками «в сфере электроэнергетики»; официального разъяснения нет, применимость к монтажу бортового ЭО спорна — для п.20 и п.29 Перечня статус изменён на «Проверить» (решение работодателя с обоснованием).</t>
  </si>
  <si>
    <t xml:space="preserve">7. ИСПРАВЛЕНО 10.09.2026: список сотрудников пересобран заново напрямую из штатного расписания (736 сотрудников на 04.09.2026), а не из ранее использовавшегося отдельного файла учёта - тот файл оказался неполным и не отражал новых сотрудников (например, Раззакову Светлану Владимировну, уборщика производственных и служебных помещений, принятую 27.08.2026, - обнаружено пользователем при ручной проверке). При пересборке также учтено, что должности в штатном расписании содержат разряд/категорию (например, «Столяр 5 разряда», «Инженер 2 категории») - формула сопоставления на листе «Учёт медосмотров» (столбец G) теперь отбрасывает эти суффиксы при поиске пункта Перечня. В результате: добавлено 21 новых сотрудника (включая Раззакову С.В.), исключено 10 - из них 6 больше не значатся в штатном расписании (уволены), а 4 (Добролюбова Г.М., Кляцкин А.Б., Лазебников В.В., Пушкин С.О.) переведены на должности вне перечня Приказа №43. Итоговая численность выросла с 352 до 363 человек. Также обнаружено: по должности «Инженер по эксплуатации» (№17 Перечня) сейчас нет ни одного сотрудника в штате - это не ошибка, а фактическое отсутствие занятых ставок. Рекомендуется впредь сверять этот файл со штатным расписанием при каждом обновлении последнего, так как найденный пробел показывает, что расхождения возникают быстро.</t>
  </si>
  <si>
    <t xml:space="preserve">8. ДОБАВЛЕНО 10.09.2026 по решению специалиста по охране труда: должности «Инженер-электрик» (Жусев А.А., Служба главного инженера) и «Старший охраны объекта» (Рукин Д.И., Отдел режима) включены в Перечень должностей (пункты №2 и №45 соответственно), хотя дословно в тексте Приказа №43 эти формулировки не приведены. Основание: обе должности относятся к тем же подразделениям и характеру работ, что и уже включённые в Приказ №43 «Электромонтёр по ремонту и обслуживанию электрооборудования» (электроустановки) и «Сторож»/«Старший сторож» (охрана объекта) соответственно. Периодичность осмотра и статус психиатрического освидетельствования для этих двух человек унаследованы от соответствующего пункта Перечня.</t>
  </si>
  <si>
    <t xml:space="preserve">9. ОБНОВЛЕНО 13.10.2026: сверка со штатным расписанием от 05.10.2026. Добавлено 12 сотрудников, исключено 6 (нет в штатке — лист «Выбывшие»). В штатке Машково переименованы профессии: Столяр → Техник-сборщик, Маляр → Техник, Оператор станка с ЧПУ → Оператор станков с ЧПУ. «Техник-сборщик» и «Техник» в Приказе №43 отсутствуют — для них временно применены пункты прежних профессий (п.21 и п.36), это отмечено в столбце R. Необходимо внести изменения в Приказ №43. Должности и подразделения в учёте приведены к штатке 05.10.2026. Подробно — лист «Сверка 05.10.2026».</t>
  </si>
  <si>
    <t xml:space="preserve">Дата формирования файла: 10.09.2026. Последнее обновление: 13.10.2026 (сверка со штатным расписанием от 05.10.2026).</t>
  </si>
  <si>
    <t xml:space="preserve">Сверка учёта медосмотров со штатным расписанием от 05.10.2026 и Приказом №43 от 03.04.2026</t>
  </si>
  <si>
    <t xml:space="preserve">Дата сверки: 13.10.2026. Источник: «Штатка плоская» (выгрузка 1С, 737 строк, 129 подразделений).</t>
  </si>
  <si>
    <t xml:space="preserve">1. Итоги</t>
  </si>
  <si>
    <t xml:space="preserve">Показатель</t>
  </si>
  <si>
    <t xml:space="preserve">Кол-во</t>
  </si>
  <si>
    <t xml:space="preserve">Было в учёте (до сверки)</t>
  </si>
  <si>
    <t xml:space="preserve">Исключено: нет в штатном расписании (уволены) — перенесены на лист «Выбывшие»</t>
  </si>
  <si>
    <t xml:space="preserve">Добавлено: должность входит в Перечень, сотрудника не было в учёте</t>
  </si>
  <si>
    <t xml:space="preserve">Стало в учёте</t>
  </si>
  <si>
    <t xml:space="preserve">Изменения должности/подразделения у сотрудников в учёте (см. ниже)</t>
  </si>
  <si>
    <t xml:space="preserve">Из них: должность после переименования отсутствует в Приказе №43</t>
  </si>
  <si>
    <t xml:space="preserve">2. Добавлены в учёт</t>
  </si>
  <si>
    <t xml:space="preserve">№</t>
  </si>
  <si>
    <t xml:space="preserve">ФИО</t>
  </si>
  <si>
    <t xml:space="preserve">Должность</t>
  </si>
  <si>
    <t xml:space="preserve">Подразделение</t>
  </si>
  <si>
    <t xml:space="preserve">Площадка</t>
  </si>
  <si>
    <t xml:space="preserve">Дата приёма</t>
  </si>
  <si>
    <t xml:space="preserve">Примечание</t>
  </si>
  <si>
    <t xml:space="preserve">Картузов Павел Борисович</t>
  </si>
  <si>
    <t xml:space="preserve">Сборщик стеклопластиковых изделий 3 разряда</t>
  </si>
  <si>
    <t xml:space="preserve">Мебельный участок МШ</t>
  </si>
  <si>
    <t xml:space="preserve">Машково</t>
  </si>
  <si>
    <t xml:space="preserve">ДОБАВЛЕН 13.10.2026 по штатному расписанию от 05.10.2026 (принят 21.09.2026)</t>
  </si>
  <si>
    <t xml:space="preserve">Кляцкин Антон Борисович</t>
  </si>
  <si>
    <t xml:space="preserve">Техник-сборщик 3 разряда</t>
  </si>
  <si>
    <t xml:space="preserve">ДОБАВЛЕН 13.10.2026 по штатному расписанию от 05.10.2026 (принят 21.05.2026). Должности «Техник-сборщик 3 разряда» нет в Приказе №43 — пункты временно по п.21 Перечня (аналогичная профессия подразделения), требуется изменение Приказа №43</t>
  </si>
  <si>
    <t xml:space="preserve">Каретников Роман Григорьевич</t>
  </si>
  <si>
    <t xml:space="preserve">Техник 3 разряда</t>
  </si>
  <si>
    <t xml:space="preserve">Участок декоративной отделки МШ</t>
  </si>
  <si>
    <t xml:space="preserve">ДОБАВЛЕН 13.10.2026 по штатному расписанию от 05.10.2026 (принят 02.09.2026). Должности «Техник 3 разряда» нет в Приказе №43 — пункты временно по п.36 Перечня (аналогичная профессия подразделения), требуется изменение Приказа №43</t>
  </si>
  <si>
    <t xml:space="preserve">Дубинкин Александр Сергеевич</t>
  </si>
  <si>
    <t xml:space="preserve">Мастер участка</t>
  </si>
  <si>
    <t xml:space="preserve">Механический участок МШ</t>
  </si>
  <si>
    <t xml:space="preserve">ДОБАВЛЕН 13.10.2026 по штатному расписанию от 05.10.2026 (принят 25.09.2026)</t>
  </si>
  <si>
    <t xml:space="preserve">Иванов Юрий Сергеевич</t>
  </si>
  <si>
    <t xml:space="preserve">Оператор станков с ЧПУ 4 разряда</t>
  </si>
  <si>
    <t xml:space="preserve">ДОБАВЛЕН 13.10.2026 по штатному расписанию от 05.10.2026 (принят 21.09.2026). Написание должности отличается от Приказа №43 («Оператор станка с ЧПУ», п.30). Площадка в штатке не указана — проставлена по подразделению «МШ», уточнить</t>
  </si>
  <si>
    <t xml:space="preserve">Серебреников Артем Андреевич</t>
  </si>
  <si>
    <t xml:space="preserve">Оператор станков с ЧПУ 3 разряда</t>
  </si>
  <si>
    <t xml:space="preserve">ДОБАВЛЕН 13.10.2026 по штатному расписанию от 05.10.2026 (принят 01.10.2026). Написание должности отличается от Приказа №43 («Оператор станка с ЧПУ», п.30)</t>
  </si>
  <si>
    <t xml:space="preserve">Тверитин Сергей Алексеевич</t>
  </si>
  <si>
    <t xml:space="preserve">Инженер-механик</t>
  </si>
  <si>
    <t xml:space="preserve">Служба главного инженера Р</t>
  </si>
  <si>
    <t xml:space="preserve">Руднево</t>
  </si>
  <si>
    <t xml:space="preserve">ДОБАВЛЕН 13.10.2026 по штатному расписанию от 05.10.2026 (принят 01.10.2026)</t>
  </si>
  <si>
    <t xml:space="preserve">Коровин Сергей Юрьевич</t>
  </si>
  <si>
    <t xml:space="preserve">Кладовщик</t>
  </si>
  <si>
    <t xml:space="preserve">Склад Р</t>
  </si>
  <si>
    <t xml:space="preserve">ДОБАВЛЕН 13.10.2026 по штатному расписанию от 05.10.2026 (принят 02.10.2026)</t>
  </si>
  <si>
    <t xml:space="preserve">Власова Ольга Вячеславовна</t>
  </si>
  <si>
    <t xml:space="preserve">Электромонтажник 3 разряда</t>
  </si>
  <si>
    <t xml:space="preserve">Участок РЭО В</t>
  </si>
  <si>
    <t xml:space="preserve">Воронеж</t>
  </si>
  <si>
    <t xml:space="preserve">ДОБАВЛЕН 13.10.2026 по штатному расписанию от 05.10.2026 (принят 28.09.2026)</t>
  </si>
  <si>
    <t xml:space="preserve">Ефременко Роман Вадимович</t>
  </si>
  <si>
    <t xml:space="preserve">Слесарь-сборщик 5 разряда</t>
  </si>
  <si>
    <t xml:space="preserve">Участок сборки В</t>
  </si>
  <si>
    <t xml:space="preserve">Проглядов Евгений Александрович</t>
  </si>
  <si>
    <t xml:space="preserve">Канавец Михаил Сергеевич</t>
  </si>
  <si>
    <t xml:space="preserve">Склад В</t>
  </si>
  <si>
    <t xml:space="preserve">ДОБАВЛЕН 13.10.2026 по штатному расписанию от 05.10.2026 (принят 04.09.2026)</t>
  </si>
  <si>
    <t xml:space="preserve">3. Исключены (нет в штатном расписании)</t>
  </si>
  <si>
    <t xml:space="preserve">Макарцова Инна Михайловна</t>
  </si>
  <si>
    <t xml:space="preserve">Производственное подразделение №6</t>
  </si>
  <si>
    <t xml:space="preserve">Перенесён на лист «Выбывшие»; дата предварительного осмотра в учёте отсутствовала</t>
  </si>
  <si>
    <t xml:space="preserve">Бакланов Виктор Георгиевич</t>
  </si>
  <si>
    <t xml:space="preserve">Ведущий диспетчер</t>
  </si>
  <si>
    <t xml:space="preserve">Планово-диспетчерский отдел</t>
  </si>
  <si>
    <t xml:space="preserve">Перенесён на лист «Выбывшие»</t>
  </si>
  <si>
    <t xml:space="preserve">Федотов Кирилл Сергеевич</t>
  </si>
  <si>
    <t xml:space="preserve">Оператор станка с ЧПУ 4 разряда</t>
  </si>
  <si>
    <t xml:space="preserve">Механический участок</t>
  </si>
  <si>
    <t xml:space="preserve">Щербинин Вадим Сергеевич</t>
  </si>
  <si>
    <t xml:space="preserve">Лотоненко Александр Юрьевич</t>
  </si>
  <si>
    <t xml:space="preserve">Пилюта Артём Михайлович</t>
  </si>
  <si>
    <t xml:space="preserve">Слесарь механосборочных работ 2 разряда</t>
  </si>
  <si>
    <t xml:space="preserve">4. КРИТИЧНО: переименования/переводы, влияющие на применение Приказа №43</t>
  </si>
  <si>
    <t xml:space="preserve">№ (стар.)</t>
  </si>
  <si>
    <t xml:space="preserve">Изменение</t>
  </si>
  <si>
    <t xml:space="preserve">Богданов Александр Викторович</t>
  </si>
  <si>
    <t xml:space="preserve">Перевод: было «Монтажник электрооборудования летательных аппаратов 5 разряда» (п.37) → «Электромонтажник 5 разряда» (п.20). Пункты вредности изменились — проверить по карте СОУТ фактические факторы</t>
  </si>
  <si>
    <t xml:space="preserve">Озорнов Игорь Валерьевич</t>
  </si>
  <si>
    <t xml:space="preserve">Романов Дмитрий Евгеньевич</t>
  </si>
  <si>
    <t xml:space="preserve">Шабалин Александр Сергеевич</t>
  </si>
  <si>
    <t xml:space="preserve">Бабенко Олег Анатольевич</t>
  </si>
  <si>
    <t xml:space="preserve">Переименование: было «Столяр 6 разряда» → «Техник-сборщик 5 разряда». Должности нет в Приказе №43 — пункты применены временно по прежней профессии (п.21 Перечня), требуется изменение Приказа №43</t>
  </si>
  <si>
    <t xml:space="preserve">Макарский Станислав Иванович</t>
  </si>
  <si>
    <t xml:space="preserve">Мураев Вадим Викторович</t>
  </si>
  <si>
    <t xml:space="preserve">Алманов Вячеслав Михайлович</t>
  </si>
  <si>
    <t xml:space="preserve">Переименование: было «Столяр 4 разряда» → «Техник-сборщик 3 разряда». Должности нет в Приказе №43 — пункты применены временно по прежней профессии (п.21 Перечня), требуется изменение Приказа №43</t>
  </si>
  <si>
    <t xml:space="preserve">Семенов Александр Александрович</t>
  </si>
  <si>
    <t xml:space="preserve">Анненков Олег Викторович</t>
  </si>
  <si>
    <t xml:space="preserve">Переименование: было «Столяр - краснодеревщик» → «Техник-сборщик 6 разряда». Должности нет в Приказе №43 — пункты применены временно по прежней профессии (п.21 Перечня), требуется изменение Приказа №43</t>
  </si>
  <si>
    <t xml:space="preserve">Захаров Юрий Викторович</t>
  </si>
  <si>
    <t xml:space="preserve">Малышкин Сергей Константинович</t>
  </si>
  <si>
    <t xml:space="preserve">Маркарян Роман Рубикович</t>
  </si>
  <si>
    <t xml:space="preserve">Савельев Станислав Юрьевич</t>
  </si>
  <si>
    <t xml:space="preserve">Селиванов Алексей Алексеевич</t>
  </si>
  <si>
    <t xml:space="preserve">Трушков Сергей Викторович</t>
  </si>
  <si>
    <t xml:space="preserve">Черносвитов Дмитрий Львович</t>
  </si>
  <si>
    <t xml:space="preserve">Кукушкин Дмитрий Вячеславович</t>
  </si>
  <si>
    <t xml:space="preserve">Переименование: было «Столяр 5 разряда» → «Техник-сборщик 4 разряда». Должности нет в Приказе №43 — пункты применены временно по прежней профессии (п.21 Перечня), требуется изменение Приказа №43</t>
  </si>
  <si>
    <t xml:space="preserve">Михиенков Валерий Евгеньевич</t>
  </si>
  <si>
    <t xml:space="preserve">Петушков Дмитрий Сергеевич</t>
  </si>
  <si>
    <t xml:space="preserve">Полудкин Роман Владимирович</t>
  </si>
  <si>
    <t xml:space="preserve">Рыжков Олег Николаевич</t>
  </si>
  <si>
    <t xml:space="preserve">Степанов Валентин Владимирович</t>
  </si>
  <si>
    <t xml:space="preserve">Цибин Николай Дмитриевич</t>
  </si>
  <si>
    <t xml:space="preserve">Перевод: было «Столяр 5 разряда» (п.21) → «Бригадир» (п.18). Пункты вредности изменились — проверить по карте СОУТ фактические факторы</t>
  </si>
  <si>
    <t xml:space="preserve">Шеин Андрей Геннадьевич</t>
  </si>
  <si>
    <t xml:space="preserve">Матухно Константин Викторович</t>
  </si>
  <si>
    <t xml:space="preserve">Перевод: было «Сборщик стеклопластиковых изделий 6 разряда» (п.26) → «Бригадир» (п.18). Пункты вредности изменились — проверить по карте СОУТ фактические факторы</t>
  </si>
  <si>
    <t xml:space="preserve">Максимов Юрий Анатольевич</t>
  </si>
  <si>
    <t xml:space="preserve">Перевод: было «Оператор-наладчик станков с ЧПУ» → «Инженер-программист станков с ЧПУ 2 категории». Новой должности нет в Приказе №43 — решить: исключить из учёта или включить в Приказ по итогам СОУТ</t>
  </si>
  <si>
    <t xml:space="preserve">Зайцев Андрей Александрович</t>
  </si>
  <si>
    <t xml:space="preserve">Перевод: было «Сборщик стеклопластиковых изделий 4 разряда» (п.26) → «Облицовщик деталей мебели 3 разряда» (п.23). Пункты вредности изменились — проверить по карте СОУТ фактические факторы</t>
  </si>
  <si>
    <t xml:space="preserve">Чусов Иван Леонидович</t>
  </si>
  <si>
    <t xml:space="preserve">Переименование: было «Столяр 3 разряда» → «Техник-сборщик 2 разряда». Должности нет в Приказе №43 — пункты применены временно по прежней профессии (п.21 Перечня), требуется изменение Приказа №43</t>
  </si>
  <si>
    <t xml:space="preserve">Габбасов Евгений Рафисович</t>
  </si>
  <si>
    <t xml:space="preserve">Перевод: было «Маляр 6 разряда» (п.36) → «Бригадир» (п.18). Пункты вредности изменились — проверить по карте СОУТ фактические факторы</t>
  </si>
  <si>
    <t xml:space="preserve">Калинкин Анатолий Сергеевич</t>
  </si>
  <si>
    <t xml:space="preserve">Морев Александр Михайлович</t>
  </si>
  <si>
    <t xml:space="preserve">Перевод: было «Маляр 6 разряда» (п.36) → «Облицовщик деталей мебели 6 разряда» (п.23). Пункты вредности изменились — проверить по карте СОУТ фактические факторы</t>
  </si>
  <si>
    <t xml:space="preserve">Морев Владимир Александрович</t>
  </si>
  <si>
    <t xml:space="preserve">Первушин Максим Александрович</t>
  </si>
  <si>
    <t xml:space="preserve">Переименование: было «Маляр 6 разряда» → «Техник 6 разряда». Должности нет в Приказе №43 — пункты применены временно по прежней профессии (п.36 Перечня), требуется изменение Приказа №43</t>
  </si>
  <si>
    <t xml:space="preserve">Алманова Дойна Виореловна</t>
  </si>
  <si>
    <t xml:space="preserve">Перевод: было «Маляр 4 разряда» (п.36) → «Облицовщик деталей мебели 4 разряда» (п.23). Пункты вредности изменились — проверить по карте СОУТ фактические факторы</t>
  </si>
  <si>
    <t xml:space="preserve">Тимохин Александр Владимирович</t>
  </si>
  <si>
    <t xml:space="preserve">Переименование: было «Маляр 4 разряда» → «Техник 4 разряда». Должности нет в Приказе №43 — пункты применены временно по прежней профессии (п.36 Перечня), требуется изменение Приказа №43</t>
  </si>
  <si>
    <t xml:space="preserve">Караваев Игорь Александрович</t>
  </si>
  <si>
    <t xml:space="preserve">Переименование: было «Маляр 5 разряда» → «Техник 6 разряда». Должности нет в Приказе №43 — пункты применены временно по прежней профессии (п.36 Перечня), требуется изменение Приказа №43</t>
  </si>
  <si>
    <t xml:space="preserve">Лисовский Александр Валерьевич</t>
  </si>
  <si>
    <t xml:space="preserve">Лысенко Анатолий Алексеевич</t>
  </si>
  <si>
    <t xml:space="preserve">Никитин Марат Николаевич</t>
  </si>
  <si>
    <t xml:space="preserve">Переименование: было «Маляр 5 разряда» → «Техник 5 разряда». Должности нет в Приказе №43 — пункты применены временно по прежней профессии (п.36 Перечня), требуется изменение Приказа №43</t>
  </si>
  <si>
    <t xml:space="preserve">Ожерельев Сергей Николаевич</t>
  </si>
  <si>
    <t xml:space="preserve">Гимадиев Евгений Искандерович</t>
  </si>
  <si>
    <t xml:space="preserve">Переименование: было «Маляр 3 разряда» → «Техник 3 разряда». Должности нет в Приказе №43 — пункты применены временно по прежней профессии (п.36 Перечня), требуется изменение Приказа №43</t>
  </si>
  <si>
    <t xml:space="preserve">Китов Алексей Геннадьевич</t>
  </si>
  <si>
    <t xml:space="preserve">Тишин Алексей Владимирович</t>
  </si>
  <si>
    <t xml:space="preserve">Пухова Жанна Аслановна</t>
  </si>
  <si>
    <t xml:space="preserve">Переименование: было «Маляр 2 разряда» → «Техник 2 разряда». Должности нет в Приказе №43 — пункты применены временно по прежней профессии (п.36 Перечня), требуется изменение Приказа №43</t>
  </si>
  <si>
    <t xml:space="preserve">Федышен Валерий Васильевич</t>
  </si>
  <si>
    <t xml:space="preserve">Перевод: было «Оператор термопластавтомата 3 разряда» (п.43) → «Слесарь механосборочных работ 5 разряда» (п.32). Пункты вредности изменились — проверить по карте СОУТ фактические факторы</t>
  </si>
  <si>
    <t xml:space="preserve">Козлов Алексей Викторович</t>
  </si>
  <si>
    <t xml:space="preserve">Перевод: было «Оператор термопластавтомата 5 разряда» (п.43) → «Слесарь механосборочных работ 6 разряда» (п.32). Пункты вредности изменились — проверить по карте СОУТ фактические факторы</t>
  </si>
  <si>
    <t xml:space="preserve">5. Прочие изменения (подразделение / написание должности) — пункты Перечня не меняются</t>
  </si>
  <si>
    <t xml:space="preserve">57 записей: в основном новые названия подразделений с суффиксом площадки (М, МШ, Р, В, н/д) и разделение Производственного подразделения №6 (Воронеж) на участки. Детально — столбец R листа «Учёт медосмотров».</t>
  </si>
  <si>
    <t xml:space="preserve">6. Должности штатного расписания вне Приказа №43, требующие оценки (производственные подразделения и склады)</t>
  </si>
  <si>
    <t xml:space="preserve">Рекомендация</t>
  </si>
  <si>
    <t xml:space="preserve">Хромов Антон Павлович</t>
  </si>
  <si>
    <t xml:space="preserve">Начальник участка</t>
  </si>
  <si>
    <t xml:space="preserve">Мебельный участок (МШ н/д)</t>
  </si>
  <si>
    <t xml:space="preserve">В Приказе №43 нет. Работа в производственном подразделении/на складе — оценить по карте СОУТ; при наличии вредных факторов включить в Приказ.</t>
  </si>
  <si>
    <t xml:space="preserve">Семанин Артем Владимирович</t>
  </si>
  <si>
    <t xml:space="preserve">Инженер-программист станков с ЧПУ 3 категории</t>
  </si>
  <si>
    <t xml:space="preserve">Корянов Олег Владимирович</t>
  </si>
  <si>
    <t xml:space="preserve">Участок декоративной отделки (МШ н/д)</t>
  </si>
  <si>
    <t xml:space="preserve">Инженер-программист станков с ЧПУ 2 категории</t>
  </si>
  <si>
    <t xml:space="preserve">В Приказе №43 нет. Работа в производственном подразделении/на складе — оценить по карте СОУТ; при наличии вредных факторов включить в Приказ. Ранее в учёте как «Оператор-наладчик станков с ЧПУ».</t>
  </si>
  <si>
    <t xml:space="preserve">Ерошин Владимир Григорьевич</t>
  </si>
  <si>
    <t xml:space="preserve">Слесарный участок МШ</t>
  </si>
  <si>
    <t xml:space="preserve">Коровина Марина Андреевна</t>
  </si>
  <si>
    <t xml:space="preserve">Заместитель заведующего складом</t>
  </si>
  <si>
    <t xml:space="preserve">Склад МШ</t>
  </si>
  <si>
    <t xml:space="preserve">Романова Марина Викторовна</t>
  </si>
  <si>
    <t xml:space="preserve">Бунина Екатерина Владимировна</t>
  </si>
  <si>
    <t xml:space="preserve">Заведующий складом</t>
  </si>
  <si>
    <t xml:space="preserve">Куликова Юлия Борисовна</t>
  </si>
  <si>
    <t xml:space="preserve">Руководитель производственного цеха</t>
  </si>
  <si>
    <t xml:space="preserve">Производственный цех Руднево</t>
  </si>
  <si>
    <t xml:space="preserve">Евсеев Дмитрий Андреевич</t>
  </si>
  <si>
    <t xml:space="preserve">Заместитель руководителя производственного цеха</t>
  </si>
  <si>
    <t xml:space="preserve">Пушкин Сергей Олегович</t>
  </si>
  <si>
    <t xml:space="preserve">Участок сборки Р</t>
  </si>
  <si>
    <t xml:space="preserve">7. Проверка требований: Приказ №43 и законодательство</t>
  </si>
  <si>
    <t xml:space="preserve">Требование / объект</t>
  </si>
  <si>
    <t xml:space="preserve">Факт</t>
  </si>
  <si>
    <t xml:space="preserve">Вывод</t>
  </si>
  <si>
    <t xml:space="preserve">7.1</t>
  </si>
  <si>
    <t xml:space="preserve">Пункты 988н/1420н/29н на листе «Перечень должностей» ↔ Приложение №1 к Приказу №43</t>
  </si>
  <si>
    <t xml:space="preserve">Сверено построчно по скану приказа (45 позиций). Пункты совпадают во всех 45 строках.</t>
  </si>
  <si>
    <t xml:space="preserve">Соответствует</t>
  </si>
  <si>
    <t xml:space="preserve">7.2</t>
  </si>
  <si>
    <t xml:space="preserve">Наименования позиций №2 и №45 на листе «Перечень»</t>
  </si>
  <si>
    <t xml:space="preserve">В лист добавлены «инженер-электрик» (№2) и «старший охраны объекта» (№45) — в тексте Приказа №43 их НЕТ (внутреннее решение от 10.09.2026). Жусев А.А., Рукин Д.И. в штате.</t>
  </si>
  <si>
    <t xml:space="preserve">Требуется изменение Приказа №43</t>
  </si>
  <si>
    <t xml:space="preserve">7.3</t>
  </si>
  <si>
    <t xml:space="preserve">Переименования в штатном расписании (Машково)</t>
  </si>
  <si>
    <t xml:space="preserve">Столяр/Столяр-краснодеревщик → Техник-сборщик (22 чел.); Маляр → Техник (12 чел.); Оператор станка с ЧПУ → Оператор станков с ЧПУ (4 чел.); Оператор-наладчик станков с ЧПУ → Инженер-программист станков с ЧПУ; Монтажник электрооборудования ЛА → Электромонтажник (4 чел.). Переименование не устраняет вредные факторы. Новых наименований в Приказе №43 нет.</t>
  </si>
  <si>
    <t xml:space="preserve">Требуется изменение Приказа №43 (п.3.2 приказа; ст. 214, 220 ТК РФ)</t>
  </si>
  <si>
    <t xml:space="preserve">7.4</t>
  </si>
  <si>
    <t xml:space="preserve">Монтажник электрооборудования ЛА → Электромонтажник (Богданов, Озорнов, Романов, Шабалин)</t>
  </si>
  <si>
    <t xml:space="preserve">По п.37 были хим. факторы (п.1.8.4, 1.12, 1.15, 1.25, 1.27, 1.44 — пайка, компаунды). По п.20 «Электромонтажник» их нет. Если работа прежняя — осмотр по п.20 будет неполным.</t>
  </si>
  <si>
    <t xml:space="preserve">Проверить по карте СОУТ</t>
  </si>
  <si>
    <t xml:space="preserve">7.5</t>
  </si>
  <si>
    <t xml:space="preserve">Периодичность периодического осмотра 12 мес.</t>
  </si>
  <si>
    <t xml:space="preserve">Сверено по тексту 29н (ред. 327н от 29.04.2026), приложение к Порядку. Все 45 позиций: минимальный интервал 1 раз в год, столбец «Обоснование» совпадает полностью. №45 (сторожа) — ежегодно по п.5.1 «Тяжесть трудового процесса» (1 раз в год).</t>
  </si>
  <si>
    <t xml:space="preserve">Соответствует (подтверждено по первоисточнику)</t>
  </si>
  <si>
    <t xml:space="preserve">7.6</t>
  </si>
  <si>
    <t xml:space="preserve">Работники моложе 21 года</t>
  </si>
  <si>
    <t xml:space="preserve">Анисимов Игорь Владимирович (род. 28.11.2005) — ежегодный осмотр обязателен независимо от факторов. Уже обеспечено (12 мес.).</t>
  </si>
  <si>
    <t xml:space="preserve">7.7</t>
  </si>
  <si>
    <t xml:space="preserve">Психиатрическое освидетельствование, «1 раз в 5 лет»</t>
  </si>
  <si>
    <t xml:space="preserve">Текст 342н (ред. 392н): периодичности нет. Освидетельствование — при приёме на вид деятельности из Прил.№2 (п.1), по признакам психического расстройства по итогам периодического осмотра (п.4(1)). Повторно не требуется, если работник ранее (не позднее 2 лет) проходил его по тому же виду деятельности и признан пригодным (п.5). «Не более пяти лет» (п.4(2), ст.6 Закона №3185-1) — срок временной непригодности. Столбец P — внутренняя мера.</t>
  </si>
  <si>
    <t xml:space="preserve">Исправлено</t>
  </si>
  <si>
    <t xml:space="preserve">7.8</t>
  </si>
  <si>
    <t xml:space="preserve">Изменения 342н с 01.03.2026 (Приказ №392н от 02.07.2025)</t>
  </si>
  <si>
    <t xml:space="preserve">Текст 342н в ред. 392н: нумерация Приложения №2 сохранена (п.10 утратил силу с 01.03.2026). п.1 — транспорт (ПП №2349), п.11 — электроэнергетика, п.12 — теплоснабжение, п.13 — оборудование под давлением, учтённое в Ростехнадзоре, п.6 — краны, учтённые в Ростехнадзоре, п.4 — оборот оружия.</t>
  </si>
  <si>
    <t xml:space="preserve">Ссылки на листе «Перечень» корректны</t>
  </si>
  <si>
    <t xml:space="preserve">7.9</t>
  </si>
  <si>
    <t xml:space="preserve">Срок действия 988н/1420н и 29н</t>
  </si>
  <si>
    <t xml:space="preserve">Оба приказа действуют до 01.04.2027. Новых приказов на замену в открытых источниках не найдено.</t>
  </si>
  <si>
    <t xml:space="preserve">Контроль: переутвердить Приказ №43 после выхода новых НПА</t>
  </si>
  <si>
    <t xml:space="preserve">7.10</t>
  </si>
  <si>
    <t xml:space="preserve">Внешние совместители</t>
  </si>
  <si>
    <t xml:space="preserve">3 внешних совместителя в должностях Перечня (Крючкова М.И., Тимофеева Г.П., Лебедева В.М.) — в учёте есть. Медосмотр обязателен и по совместительству.</t>
  </si>
  <si>
    <t xml:space="preserve">7.11</t>
  </si>
  <si>
    <t xml:space="preserve">Позиция №12 «Специалист»</t>
  </si>
  <si>
    <t xml:space="preserve">Включена только должность «Специалист» (бухгалтерия, делопроизводство и др. — офисные). «Ведущий/главный специалист» тех же отделов (22 чел.) не включены. Факторы п.4.4 (шум) для офисных работников нетипичны.</t>
  </si>
  <si>
    <t xml:space="preserve">Пересмотреть позицию по картам СОУТ</t>
  </si>
  <si>
    <t xml:space="preserve">7.12</t>
  </si>
  <si>
    <t xml:space="preserve">Позиции Приказа №43 без сотрудников</t>
  </si>
  <si>
    <t xml:space="preserve">№17 «Инженер по эксплуатации», №24 «Столяр-краснодеревщик», №37 «Монтажник электрооборудования ЛА», №43 «Оператор термопластавтомата» (Федышен В.В., Козлов А.В. переведены в слесари МСР) — по штатке 05.10.2026 занятых ставок нет.</t>
  </si>
  <si>
    <t xml:space="preserve">Учесть при изменении Приказа №43</t>
  </si>
  <si>
    <t xml:space="preserve">7.13</t>
  </si>
  <si>
    <t xml:space="preserve">Психиатрическое освидетельствование у бывших монтажников ЭО ЛА</t>
  </si>
  <si>
    <t xml:space="preserve">п.11 Прил.№2 342н — работы с электроустановками «в сфере электроэнергетики». Официального разъяснения нет; эксперты исходят из определения электроустановки (ГОСТ 12.1.009-2017), а не из статуса организации. Для электромонтажников РЭО (32 чел., п.20) и мастеров (2 чел., п.29) применимость спорна: монтаж бортового ЭО — довод «против», работы под напряжением/испытания — довод «за». Статус на листе «Перечень» — «Проверить» (ранее «Да»). Сюда же Богданов, Озорнов, Романов, Шабалин.</t>
  </si>
  <si>
    <t xml:space="preserve">Решение работодателя с письменным обоснованием; консервативный вариант — «Да»</t>
  </si>
  <si>
    <t xml:space="preserve">7.14</t>
  </si>
  <si>
    <t xml:space="preserve">Предварительный осмотр у принятых после 03.04.2026</t>
  </si>
  <si>
    <t xml:space="preserve">Из 49 принятых после даты Приказа №43 у 33 нет даты предварительного осмотра. Это либо пробел учёта, либо допуск без осмотра (ст.76, 214 ТК РФ; ч.3 ст.5.27.1 КоАП — штраф для юрлица от 110–130 тыс. руб., в действующей редакции возможно выше).</t>
  </si>
  <si>
    <t xml:space="preserve">Срочно запросить заключения в медцентре; при отсутствии — отстранить до прохождения</t>
  </si>
  <si>
    <t xml:space="preserve">7.15</t>
  </si>
  <si>
    <t xml:space="preserve">«Осмотр после даты приёма» (5 случаев)</t>
  </si>
  <si>
    <t xml:space="preserve">Зеленов М.В., Ковалёв А.А., Солмин А.Ю., Павлов А.С. — одна дата 11.04.2022 при приёме в 2017–2021 гг.: вероятно, внесён периодический осмотр вместо предварительного. Галактионов А.А. — осмотр 18.06.2024 при приёме 13.05.2024.</t>
  </si>
  <si>
    <t xml:space="preserve">Проверить по личным делам; периодический перенести в столбец L</t>
  </si>
  <si>
    <t xml:space="preserve">7.16</t>
  </si>
  <si>
    <t xml:space="preserve">Переводы с изменением пунктов вредности (14 чел.)</t>
  </si>
  <si>
    <t xml:space="preserve">14 чел. после перевода получили другие пункты вредности (бригадиры из маляров/столяров/сборщиков — 4; облицовщики из маляров/сборщика — 4; слесари МСР из операторов ТПА — 2; электромонтажники из монтажников ЭО ЛА — 4). ИСПРАВЛЕНО: «внеочередной» осмотр здесь не применим — по п.19 Порядка 29н он проводится только по медицинским рекомендациям и/или после нетрудоспособности. Для переводов в 29н норм нет. Позиция Роструда (письмо от 08.05.2024 №ПГ/08357-6-1): если факторы те же и заключение действует — повторный осмотр не нужен. Если появились НОВЫЕ факторы — работник не должен допускаться без осмотра по ним (ст.214, 76 ТК РФ).</t>
  </si>
  <si>
    <t xml:space="preserve">Сверить факторы по СОУТ; при новых факторах — направить на осмотр по новым факторам до допуска</t>
  </si>
  <si>
    <t xml:space="preserve">7.17</t>
  </si>
  <si>
    <t xml:space="preserve">Метод сверки</t>
  </si>
  <si>
    <t xml:space="preserve">Сопоставление по ФИО (СНИЛС в учёте нет). Однофамильцев нет; у всех совпавших дата приёма совпадает со штаткой. Для 6 выбывших проверены возможные смены фамилии (по имени-отчеству и дате приёма) — совпадений нет.</t>
  </si>
  <si>
    <t xml:space="preserve">Рекомендуется добавить в учёт столбец СНИЛС</t>
  </si>
  <si>
    <t xml:space="preserve">7.18</t>
  </si>
  <si>
    <t xml:space="preserve">Наименования в списке контингента (п.21 Порядка 29н)</t>
  </si>
  <si>
    <t xml:space="preserve">«В списке работников... указывается наименование профессии (должности) работника согласно штатному расписанию». Приказ №43 использует «Столяр», «Маляр», «Оператор станка с ЧПУ», а в штатке теперь «Техник-сборщик», «Техник», «Оператор станков с ЧПУ».</t>
  </si>
  <si>
    <t xml:space="preserve">Прямое основание изменить Приказ №43</t>
  </si>
  <si>
    <t xml:space="preserve">7.19</t>
  </si>
  <si>
    <t xml:space="preserve">Поимённые списки (п.23–24 Порядка 29н)</t>
  </si>
  <si>
    <t xml:space="preserve">В поимённом списке обязательны ФИО, должность, СТАЖ РАБОТЫ В НЕЙ, подразделение, факторы. Стажа в учёте нет (есть только дата приёма). Список направляется в медорганизацию не позднее чем за 2 месяца до начала осмотра.</t>
  </si>
  <si>
    <t xml:space="preserve">Добавить стаж при формировании поимённого списка</t>
  </si>
  <si>
    <t xml:space="preserve">7.20</t>
  </si>
  <si>
    <t xml:space="preserve">Центр профпатологии (п.40 Порядка 29н)</t>
  </si>
  <si>
    <t xml:space="preserve">При стаже 5 лет во вредных условиях (подклассы 3.1–3.4) первый периодический осмотр — в центре профпатологии, далее раз в 5 лет. В учёте 88 человек приняты 5 и более лет назад (Машково 61, Воронеж 9, Внуково 6, Руднево 6, Москва 5, Казань 1). Классы условий труда в файле не отражены.</t>
  </si>
  <si>
    <t xml:space="preserve">Сопоставить с картами СОУТ; при классе 3.1+ — включить в график профпатологии</t>
  </si>
  <si>
    <t xml:space="preserve">7.21</t>
  </si>
  <si>
    <t xml:space="preserve">Условия по 342н для «Нет» / «-»</t>
  </si>
  <si>
    <t xml:space="preserve">Главный механик, сборщик стеклопластиковых изделий — «Да», если непосредственно обслуживают оборудование под давлением &gt;0,07 МПа, учтённое в Ростехнадзоре (п.13). Кладовщики — если управляют кранами, учтёнными в Ростехнадзоре (п.6). Сторожа — если работают с оружием (п.4).</t>
  </si>
  <si>
    <t xml:space="preserve">Подтвердить по фактическим работам</t>
  </si>
  <si>
    <t xml:space="preserve">№ п/п</t>
  </si>
  <si>
    <t xml:space="preserve">Наименование должности, профессии</t>
  </si>
  <si>
    <t xml:space="preserve">Пункты приказа №988н/1420н от 31.12.2020; №29н от 28.01.2021</t>
  </si>
  <si>
    <t xml:space="preserve">Периодичность периодического осмотра, мес.</t>
  </si>
  <si>
    <t xml:space="preserve">Обоснование периодичности (пункты с периодичностью 1 раз в год по Приложению к Порядку, Приказ №29н)</t>
  </si>
  <si>
    <t xml:space="preserve">Психиатрическое освидетельствование (Приказ №342н)</t>
  </si>
  <si>
    <t xml:space="preserve">Основание / примечание к психиатрическому освидетельствованию</t>
  </si>
  <si>
    <t xml:space="preserve">Численность по учёту (чел.)</t>
  </si>
  <si>
    <t xml:space="preserve">Рабочий по комплексному обслуживанию и ремонту зданий</t>
  </si>
  <si>
    <t xml:space="preserve">п.4.3.1, п.4.4, п.4.7, п.4.8, п.5.1, п.6.1</t>
  </si>
  <si>
    <t xml:space="preserve">п.4.4, п.5.1, п.6.1</t>
  </si>
  <si>
    <t xml:space="preserve">-</t>
  </si>
  <si>
    <t xml:space="preserve">Электромонтер по ремонту и обслуживанию электрооборудования, инженер-электрик</t>
  </si>
  <si>
    <t xml:space="preserve">п.4.2.3, п.4.3.1, п.4.3.2, п.4.4, п.5.1, п.5.2, п.6.2, п.9</t>
  </si>
  <si>
    <t xml:space="preserve">п.4.4, п.5.1, п.6.2</t>
  </si>
  <si>
    <t xml:space="preserve">Да</t>
  </si>
  <si>
    <t xml:space="preserve">п.11 Приложения №2 (сфера электроэнергетики: монтаж, наладка, техобслуживание, ремонт, управление режимом работы электроустановок). Применимо при обслуживании электроустановок предприятия (электротехнический персонал)</t>
  </si>
  <si>
    <t xml:space="preserve">Механик</t>
  </si>
  <si>
    <t xml:space="preserve">п.1.50, п.4.3.2, п.4.4, п.4.7, п.4.8, п.5.1, п.5.2, п.6.2, п.15</t>
  </si>
  <si>
    <t xml:space="preserve">Инженер по эксплуатации зданий и сооружений</t>
  </si>
  <si>
    <t xml:space="preserve">п.4.3.1, п.4.4, п.5.1, п.5.2, п.6.2</t>
  </si>
  <si>
    <t xml:space="preserve">Главный энергетик</t>
  </si>
  <si>
    <t xml:space="preserve">п.4.4, п.5.2, п.6.2</t>
  </si>
  <si>
    <t xml:space="preserve">п.4.4, п.6.2</t>
  </si>
  <si>
    <t xml:space="preserve">п.11-12 Приложения №2 (электроустановки и объекты теплоснабжения в ведении главного энергетика)</t>
  </si>
  <si>
    <t xml:space="preserve">Главный механик</t>
  </si>
  <si>
    <t xml:space="preserve">Нет</t>
  </si>
  <si>
    <t xml:space="preserve">уточнено специалистом по охране труда: главный механик психиатрическое освидетельствование не проходит. Условие: при непосредственном обслуживании оборудования под давлением &gt;0,07 МПа, учтённого в Ростехнадзоре, — п.13 Прил.№2, тогда «Да»</t>
  </si>
  <si>
    <t xml:space="preserve">Разнорабочий</t>
  </si>
  <si>
    <t xml:space="preserve">Слесарь-ремонтник</t>
  </si>
  <si>
    <t xml:space="preserve">п.4.3.1, п.4.4, п.5.1, п.6.2, п.15</t>
  </si>
  <si>
    <t xml:space="preserve">Ведущий специалист по реставрации, реставратор</t>
  </si>
  <si>
    <t xml:space="preserve">п.4.3.1, п.4.4, п.5.1, п.5.2, п.15</t>
  </si>
  <si>
    <t xml:space="preserve">п.4.4, п.5.1</t>
  </si>
  <si>
    <t xml:space="preserve">Уборщик производственных и служебных помещений, уборщик служебных помещений, старший технический работник, технический работник</t>
  </si>
  <si>
    <t xml:space="preserve">п.1.48, п.4.3.1, п.4.4, п.5.1</t>
  </si>
  <si>
    <t xml:space="preserve">Инженер-механик, механик-наладчик</t>
  </si>
  <si>
    <t xml:space="preserve">п.4.3.1, п.4.3.2, п.4.4, п.4.6, п.5.1, п.6.2</t>
  </si>
  <si>
    <t xml:space="preserve">п.4.4, п.4.6, п.5.1, п.6.2</t>
  </si>
  <si>
    <t xml:space="preserve">Специалист</t>
  </si>
  <si>
    <t xml:space="preserve">п.4.4, п.5.1, п.5.2</t>
  </si>
  <si>
    <t xml:space="preserve">Инженер ОТК, контролер ОТК</t>
  </si>
  <si>
    <t xml:space="preserve">Старший кладовщик, кладовщик, кладовщик-комплектовщик</t>
  </si>
  <si>
    <t xml:space="preserve">Условие: при управлении кранами, учтёнными в Ростехнадзоре, — п.6 Прил.№2, тогда «Да»</t>
  </si>
  <si>
    <t xml:space="preserve">Лаборант</t>
  </si>
  <si>
    <t xml:space="preserve">п.1.49.2, п.1.49.14, п.1.50, п.4.3.1, п.4.4, п.6.2</t>
  </si>
  <si>
    <t xml:space="preserve">Оператор склада</t>
  </si>
  <si>
    <t xml:space="preserve">п.4.3.1, п.4.3.2, п.4.4, п.5.1, п.6.2, п.18.1</t>
  </si>
  <si>
    <t xml:space="preserve">Инженер по эксплуатации</t>
  </si>
  <si>
    <t xml:space="preserve">п.4.3.1, п.4.4, п.5.1, п.6.2</t>
  </si>
  <si>
    <t xml:space="preserve">Мастер участка, бригадир</t>
  </si>
  <si>
    <t xml:space="preserve">Слесарь-сборщик, слесарь-сборщик (бригадир)</t>
  </si>
  <si>
    <t xml:space="preserve">п.4.3.1, п.4.3.2, п.4.4, п.5.1, п.6.2, п.15</t>
  </si>
  <si>
    <t xml:space="preserve">Электромонтажник</t>
  </si>
  <si>
    <t xml:space="preserve">п.4.3.1, п.4.3.2, п.4.4, п.4.9, п.5.1, п.5.2, п.6.2, п.9</t>
  </si>
  <si>
    <t xml:space="preserve">Проверить</t>
  </si>
  <si>
    <t xml:space="preserve">ПРОВЕРИТЬ (13.10.2026). п.11 Прил.№2 342н: «деятельность в сфере электроэнергетики, связанная с... монтажом, наладкой, техобслуживанием, ремонтом, управлением режимом работы ЭЛЕКТРОУСТАНОВОК»; сноска — ст.3 35-ФЗ и ГОСТ 12.1.009-2017. Официального разъяснения Минздрава нет. Распространённая экспертная позиция: критерий — работа именно с электроустановками (по ГОСТ 12.1.009-2017), а не статус организации. Монтаж бортового ЭО изделия в обесточенном состоянии — спорно; работы под напряжением (испытания, проверка цепей) — довод за «Да». Решение работодателя с письменным обоснованием; при сомнении — запрос в Минздрав или следовать консервативному варианту «Да».</t>
  </si>
  <si>
    <t xml:space="preserve">Столяр</t>
  </si>
  <si>
    <t xml:space="preserve">п.1.49.2, п.1.49.14, п.4.3.1, п.4.3.2, п.4.4, п.5.1, п.15</t>
  </si>
  <si>
    <t xml:space="preserve">Менеджер-комплектовщик</t>
  </si>
  <si>
    <t xml:space="preserve">Облицовщик деталей мебели</t>
  </si>
  <si>
    <t xml:space="preserve">Столяр-краснодеревщик</t>
  </si>
  <si>
    <t xml:space="preserve">Оператор-наладчик станков с ЧПУ</t>
  </si>
  <si>
    <t xml:space="preserve">п.4.3.1, п.4.3.2, п.4.4, п.5.1, п.5.2, п.15</t>
  </si>
  <si>
    <t xml:space="preserve">Сборщик стеклопластиковых изделий</t>
  </si>
  <si>
    <t xml:space="preserve">п.1.37.1, п.3.1.8.3, п.4.3.1, п.4.4, п.5.1, п.15</t>
  </si>
  <si>
    <t xml:space="preserve">п.1.37.1, п.4.4, п.5.1</t>
  </si>
  <si>
    <t xml:space="preserve">уточнено специалистом по охране труда: сборщик стеклопластиковых изделий психиатрическое освидетельствование не проходит. Условие: если сборщик непосредственно обслуживает автоклав (&gt;0,07 МПа), учтённый в Ростехнадзоре, — п.13 Прил.№2, тогда «Да»</t>
  </si>
  <si>
    <t xml:space="preserve">Ведущий специалист по учёту ПДО, ведущий инженер ПДО, инженер ПДО</t>
  </si>
  <si>
    <t xml:space="preserve">Ведущий диспетчер ПДО, диспетчер ПДО</t>
  </si>
  <si>
    <t xml:space="preserve">Мастер электромонтажного участка, мастер участка электромонтажных работ</t>
  </si>
  <si>
    <t xml:space="preserve">Оператор станка с ЧПУ</t>
  </si>
  <si>
    <t xml:space="preserve">Оператор лазерных установок</t>
  </si>
  <si>
    <t xml:space="preserve">п.4.2.1, п.4.3.1, п.4.3.2, п.4.4, п.5.1, п.5.2, п.15</t>
  </si>
  <si>
    <t xml:space="preserve">Слесарь механосборочных работ</t>
  </si>
  <si>
    <t xml:space="preserve">п.4.3.1, п.4.3.2, п.4.4, п.5.1, п.15</t>
  </si>
  <si>
    <t xml:space="preserve">Фрезеровщик</t>
  </si>
  <si>
    <t xml:space="preserve">Токарь</t>
  </si>
  <si>
    <t xml:space="preserve">Оператор листогибочного оборудования</t>
  </si>
  <si>
    <t xml:space="preserve">Маляр</t>
  </si>
  <si>
    <t xml:space="preserve">п.1.14.2, п.1.36, п.1.37.1, п.1.45.1, п.1.45.2, п.1.50, п.4.3.1, п.4.4, п.5.1, п.17</t>
  </si>
  <si>
    <t xml:space="preserve">п.1.14.2, п.1.36, п.1.37.1, п.1.45.1, п.1.45.2, п.4.4, п.5.1</t>
  </si>
  <si>
    <t xml:space="preserve">Монтажник электрооборудования летательных аппаратов</t>
  </si>
  <si>
    <t xml:space="preserve">п.1.8.4, п.1.12, п.1.15, п.1.25, п.1.27, п.1.44, п.4.3.1, п.4.4, п.4.6, п.5.1, п.5.2, п.6.2</t>
  </si>
  <si>
    <t xml:space="preserve">п.1.8.4, п.1.12, п.1.15, п.1.27, п.1.44, п.4.4, п.4.6, п.5.1, п.6.2</t>
  </si>
  <si>
    <t xml:space="preserve">Водитель автомобиля-экспедитор</t>
  </si>
  <si>
    <t xml:space="preserve">п.4.3.1, п.4.3.2, п.4.4, п.5.1, п.5.2, п.18</t>
  </si>
  <si>
    <t xml:space="preserve">п.1 Приложения №2 (управление транспортными средствами, Постановление Правительства №2349)</t>
  </si>
  <si>
    <t xml:space="preserve">Водитель автомобиля (персональный 2 категории)</t>
  </si>
  <si>
    <t xml:space="preserve">п.4.3.1, п.4.3.2, п.4.4, п.5.1, п.5.2, п.18.1</t>
  </si>
  <si>
    <t xml:space="preserve">Инженер по авиационному и радиоэлектронному оборудованию</t>
  </si>
  <si>
    <t xml:space="preserve">Слесарь-клепальщик</t>
  </si>
  <si>
    <t xml:space="preserve">Заместитель директора департамента - Начальник производственного подразделения № 5</t>
  </si>
  <si>
    <t xml:space="preserve">п.4.3.2, п.4.4, п.5.1, п.5.2, п.6.2</t>
  </si>
  <si>
    <t xml:space="preserve">Оператор термопластавтомата</t>
  </si>
  <si>
    <t xml:space="preserve">п.4.3.1, п.4.3.2, п.4.4, п.4.8, п.5.1, п.5.2, п.15</t>
  </si>
  <si>
    <t xml:space="preserve">Старший специалист по пошиву, специалист по пошиву</t>
  </si>
  <si>
    <t xml:space="preserve">Старший сторож, сторож, старший оперативный дежурный, оперативный дежурный, старший охраны объекта</t>
  </si>
  <si>
    <t xml:space="preserve">п.4.7, п.4.8, п.5.1, п.5.2</t>
  </si>
  <si>
    <t xml:space="preserve">п.5.1</t>
  </si>
  <si>
    <t xml:space="preserve">уточнено специалистом по охране труда: сторожа и оперативные дежурные психиатрическое освидетельствование не проходят</t>
  </si>
  <si>
    <t xml:space="preserve">ПРОВЕРЕНО 13.10.2026 по тексту Приказа Минздрава №29н (КонсультантПлюс, ред. 44н, 509н, 327н от 29.04.2026), приложение к Порядку: для всех 45 позиций минимальный интервал = 1 раз в год; столбец «Обоснование» совпадает с таблицей полностью. Ежегодные пункты: 4.4 «Шум», 4.6 «Инфразвук», 5.1 «Тяжесть трудового процесса», 6 «Работы на высоте» (в т.ч. 6.1, 6.2), 1.8.4, 1.12, 1.14.2, 1.15, 1.27, 1.36, 1.37.1, 1.44, 1.45.x. Раз в 2 года: 1.25, 1.48, 1.49.x, 1.50, 3.1.8.3, 4.2.x, 4.3.x, 4.7, 4.8, 4.9, 5.2, 9, 15, 17, 18.1. Правило п.18 Порядка: осмотры не реже сроков приложения; работники до 21 года — ежегодно. Замечание к Приказу №43: позиция №38 указывает «п.18» без подпункта — периодичность задана только для подпунктов (18.1 — кат. A, B, BE; 18.2 — C, C1, CE, D1, D1E); нужно указать подпункт по категории ТС.</t>
  </si>
  <si>
    <t xml:space="preserve">Столбец «Психиатрическое освидетельствование (Приказ №342н)» заполнен по Приложению №2 к Приказу Минздрава №342н от 20.05.2022 (виды деятельности, при которых проводится обязательное психиатрическое освидетельствование). «Да» — должность соответствует виду деятельности (управление транспортными средствами; работы в электроустановках). Главный механик, Сборщик стеклопластиковых изделий, сторожа/оперативные дежурные — «Нет» по уточнению специалиста по охране труда (08.09.2026). ИСПРАВЛЕНО 13.10.2026: периодичность освидетельствования действующим законодательством НЕ установлена — Приказ №342н кратность не определяет (письмо Минздрава №30-0/3066769); «пять лет» в ч.1 ст.6 Закона РФ №3185-1 (ред. 465-ФЗ от 04.08.2023) — это максимальный срок признания работника временно непригодным, а не интервал освидетельствований. Освидетельствование проводится при приёме (переводе) на вид деятельности из Приложения №2 и по направлению по итогам медосмотра. С 01.03.2026 действуют изменения Приложений №1 и №2 (Приказ №392н от 02.07.2025) — номера пунктов Приложения №2 сверить с действующей редакцией.</t>
  </si>
  <si>
    <t xml:space="preserve">Площадка / офис</t>
  </si>
  <si>
    <t xml:space="preserve">Ключ (служ.)</t>
  </si>
  <si>
    <t xml:space="preserve">№ п/п по Перечню</t>
  </si>
  <si>
    <t xml:space="preserve">Пункты приказа</t>
  </si>
  <si>
    <t xml:space="preserve">Периодичность, мес.</t>
  </si>
  <si>
    <t xml:space="preserve">Дата предварительного мед. осмотра</t>
  </si>
  <si>
    <t xml:space="preserve">Факт. дата последнего пройденного периодического осмотра</t>
  </si>
  <si>
    <t xml:space="preserve">Дата очередного (планового) периодического осмотра</t>
  </si>
  <si>
    <t xml:space="preserve">Подлежит психиатр. освидетельствованию (342н)</t>
  </si>
  <si>
    <t xml:space="preserve">Дата прохождения психиатр. освидетельствования</t>
  </si>
  <si>
    <t xml:space="preserve">Контрольная дата повторного психиатр. освидетельствования (5 лет — внутренняя мера; Приказ №342н кратность не устанавливает)</t>
  </si>
  <si>
    <t xml:space="preserve">Нарушение: осмотр после приёма</t>
  </si>
  <si>
    <t xml:space="preserve">Примечание сверки со штатным расписанием от 05.10.2026</t>
  </si>
  <si>
    <t xml:space="preserve">Ульяновск</t>
  </si>
  <si>
    <t xml:space="preserve">Юдакова Регина Юрьевна</t>
  </si>
  <si>
    <t xml:space="preserve">Инженер 3 категории</t>
  </si>
  <si>
    <t xml:space="preserve">Отдел технического контроля М</t>
  </si>
  <si>
    <t xml:space="preserve">Казань</t>
  </si>
  <si>
    <t xml:space="preserve">Петрунина Людмила Александровна</t>
  </si>
  <si>
    <t xml:space="preserve">Инженер 1 категории</t>
  </si>
  <si>
    <t xml:space="preserve">Ястребов Александр Сергеевич</t>
  </si>
  <si>
    <t xml:space="preserve">Москва</t>
  </si>
  <si>
    <t xml:space="preserve">Гудумак Анастасия Сергеевна</t>
  </si>
  <si>
    <t xml:space="preserve">Инженер 2 категории</t>
  </si>
  <si>
    <t xml:space="preserve">Ермакова Наталья Васильевна</t>
  </si>
  <si>
    <t xml:space="preserve">Контролер 1 категории</t>
  </si>
  <si>
    <t xml:space="preserve">Шрамко Наталья Викторовна</t>
  </si>
  <si>
    <t xml:space="preserve">Высокий Владимир Евгеньевич</t>
  </si>
  <si>
    <t xml:space="preserve">Отдел транспортного обеспечения (М н/д)</t>
  </si>
  <si>
    <t xml:space="preserve">Богачева Мария Сергеевна</t>
  </si>
  <si>
    <t xml:space="preserve">Отдел управления качеством М</t>
  </si>
  <si>
    <t xml:space="preserve">Рысева Полина Викторовна</t>
  </si>
  <si>
    <t xml:space="preserve">Отдел сертификации авиационной техники М</t>
  </si>
  <si>
    <t xml:space="preserve">Медведева Светлана Евгеньевна</t>
  </si>
  <si>
    <t xml:space="preserve">Бухгалтерия М</t>
  </si>
  <si>
    <t xml:space="preserve">Киреева Вера Антоновна</t>
  </si>
  <si>
    <t xml:space="preserve">Старший технический работник</t>
  </si>
  <si>
    <t xml:space="preserve">Административно-хозяйственный отдел М</t>
  </si>
  <si>
    <t xml:space="preserve">Лебедева Валентина Михайловна</t>
  </si>
  <si>
    <t xml:space="preserve">Никонова Наталия Евгеньевна</t>
  </si>
  <si>
    <t xml:space="preserve">Костин Александр Иванович</t>
  </si>
  <si>
    <t xml:space="preserve">Отдел делопроизводства (М н/д)</t>
  </si>
  <si>
    <t xml:space="preserve">Андреева Надежда Васильевна</t>
  </si>
  <si>
    <t xml:space="preserve">Отдел планирования и координации проектов М</t>
  </si>
  <si>
    <t xml:space="preserve">Внуково</t>
  </si>
  <si>
    <t xml:space="preserve">Кукин Эрнст Валерьевич</t>
  </si>
  <si>
    <t xml:space="preserve">Реставратор</t>
  </si>
  <si>
    <t xml:space="preserve">Производственное подразделение Внуково М</t>
  </si>
  <si>
    <t xml:space="preserve">Туманов Сергей Дмитриевич</t>
  </si>
  <si>
    <t xml:space="preserve">Электромонтажник 4 разряда</t>
  </si>
  <si>
    <t xml:space="preserve">Алфимов Дмитрий Юрьевич</t>
  </si>
  <si>
    <t xml:space="preserve">Электромонтажник 5 разряда</t>
  </si>
  <si>
    <t xml:space="preserve">Зосимов Александр Геннадиевич</t>
  </si>
  <si>
    <t xml:space="preserve">Слесарь-сборщик 6 разряда</t>
  </si>
  <si>
    <t xml:space="preserve">Шевченко Сергей Васильевич</t>
  </si>
  <si>
    <t xml:space="preserve">Ведущий специалист по реставрации</t>
  </si>
  <si>
    <t xml:space="preserve">Нитяговский Сергей Александрович</t>
  </si>
  <si>
    <t xml:space="preserve">Постульгин Александр Валентинович</t>
  </si>
  <si>
    <t xml:space="preserve">Луданцев Алексей Владимирович</t>
  </si>
  <si>
    <t xml:space="preserve">Слесарь-сборщик 4 разряда</t>
  </si>
  <si>
    <t xml:space="preserve">Варламов Олег Владимирович</t>
  </si>
  <si>
    <t xml:space="preserve">Климачев Сергей Валерьевич</t>
  </si>
  <si>
    <t xml:space="preserve">Заместитель директора департамента-Начальник производственного подразделения</t>
  </si>
  <si>
    <t xml:space="preserve">Заворотный Дмитрий Дмитриевич</t>
  </si>
  <si>
    <t xml:space="preserve">Старший оперативный дежурный</t>
  </si>
  <si>
    <t xml:space="preserve">Отдел режима М</t>
  </si>
  <si>
    <t xml:space="preserve">Горбушин Сергей Юрьевич</t>
  </si>
  <si>
    <t xml:space="preserve">Оперативный дежурный</t>
  </si>
  <si>
    <t xml:space="preserve">Кисельников Николай Михайлович</t>
  </si>
  <si>
    <t xml:space="preserve">Сорокин Виктор Фомич</t>
  </si>
  <si>
    <t xml:space="preserve">Боровенский Андрей Алексеевич</t>
  </si>
  <si>
    <t xml:space="preserve">Слесарь - сборщик 4 разряда</t>
  </si>
  <si>
    <t xml:space="preserve">Производственное подразделение №6 (В н/д)</t>
  </si>
  <si>
    <t xml:space="preserve">Гаршин Сергей Александрович</t>
  </si>
  <si>
    <t xml:space="preserve">Голев Вадим Алексеевич</t>
  </si>
  <si>
    <t xml:space="preserve">Смена подразделения: «Производственное подразделение №6» → «Участок сборки В»</t>
  </si>
  <si>
    <t xml:space="preserve">Гринёв Игорь Сергеевич</t>
  </si>
  <si>
    <t xml:space="preserve">Гунькин Юрий Игоревич</t>
  </si>
  <si>
    <t xml:space="preserve">Долгих Георгий Дмитриевич</t>
  </si>
  <si>
    <t xml:space="preserve">Зиновьев Вадим Дмитриевич</t>
  </si>
  <si>
    <t xml:space="preserve">Зубарев Владимир Владимирович</t>
  </si>
  <si>
    <t xml:space="preserve">Ковряков Дмитрий Александрович</t>
  </si>
  <si>
    <t xml:space="preserve">Косменко Игорь Юрьевич</t>
  </si>
  <si>
    <t xml:space="preserve">Кумицкий Алексей Иванович</t>
  </si>
  <si>
    <t xml:space="preserve">Михайлов Никита Алексеевич</t>
  </si>
  <si>
    <t xml:space="preserve">Попов Андрей Михайлович</t>
  </si>
  <si>
    <t xml:space="preserve">Попов Роман Юрьевич</t>
  </si>
  <si>
    <t xml:space="preserve">Потамошнев Константин Сергеевич</t>
  </si>
  <si>
    <t xml:space="preserve">Самодуров Алексей Юрьевич</t>
  </si>
  <si>
    <t xml:space="preserve">Сидоренко Сергей Владимирович</t>
  </si>
  <si>
    <t xml:space="preserve">Сорокин Олег Владимирович</t>
  </si>
  <si>
    <t xml:space="preserve">Сухинин Андрей Алексеевич</t>
  </si>
  <si>
    <t xml:space="preserve">Червяков Владислав Вячеславович</t>
  </si>
  <si>
    <t xml:space="preserve">Юрьев Александр Николаевич</t>
  </si>
  <si>
    <t xml:space="preserve">Белоусова Людмила Владимировна</t>
  </si>
  <si>
    <t xml:space="preserve">Смена подразделения: «Производственное подразделение №6» → «Склад В»</t>
  </si>
  <si>
    <t xml:space="preserve">Басов Вадим Романович</t>
  </si>
  <si>
    <t xml:space="preserve">Смена подразделения: «Производственное подразделение №6» → «Участок РЭО В»</t>
  </si>
  <si>
    <t xml:space="preserve">Левин Александр Владимирович</t>
  </si>
  <si>
    <t xml:space="preserve">Лисунов Кирилл Андреевич</t>
  </si>
  <si>
    <t xml:space="preserve">Попов Денис Игоревич</t>
  </si>
  <si>
    <t xml:space="preserve">Тимофеев Владимир Николаевич</t>
  </si>
  <si>
    <t xml:space="preserve">Труфанов Павел Игоревич</t>
  </si>
  <si>
    <t xml:space="preserve">Ячмень Евгений Григорьевич</t>
  </si>
  <si>
    <t xml:space="preserve">Воробьев Николай Александрович</t>
  </si>
  <si>
    <t xml:space="preserve">Зеленов Михаил Валерьевич</t>
  </si>
  <si>
    <t xml:space="preserve">Золотарев Сергей Константинович</t>
  </si>
  <si>
    <t xml:space="preserve">Ковалёв Алексей Александрович</t>
  </si>
  <si>
    <t xml:space="preserve">Силуянов Виктор Ильич</t>
  </si>
  <si>
    <t xml:space="preserve">Соболев Виталий Юрьевич</t>
  </si>
  <si>
    <t xml:space="preserve">Солмин Александр Юрьевич</t>
  </si>
  <si>
    <t xml:space="preserve">Толстоплётов Денис Анатольевич</t>
  </si>
  <si>
    <t xml:space="preserve">Самсонов Виталий Игоревич</t>
  </si>
  <si>
    <t xml:space="preserve">Слесарь-сборщик 3 разряда</t>
  </si>
  <si>
    <t xml:space="preserve">Аралов Евгений Васильевич</t>
  </si>
  <si>
    <t xml:space="preserve">Вечканов Константин Дмитриевич</t>
  </si>
  <si>
    <t xml:space="preserve">Галактионов Александр Александрович</t>
  </si>
  <si>
    <t xml:space="preserve">Слесарь - сборщик 5 разряда</t>
  </si>
  <si>
    <t xml:space="preserve">Иванов Алексей Николаевич</t>
  </si>
  <si>
    <t xml:space="preserve">Мелконян Нерсес Эдвардович</t>
  </si>
  <si>
    <t xml:space="preserve">Мысовских Александр Александрович</t>
  </si>
  <si>
    <t xml:space="preserve">Петренко Дмитрий Сергеевич</t>
  </si>
  <si>
    <t xml:space="preserve">Попов Олег Владимирович</t>
  </si>
  <si>
    <t xml:space="preserve">Роговский Александр Викторович</t>
  </si>
  <si>
    <t xml:space="preserve">Русанов Александр Евгеньевич</t>
  </si>
  <si>
    <t xml:space="preserve">Рябинин Александр Анатольевич</t>
  </si>
  <si>
    <t xml:space="preserve">Тимошкин Сергей Александрович</t>
  </si>
  <si>
    <t xml:space="preserve">Шпилев Михаил Сергеевич</t>
  </si>
  <si>
    <t xml:space="preserve">Будавских Вадим Григорьевич</t>
  </si>
  <si>
    <t xml:space="preserve">Мастер участка сборки интерьера</t>
  </si>
  <si>
    <t xml:space="preserve">Бысенко Юрий Павлович</t>
  </si>
  <si>
    <t xml:space="preserve">Перевод: было «Мастер участка сборки интерьера» (п.18) → «Мастер участка» (п.18)</t>
  </si>
  <si>
    <t xml:space="preserve">Деревянченко Андрей Павлович</t>
  </si>
  <si>
    <t xml:space="preserve">Студеникин Михаил Вячеславович</t>
  </si>
  <si>
    <t xml:space="preserve">Павлов Александр Сергеевич</t>
  </si>
  <si>
    <t xml:space="preserve">Мастер участка электромонтажных работ</t>
  </si>
  <si>
    <t xml:space="preserve">Дуленков Александр Вячеславович</t>
  </si>
  <si>
    <t xml:space="preserve">Производственное подразделение Воронеж</t>
  </si>
  <si>
    <t xml:space="preserve">Смена подразделения: «Производственное подразделение №6» → «Производственное подразделение Воронеж»</t>
  </si>
  <si>
    <t xml:space="preserve">Петина Ирина Викторовна</t>
  </si>
  <si>
    <t xml:space="preserve">Склад (МШ н/д)</t>
  </si>
  <si>
    <t xml:space="preserve">Рузайкин Юрий Андреевич</t>
  </si>
  <si>
    <t xml:space="preserve">Инженер</t>
  </si>
  <si>
    <t xml:space="preserve">Планово-диспетчерский отдел (МШ н/д)</t>
  </si>
  <si>
    <t xml:space="preserve">Хлыщенко Александр Александрович</t>
  </si>
  <si>
    <t xml:space="preserve">Абрамович Светлана Николаевна</t>
  </si>
  <si>
    <t xml:space="preserve">Диспетчер</t>
  </si>
  <si>
    <t xml:space="preserve">Баранникова Елена Александровна</t>
  </si>
  <si>
    <t xml:space="preserve">Гришин Алексей Владимирович</t>
  </si>
  <si>
    <t xml:space="preserve">Зубехин Григорий Александрович</t>
  </si>
  <si>
    <t xml:space="preserve">Кадиева Наталья Борисовна</t>
  </si>
  <si>
    <t xml:space="preserve">Лапкин Виталий Олегович</t>
  </si>
  <si>
    <t xml:space="preserve">Лапкина Анастасия Владимировна</t>
  </si>
  <si>
    <t xml:space="preserve">Гришина Неля Евгеньевна</t>
  </si>
  <si>
    <t xml:space="preserve">Запотылок Алена Владимировна</t>
  </si>
  <si>
    <t xml:space="preserve">Паукова Наталья Владимировна</t>
  </si>
  <si>
    <t xml:space="preserve">Полозов Василий Борисович</t>
  </si>
  <si>
    <t xml:space="preserve">Ведущий инженер</t>
  </si>
  <si>
    <t xml:space="preserve">Попова Юлия Александровна</t>
  </si>
  <si>
    <t xml:space="preserve">Ведущий специалист по учету</t>
  </si>
  <si>
    <t xml:space="preserve">Агапов Максим Владимирович</t>
  </si>
  <si>
    <t xml:space="preserve">Токарь 6 разряда</t>
  </si>
  <si>
    <t xml:space="preserve">Механический участок (МШ н/д)</t>
  </si>
  <si>
    <t xml:space="preserve">Артёмов Антон Анатольевич</t>
  </si>
  <si>
    <t xml:space="preserve">Потапкин Илья Анатольевич</t>
  </si>
  <si>
    <t xml:space="preserve">Назин Владислав Сергеевич</t>
  </si>
  <si>
    <t xml:space="preserve">Орлов Михаил Юрьевич</t>
  </si>
  <si>
    <t xml:space="preserve">Тарасов Борис Анатольевич</t>
  </si>
  <si>
    <t xml:space="preserve">Фрезеровщик 6 разряда</t>
  </si>
  <si>
    <t xml:space="preserve">Фокина Светлана Геннадиевна</t>
  </si>
  <si>
    <t xml:space="preserve">Бондин Денис Игоревич</t>
  </si>
  <si>
    <t xml:space="preserve">Оператор станка с ЧПУ 5 разряда</t>
  </si>
  <si>
    <t xml:space="preserve">Саранцев Петр Дмитриевич</t>
  </si>
  <si>
    <t xml:space="preserve">Токарь 5 разряда</t>
  </si>
  <si>
    <t xml:space="preserve">Юдаков Алексей Викторович</t>
  </si>
  <si>
    <t xml:space="preserve">Клюг Андрей Эдуардович</t>
  </si>
  <si>
    <t xml:space="preserve">Фрезеровщик 5 разряда</t>
  </si>
  <si>
    <t xml:space="preserve">Бугаев Сергей Петрович</t>
  </si>
  <si>
    <t xml:space="preserve">Слесарь механосборочных работ 6 разряда</t>
  </si>
  <si>
    <t xml:space="preserve">Смена подразделения: «Механический участок» → «Слесарный участок МШ»</t>
  </si>
  <si>
    <t xml:space="preserve">Макаренков Святослав Михайлович</t>
  </si>
  <si>
    <t xml:space="preserve">Савичев Сергей Сергеевич</t>
  </si>
  <si>
    <t xml:space="preserve">Сафонов Роман Валерьевич</t>
  </si>
  <si>
    <t xml:space="preserve">Филимонов Андрей Владимирович</t>
  </si>
  <si>
    <t xml:space="preserve">Епифанов Александр Сергеевич</t>
  </si>
  <si>
    <t xml:space="preserve">Слесарь механосборочных работ 5 разряда</t>
  </si>
  <si>
    <t xml:space="preserve">Семененко Александр Михайлович</t>
  </si>
  <si>
    <t xml:space="preserve">Сорокин Игорь Анатольевич</t>
  </si>
  <si>
    <t xml:space="preserve">Горелов Андрей Сергеевич</t>
  </si>
  <si>
    <t xml:space="preserve">Зинченко Денис Андреевич</t>
  </si>
  <si>
    <t xml:space="preserve">Кулешов Руслан Викторович</t>
  </si>
  <si>
    <t xml:space="preserve">Нагаев Дмитрий Александрович</t>
  </si>
  <si>
    <t xml:space="preserve">Виноградов Валерий Валерьевич</t>
  </si>
  <si>
    <t xml:space="preserve">Слесарь механосборочных работ 4 разряда</t>
  </si>
  <si>
    <t xml:space="preserve">Карантышов Андрей Витальевич</t>
  </si>
  <si>
    <t xml:space="preserve">Рыскин Вадим Вячеславович</t>
  </si>
  <si>
    <t xml:space="preserve">Терёхин Кирилл Павлович</t>
  </si>
  <si>
    <t xml:space="preserve">Кокорев Анатолий Сергеевич</t>
  </si>
  <si>
    <t xml:space="preserve">Участок РЭО (МШ н/д)</t>
  </si>
  <si>
    <t xml:space="preserve">Участок РЭО МШ</t>
  </si>
  <si>
    <t xml:space="preserve">Техник-сборщик 5 разряда</t>
  </si>
  <si>
    <t xml:space="preserve">Кротков Александр Юрьевич</t>
  </si>
  <si>
    <t xml:space="preserve">Столяр 4 разряда</t>
  </si>
  <si>
    <t xml:space="preserve">Морозов Олег Валерьевич</t>
  </si>
  <si>
    <t xml:space="preserve">Изменено написание: «Оператор станка с ЧПУ 4 разряда» → «Оператор станков с ЧПУ 4 разряда» (п.30 Перечня «Оператор станка с ЧПУ»)</t>
  </si>
  <si>
    <t xml:space="preserve">Нерозников Роман Анатольевич</t>
  </si>
  <si>
    <t xml:space="preserve">Никитин Валерий Сергеевич</t>
  </si>
  <si>
    <t xml:space="preserve">Бутузов Вадим Владимирович</t>
  </si>
  <si>
    <t xml:space="preserve">Оператор станков с ЧПУ 5 разряда</t>
  </si>
  <si>
    <t xml:space="preserve">Изменено написание: «Оператор станка с ЧПУ 5 разряда» → «Оператор станков с ЧПУ 5 разряда» (п.30 Перечня «Оператор станка с ЧПУ»)</t>
  </si>
  <si>
    <t xml:space="preserve">Техник-сборщик 6 разряда</t>
  </si>
  <si>
    <t xml:space="preserve">Техник-сборщик 4 разряда</t>
  </si>
  <si>
    <t xml:space="preserve">Бригадир</t>
  </si>
  <si>
    <t xml:space="preserve">Балалаев Сергей Викторович</t>
  </si>
  <si>
    <t xml:space="preserve">Сборщик стеклопластиковых изделий 6 разряда</t>
  </si>
  <si>
    <t xml:space="preserve">Анисимов Игорь Владимирович</t>
  </si>
  <si>
    <t xml:space="preserve">Кукушкин Максим Дмитриевич</t>
  </si>
  <si>
    <t xml:space="preserve">Антропов Иван Юрьевич</t>
  </si>
  <si>
    <t xml:space="preserve">Сборщик стеклопластиковых изделий 5 разряда</t>
  </si>
  <si>
    <t xml:space="preserve">Ветлянский Александр Александрович</t>
  </si>
  <si>
    <t xml:space="preserve">Арифулин Александр Александрович</t>
  </si>
  <si>
    <t xml:space="preserve">Облицовщик деталей мебели 4 разряда</t>
  </si>
  <si>
    <t xml:space="preserve">Пантюхов Вячеслав Владимирович</t>
  </si>
  <si>
    <t xml:space="preserve">Хасянов Ильфат Шамильевич</t>
  </si>
  <si>
    <t xml:space="preserve">Бредихин Евгений Васильевич</t>
  </si>
  <si>
    <t xml:space="preserve">Сборщик стеклопластиковых изделий 4 разряда</t>
  </si>
  <si>
    <t xml:space="preserve">Облицовщик деталей мебели 3 разряда</t>
  </si>
  <si>
    <t xml:space="preserve">Пичугин Александр Владимирович</t>
  </si>
  <si>
    <t xml:space="preserve">Тимошенко Александр Олегович</t>
  </si>
  <si>
    <t xml:space="preserve">Техник-сборщик 2 разряда</t>
  </si>
  <si>
    <t xml:space="preserve">Попов Виктор Михайлович</t>
  </si>
  <si>
    <t xml:space="preserve">Облицовщик деталей мебели 6 разряда</t>
  </si>
  <si>
    <t xml:space="preserve">Техник 6 разряда</t>
  </si>
  <si>
    <t xml:space="preserve">Солодков Максим Юрьевич</t>
  </si>
  <si>
    <t xml:space="preserve">Маляр 6 разряда</t>
  </si>
  <si>
    <t xml:space="preserve">Долинская Валерия Александровна</t>
  </si>
  <si>
    <t xml:space="preserve">Маляр 4 разряда</t>
  </si>
  <si>
    <t xml:space="preserve">Симонова Виктория Александровна</t>
  </si>
  <si>
    <t xml:space="preserve">Техник 4 разряда</t>
  </si>
  <si>
    <t xml:space="preserve">Техник 5 разряда</t>
  </si>
  <si>
    <t xml:space="preserve">Техник 2 разряда</t>
  </si>
  <si>
    <t xml:space="preserve">Иванов Андрей Петрович</t>
  </si>
  <si>
    <t xml:space="preserve">Рабочий по комплексному обслуживанию и ремонту зданий 3 разряда</t>
  </si>
  <si>
    <t xml:space="preserve">Служба главного инженера (МШ н/д)</t>
  </si>
  <si>
    <t xml:space="preserve">Божьева Ирина Вячеславовна</t>
  </si>
  <si>
    <t xml:space="preserve">Отдел технического контроля МШ</t>
  </si>
  <si>
    <t xml:space="preserve">Васильева Алина Владимировна</t>
  </si>
  <si>
    <t xml:space="preserve">Райкова Ирина Алексеевна</t>
  </si>
  <si>
    <t xml:space="preserve">Трушаков Владимир Александрович</t>
  </si>
  <si>
    <t xml:space="preserve">Служба главного инженера МШ</t>
  </si>
  <si>
    <t xml:space="preserve">Иванов Владимир Максимович</t>
  </si>
  <si>
    <t xml:space="preserve">Найденов Андрей Александрович</t>
  </si>
  <si>
    <t xml:space="preserve">Королев Владислав Владимирович</t>
  </si>
  <si>
    <t xml:space="preserve">Омельченко Вячеслав Васильевич</t>
  </si>
  <si>
    <t xml:space="preserve">Калинин Дмитрий Александрович</t>
  </si>
  <si>
    <t xml:space="preserve">Старовойтов Владимир Владимирович</t>
  </si>
  <si>
    <t xml:space="preserve">Долженко Александр Сергеевич</t>
  </si>
  <si>
    <t xml:space="preserve">Электромонтер по ремонту и обслуживанию электрооборудования 4 разряда</t>
  </si>
  <si>
    <t xml:space="preserve">Климов Дмитрий Николаевич</t>
  </si>
  <si>
    <t xml:space="preserve">Кармазин Александр Николаевич</t>
  </si>
  <si>
    <t xml:space="preserve">Бизюков Сергей Иванович</t>
  </si>
  <si>
    <t xml:space="preserve">Электромонтер по ремонту и обслуживанию электрооборудования 5 разряда</t>
  </si>
  <si>
    <t xml:space="preserve">Хромов Павел Николаевич</t>
  </si>
  <si>
    <t xml:space="preserve">Механик-наладчик</t>
  </si>
  <si>
    <t xml:space="preserve">Жусев Алексей Анатольевич</t>
  </si>
  <si>
    <t xml:space="preserve">Инженер-электрик</t>
  </si>
  <si>
    <t xml:space="preserve">Захарова Любовь Владимировна</t>
  </si>
  <si>
    <t xml:space="preserve">Административно-хозяйственный отдел МШ</t>
  </si>
  <si>
    <t xml:space="preserve">Гросс Елена Владимировна</t>
  </si>
  <si>
    <t xml:space="preserve">Уборщик производственных и служебных помещений</t>
  </si>
  <si>
    <t xml:space="preserve">Декун Лидия Петровна</t>
  </si>
  <si>
    <t xml:space="preserve">Михеева Наталия Петровна</t>
  </si>
  <si>
    <t xml:space="preserve">Новоторцева Наталия Николаевна</t>
  </si>
  <si>
    <t xml:space="preserve">Савичева Марина Анатольевна</t>
  </si>
  <si>
    <t xml:space="preserve">Хилинская Анна Александровна</t>
  </si>
  <si>
    <t xml:space="preserve">Беспалов Виталий Анатольевич</t>
  </si>
  <si>
    <t xml:space="preserve">Сторож</t>
  </si>
  <si>
    <t xml:space="preserve">Отдел режима МШ</t>
  </si>
  <si>
    <t xml:space="preserve">Волгин Анатолий Иванович</t>
  </si>
  <si>
    <t xml:space="preserve">Гусев Александр Николаевич</t>
  </si>
  <si>
    <t xml:space="preserve">Дудукин Сергей Вячеславович</t>
  </si>
  <si>
    <t xml:space="preserve">Звягин Евгений Иванович</t>
  </si>
  <si>
    <t xml:space="preserve">Макаренко Алексей Иванович</t>
  </si>
  <si>
    <t xml:space="preserve">Матвицкий Виктор Владимирович</t>
  </si>
  <si>
    <t xml:space="preserve">Камбулатов Эсенбулат Камбулатович</t>
  </si>
  <si>
    <t xml:space="preserve">Старший сторож</t>
  </si>
  <si>
    <t xml:space="preserve">Рукин Денис Игоревич</t>
  </si>
  <si>
    <t xml:space="preserve">Старший охраны объекта</t>
  </si>
  <si>
    <t xml:space="preserve">Балкивская Людмила Алексеевна</t>
  </si>
  <si>
    <t xml:space="preserve">Старший кладовщик</t>
  </si>
  <si>
    <t xml:space="preserve">Карпачева Татьяна Владимировна</t>
  </si>
  <si>
    <t xml:space="preserve">Нестеров Аркадий Николаевич</t>
  </si>
  <si>
    <t xml:space="preserve">Густов Александр Витальевич</t>
  </si>
  <si>
    <t xml:space="preserve">Дягин Александр Александрович</t>
  </si>
  <si>
    <t xml:space="preserve">Евменчук Елизавета Александровна</t>
  </si>
  <si>
    <t xml:space="preserve">Ноженко Екатерина Сергеевна</t>
  </si>
  <si>
    <t xml:space="preserve">Прохорова Маргарита Александровна</t>
  </si>
  <si>
    <t xml:space="preserve">Султанов Тимур Боирович</t>
  </si>
  <si>
    <t xml:space="preserve">Богатырев Николай Владимирович</t>
  </si>
  <si>
    <t xml:space="preserve">Агалиев Рафаэл Рашидович</t>
  </si>
  <si>
    <t xml:space="preserve">Кладовщик-комплектовщик</t>
  </si>
  <si>
    <t xml:space="preserve">Каменев Дмитрий Викторович</t>
  </si>
  <si>
    <t xml:space="preserve">Ласкавый Андрей Викторович</t>
  </si>
  <si>
    <t xml:space="preserve">Моряков Константин Викторович</t>
  </si>
  <si>
    <t xml:space="preserve">Хохлов Александр Николаевич</t>
  </si>
  <si>
    <t xml:space="preserve">Кирбенева Татьяна Александровна</t>
  </si>
  <si>
    <t xml:space="preserve">Лягинова Анастасия Витальевна</t>
  </si>
  <si>
    <t xml:space="preserve">Акимов Михаил Александрович</t>
  </si>
  <si>
    <t xml:space="preserve">Отдел транспортного обеспечения МШ</t>
  </si>
  <si>
    <t xml:space="preserve">Батуревич Юрий Викторович</t>
  </si>
  <si>
    <t xml:space="preserve">Василенко Александр Иванович</t>
  </si>
  <si>
    <t xml:space="preserve">Грязнов Анатолий Николаевич</t>
  </si>
  <si>
    <t xml:space="preserve">Евдокимов Игорь Валентинович</t>
  </si>
  <si>
    <t xml:space="preserve">Ерофеев Олег Игоревич</t>
  </si>
  <si>
    <t xml:space="preserve">Жигунов Вячеслав Владимирович</t>
  </si>
  <si>
    <t xml:space="preserve">Крутяков Сергей Владимирович</t>
  </si>
  <si>
    <t xml:space="preserve">Лучкин Евгений Иванович</t>
  </si>
  <si>
    <t xml:space="preserve">Карандаев Юрий Александрович</t>
  </si>
  <si>
    <t xml:space="preserve">Обособленное подразделение Казань</t>
  </si>
  <si>
    <t xml:space="preserve">Мефтахутдинов Ильнар Гаптильнурович</t>
  </si>
  <si>
    <t xml:space="preserve">Саваидис Егор Викторович</t>
  </si>
  <si>
    <t xml:space="preserve">Гаранина Светлана Владимировна</t>
  </si>
  <si>
    <t xml:space="preserve">Хасипова Гульнара Ильясовна</t>
  </si>
  <si>
    <t xml:space="preserve">Николаева Ксения Ивановна</t>
  </si>
  <si>
    <t xml:space="preserve">Филимонова Эльвира Идрисовна</t>
  </si>
  <si>
    <t xml:space="preserve">Аюпов Булат Фаилевич</t>
  </si>
  <si>
    <t xml:space="preserve">Андреев Алексей Владимирович</t>
  </si>
  <si>
    <t xml:space="preserve">Обухов Андрей Евгеньевич</t>
  </si>
  <si>
    <t xml:space="preserve">Гимранов Ильдор Фанизович</t>
  </si>
  <si>
    <t xml:space="preserve">Матвеев Александр Николаевич</t>
  </si>
  <si>
    <t xml:space="preserve">Мастер электромонтажного участка</t>
  </si>
  <si>
    <t xml:space="preserve">Булатова Лия Рустэмовна</t>
  </si>
  <si>
    <t xml:space="preserve">Юсупов Азат Рафаэлевич</t>
  </si>
  <si>
    <t xml:space="preserve">Галиуллин Руслан Рустамович</t>
  </si>
  <si>
    <t xml:space="preserve">Слесарь-клепальщик 6 разряда</t>
  </si>
  <si>
    <t xml:space="preserve">Казаченко Алексей Владимирович</t>
  </si>
  <si>
    <t xml:space="preserve">Планово-диспетчерская группа (У н/д)</t>
  </si>
  <si>
    <t xml:space="preserve">Абрамов Дмитрий Владимирович</t>
  </si>
  <si>
    <t xml:space="preserve">Сборочный участок (У н/д)</t>
  </si>
  <si>
    <t xml:space="preserve">Ахметов Эдуард Ильдарович</t>
  </si>
  <si>
    <t xml:space="preserve">Березин Андрей Дмитриевич</t>
  </si>
  <si>
    <t xml:space="preserve">Китин Дмитрий Витальевич</t>
  </si>
  <si>
    <t xml:space="preserve">Мамедов Рустам Рамизович</t>
  </si>
  <si>
    <t xml:space="preserve">Прохоров Антон Анатольевич</t>
  </si>
  <si>
    <t xml:space="preserve">Терентьев Владислав Вячеславович</t>
  </si>
  <si>
    <t xml:space="preserve">Якупов Искандер Дамирович</t>
  </si>
  <si>
    <t xml:space="preserve">Ефремов Алексей Витальевич</t>
  </si>
  <si>
    <t xml:space="preserve">Слесарь-сборщик</t>
  </si>
  <si>
    <t xml:space="preserve">Новиков Александр Анатольевич</t>
  </si>
  <si>
    <t xml:space="preserve">Трофимов Валерий Дмитриевич</t>
  </si>
  <si>
    <t xml:space="preserve">Куликов Рауф Зэферович</t>
  </si>
  <si>
    <t xml:space="preserve">Электромонтажный участок (У н/д)</t>
  </si>
  <si>
    <t xml:space="preserve">Ветров Игорь Евгеньевич</t>
  </si>
  <si>
    <t xml:space="preserve">Дубровский Дмитрий Сергеевич</t>
  </si>
  <si>
    <t xml:space="preserve">Кныш Елена Леонидовна</t>
  </si>
  <si>
    <t xml:space="preserve">Рычков Александр Анатольевич</t>
  </si>
  <si>
    <t xml:space="preserve">Грицкова Елена Анатольевна</t>
  </si>
  <si>
    <t xml:space="preserve">Склад (У н/д)</t>
  </si>
  <si>
    <t xml:space="preserve">Крючкова Мария Ивановна</t>
  </si>
  <si>
    <t xml:space="preserve">Технический работник</t>
  </si>
  <si>
    <t xml:space="preserve">Административно-хозяйственный отдел У</t>
  </si>
  <si>
    <t xml:space="preserve">Жуковский</t>
  </si>
  <si>
    <t xml:space="preserve">Тимофеева Галина Петровна</t>
  </si>
  <si>
    <t xml:space="preserve">Административно-хозяйственный отдел Ж</t>
  </si>
  <si>
    <t xml:space="preserve">Галимзянова Гузель Раисовна</t>
  </si>
  <si>
    <t xml:space="preserve">Административно-хозяйственный отдел Р</t>
  </si>
  <si>
    <t xml:space="preserve">Донин Алексей Валентинович</t>
  </si>
  <si>
    <t xml:space="preserve">Иванова Светлана Васильевна</t>
  </si>
  <si>
    <t xml:space="preserve">Раззакова Светлана Владимировна</t>
  </si>
  <si>
    <t xml:space="preserve">Терешкина Татьяна Викторовна</t>
  </si>
  <si>
    <t xml:space="preserve">Шибатина Елена Васильевна</t>
  </si>
  <si>
    <t xml:space="preserve">Болденкова Анна Сергеевна</t>
  </si>
  <si>
    <t xml:space="preserve">Уборщик служебных помещений</t>
  </si>
  <si>
    <t xml:space="preserve">Улумбеков Руслан Бинарович</t>
  </si>
  <si>
    <t xml:space="preserve">Гришин Алексей Валерьевич</t>
  </si>
  <si>
    <t xml:space="preserve">Слесарь-ремонтник 5 разряда</t>
  </si>
  <si>
    <t xml:space="preserve">Поливанов Иван Юрьевич</t>
  </si>
  <si>
    <t xml:space="preserve">Механический участок Р</t>
  </si>
  <si>
    <t xml:space="preserve">Степанов Максим Анатольевич</t>
  </si>
  <si>
    <t xml:space="preserve">Янышев Тимур Ильгизович</t>
  </si>
  <si>
    <t xml:space="preserve">Геращенко Сергей Владимирович</t>
  </si>
  <si>
    <t xml:space="preserve">Куликов Сергей Сергеевич</t>
  </si>
  <si>
    <t xml:space="preserve">Пак Игорь Трофимович</t>
  </si>
  <si>
    <t xml:space="preserve">Герасимов Александр Александрович</t>
  </si>
  <si>
    <t xml:space="preserve">Кашкаров Сергей Евгеньевич</t>
  </si>
  <si>
    <t xml:space="preserve">Павозков Евгений Александрович</t>
  </si>
  <si>
    <t xml:space="preserve">Баев Сергей Александрович</t>
  </si>
  <si>
    <t xml:space="preserve">Слесарный участок Р</t>
  </si>
  <si>
    <t xml:space="preserve">Смена подразделения: «Механический участок» → «Слесарный участок Р»</t>
  </si>
  <si>
    <t xml:space="preserve">Корнеев Виктор Николаевич</t>
  </si>
  <si>
    <t xml:space="preserve">Горнеев Никита Сергеевич</t>
  </si>
  <si>
    <t xml:space="preserve">Оператор листогибочного оборудования 5 разряда</t>
  </si>
  <si>
    <t xml:space="preserve">Панков Иван Валерьевич</t>
  </si>
  <si>
    <t xml:space="preserve">Воркунов Егор Дмитриевич</t>
  </si>
  <si>
    <t xml:space="preserve">Оператор лазерных установок 5 разряда</t>
  </si>
  <si>
    <t xml:space="preserve">Птицын Юрий Юрьевич</t>
  </si>
  <si>
    <t xml:space="preserve">Семячко Константин Григорьевич</t>
  </si>
  <si>
    <t xml:space="preserve">Андреев Кирилл Владимирович</t>
  </si>
  <si>
    <t xml:space="preserve">Оператор станка с ЧПУ 3 разряда</t>
  </si>
  <si>
    <t xml:space="preserve">Чепуштанов Александр Геннадьевич</t>
  </si>
  <si>
    <t xml:space="preserve">Житников Андрей Николаевич</t>
  </si>
  <si>
    <t xml:space="preserve">Зайцев Дмитрий Евгеньевич</t>
  </si>
  <si>
    <t xml:space="preserve">Мартынов Гавриил Викторович</t>
  </si>
  <si>
    <t xml:space="preserve">Николаев Никита Андреевич</t>
  </si>
  <si>
    <t xml:space="preserve">Бузаев Дмитрий Анатольевич</t>
  </si>
  <si>
    <t xml:space="preserve">Еремеев Сергей Анатольевич</t>
  </si>
  <si>
    <t xml:space="preserve">Балковский Сергей Вадимович</t>
  </si>
  <si>
    <t xml:space="preserve">Гурьянов Евгений Николаевич</t>
  </si>
  <si>
    <t xml:space="preserve">Зайцев Евгений Геннадьевич</t>
  </si>
  <si>
    <t xml:space="preserve">Швецов Андрей Витальевич</t>
  </si>
  <si>
    <t xml:space="preserve">Богатырева Наталья Геннадьевна</t>
  </si>
  <si>
    <t xml:space="preserve">Старший специалист по пошиву</t>
  </si>
  <si>
    <t xml:space="preserve">Швейный участок Р</t>
  </si>
  <si>
    <t xml:space="preserve">Большаков Сергей Александрович</t>
  </si>
  <si>
    <t xml:space="preserve">Долженко Ольга Васильевна</t>
  </si>
  <si>
    <t xml:space="preserve">Кульков Павел Петрович</t>
  </si>
  <si>
    <t xml:space="preserve">Путилина Ирина Михайловна</t>
  </si>
  <si>
    <t xml:space="preserve">Андрякова Надежда Дмитриевна</t>
  </si>
  <si>
    <t xml:space="preserve">Специалист по пошиву 5 разряда</t>
  </si>
  <si>
    <t xml:space="preserve">Антонова Елена Анатольевна</t>
  </si>
  <si>
    <t xml:space="preserve">Ахмедов Яшар Закир Оглы</t>
  </si>
  <si>
    <t xml:space="preserve">Долматова Екатерина Владимировна</t>
  </si>
  <si>
    <t xml:space="preserve">Китаева Венера Минигалеевна</t>
  </si>
  <si>
    <t xml:space="preserve">Пичугина Оксана Валерьевна</t>
  </si>
  <si>
    <t xml:space="preserve">Треусов Сергей Юрьевич</t>
  </si>
  <si>
    <t xml:space="preserve">Горбушина Венера Энверовна</t>
  </si>
  <si>
    <t xml:space="preserve">Специалист по пошиву 4 разряда</t>
  </si>
  <si>
    <t xml:space="preserve">Кулешова Виктория Викторовна</t>
  </si>
  <si>
    <t xml:space="preserve">Сабирова Альфия Фаузиевна</t>
  </si>
  <si>
    <t xml:space="preserve">Планово-диспетчерский отдел Р</t>
  </si>
  <si>
    <t xml:space="preserve">Стребкова Наталья Ивановна</t>
  </si>
  <si>
    <t xml:space="preserve">Оболонина Ирина Валерьевна</t>
  </si>
  <si>
    <t xml:space="preserve">Первоченков Виктор Владимирович</t>
  </si>
  <si>
    <t xml:space="preserve">Яковлева Анастасия Юрьевна</t>
  </si>
  <si>
    <t xml:space="preserve">Юдина Анна Владимировна</t>
  </si>
  <si>
    <t xml:space="preserve">Садыгова Елена Васильевна</t>
  </si>
  <si>
    <t xml:space="preserve">Трофимов Максим Михайлович</t>
  </si>
  <si>
    <t xml:space="preserve">Гагарин Алексей Владимирович</t>
  </si>
  <si>
    <t xml:space="preserve">Иванов Дмитрий Сергеевич</t>
  </si>
  <si>
    <t xml:space="preserve">Поляков Александр Валентинович</t>
  </si>
  <si>
    <t xml:space="preserve">Козлов Никита Андреевич</t>
  </si>
  <si>
    <t xml:space="preserve">Отдел технического контроля Р</t>
  </si>
  <si>
    <t xml:space="preserve">Милованов Александр Сергеевич</t>
  </si>
  <si>
    <t xml:space="preserve">Елсуков Имант Арьевич</t>
  </si>
  <si>
    <t xml:space="preserve">Свиридова Ирина Александровна</t>
  </si>
  <si>
    <t xml:space="preserve">Планово-диспетчерский отдел В</t>
  </si>
  <si>
    <t xml:space="preserve">Хабаров Алексей Владимирович</t>
  </si>
  <si>
    <t xml:space="preserve">Гуровская Ирина Александровна</t>
  </si>
  <si>
    <t xml:space="preserve">Отдел технического контроля В</t>
  </si>
  <si>
    <t xml:space="preserve">Симоненко Дмитрий Андреевич</t>
  </si>
  <si>
    <t xml:space="preserve">Дашборд по медицинским осмотрам</t>
  </si>
  <si>
    <t xml:space="preserve">Обновляется автоматически при изменении дат на листе «Учёт медосмотров».</t>
  </si>
  <si>
    <t xml:space="preserve">Кол-во, чел.</t>
  </si>
  <si>
    <t xml:space="preserve">Всего сотрудников, подлежащих медосмотру</t>
  </si>
  <si>
    <t xml:space="preserve">Указана дата предварительного медосмотра</t>
  </si>
  <si>
    <t xml:space="preserve">Дата предварительного медосмотра не указана</t>
  </si>
  <si>
    <t xml:space="preserve">Указана дата фактически пройденного периодического осмотра</t>
  </si>
  <si>
    <t xml:space="preserve">Периодический осмотр просрочен (плановая дата уже прошла)</t>
  </si>
  <si>
    <t xml:space="preserve">Периодический осмотр наступает в течение 30 дней</t>
  </si>
  <si>
    <t xml:space="preserve">Принят более года назад, дата предварительного осмотра не указана</t>
  </si>
  <si>
    <t xml:space="preserve">Возможное нарушение: осмотр после даты приёма</t>
  </si>
  <si>
    <t xml:space="preserve">Подлежат психиатрическому освидетельствованию (342н, "Да")</t>
  </si>
  <si>
    <t xml:space="preserve">Требуют проверки на психиатрическое освидетельствование (342н, "Проверить")</t>
  </si>
  <si>
    <t xml:space="preserve">Из них указана дата прохождения психиатрического освидетельствования</t>
  </si>
  <si>
    <t xml:space="preserve">Психиатр. освидетельствование: прошла внутренняя контрольная дата (5 лет; по 342н кратность не установлена)</t>
  </si>
  <si>
    <t xml:space="preserve">По площадкам / офисам</t>
  </si>
  <si>
    <t xml:space="preserve">Всего</t>
  </si>
  <si>
    <t xml:space="preserve">Просрочен период. осмотр</t>
  </si>
  <si>
    <t xml:space="preserve">Ключ (нормализованная должность)</t>
  </si>
  <si>
    <t xml:space="preserve">Служебный лист, не редактировать. Используется формулами ИНДЕКС и ПОИСКПОЗ на листе «Учёт медосмотров».</t>
  </si>
  <si>
    <t xml:space="preserve">бригадир</t>
  </si>
  <si>
    <t xml:space="preserve">бригадир, слесарь-сборщик</t>
  </si>
  <si>
    <t xml:space="preserve">ведущий диспетчер</t>
  </si>
  <si>
    <t xml:space="preserve">ведущий диспетчер пдо</t>
  </si>
  <si>
    <t xml:space="preserve">ведущий инженер пдо</t>
  </si>
  <si>
    <t xml:space="preserve">ведущий специалист по реставрации</t>
  </si>
  <si>
    <t xml:space="preserve">ведущий специалист по учету</t>
  </si>
  <si>
    <t xml:space="preserve">ведущий специалист по учету пдо</t>
  </si>
  <si>
    <t xml:space="preserve">водитель автомобиля (персональный 2 категории)</t>
  </si>
  <si>
    <t xml:space="preserve">водитель автомобиля (персональный)</t>
  </si>
  <si>
    <t xml:space="preserve">водитель автомобиля-экспедитор</t>
  </si>
  <si>
    <t xml:space="preserve">главный механик</t>
  </si>
  <si>
    <t xml:space="preserve">главный энергетик</t>
  </si>
  <si>
    <t xml:space="preserve">диспетчер</t>
  </si>
  <si>
    <t xml:space="preserve">диспетчер пдо</t>
  </si>
  <si>
    <t xml:space="preserve">заместитель директора департамента-начальник производственного подразделения</t>
  </si>
  <si>
    <t xml:space="preserve">заместитель директора департамента-начальник производственного подразделения № 5</t>
  </si>
  <si>
    <t xml:space="preserve">инженер отк</t>
  </si>
  <si>
    <t xml:space="preserve">инженер пдо</t>
  </si>
  <si>
    <t xml:space="preserve">инженер по авиационному и радиоэлектронному оборудованию</t>
  </si>
  <si>
    <t xml:space="preserve">инженер по эксплуатации</t>
  </si>
  <si>
    <t xml:space="preserve">инженер по эксплуатации зданий и сооружений</t>
  </si>
  <si>
    <t xml:space="preserve">инженер-механик</t>
  </si>
  <si>
    <t xml:space="preserve">инженер-электрик</t>
  </si>
  <si>
    <t xml:space="preserve">кладовщик</t>
  </si>
  <si>
    <t xml:space="preserve">кладовщик-комплектовщик</t>
  </si>
  <si>
    <t xml:space="preserve">контролер отк</t>
  </si>
  <si>
    <t xml:space="preserve">лаборант</t>
  </si>
  <si>
    <t xml:space="preserve">маляр</t>
  </si>
  <si>
    <t xml:space="preserve">мастер участка</t>
  </si>
  <si>
    <t xml:space="preserve">мастер участка сборки интерьера</t>
  </si>
  <si>
    <t xml:space="preserve">мастер участка электромонтажных работ</t>
  </si>
  <si>
    <t xml:space="preserve">мастер электромонтажного участка</t>
  </si>
  <si>
    <t xml:space="preserve">менеджер-комплектовщик</t>
  </si>
  <si>
    <t xml:space="preserve">механик</t>
  </si>
  <si>
    <t xml:space="preserve">механик-наладчик</t>
  </si>
  <si>
    <t xml:space="preserve">монтажник электрооборудования летательных аппаратов</t>
  </si>
  <si>
    <t xml:space="preserve">облицовщик деталей мебели</t>
  </si>
  <si>
    <t xml:space="preserve">оперативный дежурный</t>
  </si>
  <si>
    <t xml:space="preserve">оператор лазерных установок</t>
  </si>
  <si>
    <t xml:space="preserve">оператор листогибочного оборудования</t>
  </si>
  <si>
    <t xml:space="preserve">оператор склада</t>
  </si>
  <si>
    <t xml:space="preserve">оператор станка с чпу</t>
  </si>
  <si>
    <t xml:space="preserve">оператор термопластавтомата</t>
  </si>
  <si>
    <t xml:space="preserve">оператор-наладчик станков с чпу</t>
  </si>
  <si>
    <t xml:space="preserve">рабочий по комплексному обслуживанию и ремонту зданий</t>
  </si>
  <si>
    <t xml:space="preserve">разнорабочий</t>
  </si>
  <si>
    <t xml:space="preserve">реставратор</t>
  </si>
  <si>
    <t xml:space="preserve">сборщик стеклопластиковых изделий</t>
  </si>
  <si>
    <t xml:space="preserve">слесарь механосборочных работ</t>
  </si>
  <si>
    <t xml:space="preserve">слесарь-клепальщик</t>
  </si>
  <si>
    <t xml:space="preserve">слесарь-ремонтник</t>
  </si>
  <si>
    <t xml:space="preserve">слесарь-сборщик</t>
  </si>
  <si>
    <t xml:space="preserve">слесарь-сборщик (бригадир)</t>
  </si>
  <si>
    <t xml:space="preserve">специалист</t>
  </si>
  <si>
    <t xml:space="preserve">специалист по пошиву</t>
  </si>
  <si>
    <t xml:space="preserve">старший кладовщик</t>
  </si>
  <si>
    <t xml:space="preserve">старший оперативный дежурный</t>
  </si>
  <si>
    <t xml:space="preserve">старший охраны объекта</t>
  </si>
  <si>
    <t xml:space="preserve">старший специалист по пошиву</t>
  </si>
  <si>
    <t xml:space="preserve">старший сторож</t>
  </si>
  <si>
    <t xml:space="preserve">старший технический работник</t>
  </si>
  <si>
    <t xml:space="preserve">столяр</t>
  </si>
  <si>
    <t xml:space="preserve">столяр-краснодеревщик</t>
  </si>
  <si>
    <t xml:space="preserve">сторож</t>
  </si>
  <si>
    <t xml:space="preserve">технический работник</t>
  </si>
  <si>
    <t xml:space="preserve">токарь</t>
  </si>
  <si>
    <t xml:space="preserve">уборщик производственных и служебных помещений</t>
  </si>
  <si>
    <t xml:space="preserve">уборщик служебных помещений</t>
  </si>
  <si>
    <t xml:space="preserve">фрезеровщик</t>
  </si>
  <si>
    <t xml:space="preserve">электромонтажник</t>
  </si>
  <si>
    <t xml:space="preserve">электромонтер по ремонту и обслуживанию электрооборудования</t>
  </si>
  <si>
    <t xml:space="preserve">оператор станков с чпу</t>
  </si>
  <si>
    <t xml:space="preserve">добавлено 13.10.2026: вариант написания п.30</t>
  </si>
  <si>
    <t xml:space="preserve">техник-сборщик</t>
  </si>
  <si>
    <t xml:space="preserve">добавлено 13.10.2026: должности нет в Приказе №43; временно по прежней профессии подразделения (Мебельный участок МШ → столяр п.21; Участок декоративной отделки МШ → маляр п.36)</t>
  </si>
  <si>
    <t xml:space="preserve">техник</t>
  </si>
  <si>
    <t xml:space="preserve">Сотрудники, исключённые из учёта: отсутствуют в штатном расписании от 05.10.2026 (уволены)</t>
  </si>
  <si>
    <t xml:space="preserve">Данные сохранены для архива медицинских документов. Перед окончательным списанием — подтвердить увольнение в отделе персонала.</t>
  </si>
  <si>
    <t xml:space="preserve">№ в прежнем учёте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</si>
</sst>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EB9C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97470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1F4E78"/>
        <sz val="10"/>
      </font>
      <fill>
        <patternFill>
          <bgColor rgb="FFBDD7EE"/>
        </patternFill>
      </fill>
    </dxf>
    <dxf>
      <font>
        <name val="Arial"/>
        <charset val="1"/>
        <family val="0"/>
        <color rgb="FF974706"/>
        <sz val="10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74706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Uchet" displayName="TblUchet" ref="A1:Q366" headerRowCount="1" totalsRowCount="0" totalsRowShown="0">
  <autoFilter ref="A1:Q366"/>
  <tableColumns count="17">
    <tableColumn id="1" name="№"/>
    <tableColumn id="2" name="Площадка / офис"/>
    <tableColumn id="3" name="ФИО"/>
    <tableColumn id="4" name="Должность"/>
    <tableColumn id="5" name="Подразделение"/>
    <tableColumn id="6" name="Дата приёма"/>
    <tableColumn id="7" name="Ключ (служ.)"/>
    <tableColumn id="8" name="№ п/п по Перечню"/>
    <tableColumn id="9" name="Пункты приказа"/>
    <tableColumn id="10" name="Периодичность, мес."/>
    <tableColumn id="11" name="Дата предварительного мед. осмотра"/>
    <tableColumn id="12" name="Факт. дата последнего пройденного периодического осмотра"/>
    <tableColumn id="13" name="Дата очередного (планового) периодического осмотра"/>
    <tableColumn id="14" name="Подлежит психиатр. освидетельствованию (342н)"/>
    <tableColumn id="15" name="Дата прохождения психиатр. освидетельствования"/>
    <tableColumn id="16" name="Контрольная дата повторного психиатр. освидетельствования (5 лет — внутренняя мера; Приказ №342н кратность не устанавливает)"/>
    <tableColumn id="17" name="Нарушение: осмотр после приёма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2" customFormat="false" ht="14.25" hidden="false" customHeight="true" outlineLevel="0" collapsed="false">
      <c r="A2" s="3" t="s">
        <v>1</v>
      </c>
    </row>
    <row r="3" customFormat="false" ht="39" hidden="false" customHeight="true" outlineLevel="0" collapsed="false">
      <c r="A3" s="4" t="s">
        <v>2</v>
      </c>
    </row>
    <row r="5" customFormat="false" ht="14.25" hidden="false" customHeight="true" outlineLevel="0" collapsed="false">
      <c r="A5" s="3" t="s">
        <v>3</v>
      </c>
    </row>
    <row r="6" customFormat="false" ht="45" hidden="false" customHeight="true" outlineLevel="0" collapsed="false">
      <c r="A6" s="4" t="s">
        <v>4</v>
      </c>
    </row>
    <row r="8" customFormat="false" ht="14.25" hidden="false" customHeight="true" outlineLevel="0" collapsed="false">
      <c r="A8" s="3" t="s">
        <v>5</v>
      </c>
    </row>
    <row r="9" customFormat="false" ht="45" hidden="false" customHeight="true" outlineLevel="0" collapsed="false">
      <c r="A9" s="4" t="s">
        <v>6</v>
      </c>
    </row>
    <row r="11" customFormat="false" ht="14.25" hidden="false" customHeight="true" outlineLevel="0" collapsed="false">
      <c r="A11" s="3" t="s">
        <v>7</v>
      </c>
    </row>
    <row r="12" customFormat="false" ht="45" hidden="false" customHeight="true" outlineLevel="0" collapsed="false">
      <c r="A12" s="4" t="s">
        <v>8</v>
      </c>
    </row>
    <row r="14" customFormat="false" ht="14.25" hidden="false" customHeight="true" outlineLevel="0" collapsed="false">
      <c r="A14" s="3" t="s">
        <v>9</v>
      </c>
    </row>
    <row r="15" customFormat="false" ht="45" hidden="false" customHeight="true" outlineLevel="0" collapsed="false">
      <c r="A15" s="4" t="s">
        <v>10</v>
      </c>
    </row>
    <row r="17" customFormat="false" ht="14.25" hidden="false" customHeight="true" outlineLevel="0" collapsed="false">
      <c r="A17" s="3" t="s">
        <v>11</v>
      </c>
    </row>
    <row r="18" customFormat="false" ht="14.25" hidden="false" customHeight="true" outlineLevel="0" collapsed="false">
      <c r="A18" s="5" t="s">
        <v>12</v>
      </c>
    </row>
    <row r="19" customFormat="false" ht="14.25" hidden="false" customHeight="true" outlineLevel="0" collapsed="false">
      <c r="A19" s="5" t="s">
        <v>13</v>
      </c>
    </row>
    <row r="20" customFormat="false" ht="14.25" hidden="false" customHeight="true" outlineLevel="0" collapsed="false">
      <c r="A20" s="5" t="s">
        <v>14</v>
      </c>
    </row>
    <row r="21" customFormat="false" ht="14.25" hidden="false" customHeight="true" outlineLevel="0" collapsed="false">
      <c r="A21" s="5" t="s">
        <v>15</v>
      </c>
    </row>
    <row r="22" customFormat="false" ht="14.25" hidden="false" customHeight="true" outlineLevel="0" collapsed="false">
      <c r="A22" s="5" t="s">
        <v>16</v>
      </c>
    </row>
    <row r="25" customFormat="false" ht="14.25" hidden="false" customHeight="true" outlineLevel="0" collapsed="false">
      <c r="A25" s="3" t="s">
        <v>17</v>
      </c>
    </row>
    <row r="26" customFormat="false" ht="111.75" hidden="false" customHeight="true" outlineLevel="0" collapsed="false">
      <c r="A26" s="4" t="s">
        <v>18</v>
      </c>
    </row>
    <row r="27" customFormat="false" ht="55.5" hidden="false" customHeight="true" outlineLevel="0" collapsed="false">
      <c r="A27" s="4" t="s">
        <v>19</v>
      </c>
    </row>
    <row r="28" customFormat="false" ht="45" hidden="false" customHeight="true" outlineLevel="0" collapsed="false">
      <c r="A28" s="4" t="s">
        <v>20</v>
      </c>
    </row>
    <row r="29" customFormat="false" ht="45" hidden="false" customHeight="true" outlineLevel="0" collapsed="false">
      <c r="A29" s="4" t="s">
        <v>21</v>
      </c>
    </row>
    <row r="30" customFormat="false" ht="55.5" hidden="false" customHeight="true" outlineLevel="0" collapsed="false">
      <c r="A30" s="4" t="s">
        <v>22</v>
      </c>
    </row>
    <row r="31" customFormat="false" ht="153.75" hidden="false" customHeight="true" outlineLevel="0" collapsed="false">
      <c r="A31" s="4" t="s">
        <v>23</v>
      </c>
    </row>
    <row r="32" customFormat="false" ht="195.75" hidden="false" customHeight="true" outlineLevel="0" collapsed="false">
      <c r="A32" s="4" t="s">
        <v>24</v>
      </c>
    </row>
    <row r="33" customFormat="false" ht="111.75" hidden="false" customHeight="true" outlineLevel="0" collapsed="false">
      <c r="A33" s="4" t="s">
        <v>25</v>
      </c>
    </row>
    <row r="35" customFormat="false" ht="14.25" hidden="false" customHeight="true" outlineLevel="0" collapsed="false">
      <c r="A35" s="1" t="s">
        <v>26</v>
      </c>
    </row>
    <row r="37" customFormat="false" ht="14.25" hidden="false" customHeight="true" outlineLevel="0" collapsed="false">
      <c r="A37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70"/>
    <col collapsed="false" customWidth="true" hidden="false" outlineLevel="0" max="4" min="4" style="1" width="3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60"/>
    <col collapsed="false" customWidth="true" hidden="false" outlineLevel="0" max="8" min="8" style="1" width="1"/>
  </cols>
  <sheetData>
    <row r="1" customFormat="false" ht="15.75" hidden="false" customHeight="true" outlineLevel="0" collapsed="false">
      <c r="A1" s="7" t="s">
        <v>28</v>
      </c>
    </row>
    <row r="2" customFormat="false" ht="15" hidden="false" customHeight="true" outlineLevel="0" collapsed="false">
      <c r="A2" s="5" t="s">
        <v>29</v>
      </c>
    </row>
    <row r="4" customFormat="false" ht="15" hidden="false" customHeight="true" outlineLevel="0" collapsed="false">
      <c r="A4" s="3" t="s">
        <v>30</v>
      </c>
    </row>
    <row r="5" customFormat="false" ht="23.25" hidden="false" customHeight="true" outlineLevel="0" collapsed="false">
      <c r="A5" s="8" t="s">
        <v>31</v>
      </c>
      <c r="B5" s="8" t="s">
        <v>32</v>
      </c>
    </row>
    <row r="6" customFormat="false" ht="68.25" hidden="false" customHeight="true" outlineLevel="0" collapsed="false">
      <c r="A6" s="9" t="s">
        <v>33</v>
      </c>
      <c r="B6" s="9" t="n">
        <v>365</v>
      </c>
    </row>
    <row r="7" customFormat="false" ht="180" hidden="false" customHeight="true" outlineLevel="0" collapsed="false">
      <c r="A7" s="9" t="s">
        <v>34</v>
      </c>
      <c r="B7" s="9" t="n">
        <v>6</v>
      </c>
    </row>
    <row r="8" customFormat="false" ht="157.5" hidden="false" customHeight="true" outlineLevel="0" collapsed="false">
      <c r="A8" s="9" t="s">
        <v>35</v>
      </c>
      <c r="B8" s="9" t="n">
        <v>12</v>
      </c>
    </row>
    <row r="9" customFormat="false" ht="34.5" hidden="false" customHeight="true" outlineLevel="0" collapsed="false">
      <c r="A9" s="9" t="s">
        <v>36</v>
      </c>
      <c r="B9" s="9" t="n">
        <f aca="false">COUNTA('Учёт медосмотров'!$C$2:$C$372)</f>
        <v>371</v>
      </c>
    </row>
    <row r="10" customFormat="false" ht="147" hidden="false" customHeight="true" outlineLevel="0" collapsed="false">
      <c r="A10" s="9" t="s">
        <v>37</v>
      </c>
      <c r="B10" s="9" t="n">
        <v>104</v>
      </c>
    </row>
    <row r="11" customFormat="false" ht="157.5" hidden="false" customHeight="true" outlineLevel="0" collapsed="false">
      <c r="A11" s="9" t="s">
        <v>38</v>
      </c>
      <c r="B11" s="9" t="n">
        <v>33</v>
      </c>
    </row>
    <row r="13" customFormat="false" ht="15" hidden="false" customHeight="true" outlineLevel="0" collapsed="false">
      <c r="A13" s="3" t="s">
        <v>39</v>
      </c>
    </row>
    <row r="14" customFormat="false" ht="15" hidden="false" customHeight="true" outlineLevel="0" collapsed="false">
      <c r="A14" s="8" t="s">
        <v>40</v>
      </c>
      <c r="B14" s="8" t="s">
        <v>41</v>
      </c>
      <c r="C14" s="8" t="s">
        <v>42</v>
      </c>
      <c r="D14" s="8" t="s">
        <v>43</v>
      </c>
      <c r="E14" s="8" t="s">
        <v>44</v>
      </c>
      <c r="F14" s="8" t="s">
        <v>45</v>
      </c>
      <c r="G14" s="8" t="s">
        <v>46</v>
      </c>
    </row>
    <row r="15" customFormat="false" ht="23.25" hidden="false" customHeight="true" outlineLevel="0" collapsed="false">
      <c r="A15" s="9" t="n">
        <v>1</v>
      </c>
      <c r="B15" s="9" t="s">
        <v>47</v>
      </c>
      <c r="C15" s="9" t="s">
        <v>48</v>
      </c>
      <c r="D15" s="9" t="s">
        <v>49</v>
      </c>
      <c r="E15" s="9" t="s">
        <v>50</v>
      </c>
      <c r="F15" s="10" t="n">
        <v>46286</v>
      </c>
      <c r="G15" s="9" t="s">
        <v>51</v>
      </c>
    </row>
    <row r="16" customFormat="false" ht="45.75" hidden="false" customHeight="true" outlineLevel="0" collapsed="false">
      <c r="A16" s="9" t="n">
        <v>2</v>
      </c>
      <c r="B16" s="9" t="s">
        <v>52</v>
      </c>
      <c r="C16" s="9" t="s">
        <v>53</v>
      </c>
      <c r="D16" s="9" t="s">
        <v>49</v>
      </c>
      <c r="E16" s="9" t="s">
        <v>50</v>
      </c>
      <c r="F16" s="10" t="n">
        <v>46163</v>
      </c>
      <c r="G16" s="9" t="s">
        <v>54</v>
      </c>
    </row>
    <row r="17" customFormat="false" ht="45.75" hidden="false" customHeight="true" outlineLevel="0" collapsed="false">
      <c r="A17" s="9" t="n">
        <v>3</v>
      </c>
      <c r="B17" s="9" t="s">
        <v>55</v>
      </c>
      <c r="C17" s="9" t="s">
        <v>56</v>
      </c>
      <c r="D17" s="9" t="s">
        <v>57</v>
      </c>
      <c r="E17" s="9" t="s">
        <v>50</v>
      </c>
      <c r="F17" s="10" t="n">
        <v>46267</v>
      </c>
      <c r="G17" s="9" t="s">
        <v>58</v>
      </c>
    </row>
    <row r="18" customFormat="false" ht="23.25" hidden="false" customHeight="true" outlineLevel="0" collapsed="false">
      <c r="A18" s="9" t="n">
        <v>4</v>
      </c>
      <c r="B18" s="9" t="s">
        <v>59</v>
      </c>
      <c r="C18" s="9" t="s">
        <v>60</v>
      </c>
      <c r="D18" s="9" t="s">
        <v>61</v>
      </c>
      <c r="E18" s="9" t="s">
        <v>50</v>
      </c>
      <c r="F18" s="10" t="n">
        <v>46290</v>
      </c>
      <c r="G18" s="9" t="s">
        <v>62</v>
      </c>
    </row>
    <row r="19" customFormat="false" ht="45.75" hidden="false" customHeight="true" outlineLevel="0" collapsed="false">
      <c r="A19" s="9" t="n">
        <v>5</v>
      </c>
      <c r="B19" s="9" t="s">
        <v>63</v>
      </c>
      <c r="C19" s="9" t="s">
        <v>64</v>
      </c>
      <c r="D19" s="9" t="s">
        <v>61</v>
      </c>
      <c r="E19" s="9" t="s">
        <v>50</v>
      </c>
      <c r="F19" s="10" t="n">
        <v>46286</v>
      </c>
      <c r="G19" s="9" t="s">
        <v>65</v>
      </c>
    </row>
    <row r="20" customFormat="false" ht="34.5" hidden="false" customHeight="true" outlineLevel="0" collapsed="false">
      <c r="A20" s="9" t="n">
        <v>6</v>
      </c>
      <c r="B20" s="9" t="s">
        <v>66</v>
      </c>
      <c r="C20" s="9" t="s">
        <v>67</v>
      </c>
      <c r="D20" s="9" t="s">
        <v>61</v>
      </c>
      <c r="E20" s="9" t="s">
        <v>50</v>
      </c>
      <c r="F20" s="10" t="n">
        <v>46296</v>
      </c>
      <c r="G20" s="9" t="s">
        <v>68</v>
      </c>
    </row>
    <row r="21" customFormat="false" ht="23.25" hidden="false" customHeight="true" outlineLevel="0" collapsed="false">
      <c r="A21" s="9" t="n">
        <v>7</v>
      </c>
      <c r="B21" s="9" t="s">
        <v>69</v>
      </c>
      <c r="C21" s="9" t="s">
        <v>70</v>
      </c>
      <c r="D21" s="9" t="s">
        <v>71</v>
      </c>
      <c r="E21" s="9" t="s">
        <v>72</v>
      </c>
      <c r="F21" s="10" t="n">
        <v>46296</v>
      </c>
      <c r="G21" s="9" t="s">
        <v>73</v>
      </c>
    </row>
    <row r="22" customFormat="false" ht="23.25" hidden="false" customHeight="true" outlineLevel="0" collapsed="false">
      <c r="A22" s="9" t="n">
        <v>8</v>
      </c>
      <c r="B22" s="9" t="s">
        <v>74</v>
      </c>
      <c r="C22" s="9" t="s">
        <v>75</v>
      </c>
      <c r="D22" s="9" t="s">
        <v>76</v>
      </c>
      <c r="E22" s="9" t="s">
        <v>72</v>
      </c>
      <c r="F22" s="10" t="n">
        <v>46297</v>
      </c>
      <c r="G22" s="9" t="s">
        <v>77</v>
      </c>
    </row>
    <row r="23" customFormat="false" ht="23.25" hidden="false" customHeight="true" outlineLevel="0" collapsed="false">
      <c r="A23" s="9" t="n">
        <v>9</v>
      </c>
      <c r="B23" s="9" t="s">
        <v>78</v>
      </c>
      <c r="C23" s="9" t="s">
        <v>79</v>
      </c>
      <c r="D23" s="9" t="s">
        <v>80</v>
      </c>
      <c r="E23" s="9" t="s">
        <v>81</v>
      </c>
      <c r="F23" s="10" t="n">
        <v>46293</v>
      </c>
      <c r="G23" s="9" t="s">
        <v>82</v>
      </c>
    </row>
    <row r="24" customFormat="false" ht="23.25" hidden="false" customHeight="true" outlineLevel="0" collapsed="false">
      <c r="A24" s="9" t="n">
        <v>10</v>
      </c>
      <c r="B24" s="9" t="s">
        <v>83</v>
      </c>
      <c r="C24" s="9" t="s">
        <v>84</v>
      </c>
      <c r="D24" s="9" t="s">
        <v>85</v>
      </c>
      <c r="E24" s="9" t="s">
        <v>81</v>
      </c>
      <c r="F24" s="10" t="n">
        <v>46296</v>
      </c>
      <c r="G24" s="9" t="s">
        <v>73</v>
      </c>
    </row>
    <row r="25" customFormat="false" ht="23.25" hidden="false" customHeight="true" outlineLevel="0" collapsed="false">
      <c r="A25" s="9" t="n">
        <v>11</v>
      </c>
      <c r="B25" s="9" t="s">
        <v>86</v>
      </c>
      <c r="C25" s="9" t="s">
        <v>84</v>
      </c>
      <c r="D25" s="9" t="s">
        <v>85</v>
      </c>
      <c r="E25" s="9" t="s">
        <v>81</v>
      </c>
      <c r="F25" s="10" t="n">
        <v>46286</v>
      </c>
      <c r="G25" s="9" t="s">
        <v>51</v>
      </c>
    </row>
    <row r="26" customFormat="false" ht="23.25" hidden="false" customHeight="true" outlineLevel="0" collapsed="false">
      <c r="A26" s="9" t="n">
        <v>12</v>
      </c>
      <c r="B26" s="9" t="s">
        <v>87</v>
      </c>
      <c r="C26" s="9" t="s">
        <v>75</v>
      </c>
      <c r="D26" s="9" t="s">
        <v>88</v>
      </c>
      <c r="E26" s="9" t="s">
        <v>81</v>
      </c>
      <c r="F26" s="10" t="n">
        <v>46269</v>
      </c>
      <c r="G26" s="9" t="s">
        <v>89</v>
      </c>
    </row>
    <row r="28" customFormat="false" ht="15" hidden="false" customHeight="true" outlineLevel="0" collapsed="false">
      <c r="A28" s="3" t="s">
        <v>90</v>
      </c>
    </row>
    <row r="29" customFormat="false" ht="15" hidden="false" customHeight="true" outlineLevel="0" collapsed="false">
      <c r="A29" s="8" t="s">
        <v>40</v>
      </c>
      <c r="B29" s="8" t="s">
        <v>41</v>
      </c>
      <c r="C29" s="8" t="s">
        <v>42</v>
      </c>
      <c r="D29" s="8" t="s">
        <v>43</v>
      </c>
      <c r="E29" s="8" t="s">
        <v>44</v>
      </c>
      <c r="F29" s="8" t="s">
        <v>45</v>
      </c>
      <c r="G29" s="8" t="s">
        <v>46</v>
      </c>
    </row>
    <row r="30" customFormat="false" ht="23.25" hidden="false" customHeight="true" outlineLevel="0" collapsed="false">
      <c r="A30" s="9" t="n">
        <v>52</v>
      </c>
      <c r="B30" s="9" t="s">
        <v>91</v>
      </c>
      <c r="C30" s="9" t="s">
        <v>75</v>
      </c>
      <c r="D30" s="9" t="s">
        <v>92</v>
      </c>
      <c r="E30" s="9" t="s">
        <v>81</v>
      </c>
      <c r="F30" s="10" t="n">
        <v>45770</v>
      </c>
      <c r="G30" s="9" t="s">
        <v>93</v>
      </c>
    </row>
    <row r="31" customFormat="false" ht="15" hidden="false" customHeight="true" outlineLevel="0" collapsed="false">
      <c r="A31" s="9" t="n">
        <v>98</v>
      </c>
      <c r="B31" s="9" t="s">
        <v>94</v>
      </c>
      <c r="C31" s="9" t="s">
        <v>95</v>
      </c>
      <c r="D31" s="9" t="s">
        <v>96</v>
      </c>
      <c r="E31" s="9" t="s">
        <v>50</v>
      </c>
      <c r="F31" s="10" t="n">
        <v>46139</v>
      </c>
      <c r="G31" s="9" t="s">
        <v>97</v>
      </c>
    </row>
    <row r="32" customFormat="false" ht="15" hidden="false" customHeight="true" outlineLevel="0" collapsed="false">
      <c r="A32" s="9" t="n">
        <v>302</v>
      </c>
      <c r="B32" s="9" t="s">
        <v>98</v>
      </c>
      <c r="C32" s="9" t="s">
        <v>99</v>
      </c>
      <c r="D32" s="9" t="s">
        <v>100</v>
      </c>
      <c r="E32" s="9" t="s">
        <v>72</v>
      </c>
      <c r="F32" s="10" t="n">
        <v>46140</v>
      </c>
      <c r="G32" s="9" t="s">
        <v>97</v>
      </c>
    </row>
    <row r="33" customFormat="false" ht="23.25" hidden="false" customHeight="true" outlineLevel="0" collapsed="false">
      <c r="A33" s="9" t="n">
        <v>304</v>
      </c>
      <c r="B33" s="9" t="s">
        <v>101</v>
      </c>
      <c r="C33" s="9" t="s">
        <v>60</v>
      </c>
      <c r="D33" s="9" t="s">
        <v>100</v>
      </c>
      <c r="E33" s="9" t="s">
        <v>72</v>
      </c>
      <c r="F33" s="10" t="n">
        <v>46036</v>
      </c>
      <c r="G33" s="9" t="s">
        <v>93</v>
      </c>
    </row>
    <row r="34" customFormat="false" ht="15" hidden="false" customHeight="true" outlineLevel="0" collapsed="false">
      <c r="A34" s="9" t="n">
        <v>318</v>
      </c>
      <c r="B34" s="9" t="s">
        <v>102</v>
      </c>
      <c r="C34" s="9" t="s">
        <v>84</v>
      </c>
      <c r="D34" s="9" t="s">
        <v>100</v>
      </c>
      <c r="E34" s="9" t="s">
        <v>72</v>
      </c>
      <c r="F34" s="10" t="n">
        <v>45950</v>
      </c>
      <c r="G34" s="9" t="s">
        <v>97</v>
      </c>
    </row>
    <row r="35" customFormat="false" ht="15" hidden="false" customHeight="true" outlineLevel="0" collapsed="false">
      <c r="A35" s="9" t="n">
        <v>322</v>
      </c>
      <c r="B35" s="9" t="s">
        <v>103</v>
      </c>
      <c r="C35" s="9" t="s">
        <v>104</v>
      </c>
      <c r="D35" s="9" t="s">
        <v>100</v>
      </c>
      <c r="E35" s="9" t="s">
        <v>72</v>
      </c>
      <c r="F35" s="10" t="n">
        <v>46156</v>
      </c>
      <c r="G35" s="9" t="s">
        <v>97</v>
      </c>
    </row>
    <row r="37" customFormat="false" ht="15" hidden="false" customHeight="true" outlineLevel="0" collapsed="false">
      <c r="A37" s="3" t="s">
        <v>105</v>
      </c>
    </row>
    <row r="38" customFormat="false" ht="34.5" hidden="false" customHeight="true" outlineLevel="0" collapsed="false">
      <c r="A38" s="8" t="s">
        <v>106</v>
      </c>
      <c r="B38" s="8" t="s">
        <v>41</v>
      </c>
      <c r="C38" s="8" t="s">
        <v>107</v>
      </c>
    </row>
    <row r="39" customFormat="false" ht="34.5" hidden="false" customHeight="true" outlineLevel="0" collapsed="false">
      <c r="A39" s="9" t="n">
        <v>132</v>
      </c>
      <c r="B39" s="9" t="s">
        <v>108</v>
      </c>
      <c r="C39" s="9" t="s">
        <v>109</v>
      </c>
    </row>
    <row r="40" customFormat="false" ht="34.5" hidden="false" customHeight="true" outlineLevel="0" collapsed="false">
      <c r="A40" s="9" t="n">
        <v>133</v>
      </c>
      <c r="B40" s="9" t="s">
        <v>110</v>
      </c>
      <c r="C40" s="9" t="s">
        <v>109</v>
      </c>
    </row>
    <row r="41" customFormat="false" ht="34.5" hidden="false" customHeight="true" outlineLevel="0" collapsed="false">
      <c r="A41" s="9" t="n">
        <v>134</v>
      </c>
      <c r="B41" s="9" t="s">
        <v>111</v>
      </c>
      <c r="C41" s="9" t="s">
        <v>109</v>
      </c>
    </row>
    <row r="42" customFormat="false" ht="34.5" hidden="false" customHeight="true" outlineLevel="0" collapsed="false">
      <c r="A42" s="9" t="n">
        <v>135</v>
      </c>
      <c r="B42" s="9" t="s">
        <v>112</v>
      </c>
      <c r="C42" s="9" t="s">
        <v>109</v>
      </c>
    </row>
    <row r="43" customFormat="false" ht="34.5" hidden="false" customHeight="true" outlineLevel="0" collapsed="false">
      <c r="A43" s="9" t="n">
        <v>136</v>
      </c>
      <c r="B43" s="9" t="s">
        <v>113</v>
      </c>
      <c r="C43" s="9" t="s">
        <v>114</v>
      </c>
    </row>
    <row r="44" customFormat="false" ht="34.5" hidden="false" customHeight="true" outlineLevel="0" collapsed="false">
      <c r="A44" s="9" t="n">
        <v>137</v>
      </c>
      <c r="B44" s="9" t="s">
        <v>115</v>
      </c>
      <c r="C44" s="9" t="s">
        <v>114</v>
      </c>
    </row>
    <row r="45" customFormat="false" ht="34.5" hidden="false" customHeight="true" outlineLevel="0" collapsed="false">
      <c r="A45" s="9" t="n">
        <v>138</v>
      </c>
      <c r="B45" s="9" t="s">
        <v>116</v>
      </c>
      <c r="C45" s="9" t="s">
        <v>114</v>
      </c>
    </row>
    <row r="46" customFormat="false" ht="34.5" hidden="false" customHeight="true" outlineLevel="0" collapsed="false">
      <c r="A46" s="9" t="n">
        <v>139</v>
      </c>
      <c r="B46" s="9" t="s">
        <v>117</v>
      </c>
      <c r="C46" s="9" t="s">
        <v>118</v>
      </c>
    </row>
    <row r="47" customFormat="false" ht="34.5" hidden="false" customHeight="true" outlineLevel="0" collapsed="false">
      <c r="A47" s="9" t="n">
        <v>141</v>
      </c>
      <c r="B47" s="9" t="s">
        <v>119</v>
      </c>
      <c r="C47" s="9" t="s">
        <v>118</v>
      </c>
    </row>
    <row r="48" customFormat="false" ht="34.5" hidden="false" customHeight="true" outlineLevel="0" collapsed="false">
      <c r="A48" s="9" t="n">
        <v>146</v>
      </c>
      <c r="B48" s="9" t="s">
        <v>120</v>
      </c>
      <c r="C48" s="9" t="s">
        <v>121</v>
      </c>
    </row>
    <row r="49" customFormat="false" ht="34.5" hidden="false" customHeight="true" outlineLevel="0" collapsed="false">
      <c r="A49" s="9" t="n">
        <v>147</v>
      </c>
      <c r="B49" s="9" t="s">
        <v>122</v>
      </c>
      <c r="C49" s="9" t="s">
        <v>121</v>
      </c>
    </row>
    <row r="50" customFormat="false" ht="34.5" hidden="false" customHeight="true" outlineLevel="0" collapsed="false">
      <c r="A50" s="9" t="n">
        <v>148</v>
      </c>
      <c r="B50" s="9" t="s">
        <v>123</v>
      </c>
      <c r="C50" s="9" t="s">
        <v>121</v>
      </c>
    </row>
    <row r="51" customFormat="false" ht="34.5" hidden="false" customHeight="true" outlineLevel="0" collapsed="false">
      <c r="A51" s="9" t="n">
        <v>149</v>
      </c>
      <c r="B51" s="9" t="s">
        <v>124</v>
      </c>
      <c r="C51" s="9" t="s">
        <v>121</v>
      </c>
    </row>
    <row r="52" customFormat="false" ht="34.5" hidden="false" customHeight="true" outlineLevel="0" collapsed="false">
      <c r="A52" s="9" t="n">
        <v>150</v>
      </c>
      <c r="B52" s="9" t="s">
        <v>125</v>
      </c>
      <c r="C52" s="9" t="s">
        <v>121</v>
      </c>
    </row>
    <row r="53" customFormat="false" ht="34.5" hidden="false" customHeight="true" outlineLevel="0" collapsed="false">
      <c r="A53" s="9" t="n">
        <v>151</v>
      </c>
      <c r="B53" s="9" t="s">
        <v>126</v>
      </c>
      <c r="C53" s="9" t="s">
        <v>121</v>
      </c>
    </row>
    <row r="54" customFormat="false" ht="34.5" hidden="false" customHeight="true" outlineLevel="0" collapsed="false">
      <c r="A54" s="9" t="n">
        <v>152</v>
      </c>
      <c r="B54" s="9" t="s">
        <v>127</v>
      </c>
      <c r="C54" s="9" t="s">
        <v>121</v>
      </c>
    </row>
    <row r="55" customFormat="false" ht="34.5" hidden="false" customHeight="true" outlineLevel="0" collapsed="false">
      <c r="A55" s="9" t="n">
        <v>153</v>
      </c>
      <c r="B55" s="9" t="s">
        <v>128</v>
      </c>
      <c r="C55" s="9" t="s">
        <v>121</v>
      </c>
    </row>
    <row r="56" customFormat="false" ht="34.5" hidden="false" customHeight="true" outlineLevel="0" collapsed="false">
      <c r="A56" s="9" t="n">
        <v>154</v>
      </c>
      <c r="B56" s="9" t="s">
        <v>129</v>
      </c>
      <c r="C56" s="9" t="s">
        <v>130</v>
      </c>
    </row>
    <row r="57" customFormat="false" ht="34.5" hidden="false" customHeight="true" outlineLevel="0" collapsed="false">
      <c r="A57" s="9" t="n">
        <v>155</v>
      </c>
      <c r="B57" s="9" t="s">
        <v>131</v>
      </c>
      <c r="C57" s="9" t="s">
        <v>130</v>
      </c>
    </row>
    <row r="58" customFormat="false" ht="34.5" hidden="false" customHeight="true" outlineLevel="0" collapsed="false">
      <c r="A58" s="9" t="n">
        <v>156</v>
      </c>
      <c r="B58" s="9" t="s">
        <v>132</v>
      </c>
      <c r="C58" s="9" t="s">
        <v>130</v>
      </c>
    </row>
    <row r="59" customFormat="false" ht="34.5" hidden="false" customHeight="true" outlineLevel="0" collapsed="false">
      <c r="A59" s="9" t="n">
        <v>157</v>
      </c>
      <c r="B59" s="9" t="s">
        <v>133</v>
      </c>
      <c r="C59" s="9" t="s">
        <v>130</v>
      </c>
    </row>
    <row r="60" customFormat="false" ht="34.5" hidden="false" customHeight="true" outlineLevel="0" collapsed="false">
      <c r="A60" s="9" t="n">
        <v>158</v>
      </c>
      <c r="B60" s="9" t="s">
        <v>134</v>
      </c>
      <c r="C60" s="9" t="s">
        <v>130</v>
      </c>
    </row>
    <row r="61" customFormat="false" ht="34.5" hidden="false" customHeight="true" outlineLevel="0" collapsed="false">
      <c r="A61" s="9" t="n">
        <v>159</v>
      </c>
      <c r="B61" s="9" t="s">
        <v>135</v>
      </c>
      <c r="C61" s="9" t="s">
        <v>130</v>
      </c>
    </row>
    <row r="62" customFormat="false" ht="23.25" hidden="false" customHeight="true" outlineLevel="0" collapsed="false">
      <c r="A62" s="9" t="n">
        <v>160</v>
      </c>
      <c r="B62" s="9" t="s">
        <v>136</v>
      </c>
      <c r="C62" s="9" t="s">
        <v>137</v>
      </c>
    </row>
    <row r="63" customFormat="false" ht="34.5" hidden="false" customHeight="true" outlineLevel="0" collapsed="false">
      <c r="A63" s="9" t="n">
        <v>161</v>
      </c>
      <c r="B63" s="9" t="s">
        <v>138</v>
      </c>
      <c r="C63" s="9" t="s">
        <v>130</v>
      </c>
    </row>
    <row r="64" customFormat="false" ht="34.5" hidden="false" customHeight="true" outlineLevel="0" collapsed="false">
      <c r="A64" s="9" t="n">
        <v>163</v>
      </c>
      <c r="B64" s="9" t="s">
        <v>139</v>
      </c>
      <c r="C64" s="9" t="s">
        <v>140</v>
      </c>
    </row>
    <row r="65" customFormat="false" ht="34.5" hidden="false" customHeight="true" outlineLevel="0" collapsed="false">
      <c r="A65" s="9" t="n">
        <v>170</v>
      </c>
      <c r="B65" s="9" t="s">
        <v>141</v>
      </c>
      <c r="C65" s="9" t="s">
        <v>142</v>
      </c>
    </row>
    <row r="66" customFormat="false" ht="34.5" hidden="false" customHeight="true" outlineLevel="0" collapsed="false">
      <c r="A66" s="9" t="n">
        <v>173</v>
      </c>
      <c r="B66" s="9" t="s">
        <v>143</v>
      </c>
      <c r="C66" s="9" t="s">
        <v>144</v>
      </c>
    </row>
    <row r="67" customFormat="false" ht="34.5" hidden="false" customHeight="true" outlineLevel="0" collapsed="false">
      <c r="A67" s="9" t="n">
        <v>176</v>
      </c>
      <c r="B67" s="9" t="s">
        <v>145</v>
      </c>
      <c r="C67" s="9" t="s">
        <v>146</v>
      </c>
    </row>
    <row r="68" customFormat="false" ht="23.25" hidden="false" customHeight="true" outlineLevel="0" collapsed="false">
      <c r="A68" s="9" t="n">
        <v>178</v>
      </c>
      <c r="B68" s="9" t="s">
        <v>147</v>
      </c>
      <c r="C68" s="9" t="s">
        <v>148</v>
      </c>
    </row>
    <row r="69" customFormat="false" ht="23.25" hidden="false" customHeight="true" outlineLevel="0" collapsed="false">
      <c r="A69" s="9" t="n">
        <v>179</v>
      </c>
      <c r="B69" s="9" t="s">
        <v>149</v>
      </c>
      <c r="C69" s="9" t="s">
        <v>148</v>
      </c>
    </row>
    <row r="70" customFormat="false" ht="34.5" hidden="false" customHeight="true" outlineLevel="0" collapsed="false">
      <c r="A70" s="9" t="n">
        <v>180</v>
      </c>
      <c r="B70" s="9" t="s">
        <v>150</v>
      </c>
      <c r="C70" s="9" t="s">
        <v>151</v>
      </c>
    </row>
    <row r="71" customFormat="false" ht="34.5" hidden="false" customHeight="true" outlineLevel="0" collapsed="false">
      <c r="A71" s="9" t="n">
        <v>181</v>
      </c>
      <c r="B71" s="9" t="s">
        <v>152</v>
      </c>
      <c r="C71" s="9" t="s">
        <v>151</v>
      </c>
    </row>
    <row r="72" customFormat="false" ht="34.5" hidden="false" customHeight="true" outlineLevel="0" collapsed="false">
      <c r="A72" s="9" t="n">
        <v>182</v>
      </c>
      <c r="B72" s="9" t="s">
        <v>153</v>
      </c>
      <c r="C72" s="9" t="s">
        <v>154</v>
      </c>
    </row>
    <row r="73" customFormat="false" ht="34.5" hidden="false" customHeight="true" outlineLevel="0" collapsed="false">
      <c r="A73" s="9" t="n">
        <v>184</v>
      </c>
      <c r="B73" s="9" t="s">
        <v>155</v>
      </c>
      <c r="C73" s="9" t="s">
        <v>156</v>
      </c>
    </row>
    <row r="74" customFormat="false" ht="34.5" hidden="false" customHeight="true" outlineLevel="0" collapsed="false">
      <c r="A74" s="9" t="n">
        <v>187</v>
      </c>
      <c r="B74" s="9" t="s">
        <v>157</v>
      </c>
      <c r="C74" s="9" t="s">
        <v>158</v>
      </c>
    </row>
    <row r="75" customFormat="false" ht="34.5" hidden="false" customHeight="true" outlineLevel="0" collapsed="false">
      <c r="A75" s="9" t="n">
        <v>188</v>
      </c>
      <c r="B75" s="9" t="s">
        <v>159</v>
      </c>
      <c r="C75" s="9" t="s">
        <v>160</v>
      </c>
    </row>
    <row r="76" customFormat="false" ht="34.5" hidden="false" customHeight="true" outlineLevel="0" collapsed="false">
      <c r="A76" s="9" t="n">
        <v>189</v>
      </c>
      <c r="B76" s="9" t="s">
        <v>161</v>
      </c>
      <c r="C76" s="9" t="s">
        <v>160</v>
      </c>
    </row>
    <row r="77" customFormat="false" ht="34.5" hidden="false" customHeight="true" outlineLevel="0" collapsed="false">
      <c r="A77" s="9" t="n">
        <v>190</v>
      </c>
      <c r="B77" s="9" t="s">
        <v>162</v>
      </c>
      <c r="C77" s="9" t="s">
        <v>160</v>
      </c>
    </row>
    <row r="78" customFormat="false" ht="34.5" hidden="false" customHeight="true" outlineLevel="0" collapsed="false">
      <c r="A78" s="9" t="n">
        <v>191</v>
      </c>
      <c r="B78" s="9" t="s">
        <v>163</v>
      </c>
      <c r="C78" s="9" t="s">
        <v>164</v>
      </c>
    </row>
    <row r="79" customFormat="false" ht="34.5" hidden="false" customHeight="true" outlineLevel="0" collapsed="false">
      <c r="A79" s="9" t="n">
        <v>192</v>
      </c>
      <c r="B79" s="9" t="s">
        <v>165</v>
      </c>
      <c r="C79" s="9" t="s">
        <v>164</v>
      </c>
    </row>
    <row r="80" customFormat="false" ht="34.5" hidden="false" customHeight="true" outlineLevel="0" collapsed="false">
      <c r="A80" s="9" t="n">
        <v>193</v>
      </c>
      <c r="B80" s="9" t="s">
        <v>166</v>
      </c>
      <c r="C80" s="9" t="s">
        <v>167</v>
      </c>
    </row>
    <row r="81" customFormat="false" ht="34.5" hidden="false" customHeight="true" outlineLevel="0" collapsed="false">
      <c r="A81" s="9" t="n">
        <v>194</v>
      </c>
      <c r="B81" s="9" t="s">
        <v>168</v>
      </c>
      <c r="C81" s="9" t="s">
        <v>167</v>
      </c>
    </row>
    <row r="82" customFormat="false" ht="34.5" hidden="false" customHeight="true" outlineLevel="0" collapsed="false">
      <c r="A82" s="9" t="n">
        <v>195</v>
      </c>
      <c r="B82" s="9" t="s">
        <v>169</v>
      </c>
      <c r="C82" s="9" t="s">
        <v>167</v>
      </c>
    </row>
    <row r="83" customFormat="false" ht="34.5" hidden="false" customHeight="true" outlineLevel="0" collapsed="false">
      <c r="A83" s="9" t="n">
        <v>196</v>
      </c>
      <c r="B83" s="9" t="s">
        <v>170</v>
      </c>
      <c r="C83" s="9" t="s">
        <v>171</v>
      </c>
    </row>
    <row r="84" customFormat="false" ht="34.5" hidden="false" customHeight="true" outlineLevel="0" collapsed="false">
      <c r="A84" s="9" t="n">
        <v>320</v>
      </c>
      <c r="B84" s="9" t="s">
        <v>172</v>
      </c>
      <c r="C84" s="9" t="s">
        <v>173</v>
      </c>
    </row>
    <row r="85" customFormat="false" ht="34.5" hidden="false" customHeight="true" outlineLevel="0" collapsed="false">
      <c r="A85" s="9" t="n">
        <v>321</v>
      </c>
      <c r="B85" s="9" t="s">
        <v>174</v>
      </c>
      <c r="C85" s="9" t="s">
        <v>175</v>
      </c>
    </row>
    <row r="87" customFormat="false" ht="15" hidden="false" customHeight="true" outlineLevel="0" collapsed="false">
      <c r="A87" s="3" t="s">
        <v>176</v>
      </c>
    </row>
    <row r="88" customFormat="false" ht="15" hidden="false" customHeight="true" outlineLevel="0" collapsed="false">
      <c r="A88" s="5" t="s">
        <v>177</v>
      </c>
    </row>
    <row r="90" customFormat="false" ht="15" hidden="false" customHeight="true" outlineLevel="0" collapsed="false">
      <c r="A90" s="3" t="s">
        <v>178</v>
      </c>
    </row>
    <row r="91" customFormat="false" ht="15" hidden="false" customHeight="true" outlineLevel="0" collapsed="false">
      <c r="A91" s="8" t="s">
        <v>40</v>
      </c>
      <c r="B91" s="8" t="s">
        <v>41</v>
      </c>
      <c r="C91" s="8" t="s">
        <v>42</v>
      </c>
      <c r="D91" s="8" t="s">
        <v>43</v>
      </c>
      <c r="E91" s="8" t="s">
        <v>44</v>
      </c>
      <c r="F91" s="8" t="s">
        <v>45</v>
      </c>
      <c r="G91" s="8" t="s">
        <v>179</v>
      </c>
    </row>
    <row r="92" customFormat="false" ht="34.5" hidden="false" customHeight="true" outlineLevel="0" collapsed="false">
      <c r="A92" s="9" t="n">
        <v>1</v>
      </c>
      <c r="B92" s="9" t="s">
        <v>180</v>
      </c>
      <c r="C92" s="9" t="s">
        <v>181</v>
      </c>
      <c r="D92" s="9" t="s">
        <v>182</v>
      </c>
      <c r="E92" s="9" t="s">
        <v>50</v>
      </c>
      <c r="F92" s="10" t="n">
        <v>44258</v>
      </c>
      <c r="G92" s="9" t="s">
        <v>183</v>
      </c>
    </row>
    <row r="93" customFormat="false" ht="34.5" hidden="false" customHeight="true" outlineLevel="0" collapsed="false">
      <c r="A93" s="9" t="n">
        <v>2</v>
      </c>
      <c r="B93" s="9" t="s">
        <v>184</v>
      </c>
      <c r="C93" s="9" t="s">
        <v>185</v>
      </c>
      <c r="D93" s="9" t="s">
        <v>182</v>
      </c>
      <c r="E93" s="9" t="s">
        <v>50</v>
      </c>
      <c r="F93" s="10" t="n">
        <v>40210</v>
      </c>
      <c r="G93" s="9" t="s">
        <v>183</v>
      </c>
    </row>
    <row r="94" customFormat="false" ht="34.5" hidden="false" customHeight="true" outlineLevel="0" collapsed="false">
      <c r="A94" s="9" t="n">
        <v>3</v>
      </c>
      <c r="B94" s="9" t="s">
        <v>186</v>
      </c>
      <c r="C94" s="9" t="s">
        <v>181</v>
      </c>
      <c r="D94" s="9" t="s">
        <v>187</v>
      </c>
      <c r="E94" s="9" t="s">
        <v>50</v>
      </c>
      <c r="F94" s="10" t="n">
        <v>40878</v>
      </c>
      <c r="G94" s="9" t="s">
        <v>183</v>
      </c>
    </row>
    <row r="95" customFormat="false" ht="45.75" hidden="false" customHeight="true" outlineLevel="0" collapsed="false">
      <c r="A95" s="9" t="n">
        <v>4</v>
      </c>
      <c r="B95" s="9" t="s">
        <v>141</v>
      </c>
      <c r="C95" s="9" t="s">
        <v>188</v>
      </c>
      <c r="D95" s="9" t="s">
        <v>49</v>
      </c>
      <c r="E95" s="9" t="s">
        <v>50</v>
      </c>
      <c r="F95" s="10" t="n">
        <v>41061</v>
      </c>
      <c r="G95" s="9" t="s">
        <v>189</v>
      </c>
    </row>
    <row r="96" customFormat="false" ht="34.5" hidden="false" customHeight="true" outlineLevel="0" collapsed="false">
      <c r="A96" s="9" t="n">
        <v>5</v>
      </c>
      <c r="B96" s="9" t="s">
        <v>190</v>
      </c>
      <c r="C96" s="9" t="s">
        <v>181</v>
      </c>
      <c r="D96" s="9" t="s">
        <v>191</v>
      </c>
      <c r="E96" s="9" t="s">
        <v>50</v>
      </c>
      <c r="F96" s="10" t="n">
        <v>46286</v>
      </c>
      <c r="G96" s="9" t="s">
        <v>183</v>
      </c>
    </row>
    <row r="97" customFormat="false" ht="34.5" hidden="false" customHeight="true" outlineLevel="0" collapsed="false">
      <c r="A97" s="9" t="n">
        <v>6</v>
      </c>
      <c r="B97" s="9" t="s">
        <v>192</v>
      </c>
      <c r="C97" s="9" t="s">
        <v>193</v>
      </c>
      <c r="D97" s="9" t="s">
        <v>194</v>
      </c>
      <c r="E97" s="9" t="s">
        <v>50</v>
      </c>
      <c r="F97" s="10" t="n">
        <v>45180</v>
      </c>
      <c r="G97" s="9" t="s">
        <v>183</v>
      </c>
    </row>
    <row r="98" customFormat="false" ht="34.5" hidden="false" customHeight="true" outlineLevel="0" collapsed="false">
      <c r="A98" s="9" t="n">
        <v>7</v>
      </c>
      <c r="B98" s="9" t="s">
        <v>195</v>
      </c>
      <c r="C98" s="9" t="s">
        <v>193</v>
      </c>
      <c r="D98" s="9" t="s">
        <v>194</v>
      </c>
      <c r="E98" s="9" t="s">
        <v>50</v>
      </c>
      <c r="F98" s="10" t="n">
        <v>40030</v>
      </c>
      <c r="G98" s="9" t="s">
        <v>183</v>
      </c>
    </row>
    <row r="99" customFormat="false" ht="34.5" hidden="false" customHeight="true" outlineLevel="0" collapsed="false">
      <c r="A99" s="9" t="n">
        <v>8</v>
      </c>
      <c r="B99" s="9" t="s">
        <v>196</v>
      </c>
      <c r="C99" s="9" t="s">
        <v>197</v>
      </c>
      <c r="D99" s="9" t="s">
        <v>194</v>
      </c>
      <c r="E99" s="9" t="s">
        <v>50</v>
      </c>
      <c r="F99" s="10" t="n">
        <v>42461</v>
      </c>
      <c r="G99" s="9" t="s">
        <v>183</v>
      </c>
    </row>
    <row r="100" customFormat="false" ht="34.5" hidden="false" customHeight="true" outlineLevel="0" collapsed="false">
      <c r="A100" s="9" t="n">
        <v>9</v>
      </c>
      <c r="B100" s="9" t="s">
        <v>198</v>
      </c>
      <c r="C100" s="9" t="s">
        <v>199</v>
      </c>
      <c r="D100" s="9" t="s">
        <v>200</v>
      </c>
      <c r="E100" s="9" t="s">
        <v>72</v>
      </c>
      <c r="F100" s="10" t="n">
        <v>46237</v>
      </c>
      <c r="G100" s="9" t="s">
        <v>183</v>
      </c>
    </row>
    <row r="101" customFormat="false" ht="34.5" hidden="false" customHeight="true" outlineLevel="0" collapsed="false">
      <c r="A101" s="9" t="n">
        <v>10</v>
      </c>
      <c r="B101" s="9" t="s">
        <v>201</v>
      </c>
      <c r="C101" s="9" t="s">
        <v>202</v>
      </c>
      <c r="D101" s="9" t="s">
        <v>200</v>
      </c>
      <c r="E101" s="9" t="s">
        <v>72</v>
      </c>
      <c r="F101" s="10" t="n">
        <v>46286</v>
      </c>
      <c r="G101" s="9" t="s">
        <v>183</v>
      </c>
    </row>
    <row r="102" customFormat="false" ht="34.5" hidden="false" customHeight="true" outlineLevel="0" collapsed="false">
      <c r="A102" s="9" t="n">
        <v>11</v>
      </c>
      <c r="B102" s="9" t="s">
        <v>203</v>
      </c>
      <c r="C102" s="9" t="s">
        <v>181</v>
      </c>
      <c r="D102" s="9" t="s">
        <v>204</v>
      </c>
      <c r="E102" s="9" t="s">
        <v>72</v>
      </c>
      <c r="F102" s="10" t="n">
        <v>45028</v>
      </c>
      <c r="G102" s="9" t="s">
        <v>183</v>
      </c>
    </row>
    <row r="104" customFormat="false" ht="15" hidden="false" customHeight="true" outlineLevel="0" collapsed="false">
      <c r="A104" s="3" t="s">
        <v>205</v>
      </c>
    </row>
    <row r="105" customFormat="false" ht="15" hidden="false" customHeight="true" outlineLevel="0" collapsed="false">
      <c r="A105" s="8" t="s">
        <v>40</v>
      </c>
      <c r="B105" s="8" t="s">
        <v>206</v>
      </c>
      <c r="C105" s="8" t="s">
        <v>207</v>
      </c>
      <c r="D105" s="8" t="s">
        <v>208</v>
      </c>
    </row>
    <row r="106" customFormat="false" ht="34.5" hidden="false" customHeight="true" outlineLevel="0" collapsed="false">
      <c r="A106" s="9" t="s">
        <v>209</v>
      </c>
      <c r="B106" s="9" t="s">
        <v>210</v>
      </c>
      <c r="C106" s="9" t="s">
        <v>211</v>
      </c>
      <c r="D106" s="9" t="s">
        <v>212</v>
      </c>
    </row>
    <row r="107" customFormat="false" ht="34.5" hidden="false" customHeight="true" outlineLevel="0" collapsed="false">
      <c r="A107" s="9" t="s">
        <v>213</v>
      </c>
      <c r="B107" s="9" t="s">
        <v>214</v>
      </c>
      <c r="C107" s="9" t="s">
        <v>215</v>
      </c>
      <c r="D107" s="9" t="s">
        <v>216</v>
      </c>
    </row>
    <row r="108" customFormat="false" ht="57" hidden="false" customHeight="true" outlineLevel="0" collapsed="false">
      <c r="A108" s="9" t="s">
        <v>217</v>
      </c>
      <c r="B108" s="9" t="s">
        <v>218</v>
      </c>
      <c r="C108" s="9" t="s">
        <v>219</v>
      </c>
      <c r="D108" s="9" t="s">
        <v>220</v>
      </c>
    </row>
    <row r="109" customFormat="false" ht="34.5" hidden="false" customHeight="true" outlineLevel="0" collapsed="false">
      <c r="A109" s="9" t="s">
        <v>221</v>
      </c>
      <c r="B109" s="9" t="s">
        <v>222</v>
      </c>
      <c r="C109" s="9" t="s">
        <v>223</v>
      </c>
      <c r="D109" s="9" t="s">
        <v>224</v>
      </c>
    </row>
    <row r="110" customFormat="false" ht="79.5" hidden="false" customHeight="true" outlineLevel="0" collapsed="false">
      <c r="A110" s="9" t="s">
        <v>225</v>
      </c>
      <c r="B110" s="9" t="s">
        <v>226</v>
      </c>
      <c r="C110" s="9" t="s">
        <v>227</v>
      </c>
      <c r="D110" s="9" t="s">
        <v>228</v>
      </c>
    </row>
    <row r="111" customFormat="false" ht="23.25" hidden="false" customHeight="true" outlineLevel="0" collapsed="false">
      <c r="A111" s="9" t="s">
        <v>229</v>
      </c>
      <c r="B111" s="9" t="s">
        <v>230</v>
      </c>
      <c r="C111" s="9" t="s">
        <v>231</v>
      </c>
      <c r="D111" s="9" t="s">
        <v>212</v>
      </c>
    </row>
    <row r="112" customFormat="false" ht="57" hidden="false" customHeight="true" outlineLevel="0" collapsed="false">
      <c r="A112" s="9" t="s">
        <v>232</v>
      </c>
      <c r="B112" s="9" t="s">
        <v>233</v>
      </c>
      <c r="C112" s="9" t="s">
        <v>234</v>
      </c>
      <c r="D112" s="9" t="s">
        <v>235</v>
      </c>
    </row>
    <row r="113" customFormat="false" ht="34.5" hidden="false" customHeight="true" outlineLevel="0" collapsed="false">
      <c r="A113" s="9" t="s">
        <v>236</v>
      </c>
      <c r="B113" s="9" t="s">
        <v>237</v>
      </c>
      <c r="C113" s="9" t="s">
        <v>238</v>
      </c>
      <c r="D113" s="9" t="s">
        <v>239</v>
      </c>
    </row>
    <row r="114" customFormat="false" ht="23.25" hidden="false" customHeight="true" outlineLevel="0" collapsed="false">
      <c r="A114" s="9" t="s">
        <v>240</v>
      </c>
      <c r="B114" s="9" t="s">
        <v>241</v>
      </c>
      <c r="C114" s="9" t="s">
        <v>242</v>
      </c>
      <c r="D114" s="9" t="s">
        <v>243</v>
      </c>
    </row>
    <row r="115" customFormat="false" ht="23.25" hidden="false" customHeight="true" outlineLevel="0" collapsed="false">
      <c r="A115" s="9" t="s">
        <v>244</v>
      </c>
      <c r="B115" s="9" t="s">
        <v>245</v>
      </c>
      <c r="C115" s="9" t="s">
        <v>246</v>
      </c>
      <c r="D115" s="9" t="s">
        <v>212</v>
      </c>
    </row>
    <row r="116" customFormat="false" ht="34.5" hidden="false" customHeight="true" outlineLevel="0" collapsed="false">
      <c r="A116" s="9" t="s">
        <v>247</v>
      </c>
      <c r="B116" s="9" t="s">
        <v>248</v>
      </c>
      <c r="C116" s="9" t="s">
        <v>249</v>
      </c>
      <c r="D116" s="9" t="s">
        <v>250</v>
      </c>
    </row>
    <row r="117" customFormat="false" ht="45.75" hidden="false" customHeight="true" outlineLevel="0" collapsed="false">
      <c r="A117" s="9" t="s">
        <v>251</v>
      </c>
      <c r="B117" s="9" t="s">
        <v>252</v>
      </c>
      <c r="C117" s="9" t="s">
        <v>253</v>
      </c>
      <c r="D117" s="9" t="s">
        <v>254</v>
      </c>
    </row>
    <row r="118" customFormat="false" ht="34.5" hidden="false" customHeight="true" outlineLevel="0" collapsed="false">
      <c r="A118" s="9" t="s">
        <v>255</v>
      </c>
      <c r="B118" s="9" t="s">
        <v>256</v>
      </c>
      <c r="C118" s="9" t="s">
        <v>257</v>
      </c>
      <c r="D118" s="9" t="s">
        <v>258</v>
      </c>
    </row>
    <row r="119" customFormat="false" ht="45.75" hidden="false" customHeight="true" outlineLevel="0" collapsed="false">
      <c r="A119" s="9" t="s">
        <v>259</v>
      </c>
      <c r="B119" s="9" t="s">
        <v>260</v>
      </c>
      <c r="C119" s="9" t="s">
        <v>261</v>
      </c>
      <c r="D119" s="9" t="s">
        <v>262</v>
      </c>
    </row>
    <row r="120" customFormat="false" ht="45.75" hidden="false" customHeight="true" outlineLevel="0" collapsed="false">
      <c r="A120" s="9" t="s">
        <v>263</v>
      </c>
      <c r="B120" s="9" t="s">
        <v>264</v>
      </c>
      <c r="C120" s="9" t="s">
        <v>265</v>
      </c>
      <c r="D120" s="9" t="s">
        <v>266</v>
      </c>
    </row>
    <row r="121" customFormat="false" ht="45.75" hidden="false" customHeight="true" outlineLevel="0" collapsed="false">
      <c r="A121" s="9" t="s">
        <v>267</v>
      </c>
      <c r="B121" s="9" t="s">
        <v>268</v>
      </c>
      <c r="C121" s="9" t="s">
        <v>269</v>
      </c>
      <c r="D121" s="9" t="s">
        <v>270</v>
      </c>
    </row>
    <row r="122" customFormat="false" ht="45.75" hidden="false" customHeight="true" outlineLevel="0" collapsed="false">
      <c r="A122" s="9" t="s">
        <v>271</v>
      </c>
      <c r="B122" s="9" t="s">
        <v>272</v>
      </c>
      <c r="C122" s="9" t="s">
        <v>273</v>
      </c>
      <c r="D122" s="9" t="s">
        <v>274</v>
      </c>
    </row>
    <row r="123" customFormat="false" ht="45.75" hidden="false" customHeight="true" outlineLevel="0" collapsed="false">
      <c r="A123" s="9" t="s">
        <v>275</v>
      </c>
      <c r="B123" s="9" t="s">
        <v>276</v>
      </c>
      <c r="C123" s="9" t="s">
        <v>277</v>
      </c>
      <c r="D123" s="9" t="s">
        <v>278</v>
      </c>
    </row>
    <row r="124" customFormat="false" ht="34.5" hidden="false" customHeight="true" outlineLevel="0" collapsed="false">
      <c r="A124" s="9" t="s">
        <v>279</v>
      </c>
      <c r="B124" s="9" t="s">
        <v>280</v>
      </c>
      <c r="C124" s="9" t="s">
        <v>281</v>
      </c>
      <c r="D124" s="9" t="s">
        <v>282</v>
      </c>
    </row>
    <row r="125" customFormat="false" ht="45.75" hidden="false" customHeight="true" outlineLevel="0" collapsed="false">
      <c r="A125" s="9" t="s">
        <v>283</v>
      </c>
      <c r="B125" s="9" t="s">
        <v>284</v>
      </c>
      <c r="C125" s="9" t="s">
        <v>285</v>
      </c>
      <c r="D125" s="9" t="s">
        <v>286</v>
      </c>
    </row>
    <row r="126" customFormat="false" ht="45.75" hidden="false" customHeight="true" outlineLevel="0" collapsed="false">
      <c r="A126" s="9" t="s">
        <v>287</v>
      </c>
      <c r="B126" s="9" t="s">
        <v>288</v>
      </c>
      <c r="C126" s="9" t="s">
        <v>289</v>
      </c>
      <c r="D126" s="9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0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6" min="6" style="1" width="16"/>
    <col collapsed="false" customWidth="true" hidden="false" outlineLevel="0" max="7" min="7" style="1" width="46"/>
    <col collapsed="false" customWidth="true" hidden="false" outlineLevel="0" max="8" min="8" style="1" width="13"/>
  </cols>
  <sheetData>
    <row r="1" customFormat="false" ht="31.5" hidden="false" customHeight="true" outlineLevel="0" collapsed="false">
      <c r="A1" s="11" t="s">
        <v>291</v>
      </c>
      <c r="B1" s="11" t="s">
        <v>292</v>
      </c>
      <c r="C1" s="11" t="s">
        <v>293</v>
      </c>
      <c r="D1" s="11" t="s">
        <v>294</v>
      </c>
      <c r="E1" s="11" t="s">
        <v>295</v>
      </c>
      <c r="F1" s="11" t="s">
        <v>296</v>
      </c>
      <c r="G1" s="11" t="s">
        <v>297</v>
      </c>
      <c r="H1" s="11" t="s">
        <v>298</v>
      </c>
    </row>
    <row r="2" customFormat="false" ht="26.25" hidden="false" customHeight="true" outlineLevel="0" collapsed="false">
      <c r="A2" s="12" t="n">
        <v>1</v>
      </c>
      <c r="B2" s="9" t="s">
        <v>299</v>
      </c>
      <c r="C2" s="9" t="s">
        <v>300</v>
      </c>
      <c r="D2" s="13" t="n">
        <v>12</v>
      </c>
      <c r="E2" s="9" t="s">
        <v>301</v>
      </c>
      <c r="F2" s="13" t="s">
        <v>302</v>
      </c>
      <c r="G2" s="9"/>
      <c r="H2" s="12" t="n">
        <f aca="false">COUNTIF('Учёт медосмотров'!$H$2:$H$372,A2)</f>
        <v>3</v>
      </c>
    </row>
    <row r="3" customFormat="false" ht="39" hidden="false" customHeight="true" outlineLevel="0" collapsed="false">
      <c r="A3" s="12" t="n">
        <v>2</v>
      </c>
      <c r="B3" s="9" t="s">
        <v>303</v>
      </c>
      <c r="C3" s="9" t="s">
        <v>304</v>
      </c>
      <c r="D3" s="13" t="n">
        <v>12</v>
      </c>
      <c r="E3" s="9" t="s">
        <v>305</v>
      </c>
      <c r="F3" s="13" t="s">
        <v>306</v>
      </c>
      <c r="G3" s="9" t="s">
        <v>307</v>
      </c>
      <c r="H3" s="12" t="n">
        <f aca="false">COUNTIF('Учёт медосмотров'!$H$2:$H$372,A3)</f>
        <v>5</v>
      </c>
    </row>
    <row r="4" customFormat="false" ht="26.25" hidden="false" customHeight="true" outlineLevel="0" collapsed="false">
      <c r="A4" s="12" t="n">
        <v>3</v>
      </c>
      <c r="B4" s="9" t="s">
        <v>308</v>
      </c>
      <c r="C4" s="9" t="s">
        <v>309</v>
      </c>
      <c r="D4" s="13" t="n">
        <v>12</v>
      </c>
      <c r="E4" s="9" t="s">
        <v>305</v>
      </c>
      <c r="F4" s="13" t="s">
        <v>302</v>
      </c>
      <c r="G4" s="9"/>
      <c r="H4" s="12" t="n">
        <f aca="false">COUNTIF('Учёт медосмотров'!$H$2:$H$372,A4)</f>
        <v>1</v>
      </c>
    </row>
    <row r="5" customFormat="false" ht="14.25" hidden="false" customHeight="true" outlineLevel="0" collapsed="false">
      <c r="A5" s="12" t="n">
        <v>4</v>
      </c>
      <c r="B5" s="9" t="s">
        <v>310</v>
      </c>
      <c r="C5" s="9" t="s">
        <v>311</v>
      </c>
      <c r="D5" s="13" t="n">
        <v>12</v>
      </c>
      <c r="E5" s="9" t="s">
        <v>305</v>
      </c>
      <c r="F5" s="13" t="s">
        <v>302</v>
      </c>
      <c r="G5" s="9"/>
      <c r="H5" s="12" t="n">
        <f aca="false">COUNTIF('Учёт медосмотров'!$H$2:$H$372,A5)</f>
        <v>1</v>
      </c>
    </row>
    <row r="6" customFormat="false" ht="39" hidden="false" customHeight="true" outlineLevel="0" collapsed="false">
      <c r="A6" s="12" t="n">
        <v>5</v>
      </c>
      <c r="B6" s="9" t="s">
        <v>312</v>
      </c>
      <c r="C6" s="9" t="s">
        <v>313</v>
      </c>
      <c r="D6" s="13" t="n">
        <v>12</v>
      </c>
      <c r="E6" s="9" t="s">
        <v>314</v>
      </c>
      <c r="F6" s="13" t="s">
        <v>306</v>
      </c>
      <c r="G6" s="9" t="s">
        <v>315</v>
      </c>
      <c r="H6" s="12" t="n">
        <f aca="false">COUNTIF('Учёт медосмотров'!$H$2:$H$372,A6)</f>
        <v>1</v>
      </c>
    </row>
    <row r="7" customFormat="false" ht="39" hidden="false" customHeight="true" outlineLevel="0" collapsed="false">
      <c r="A7" s="12" t="n">
        <v>6</v>
      </c>
      <c r="B7" s="9" t="s">
        <v>316</v>
      </c>
      <c r="C7" s="9" t="s">
        <v>313</v>
      </c>
      <c r="D7" s="13" t="n">
        <v>12</v>
      </c>
      <c r="E7" s="9" t="s">
        <v>314</v>
      </c>
      <c r="F7" s="13" t="s">
        <v>317</v>
      </c>
      <c r="G7" s="9" t="s">
        <v>318</v>
      </c>
      <c r="H7" s="12" t="n">
        <f aca="false">COUNTIF('Учёт медосмотров'!$H$2:$H$372,A7)</f>
        <v>1</v>
      </c>
    </row>
    <row r="8" customFormat="false" ht="14.25" hidden="false" customHeight="true" outlineLevel="0" collapsed="false">
      <c r="A8" s="12" t="n">
        <v>7</v>
      </c>
      <c r="B8" s="9" t="s">
        <v>319</v>
      </c>
      <c r="C8" s="9" t="s">
        <v>300</v>
      </c>
      <c r="D8" s="13" t="n">
        <v>12</v>
      </c>
      <c r="E8" s="9" t="s">
        <v>301</v>
      </c>
      <c r="F8" s="13" t="s">
        <v>302</v>
      </c>
      <c r="G8" s="9"/>
      <c r="H8" s="12" t="n">
        <f aca="false">COUNTIF('Учёт медосмотров'!$H$2:$H$372,A8)</f>
        <v>3</v>
      </c>
    </row>
    <row r="9" customFormat="false" ht="14.25" hidden="false" customHeight="true" outlineLevel="0" collapsed="false">
      <c r="A9" s="12" t="n">
        <v>8</v>
      </c>
      <c r="B9" s="9" t="s">
        <v>320</v>
      </c>
      <c r="C9" s="9" t="s">
        <v>321</v>
      </c>
      <c r="D9" s="13" t="n">
        <v>12</v>
      </c>
      <c r="E9" s="9" t="s">
        <v>305</v>
      </c>
      <c r="F9" s="13" t="s">
        <v>302</v>
      </c>
      <c r="G9" s="9"/>
      <c r="H9" s="12" t="n">
        <f aca="false">COUNTIF('Учёт медосмотров'!$H$2:$H$372,A9)</f>
        <v>1</v>
      </c>
    </row>
    <row r="10" customFormat="false" ht="14.25" hidden="false" customHeight="true" outlineLevel="0" collapsed="false">
      <c r="A10" s="12" t="n">
        <v>9</v>
      </c>
      <c r="B10" s="9" t="s">
        <v>322</v>
      </c>
      <c r="C10" s="9" t="s">
        <v>323</v>
      </c>
      <c r="D10" s="13" t="n">
        <v>12</v>
      </c>
      <c r="E10" s="9" t="s">
        <v>324</v>
      </c>
      <c r="F10" s="13" t="s">
        <v>302</v>
      </c>
      <c r="G10" s="9"/>
      <c r="H10" s="12" t="n">
        <f aca="false">COUNTIF('Учёт медосмотров'!$H$2:$H$372,A10)</f>
        <v>2</v>
      </c>
    </row>
    <row r="11" customFormat="false" ht="39" hidden="false" customHeight="true" outlineLevel="0" collapsed="false">
      <c r="A11" s="12" t="n">
        <v>10</v>
      </c>
      <c r="B11" s="9" t="s">
        <v>325</v>
      </c>
      <c r="C11" s="9" t="s">
        <v>326</v>
      </c>
      <c r="D11" s="13" t="n">
        <v>12</v>
      </c>
      <c r="E11" s="9" t="s">
        <v>324</v>
      </c>
      <c r="F11" s="13" t="s">
        <v>302</v>
      </c>
      <c r="G11" s="9"/>
      <c r="H11" s="12" t="n">
        <f aca="false">COUNTIF('Учёт медосмотров'!$H$2:$H$372,A11)</f>
        <v>16</v>
      </c>
    </row>
    <row r="12" customFormat="false" ht="26.25" hidden="false" customHeight="true" outlineLevel="0" collapsed="false">
      <c r="A12" s="12" t="n">
        <v>11</v>
      </c>
      <c r="B12" s="9" t="s">
        <v>327</v>
      </c>
      <c r="C12" s="9" t="s">
        <v>328</v>
      </c>
      <c r="D12" s="13" t="n">
        <v>12</v>
      </c>
      <c r="E12" s="9" t="s">
        <v>329</v>
      </c>
      <c r="F12" s="13" t="s">
        <v>302</v>
      </c>
      <c r="G12" s="9"/>
      <c r="H12" s="12" t="n">
        <f aca="false">COUNTIF('Учёт медосмотров'!$H$2:$H$372,A12)</f>
        <v>2</v>
      </c>
    </row>
    <row r="13" customFormat="false" ht="14.25" hidden="false" customHeight="true" outlineLevel="0" collapsed="false">
      <c r="A13" s="12" t="n">
        <v>12</v>
      </c>
      <c r="B13" s="9" t="s">
        <v>330</v>
      </c>
      <c r="C13" s="9" t="s">
        <v>331</v>
      </c>
      <c r="D13" s="13" t="n">
        <v>12</v>
      </c>
      <c r="E13" s="9" t="s">
        <v>324</v>
      </c>
      <c r="F13" s="13" t="s">
        <v>302</v>
      </c>
      <c r="G13" s="9"/>
      <c r="H13" s="12" t="n">
        <f aca="false">COUNTIF('Учёт медосмотров'!$H$2:$H$372,A13)</f>
        <v>7</v>
      </c>
    </row>
    <row r="14" customFormat="false" ht="14.25" hidden="false" customHeight="true" outlineLevel="0" collapsed="false">
      <c r="A14" s="12" t="n">
        <v>13</v>
      </c>
      <c r="B14" s="9" t="s">
        <v>332</v>
      </c>
      <c r="C14" s="9" t="s">
        <v>331</v>
      </c>
      <c r="D14" s="13" t="n">
        <v>12</v>
      </c>
      <c r="E14" s="9" t="s">
        <v>324</v>
      </c>
      <c r="F14" s="13" t="s">
        <v>302</v>
      </c>
      <c r="G14" s="9"/>
      <c r="H14" s="12" t="n">
        <f aca="false">COUNTIF('Учёт медосмотров'!$H$2:$H$372,A14)</f>
        <v>14</v>
      </c>
    </row>
    <row r="15" customFormat="false" ht="26.25" hidden="false" customHeight="true" outlineLevel="0" collapsed="false">
      <c r="A15" s="12" t="n">
        <v>14</v>
      </c>
      <c r="B15" s="9" t="s">
        <v>333</v>
      </c>
      <c r="C15" s="9" t="s">
        <v>305</v>
      </c>
      <c r="D15" s="13" t="n">
        <v>12</v>
      </c>
      <c r="E15" s="9" t="s">
        <v>305</v>
      </c>
      <c r="F15" s="13" t="s">
        <v>302</v>
      </c>
      <c r="G15" s="9" t="s">
        <v>334</v>
      </c>
      <c r="H15" s="12" t="n">
        <f aca="false">COUNTIF('Учёт медосмотров'!$H$2:$H$372,A15)</f>
        <v>27</v>
      </c>
    </row>
    <row r="16" customFormat="false" ht="26.25" hidden="false" customHeight="true" outlineLevel="0" collapsed="false">
      <c r="A16" s="12" t="n">
        <v>15</v>
      </c>
      <c r="B16" s="9" t="s">
        <v>335</v>
      </c>
      <c r="C16" s="9" t="s">
        <v>336</v>
      </c>
      <c r="D16" s="13" t="n">
        <v>12</v>
      </c>
      <c r="E16" s="9" t="s">
        <v>314</v>
      </c>
      <c r="F16" s="13" t="s">
        <v>302</v>
      </c>
      <c r="G16" s="9"/>
      <c r="H16" s="12" t="n">
        <f aca="false">COUNTIF('Учёт медосмотров'!$H$2:$H$372,A16)</f>
        <v>1</v>
      </c>
    </row>
    <row r="17" customFormat="false" ht="26.25" hidden="false" customHeight="true" outlineLevel="0" collapsed="false">
      <c r="A17" s="12" t="n">
        <v>16</v>
      </c>
      <c r="B17" s="9" t="s">
        <v>337</v>
      </c>
      <c r="C17" s="9" t="s">
        <v>338</v>
      </c>
      <c r="D17" s="13" t="n">
        <v>12</v>
      </c>
      <c r="E17" s="9" t="s">
        <v>305</v>
      </c>
      <c r="F17" s="13" t="s">
        <v>302</v>
      </c>
      <c r="G17" s="9"/>
      <c r="H17" s="12" t="n">
        <f aca="false">COUNTIF('Учёт медосмотров'!$H$2:$H$372,A17)</f>
        <v>3</v>
      </c>
    </row>
    <row r="18" customFormat="false" ht="14.25" hidden="false" customHeight="true" outlineLevel="0" collapsed="false">
      <c r="A18" s="12" t="n">
        <v>17</v>
      </c>
      <c r="B18" s="9" t="s">
        <v>339</v>
      </c>
      <c r="C18" s="9" t="s">
        <v>340</v>
      </c>
      <c r="D18" s="13" t="n">
        <v>12</v>
      </c>
      <c r="E18" s="9" t="s">
        <v>305</v>
      </c>
      <c r="F18" s="13" t="s">
        <v>302</v>
      </c>
      <c r="G18" s="9"/>
      <c r="H18" s="12" t="n">
        <f aca="false">COUNTIF('Учёт медосмотров'!$H$2:$H$372,A18)</f>
        <v>0</v>
      </c>
    </row>
    <row r="19" customFormat="false" ht="14.25" hidden="false" customHeight="true" outlineLevel="0" collapsed="false">
      <c r="A19" s="12" t="n">
        <v>18</v>
      </c>
      <c r="B19" s="9" t="s">
        <v>341</v>
      </c>
      <c r="C19" s="9" t="s">
        <v>331</v>
      </c>
      <c r="D19" s="13" t="n">
        <v>12</v>
      </c>
      <c r="E19" s="9" t="s">
        <v>324</v>
      </c>
      <c r="F19" s="13" t="s">
        <v>302</v>
      </c>
      <c r="G19" s="9"/>
      <c r="H19" s="12" t="n">
        <f aca="false">COUNTIF('Учёт медосмотров'!$H$2:$H$372,A19)</f>
        <v>14</v>
      </c>
    </row>
    <row r="20" customFormat="false" ht="26.25" hidden="false" customHeight="true" outlineLevel="0" collapsed="false">
      <c r="A20" s="12" t="n">
        <v>19</v>
      </c>
      <c r="B20" s="9" t="s">
        <v>342</v>
      </c>
      <c r="C20" s="9" t="s">
        <v>343</v>
      </c>
      <c r="D20" s="13" t="n">
        <v>12</v>
      </c>
      <c r="E20" s="9" t="s">
        <v>305</v>
      </c>
      <c r="F20" s="13" t="s">
        <v>302</v>
      </c>
      <c r="G20" s="9"/>
      <c r="H20" s="12" t="n">
        <f aca="false">COUNTIF('Учёт медосмотров'!$H$2:$H$372,A20)</f>
        <v>67</v>
      </c>
    </row>
    <row r="21" customFormat="false" ht="26.25" hidden="false" customHeight="true" outlineLevel="0" collapsed="false">
      <c r="A21" s="12" t="n">
        <v>20</v>
      </c>
      <c r="B21" s="9" t="s">
        <v>344</v>
      </c>
      <c r="C21" s="9" t="s">
        <v>345</v>
      </c>
      <c r="D21" s="13" t="n">
        <v>12</v>
      </c>
      <c r="E21" s="9" t="s">
        <v>305</v>
      </c>
      <c r="F21" s="13" t="s">
        <v>346</v>
      </c>
      <c r="G21" s="9" t="s">
        <v>347</v>
      </c>
      <c r="H21" s="12" t="n">
        <f aca="false">COUNTIF('Учёт медосмотров'!$H$2:$H$372,A21)</f>
        <v>32</v>
      </c>
    </row>
    <row r="22" customFormat="false" ht="26.25" hidden="false" customHeight="true" outlineLevel="0" collapsed="false">
      <c r="A22" s="12" t="n">
        <v>21</v>
      </c>
      <c r="B22" s="9" t="s">
        <v>348</v>
      </c>
      <c r="C22" s="9" t="s">
        <v>349</v>
      </c>
      <c r="D22" s="13" t="n">
        <v>12</v>
      </c>
      <c r="E22" s="9" t="s">
        <v>324</v>
      </c>
      <c r="F22" s="13" t="s">
        <v>302</v>
      </c>
      <c r="G22" s="9"/>
      <c r="H22" s="12" t="n">
        <f aca="false">COUNTIF('Учёт медосмотров'!$H$2:$H$372,A22)</f>
        <v>23</v>
      </c>
    </row>
    <row r="23" customFormat="false" ht="14.25" hidden="false" customHeight="true" outlineLevel="0" collapsed="false">
      <c r="A23" s="12" t="n">
        <v>22</v>
      </c>
      <c r="B23" s="9" t="s">
        <v>350</v>
      </c>
      <c r="C23" s="9" t="s">
        <v>305</v>
      </c>
      <c r="D23" s="13" t="n">
        <v>12</v>
      </c>
      <c r="E23" s="9" t="s">
        <v>305</v>
      </c>
      <c r="F23" s="13" t="s">
        <v>302</v>
      </c>
      <c r="G23" s="9"/>
      <c r="H23" s="12" t="n">
        <f aca="false">COUNTIF('Учёт медосмотров'!$H$2:$H$372,A23)</f>
        <v>1</v>
      </c>
    </row>
    <row r="24" customFormat="false" ht="26.25" hidden="false" customHeight="true" outlineLevel="0" collapsed="false">
      <c r="A24" s="12" t="n">
        <v>23</v>
      </c>
      <c r="B24" s="9" t="s">
        <v>351</v>
      </c>
      <c r="C24" s="9" t="s">
        <v>349</v>
      </c>
      <c r="D24" s="13" t="n">
        <v>12</v>
      </c>
      <c r="E24" s="9" t="s">
        <v>324</v>
      </c>
      <c r="F24" s="13" t="s">
        <v>302</v>
      </c>
      <c r="G24" s="9"/>
      <c r="H24" s="12" t="n">
        <f aca="false">COUNTIF('Учёт медосмотров'!$H$2:$H$372,A24)</f>
        <v>6</v>
      </c>
    </row>
    <row r="25" customFormat="false" ht="26.25" hidden="false" customHeight="true" outlineLevel="0" collapsed="false">
      <c r="A25" s="12" t="n">
        <v>24</v>
      </c>
      <c r="B25" s="9" t="s">
        <v>352</v>
      </c>
      <c r="C25" s="9" t="s">
        <v>349</v>
      </c>
      <c r="D25" s="13" t="n">
        <v>12</v>
      </c>
      <c r="E25" s="9" t="s">
        <v>324</v>
      </c>
      <c r="F25" s="13" t="s">
        <v>302</v>
      </c>
      <c r="G25" s="9"/>
      <c r="H25" s="12" t="n">
        <f aca="false">COUNTIF('Учёт медосмотров'!$H$2:$H$372,A25)</f>
        <v>0</v>
      </c>
    </row>
    <row r="26" customFormat="false" ht="26.25" hidden="false" customHeight="true" outlineLevel="0" collapsed="false">
      <c r="A26" s="12" t="n">
        <v>25</v>
      </c>
      <c r="B26" s="9" t="s">
        <v>353</v>
      </c>
      <c r="C26" s="9" t="s">
        <v>354</v>
      </c>
      <c r="D26" s="13" t="n">
        <v>12</v>
      </c>
      <c r="E26" s="9" t="s">
        <v>324</v>
      </c>
      <c r="F26" s="13" t="s">
        <v>302</v>
      </c>
      <c r="G26" s="9"/>
      <c r="H26" s="12" t="n">
        <f aca="false">COUNTIF('Учёт медосмотров'!$H$2:$H$372,A26)</f>
        <v>7</v>
      </c>
    </row>
    <row r="27" customFormat="false" ht="39" hidden="false" customHeight="true" outlineLevel="0" collapsed="false">
      <c r="A27" s="12" t="n">
        <v>26</v>
      </c>
      <c r="B27" s="9" t="s">
        <v>355</v>
      </c>
      <c r="C27" s="9" t="s">
        <v>356</v>
      </c>
      <c r="D27" s="13" t="n">
        <v>12</v>
      </c>
      <c r="E27" s="9" t="s">
        <v>357</v>
      </c>
      <c r="F27" s="13" t="s">
        <v>317</v>
      </c>
      <c r="G27" s="9" t="s">
        <v>358</v>
      </c>
      <c r="H27" s="12" t="n">
        <f aca="false">COUNTIF('Учёт медосмотров'!$H$2:$H$372,A27)</f>
        <v>9</v>
      </c>
    </row>
    <row r="28" customFormat="false" ht="26.25" hidden="false" customHeight="true" outlineLevel="0" collapsed="false">
      <c r="A28" s="12" t="n">
        <v>27</v>
      </c>
      <c r="B28" s="9" t="s">
        <v>359</v>
      </c>
      <c r="C28" s="9" t="s">
        <v>331</v>
      </c>
      <c r="D28" s="13" t="n">
        <v>12</v>
      </c>
      <c r="E28" s="9" t="s">
        <v>324</v>
      </c>
      <c r="F28" s="13" t="s">
        <v>302</v>
      </c>
      <c r="G28" s="9"/>
      <c r="H28" s="12" t="n">
        <f aca="false">COUNTIF('Учёт медосмотров'!$H$2:$H$372,A28)</f>
        <v>5</v>
      </c>
    </row>
    <row r="29" customFormat="false" ht="14.25" hidden="false" customHeight="true" outlineLevel="0" collapsed="false">
      <c r="A29" s="12" t="n">
        <v>28</v>
      </c>
      <c r="B29" s="9" t="s">
        <v>360</v>
      </c>
      <c r="C29" s="9" t="s">
        <v>331</v>
      </c>
      <c r="D29" s="13" t="n">
        <v>12</v>
      </c>
      <c r="E29" s="9" t="s">
        <v>324</v>
      </c>
      <c r="F29" s="13" t="s">
        <v>302</v>
      </c>
      <c r="G29" s="9"/>
      <c r="H29" s="12" t="n">
        <f aca="false">COUNTIF('Учёт медосмотров'!$H$2:$H$372,A29)</f>
        <v>18</v>
      </c>
    </row>
    <row r="30" customFormat="false" ht="26.25" hidden="false" customHeight="true" outlineLevel="0" collapsed="false">
      <c r="A30" s="12" t="n">
        <v>29</v>
      </c>
      <c r="B30" s="9" t="s">
        <v>361</v>
      </c>
      <c r="C30" s="9" t="s">
        <v>345</v>
      </c>
      <c r="D30" s="13" t="n">
        <v>12</v>
      </c>
      <c r="E30" s="9" t="s">
        <v>305</v>
      </c>
      <c r="F30" s="13" t="s">
        <v>346</v>
      </c>
      <c r="G30" s="9" t="s">
        <v>347</v>
      </c>
      <c r="H30" s="12" t="n">
        <f aca="false">COUNTIF('Учёт медосмотров'!$H$2:$H$372,A30)</f>
        <v>2</v>
      </c>
    </row>
    <row r="31" customFormat="false" ht="26.25" hidden="false" customHeight="true" outlineLevel="0" collapsed="false">
      <c r="A31" s="12" t="n">
        <v>30</v>
      </c>
      <c r="B31" s="9" t="s">
        <v>362</v>
      </c>
      <c r="C31" s="9" t="s">
        <v>354</v>
      </c>
      <c r="D31" s="13" t="n">
        <v>12</v>
      </c>
      <c r="E31" s="9" t="s">
        <v>324</v>
      </c>
      <c r="F31" s="13" t="s">
        <v>302</v>
      </c>
      <c r="G31" s="9"/>
      <c r="H31" s="12" t="n">
        <f aca="false">COUNTIF('Учёт медосмотров'!$H$2:$H$372,A31)</f>
        <v>14</v>
      </c>
    </row>
    <row r="32" customFormat="false" ht="26.25" hidden="false" customHeight="true" outlineLevel="0" collapsed="false">
      <c r="A32" s="12" t="n">
        <v>31</v>
      </c>
      <c r="B32" s="9" t="s">
        <v>363</v>
      </c>
      <c r="C32" s="9" t="s">
        <v>364</v>
      </c>
      <c r="D32" s="13" t="n">
        <v>12</v>
      </c>
      <c r="E32" s="9" t="s">
        <v>324</v>
      </c>
      <c r="F32" s="13" t="s">
        <v>302</v>
      </c>
      <c r="G32" s="9"/>
      <c r="H32" s="12" t="n">
        <f aca="false">COUNTIF('Учёт медосмотров'!$H$2:$H$372,A32)</f>
        <v>1</v>
      </c>
    </row>
    <row r="33" customFormat="false" ht="14.25" hidden="false" customHeight="true" outlineLevel="0" collapsed="false">
      <c r="A33" s="12" t="n">
        <v>32</v>
      </c>
      <c r="B33" s="9" t="s">
        <v>365</v>
      </c>
      <c r="C33" s="9" t="s">
        <v>366</v>
      </c>
      <c r="D33" s="13" t="n">
        <v>12</v>
      </c>
      <c r="E33" s="9" t="s">
        <v>324</v>
      </c>
      <c r="F33" s="13" t="s">
        <v>302</v>
      </c>
      <c r="G33" s="9"/>
      <c r="H33" s="12" t="n">
        <f aca="false">COUNTIF('Учёт медосмотров'!$H$2:$H$372,A33)</f>
        <v>16</v>
      </c>
    </row>
    <row r="34" customFormat="false" ht="26.25" hidden="false" customHeight="true" outlineLevel="0" collapsed="false">
      <c r="A34" s="12" t="n">
        <v>33</v>
      </c>
      <c r="B34" s="9" t="s">
        <v>367</v>
      </c>
      <c r="C34" s="9" t="s">
        <v>354</v>
      </c>
      <c r="D34" s="13" t="n">
        <v>12</v>
      </c>
      <c r="E34" s="9" t="s">
        <v>324</v>
      </c>
      <c r="F34" s="13" t="s">
        <v>302</v>
      </c>
      <c r="G34" s="9"/>
      <c r="H34" s="12" t="n">
        <f aca="false">COUNTIF('Учёт медосмотров'!$H$2:$H$372,A34)</f>
        <v>2</v>
      </c>
    </row>
    <row r="35" customFormat="false" ht="26.25" hidden="false" customHeight="true" outlineLevel="0" collapsed="false">
      <c r="A35" s="12" t="n">
        <v>34</v>
      </c>
      <c r="B35" s="9" t="s">
        <v>368</v>
      </c>
      <c r="C35" s="9" t="s">
        <v>354</v>
      </c>
      <c r="D35" s="13" t="n">
        <v>12</v>
      </c>
      <c r="E35" s="9" t="s">
        <v>324</v>
      </c>
      <c r="F35" s="13" t="s">
        <v>302</v>
      </c>
      <c r="G35" s="9"/>
      <c r="H35" s="12" t="n">
        <f aca="false">COUNTIF('Учёт медосмотров'!$H$2:$H$372,A35)</f>
        <v>8</v>
      </c>
    </row>
    <row r="36" customFormat="false" ht="26.25" hidden="false" customHeight="true" outlineLevel="0" collapsed="false">
      <c r="A36" s="12" t="n">
        <v>35</v>
      </c>
      <c r="B36" s="9" t="s">
        <v>369</v>
      </c>
      <c r="C36" s="9" t="s">
        <v>354</v>
      </c>
      <c r="D36" s="13" t="n">
        <v>12</v>
      </c>
      <c r="E36" s="9" t="s">
        <v>324</v>
      </c>
      <c r="F36" s="13" t="s">
        <v>302</v>
      </c>
      <c r="G36" s="9"/>
      <c r="H36" s="12" t="n">
        <f aca="false">COUNTIF('Учёт медосмотров'!$H$2:$H$372,A36)</f>
        <v>2</v>
      </c>
    </row>
    <row r="37" customFormat="false" ht="39" hidden="false" customHeight="true" outlineLevel="0" collapsed="false">
      <c r="A37" s="12" t="n">
        <v>36</v>
      </c>
      <c r="B37" s="9" t="s">
        <v>370</v>
      </c>
      <c r="C37" s="9" t="s">
        <v>371</v>
      </c>
      <c r="D37" s="13" t="n">
        <v>12</v>
      </c>
      <c r="E37" s="9" t="s">
        <v>372</v>
      </c>
      <c r="F37" s="13" t="s">
        <v>302</v>
      </c>
      <c r="G37" s="9"/>
      <c r="H37" s="12" t="n">
        <f aca="false">COUNTIF('Учёт медосмотров'!$H$2:$H$372,A37)</f>
        <v>15</v>
      </c>
    </row>
    <row r="38" customFormat="false" ht="39" hidden="false" customHeight="true" outlineLevel="0" collapsed="false">
      <c r="A38" s="12" t="n">
        <v>37</v>
      </c>
      <c r="B38" s="9" t="s">
        <v>373</v>
      </c>
      <c r="C38" s="9" t="s">
        <v>374</v>
      </c>
      <c r="D38" s="13" t="n">
        <v>12</v>
      </c>
      <c r="E38" s="9" t="s">
        <v>375</v>
      </c>
      <c r="F38" s="13" t="s">
        <v>302</v>
      </c>
      <c r="G38" s="9"/>
      <c r="H38" s="12" t="n">
        <f aca="false">COUNTIF('Учёт медосмотров'!$H$2:$H$372,A38)</f>
        <v>0</v>
      </c>
    </row>
    <row r="39" customFormat="false" ht="39" hidden="false" customHeight="true" outlineLevel="0" collapsed="false">
      <c r="A39" s="12" t="n">
        <v>38</v>
      </c>
      <c r="B39" s="9" t="s">
        <v>376</v>
      </c>
      <c r="C39" s="9" t="s">
        <v>377</v>
      </c>
      <c r="D39" s="13" t="n">
        <v>12</v>
      </c>
      <c r="E39" s="9" t="s">
        <v>324</v>
      </c>
      <c r="F39" s="13" t="s">
        <v>306</v>
      </c>
      <c r="G39" s="9" t="s">
        <v>378</v>
      </c>
      <c r="H39" s="12" t="n">
        <f aca="false">COUNTIF('Учёт медосмотров'!$H$2:$H$372,A39)</f>
        <v>9</v>
      </c>
    </row>
    <row r="40" customFormat="false" ht="39" hidden="false" customHeight="true" outlineLevel="0" collapsed="false">
      <c r="A40" s="12" t="n">
        <v>39</v>
      </c>
      <c r="B40" s="9" t="s">
        <v>379</v>
      </c>
      <c r="C40" s="9" t="s">
        <v>380</v>
      </c>
      <c r="D40" s="13" t="n">
        <v>12</v>
      </c>
      <c r="E40" s="9" t="s">
        <v>324</v>
      </c>
      <c r="F40" s="13" t="s">
        <v>306</v>
      </c>
      <c r="G40" s="9" t="s">
        <v>378</v>
      </c>
      <c r="H40" s="12" t="n">
        <f aca="false">COUNTIF('Учёт медосмотров'!$H$2:$H$372,A40)</f>
        <v>1</v>
      </c>
    </row>
    <row r="41" customFormat="false" ht="26.25" hidden="false" customHeight="true" outlineLevel="0" collapsed="false">
      <c r="A41" s="12" t="n">
        <v>40</v>
      </c>
      <c r="B41" s="9" t="s">
        <v>381</v>
      </c>
      <c r="C41" s="9" t="s">
        <v>329</v>
      </c>
      <c r="D41" s="13" t="n">
        <v>12</v>
      </c>
      <c r="E41" s="9" t="s">
        <v>329</v>
      </c>
      <c r="F41" s="13" t="s">
        <v>302</v>
      </c>
      <c r="G41" s="9"/>
      <c r="H41" s="12" t="n">
        <f aca="false">COUNTIF('Учёт медосмотров'!$H$2:$H$372,A41)</f>
        <v>1</v>
      </c>
    </row>
    <row r="42" customFormat="false" ht="26.25" hidden="false" customHeight="true" outlineLevel="0" collapsed="false">
      <c r="A42" s="12" t="n">
        <v>41</v>
      </c>
      <c r="B42" s="9" t="s">
        <v>382</v>
      </c>
      <c r="C42" s="9" t="s">
        <v>354</v>
      </c>
      <c r="D42" s="13" t="n">
        <v>12</v>
      </c>
      <c r="E42" s="9" t="s">
        <v>324</v>
      </c>
      <c r="F42" s="13" t="s">
        <v>302</v>
      </c>
      <c r="G42" s="9"/>
      <c r="H42" s="12" t="n">
        <f aca="false">COUNTIF('Учёт медосмотров'!$H$2:$H$372,A42)</f>
        <v>1</v>
      </c>
    </row>
    <row r="43" customFormat="false" ht="26.25" hidden="false" customHeight="true" outlineLevel="0" collapsed="false">
      <c r="A43" s="12" t="n">
        <v>42</v>
      </c>
      <c r="B43" s="9" t="s">
        <v>383</v>
      </c>
      <c r="C43" s="9" t="s">
        <v>384</v>
      </c>
      <c r="D43" s="13" t="n">
        <v>12</v>
      </c>
      <c r="E43" s="9" t="s">
        <v>305</v>
      </c>
      <c r="F43" s="13" t="s">
        <v>302</v>
      </c>
      <c r="G43" s="9"/>
      <c r="H43" s="12" t="n">
        <f aca="false">COUNTIF('Учёт медосмотров'!$H$2:$H$372,A43)</f>
        <v>1</v>
      </c>
    </row>
    <row r="44" customFormat="false" ht="26.25" hidden="false" customHeight="true" outlineLevel="0" collapsed="false">
      <c r="A44" s="12" t="n">
        <v>43</v>
      </c>
      <c r="B44" s="9" t="s">
        <v>385</v>
      </c>
      <c r="C44" s="9" t="s">
        <v>386</v>
      </c>
      <c r="D44" s="13" t="n">
        <v>12</v>
      </c>
      <c r="E44" s="9" t="s">
        <v>324</v>
      </c>
      <c r="F44" s="13" t="s">
        <v>302</v>
      </c>
      <c r="G44" s="9"/>
      <c r="H44" s="12" t="n">
        <f aca="false">COUNTIF('Учёт медосмотров'!$H$2:$H$372,A44)</f>
        <v>0</v>
      </c>
    </row>
    <row r="45" customFormat="false" ht="26.25" hidden="false" customHeight="true" outlineLevel="0" collapsed="false">
      <c r="A45" s="12" t="n">
        <v>44</v>
      </c>
      <c r="B45" s="9" t="s">
        <v>387</v>
      </c>
      <c r="C45" s="9" t="s">
        <v>354</v>
      </c>
      <c r="D45" s="13" t="n">
        <v>12</v>
      </c>
      <c r="E45" s="9" t="s">
        <v>324</v>
      </c>
      <c r="F45" s="13" t="s">
        <v>302</v>
      </c>
      <c r="G45" s="9"/>
      <c r="H45" s="12" t="n">
        <f aca="false">COUNTIF('Учёт медосмотров'!$H$2:$H$372,A45)</f>
        <v>14</v>
      </c>
    </row>
    <row r="46" customFormat="false" ht="39" hidden="false" customHeight="true" outlineLevel="0" collapsed="false">
      <c r="A46" s="12" t="n">
        <v>45</v>
      </c>
      <c r="B46" s="9" t="s">
        <v>388</v>
      </c>
      <c r="C46" s="9" t="s">
        <v>389</v>
      </c>
      <c r="D46" s="13" t="n">
        <v>12</v>
      </c>
      <c r="E46" s="9" t="s">
        <v>390</v>
      </c>
      <c r="F46" s="13" t="s">
        <v>317</v>
      </c>
      <c r="G46" s="9" t="s">
        <v>391</v>
      </c>
      <c r="H46" s="12" t="n">
        <f aca="false">COUNTIF('Учёт медосмотров'!$H$2:$H$372,A46)</f>
        <v>13</v>
      </c>
    </row>
    <row r="48" customFormat="false" ht="90" hidden="false" customHeight="true" outlineLevel="0" collapsed="false">
      <c r="A48" s="14" t="s">
        <v>392</v>
      </c>
      <c r="B48" s="14"/>
      <c r="C48" s="14"/>
      <c r="D48" s="14"/>
      <c r="E48" s="14"/>
      <c r="F48" s="14"/>
      <c r="G48" s="14"/>
      <c r="H48" s="14"/>
    </row>
    <row r="49" customFormat="false" ht="105" hidden="false" customHeight="true" outlineLevel="0" collapsed="false">
      <c r="A49" s="14" t="s">
        <v>393</v>
      </c>
      <c r="B49" s="14"/>
      <c r="C49" s="14"/>
      <c r="D49" s="14"/>
      <c r="E49" s="14"/>
      <c r="F49" s="14"/>
      <c r="G49" s="14"/>
      <c r="H49" s="14"/>
    </row>
  </sheetData>
  <autoFilter ref="A1:H46"/>
  <mergeCells count="2">
    <mergeCell ref="A48:H48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34"/>
    <col collapsed="false" customWidth="true" hidden="false" outlineLevel="0" max="5" min="5" style="1" width="26"/>
    <col collapsed="false" customWidth="true" hidden="false" outlineLevel="0" max="6" min="6" style="1" width="12"/>
    <col collapsed="false" customWidth="true" hidden="true" outlineLevel="0" max="7" min="7" style="1" width="1"/>
    <col collapsed="false" customWidth="true" hidden="false" outlineLevel="0" max="8" min="8" style="1" width="12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22"/>
    <col collapsed="false" customWidth="true" hidden="false" outlineLevel="0" max="13" min="13" style="1" width="20"/>
    <col collapsed="false" customWidth="true" hidden="false" outlineLevel="0" max="14" min="14" style="1" width="14"/>
    <col collapsed="false" customWidth="true" hidden="false" outlineLevel="0" max="15" min="15" style="1" width="18"/>
    <col collapsed="false" customWidth="true" hidden="false" outlineLevel="0" max="16" min="16" style="1" width="20"/>
    <col collapsed="false" customWidth="true" hidden="false" outlineLevel="0" max="17" min="17" style="1" width="14"/>
    <col collapsed="false" customWidth="true" hidden="false" outlineLevel="0" max="18" min="18" style="1" width="60"/>
  </cols>
  <sheetData>
    <row r="1" customFormat="false" ht="45" hidden="false" customHeight="true" outlineLevel="0" collapsed="false">
      <c r="A1" s="11" t="s">
        <v>40</v>
      </c>
      <c r="B1" s="11" t="s">
        <v>394</v>
      </c>
      <c r="C1" s="11" t="s">
        <v>41</v>
      </c>
      <c r="D1" s="11" t="s">
        <v>42</v>
      </c>
      <c r="E1" s="11" t="s">
        <v>43</v>
      </c>
      <c r="F1" s="11" t="s">
        <v>45</v>
      </c>
      <c r="G1" s="11" t="s">
        <v>395</v>
      </c>
      <c r="H1" s="11" t="s">
        <v>396</v>
      </c>
      <c r="I1" s="11" t="s">
        <v>397</v>
      </c>
      <c r="J1" s="11" t="s">
        <v>398</v>
      </c>
      <c r="K1" s="11" t="s">
        <v>399</v>
      </c>
      <c r="L1" s="11" t="s">
        <v>400</v>
      </c>
      <c r="M1" s="11" t="s">
        <v>401</v>
      </c>
      <c r="N1" s="11" t="s">
        <v>402</v>
      </c>
      <c r="O1" s="11" t="s">
        <v>403</v>
      </c>
      <c r="P1" s="11" t="s">
        <v>404</v>
      </c>
      <c r="Q1" s="11" t="s">
        <v>405</v>
      </c>
      <c r="R1" s="11" t="s">
        <v>406</v>
      </c>
    </row>
    <row r="2" customFormat="false" ht="14.25" hidden="false" customHeight="true" outlineLevel="0" collapsed="false">
      <c r="A2" s="15" t="n">
        <v>1</v>
      </c>
      <c r="B2" s="12" t="s">
        <v>407</v>
      </c>
      <c r="C2" s="15" t="s">
        <v>408</v>
      </c>
      <c r="D2" s="15" t="s">
        <v>409</v>
      </c>
      <c r="E2" s="15" t="s">
        <v>410</v>
      </c>
      <c r="F2" s="16" t="n">
        <v>45874</v>
      </c>
      <c r="G2" s="5" t="str">
        <f aca="false">IF(TRIM(SUBSTITUTE(SUBSTITUTE(SUBSTITUTE(SUBSTITUTE(SUBSTITUTE(SUBSTITUTE(SUBSTITUTE(SUBSTITUTE(SUBSTITUTE(SUBSTITUTE(SUBSTITUTE(LOWER(TRIM(D2)),"ё","е"),"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категории",""))="инженер",IF(AND(ISNUMBER(SEARCH("техническ",E2)),ISNUMBER(SEARCH("контрол",E2))),"инженер отк",IF(ISNUMBER(SEARCH("диспетч",E2)),"инженер пдо",TRIM(SUBSTITUTE(SUBSTITUTE(SUBSTITUTE(SUBSTITUTE(SUBSTITUTE(SUBSTITUTE(SUBSTITUTE(SUBSTITUTE(SUBSTITUTE(SUBSTITUTE(SUBSTITUTE(LOWER(TRIM(D2)),"ё","е"),"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инженер",IF(ISNUMBER(SEARCH("диспетч",E2)),"ведущий инженер пдо",TRIM(SUBSTITUTE(SUBSTITUTE(SUBSTITUTE(SUBSTITUTE(SUBSTITUTE(SUBSTITUTE(SUBSTITUTE(SUBSTITUTE(SUBSTITUTE(SUBSTITUTE(SUBSTITUTE(LOWER(TRIM(D2)),"ё","е"),"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отк",TRIM(SUBSTITUTE(SUBSTITUTE(SUBSTITUTE(SUBSTITUTE(SUBSTITUTE(SUBSTITUTE(SUBSTITUTE(SUBSTITUTE(SUBSTITUTE(SUBSTITUTE(SUBSTITUTE(LOWER(TRIM(D2)),"ё","е")," -","-"),"- ","-")," 2 разряда","")," 3 разряда","")," 4 разряда","")," 5 разряда","")," 6 разряда","")," 1 категории","")," 2 категории","")," 3 категории","")))))</f>
        <v>инженер отк</v>
      </c>
      <c r="H2" s="12" t="n">
        <f aca="false">IFERROR(INDEX(Соответствие!$B$2:$B$76,MATCH(G2,Соответствие!$A$2:$A$76,0)),"?")</f>
        <v>13</v>
      </c>
      <c r="I2" s="9" t="str">
        <f aca="false">IFERROR(INDEX('Перечень должностей'!$C$2:$C$46,MATCH(H2,'Перечень должностей'!$A$2:$A$46,0)),"")</f>
        <v>п.4.4, п.5.1, п.5.2</v>
      </c>
      <c r="J2" s="12" t="n">
        <f aca="false">IFERROR(INDEX('Перечень должностей'!$D$2:$D$46,MATCH(H2,'Перечень должностей'!$A$2:$A$46,0)),12)</f>
        <v>12</v>
      </c>
      <c r="K2" s="17"/>
      <c r="L2" s="17"/>
      <c r="M2" s="16" t="str">
        <f aca="false">IF(K2="","",EDATE(IF(L2&lt;&gt;"",L2,K2),J2))</f>
        <v/>
      </c>
      <c r="N2" s="12" t="str">
        <f aca="false">IFERROR(INDEX('Перечень должностей'!$F$2:$F$46,MATCH(H2,'Перечень должностей'!$A$2:$A$46,0)),"")</f>
        <v>-</v>
      </c>
      <c r="O2" s="17"/>
      <c r="P2" s="16" t="str">
        <f aca="false">IF(O2="","",EDATE(O2,60))</f>
        <v/>
      </c>
      <c r="Q2" s="12" t="str">
        <f aca="false">IF(AND(K2&lt;&gt;"",F2&lt;&gt;"",K2&gt;F2),"ДА","")</f>
        <v/>
      </c>
      <c r="R2" s="9"/>
    </row>
    <row r="3" customFormat="false" ht="14.25" hidden="false" customHeight="true" outlineLevel="0" collapsed="false">
      <c r="A3" s="15" t="n">
        <v>2</v>
      </c>
      <c r="B3" s="12" t="s">
        <v>411</v>
      </c>
      <c r="C3" s="15" t="s">
        <v>412</v>
      </c>
      <c r="D3" s="15" t="s">
        <v>413</v>
      </c>
      <c r="E3" s="15" t="s">
        <v>410</v>
      </c>
      <c r="F3" s="16" t="n">
        <v>45870</v>
      </c>
      <c r="G3" s="5" t="str">
        <f aca="false">IF(TRIM(SUBSTITUTE(SUBSTITUTE(SUBSTITUTE(SUBSTITUTE(SUBSTITUTE(SUBSTITUTE(SUBSTITUTE(SUBSTITUTE(SUBSTITUTE(SUBSTITUTE(SUBSTITUTE(LOWER(TRIM(D3)),"ё","е"),"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категории",""))="инженер",IF(AND(ISNUMBER(SEARCH("техническ",E3)),ISNUMBER(SEARCH("контрол",E3))),"инженер отк",IF(ISNUMBER(SEARCH("диспетч",E3)),"инженер пдо",TRIM(SUBSTITUTE(SUBSTITUTE(SUBSTITUTE(SUBSTITUTE(SUBSTITUTE(SUBSTITUTE(SUBSTITUTE(SUBSTITUTE(SUBSTITUTE(SUBSTITUTE(SUBSTITUTE(LOWER(TRIM(D3)),"ё","е"),"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инженер",IF(ISNUMBER(SEARCH("диспетч",E3)),"ведущий инженер пдо",TRIM(SUBSTITUTE(SUBSTITUTE(SUBSTITUTE(SUBSTITUTE(SUBSTITUTE(SUBSTITUTE(SUBSTITUTE(SUBSTITUTE(SUBSTITUTE(SUBSTITUTE(SUBSTITUTE(LOWER(TRIM(D3)),"ё","е"),"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отк",TRIM(SUBSTITUTE(SUBSTITUTE(SUBSTITUTE(SUBSTITUTE(SUBSTITUTE(SUBSTITUTE(SUBSTITUTE(SUBSTITUTE(SUBSTITUTE(SUBSTITUTE(SUBSTITUTE(LOWER(TRIM(D3)),"ё","е")," -","-"),"- ","-")," 2 разряда","")," 3 разряда","")," 4 разряда","")," 5 разряда","")," 6 разряда","")," 1 категории","")," 2 категории","")," 3 категории","")))))</f>
        <v>инженер отк</v>
      </c>
      <c r="H3" s="12" t="n">
        <f aca="false">IFERROR(INDEX(Соответствие!$B$2:$B$76,MATCH(G3,Соответствие!$A$2:$A$76,0)),"?")</f>
        <v>13</v>
      </c>
      <c r="I3" s="9" t="str">
        <f aca="false">IFERROR(INDEX('Перечень должностей'!$C$2:$C$46,MATCH(H3,'Перечень должностей'!$A$2:$A$46,0)),"")</f>
        <v>п.4.4, п.5.1, п.5.2</v>
      </c>
      <c r="J3" s="12" t="n">
        <f aca="false">IFERROR(INDEX('Перечень должностей'!$D$2:$D$46,MATCH(H3,'Перечень должностей'!$A$2:$A$46,0)),12)</f>
        <v>12</v>
      </c>
      <c r="K3" s="17"/>
      <c r="L3" s="17"/>
      <c r="M3" s="16" t="str">
        <f aca="false">IF(K3="","",EDATE(IF(L3&lt;&gt;"",L3,K3),J3))</f>
        <v/>
      </c>
      <c r="N3" s="12" t="str">
        <f aca="false">IFERROR(INDEX('Перечень должностей'!$F$2:$F$46,MATCH(H3,'Перечень должностей'!$A$2:$A$46,0)),"")</f>
        <v>-</v>
      </c>
      <c r="O3" s="17"/>
      <c r="P3" s="16" t="str">
        <f aca="false">IF(O3="","",EDATE(O3,60))</f>
        <v/>
      </c>
      <c r="Q3" s="12" t="str">
        <f aca="false">IF(AND(K3&lt;&gt;"",F3&lt;&gt;"",K3&gt;F3),"ДА","")</f>
        <v/>
      </c>
      <c r="R3" s="9"/>
    </row>
    <row r="4" customFormat="false" ht="14.25" hidden="false" customHeight="true" outlineLevel="0" collapsed="false">
      <c r="A4" s="15" t="n">
        <v>3</v>
      </c>
      <c r="B4" s="12" t="s">
        <v>50</v>
      </c>
      <c r="C4" s="15" t="s">
        <v>414</v>
      </c>
      <c r="D4" s="15" t="s">
        <v>413</v>
      </c>
      <c r="E4" s="15" t="s">
        <v>410</v>
      </c>
      <c r="F4" s="16" t="n">
        <v>38664</v>
      </c>
      <c r="G4" s="5" t="str">
        <f aca="false">IF(TRIM(SUBSTITUTE(SUBSTITUTE(SUBSTITUTE(SUBSTITUTE(SUBSTITUTE(SUBSTITUTE(SUBSTITUTE(SUBSTITUTE(SUBSTITUTE(SUBSTITUTE(SUBSTITUTE(LOWER(TRIM(D4)),"ё","е"),"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категории",""))="инженер",IF(AND(ISNUMBER(SEARCH("техническ",E4)),ISNUMBER(SEARCH("контрол",E4))),"инженер отк",IF(ISNUMBER(SEARCH("диспетч",E4)),"инженер пдо",TRIM(SUBSTITUTE(SUBSTITUTE(SUBSTITUTE(SUBSTITUTE(SUBSTITUTE(SUBSTITUTE(SUBSTITUTE(SUBSTITUTE(SUBSTITUTE(SUBSTITUTE(SUBSTITUTE(LOWER(TRIM(D4)),"ё","е"),"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инженер",IF(ISNUMBER(SEARCH("диспетч",E4)),"ведущий инженер пдо",TRIM(SUBSTITUTE(SUBSTITUTE(SUBSTITUTE(SUBSTITUTE(SUBSTITUTE(SUBSTITUTE(SUBSTITUTE(SUBSTITUTE(SUBSTITUTE(SUBSTITUTE(SUBSTITUTE(LOWER(TRIM(D4)),"ё","е"),"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отк",TRIM(SUBSTITUTE(SUBSTITUTE(SUBSTITUTE(SUBSTITUTE(SUBSTITUTE(SUBSTITUTE(SUBSTITUTE(SUBSTITUTE(SUBSTITUTE(SUBSTITUTE(SUBSTITUTE(LOWER(TRIM(D4)),"ё","е")," -","-"),"- ","-")," 2 разряда","")," 3 разряда","")," 4 разряда","")," 5 разряда","")," 6 разряда","")," 1 категории","")," 2 категории","")," 3 категории","")))))</f>
        <v>инженер отк</v>
      </c>
      <c r="H4" s="12" t="n">
        <f aca="false">IFERROR(INDEX(Соответствие!$B$2:$B$76,MATCH(G4,Соответствие!$A$2:$A$76,0)),"?")</f>
        <v>13</v>
      </c>
      <c r="I4" s="9" t="str">
        <f aca="false">IFERROR(INDEX('Перечень должностей'!$C$2:$C$46,MATCH(H4,'Перечень должностей'!$A$2:$A$46,0)),"")</f>
        <v>п.4.4, п.5.1, п.5.2</v>
      </c>
      <c r="J4" s="12" t="n">
        <f aca="false">IFERROR(INDEX('Перечень должностей'!$D$2:$D$46,MATCH(H4,'Перечень должностей'!$A$2:$A$46,0)),12)</f>
        <v>12</v>
      </c>
      <c r="K4" s="17"/>
      <c r="L4" s="17"/>
      <c r="M4" s="16" t="str">
        <f aca="false">IF(K4="","",EDATE(IF(L4&lt;&gt;"",L4,K4),J4))</f>
        <v/>
      </c>
      <c r="N4" s="12" t="str">
        <f aca="false">IFERROR(INDEX('Перечень должностей'!$F$2:$F$46,MATCH(H4,'Перечень должностей'!$A$2:$A$46,0)),"")</f>
        <v>-</v>
      </c>
      <c r="O4" s="17"/>
      <c r="P4" s="16" t="str">
        <f aca="false">IF(O4="","",EDATE(O4,60))</f>
        <v/>
      </c>
      <c r="Q4" s="12" t="str">
        <f aca="false">IF(AND(K4&lt;&gt;"",F4&lt;&gt;"",K4&gt;F4),"ДА","")</f>
        <v/>
      </c>
      <c r="R4" s="9"/>
    </row>
    <row r="5" customFormat="false" ht="14.25" hidden="false" customHeight="true" outlineLevel="0" collapsed="false">
      <c r="A5" s="15" t="n">
        <v>4</v>
      </c>
      <c r="B5" s="12" t="s">
        <v>415</v>
      </c>
      <c r="C5" s="15" t="s">
        <v>416</v>
      </c>
      <c r="D5" s="15" t="s">
        <v>417</v>
      </c>
      <c r="E5" s="15" t="s">
        <v>410</v>
      </c>
      <c r="F5" s="16" t="n">
        <v>44970</v>
      </c>
      <c r="G5" s="5" t="str">
        <f aca="false">IF(TRIM(SUBSTITUTE(SUBSTITUTE(SUBSTITUTE(SUBSTITUTE(SUBSTITUTE(SUBSTITUTE(SUBSTITUTE(SUBSTITUTE(SUBSTITUTE(SUBSTITUTE(SUBSTITUTE(LOWER(TRIM(D5)),"ё","е"),"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категории",""))="инженер",IF(AND(ISNUMBER(SEARCH("техническ",E5)),ISNUMBER(SEARCH("контрол",E5))),"инженер отк",IF(ISNUMBER(SEARCH("диспетч",E5)),"инженер пдо",TRIM(SUBSTITUTE(SUBSTITUTE(SUBSTITUTE(SUBSTITUTE(SUBSTITUTE(SUBSTITUTE(SUBSTITUTE(SUBSTITUTE(SUBSTITUTE(SUBSTITUTE(SUBSTITUTE(LOWER(TRIM(D5)),"ё","е"),"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инженер",IF(ISNUMBER(SEARCH("диспетч",E5)),"ведущий инженер пдо",TRIM(SUBSTITUTE(SUBSTITUTE(SUBSTITUTE(SUBSTITUTE(SUBSTITUTE(SUBSTITUTE(SUBSTITUTE(SUBSTITUTE(SUBSTITUTE(SUBSTITUTE(SUBSTITUTE(LOWER(TRIM(D5)),"ё","е"),"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отк",TRIM(SUBSTITUTE(SUBSTITUTE(SUBSTITUTE(SUBSTITUTE(SUBSTITUTE(SUBSTITUTE(SUBSTITUTE(SUBSTITUTE(SUBSTITUTE(SUBSTITUTE(SUBSTITUTE(LOWER(TRIM(D5)),"ё","е")," -","-"),"- ","-")," 2 разряда","")," 3 разряда","")," 4 разряда","")," 5 разряда","")," 6 разряда","")," 1 категории","")," 2 категории","")," 3 категории","")))))</f>
        <v>инженер отк</v>
      </c>
      <c r="H5" s="12" t="n">
        <f aca="false">IFERROR(INDEX(Соответствие!$B$2:$B$76,MATCH(G5,Соответствие!$A$2:$A$76,0)),"?")</f>
        <v>13</v>
      </c>
      <c r="I5" s="9" t="str">
        <f aca="false">IFERROR(INDEX('Перечень должностей'!$C$2:$C$46,MATCH(H5,'Перечень должностей'!$A$2:$A$46,0)),"")</f>
        <v>п.4.4, п.5.1, п.5.2</v>
      </c>
      <c r="J5" s="12" t="n">
        <f aca="false">IFERROR(INDEX('Перечень должностей'!$D$2:$D$46,MATCH(H5,'Перечень должностей'!$A$2:$A$46,0)),12)</f>
        <v>12</v>
      </c>
      <c r="K5" s="17"/>
      <c r="L5" s="17"/>
      <c r="M5" s="16" t="str">
        <f aca="false">IF(K5="","",EDATE(IF(L5&lt;&gt;"",L5,K5),J5))</f>
        <v/>
      </c>
      <c r="N5" s="12" t="str">
        <f aca="false">IFERROR(INDEX('Перечень должностей'!$F$2:$F$46,MATCH(H5,'Перечень должностей'!$A$2:$A$46,0)),"")</f>
        <v>-</v>
      </c>
      <c r="O5" s="17"/>
      <c r="P5" s="16" t="str">
        <f aca="false">IF(O5="","",EDATE(O5,60))</f>
        <v/>
      </c>
      <c r="Q5" s="12" t="str">
        <f aca="false">IF(AND(K5&lt;&gt;"",F5&lt;&gt;"",K5&gt;F5),"ДА","")</f>
        <v/>
      </c>
      <c r="R5" s="9"/>
    </row>
    <row r="6" customFormat="false" ht="14.25" hidden="false" customHeight="true" outlineLevel="0" collapsed="false">
      <c r="A6" s="15" t="n">
        <v>5</v>
      </c>
      <c r="B6" s="12" t="s">
        <v>50</v>
      </c>
      <c r="C6" s="15" t="s">
        <v>418</v>
      </c>
      <c r="D6" s="15" t="s">
        <v>419</v>
      </c>
      <c r="E6" s="15" t="s">
        <v>410</v>
      </c>
      <c r="F6" s="16" t="n">
        <v>45720</v>
      </c>
      <c r="G6" s="5" t="str">
        <f aca="false">IF(TRIM(SUBSTITUTE(SUBSTITUTE(SUBSTITUTE(SUBSTITUTE(SUBSTITUTE(SUBSTITUTE(SUBSTITUTE(SUBSTITUTE(SUBSTITUTE(SUBSTITUTE(SUBSTITUTE(LOWER(TRIM(D6)),"ё","е"),"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категории",""))="инженер",IF(AND(ISNUMBER(SEARCH("техническ",E6)),ISNUMBER(SEARCH("контрол",E6))),"инженер отк",IF(ISNUMBER(SEARCH("диспетч",E6)),"инженер пдо",TRIM(SUBSTITUTE(SUBSTITUTE(SUBSTITUTE(SUBSTITUTE(SUBSTITUTE(SUBSTITUTE(SUBSTITUTE(SUBSTITUTE(SUBSTITUTE(SUBSTITUTE(SUBSTITUTE(LOWER(TRIM(D6)),"ё","е"),"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инженер",IF(ISNUMBER(SEARCH("диспетч",E6)),"ведущий инженер пдо",TRIM(SUBSTITUTE(SUBSTITUTE(SUBSTITUTE(SUBSTITUTE(SUBSTITUTE(SUBSTITUTE(SUBSTITUTE(SUBSTITUTE(SUBSTITUTE(SUBSTITUTE(SUBSTITUTE(LOWER(TRIM(D6)),"ё","е"),"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отк",TRIM(SUBSTITUTE(SUBSTITUTE(SUBSTITUTE(SUBSTITUTE(SUBSTITUTE(SUBSTITUTE(SUBSTITUTE(SUBSTITUTE(SUBSTITUTE(SUBSTITUTE(SUBSTITUTE(LOWER(TRIM(D6)),"ё","е")," -","-"),"- ","-")," 2 разряда","")," 3 разряда","")," 4 разряда","")," 5 разряда","")," 6 разряда","")," 1 категории","")," 2 категории","")," 3 категории","")))))</f>
        <v>контролер отк</v>
      </c>
      <c r="H6" s="12" t="n">
        <f aca="false">IFERROR(INDEX(Соответствие!$B$2:$B$76,MATCH(G6,Соответствие!$A$2:$A$76,0)),"?")</f>
        <v>13</v>
      </c>
      <c r="I6" s="9" t="str">
        <f aca="false">IFERROR(INDEX('Перечень должностей'!$C$2:$C$46,MATCH(H6,'Перечень должностей'!$A$2:$A$46,0)),"")</f>
        <v>п.4.4, п.5.1, п.5.2</v>
      </c>
      <c r="J6" s="12" t="n">
        <f aca="false">IFERROR(INDEX('Перечень должностей'!$D$2:$D$46,MATCH(H6,'Перечень должностей'!$A$2:$A$46,0)),12)</f>
        <v>12</v>
      </c>
      <c r="K6" s="17"/>
      <c r="L6" s="17"/>
      <c r="M6" s="16" t="str">
        <f aca="false">IF(K6="","",EDATE(IF(L6&lt;&gt;"",L6,K6),J6))</f>
        <v/>
      </c>
      <c r="N6" s="12" t="str">
        <f aca="false">IFERROR(INDEX('Перечень должностей'!$F$2:$F$46,MATCH(H6,'Перечень должностей'!$A$2:$A$46,0)),"")</f>
        <v>-</v>
      </c>
      <c r="O6" s="17"/>
      <c r="P6" s="16" t="str">
        <f aca="false">IF(O6="","",EDATE(O6,60))</f>
        <v/>
      </c>
      <c r="Q6" s="12" t="str">
        <f aca="false">IF(AND(K6&lt;&gt;"",F6&lt;&gt;"",K6&gt;F6),"ДА","")</f>
        <v/>
      </c>
      <c r="R6" s="9"/>
    </row>
    <row r="7" customFormat="false" ht="14.25" hidden="false" customHeight="true" outlineLevel="0" collapsed="false">
      <c r="A7" s="15" t="n">
        <v>6</v>
      </c>
      <c r="B7" s="12" t="s">
        <v>50</v>
      </c>
      <c r="C7" s="15" t="s">
        <v>420</v>
      </c>
      <c r="D7" s="15" t="s">
        <v>419</v>
      </c>
      <c r="E7" s="15" t="s">
        <v>410</v>
      </c>
      <c r="F7" s="16" t="n">
        <v>45908</v>
      </c>
      <c r="G7" s="5" t="str">
        <f aca="false">IF(TRIM(SUBSTITUTE(SUBSTITUTE(SUBSTITUTE(SUBSTITUTE(SUBSTITUTE(SUBSTITUTE(SUBSTITUTE(SUBSTITUTE(SUBSTITUTE(SUBSTITUTE(SUBSTITUTE(LOWER(TRIM(D7)),"ё","е"),"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категории",""))="инженер",IF(AND(ISNUMBER(SEARCH("техническ",E7)),ISNUMBER(SEARCH("контрол",E7))),"инженер отк",IF(ISNUMBER(SEARCH("диспетч",E7)),"инженер пдо",TRIM(SUBSTITUTE(SUBSTITUTE(SUBSTITUTE(SUBSTITUTE(SUBSTITUTE(SUBSTITUTE(SUBSTITUTE(SUBSTITUTE(SUBSTITUTE(SUBSTITUTE(SUBSTITUTE(LOWER(TRIM(D7)),"ё","е"),"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инженер",IF(ISNUMBER(SEARCH("диспетч",E7)),"ведущий инженер пдо",TRIM(SUBSTITUTE(SUBSTITUTE(SUBSTITUTE(SUBSTITUTE(SUBSTITUTE(SUBSTITUTE(SUBSTITUTE(SUBSTITUTE(SUBSTITUTE(SUBSTITUTE(SUBSTITUTE(LOWER(TRIM(D7)),"ё","е"),"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отк",TRIM(SUBSTITUTE(SUBSTITUTE(SUBSTITUTE(SUBSTITUTE(SUBSTITUTE(SUBSTITUTE(SUBSTITUTE(SUBSTITUTE(SUBSTITUTE(SUBSTITUTE(SUBSTITUTE(LOWER(TRIM(D7)),"ё","е")," -","-"),"- ","-")," 2 разряда","")," 3 разряда","")," 4 разряда","")," 5 разряда","")," 6 разряда","")," 1 категории","")," 2 категории","")," 3 категории","")))))</f>
        <v>контролер отк</v>
      </c>
      <c r="H7" s="12" t="n">
        <f aca="false">IFERROR(INDEX(Соответствие!$B$2:$B$76,MATCH(G7,Соответствие!$A$2:$A$76,0)),"?")</f>
        <v>13</v>
      </c>
      <c r="I7" s="9" t="str">
        <f aca="false">IFERROR(INDEX('Перечень должностей'!$C$2:$C$46,MATCH(H7,'Перечень должностей'!$A$2:$A$46,0)),"")</f>
        <v>п.4.4, п.5.1, п.5.2</v>
      </c>
      <c r="J7" s="12" t="n">
        <f aca="false">IFERROR(INDEX('Перечень должностей'!$D$2:$D$46,MATCH(H7,'Перечень должностей'!$A$2:$A$46,0)),12)</f>
        <v>12</v>
      </c>
      <c r="K7" s="17"/>
      <c r="L7" s="17"/>
      <c r="M7" s="16" t="str">
        <f aca="false">IF(K7="","",EDATE(IF(L7&lt;&gt;"",L7,K7),J7))</f>
        <v/>
      </c>
      <c r="N7" s="12" t="str">
        <f aca="false">IFERROR(INDEX('Перечень должностей'!$F$2:$F$46,MATCH(H7,'Перечень должностей'!$A$2:$A$46,0)),"")</f>
        <v>-</v>
      </c>
      <c r="O7" s="17"/>
      <c r="P7" s="16" t="str">
        <f aca="false">IF(O7="","",EDATE(O7,60))</f>
        <v/>
      </c>
      <c r="Q7" s="12" t="str">
        <f aca="false">IF(AND(K7&lt;&gt;"",F7&lt;&gt;"",K7&gt;F7),"ДА","")</f>
        <v/>
      </c>
      <c r="R7" s="9"/>
    </row>
    <row r="8" customFormat="false" ht="26.25" hidden="false" customHeight="true" outlineLevel="0" collapsed="false">
      <c r="A8" s="15" t="n">
        <v>7</v>
      </c>
      <c r="B8" s="12" t="s">
        <v>415</v>
      </c>
      <c r="C8" s="15" t="s">
        <v>421</v>
      </c>
      <c r="D8" s="15" t="s">
        <v>379</v>
      </c>
      <c r="E8" s="15" t="s">
        <v>422</v>
      </c>
      <c r="F8" s="16" t="n">
        <v>41365</v>
      </c>
      <c r="G8" s="5" t="str">
        <f aca="false">IF(TRIM(SUBSTITUTE(SUBSTITUTE(SUBSTITUTE(SUBSTITUTE(SUBSTITUTE(SUBSTITUTE(SUBSTITUTE(SUBSTITUTE(SUBSTITUTE(SUBSTITUTE(SUBSTITUTE(LOWER(TRIM(D8)),"ё","е"),"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категории",""))="инженер",IF(AND(ISNUMBER(SEARCH("техническ",E8)),ISNUMBER(SEARCH("контрол",E8))),"инженер отк",IF(ISNUMBER(SEARCH("диспетч",E8)),"инженер пдо",TRIM(SUBSTITUTE(SUBSTITUTE(SUBSTITUTE(SUBSTITUTE(SUBSTITUTE(SUBSTITUTE(SUBSTITUTE(SUBSTITUTE(SUBSTITUTE(SUBSTITUTE(SUBSTITUTE(LOWER(TRIM(D8)),"ё","е"),"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инженер",IF(ISNUMBER(SEARCH("диспетч",E8)),"ведущий инженер пдо",TRIM(SUBSTITUTE(SUBSTITUTE(SUBSTITUTE(SUBSTITUTE(SUBSTITUTE(SUBSTITUTE(SUBSTITUTE(SUBSTITUTE(SUBSTITUTE(SUBSTITUTE(SUBSTITUTE(LOWER(TRIM(D8)),"ё","е"),"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отк",TRIM(SUBSTITUTE(SUBSTITUTE(SUBSTITUTE(SUBSTITUTE(SUBSTITUTE(SUBSTITUTE(SUBSTITUTE(SUBSTITUTE(SUBSTITUTE(SUBSTITUTE(SUBSTITUTE(LOWER(TRIM(D8)),"ё","е")," -","-"),"- ","-")," 2 разряда","")," 3 разряда","")," 4 разряда","")," 5 разряда","")," 6 разряда","")," 1 категории","")," 2 категории","")," 3 категории","")))))</f>
        <v>водитель автомобиля (персональный)</v>
      </c>
      <c r="H8" s="12" t="n">
        <f aca="false">IFERROR(INDEX(Соответствие!$B$2:$B$76,MATCH(G8,Соответствие!$A$2:$A$76,0)),"?")</f>
        <v>39</v>
      </c>
      <c r="I8" s="9" t="str">
        <f aca="false">IFERROR(INDEX('Перечень должностей'!$C$2:$C$46,MATCH(H8,'Перечень должностей'!$A$2:$A$46,0)),"")</f>
        <v>п.4.3.1, п.4.3.2, п.4.4, п.5.1, п.5.2, п.18.1</v>
      </c>
      <c r="J8" s="12" t="n">
        <f aca="false">IFERROR(INDEX('Перечень должностей'!$D$2:$D$46,MATCH(H8,'Перечень должностей'!$A$2:$A$46,0)),12)</f>
        <v>12</v>
      </c>
      <c r="K8" s="17"/>
      <c r="L8" s="17"/>
      <c r="M8" s="16" t="str">
        <f aca="false">IF(K8="","",EDATE(IF(L8&lt;&gt;"",L8,K8),J8))</f>
        <v/>
      </c>
      <c r="N8" s="12" t="str">
        <f aca="false">IFERROR(INDEX('Перечень должностей'!$F$2:$F$46,MATCH(H8,'Перечень должностей'!$A$2:$A$46,0)),"")</f>
        <v>Да</v>
      </c>
      <c r="O8" s="17"/>
      <c r="P8" s="16" t="str">
        <f aca="false">IF(O8="","",EDATE(O8,60))</f>
        <v/>
      </c>
      <c r="Q8" s="12" t="str">
        <f aca="false">IF(AND(K8&lt;&gt;"",F8&lt;&gt;"",K8&gt;F8),"ДА","")</f>
        <v/>
      </c>
      <c r="R8" s="9"/>
    </row>
    <row r="9" customFormat="false" ht="14.25" hidden="false" customHeight="true" outlineLevel="0" collapsed="false">
      <c r="A9" s="15" t="n">
        <v>8</v>
      </c>
      <c r="B9" s="12" t="s">
        <v>415</v>
      </c>
      <c r="C9" s="15" t="s">
        <v>423</v>
      </c>
      <c r="D9" s="15" t="s">
        <v>330</v>
      </c>
      <c r="E9" s="15" t="s">
        <v>424</v>
      </c>
      <c r="F9" s="16" t="n">
        <v>46097</v>
      </c>
      <c r="G9" s="5" t="str">
        <f aca="false">IF(TRIM(SUBSTITUTE(SUBSTITUTE(SUBSTITUTE(SUBSTITUTE(SUBSTITUTE(SUBSTITUTE(SUBSTITUTE(SUBSTITUTE(SUBSTITUTE(SUBSTITUTE(SUBSTITUTE(LOWER(TRIM(D9)),"ё","е"),"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категории",""))="инженер",IF(AND(ISNUMBER(SEARCH("техническ",E9)),ISNUMBER(SEARCH("контрол",E9))),"инженер отк",IF(ISNUMBER(SEARCH("диспетч",E9)),"инженер пдо",TRIM(SUBSTITUTE(SUBSTITUTE(SUBSTITUTE(SUBSTITUTE(SUBSTITUTE(SUBSTITUTE(SUBSTITUTE(SUBSTITUTE(SUBSTITUTE(SUBSTITUTE(SUBSTITUTE(LOWER(TRIM(D9)),"ё","е"),"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инженер",IF(ISNUMBER(SEARCH("диспетч",E9)),"ведущий инженер пдо",TRIM(SUBSTITUTE(SUBSTITUTE(SUBSTITUTE(SUBSTITUTE(SUBSTITUTE(SUBSTITUTE(SUBSTITUTE(SUBSTITUTE(SUBSTITUTE(SUBSTITUTE(SUBSTITUTE(LOWER(TRIM(D9)),"ё","е"),"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отк",TRIM(SUBSTITUTE(SUBSTITUTE(SUBSTITUTE(SUBSTITUTE(SUBSTITUTE(SUBSTITUTE(SUBSTITUTE(SUBSTITUTE(SUBSTITUTE(SUBSTITUTE(SUBSTITUTE(LOWER(TRIM(D9)),"ё","е")," -","-"),"- ","-")," 2 разряда","")," 3 разряда","")," 4 разряда","")," 5 разряда","")," 6 разряда","")," 1 категории","")," 2 категории","")," 3 категории","")))))</f>
        <v>специалист</v>
      </c>
      <c r="H9" s="12" t="n">
        <f aca="false">IFERROR(INDEX(Соответствие!$B$2:$B$76,MATCH(G9,Соответствие!$A$2:$A$76,0)),"?")</f>
        <v>12</v>
      </c>
      <c r="I9" s="9" t="str">
        <f aca="false">IFERROR(INDEX('Перечень должностей'!$C$2:$C$46,MATCH(H9,'Перечень должностей'!$A$2:$A$46,0)),"")</f>
        <v>п.4.4, п.5.1, п.5.2</v>
      </c>
      <c r="J9" s="12" t="n">
        <f aca="false">IFERROR(INDEX('Перечень должностей'!$D$2:$D$46,MATCH(H9,'Перечень должностей'!$A$2:$A$46,0)),12)</f>
        <v>12</v>
      </c>
      <c r="K9" s="17"/>
      <c r="L9" s="17"/>
      <c r="M9" s="16" t="str">
        <f aca="false">IF(K9="","",EDATE(IF(L9&lt;&gt;"",L9,K9),J9))</f>
        <v/>
      </c>
      <c r="N9" s="12" t="str">
        <f aca="false">IFERROR(INDEX('Перечень должностей'!$F$2:$F$46,MATCH(H9,'Перечень должностей'!$A$2:$A$46,0)),"")</f>
        <v>-</v>
      </c>
      <c r="O9" s="17"/>
      <c r="P9" s="16" t="str">
        <f aca="false">IF(O9="","",EDATE(O9,60))</f>
        <v/>
      </c>
      <c r="Q9" s="12" t="str">
        <f aca="false">IF(AND(K9&lt;&gt;"",F9&lt;&gt;"",K9&gt;F9),"ДА","")</f>
        <v/>
      </c>
      <c r="R9" s="9"/>
    </row>
    <row r="10" customFormat="false" ht="14.25" hidden="false" customHeight="true" outlineLevel="0" collapsed="false">
      <c r="A10" s="15" t="n">
        <v>9</v>
      </c>
      <c r="B10" s="12" t="s">
        <v>415</v>
      </c>
      <c r="C10" s="15" t="s">
        <v>425</v>
      </c>
      <c r="D10" s="15" t="s">
        <v>330</v>
      </c>
      <c r="E10" s="15" t="s">
        <v>426</v>
      </c>
      <c r="F10" s="16" t="n">
        <v>46266</v>
      </c>
      <c r="G10" s="5" t="str">
        <f aca="false">IF(TRIM(SUBSTITUTE(SUBSTITUTE(SUBSTITUTE(SUBSTITUTE(SUBSTITUTE(SUBSTITUTE(SUBSTITUTE(SUBSTITUTE(SUBSTITUTE(SUBSTITUTE(SUBSTITUTE(LOWER(TRIM(D10)),"ё","е"),"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категории",""))="инженер",IF(AND(ISNUMBER(SEARCH("техническ",E10)),ISNUMBER(SEARCH("контрол",E10))),"инженер отк",IF(ISNUMBER(SEARCH("диспетч",E10)),"инженер пдо",TRIM(SUBSTITUTE(SUBSTITUTE(SUBSTITUTE(SUBSTITUTE(SUBSTITUTE(SUBSTITUTE(SUBSTITUTE(SUBSTITUTE(SUBSTITUTE(SUBSTITUTE(SUBSTITUTE(LOWER(TRIM(D10)),"ё","е"),"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инженер",IF(ISNUMBER(SEARCH("диспетч",E10)),"ведущий инженер пдо",TRIM(SUBSTITUTE(SUBSTITUTE(SUBSTITUTE(SUBSTITUTE(SUBSTITUTE(SUBSTITUTE(SUBSTITUTE(SUBSTITUTE(SUBSTITUTE(SUBSTITUTE(SUBSTITUTE(LOWER(TRIM(D10)),"ё","е"),"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отк",TRIM(SUBSTITUTE(SUBSTITUTE(SUBSTITUTE(SUBSTITUTE(SUBSTITUTE(SUBSTITUTE(SUBSTITUTE(SUBSTITUTE(SUBSTITUTE(SUBSTITUTE(SUBSTITUTE(LOWER(TRIM(D10)),"ё","е")," -","-"),"- ","-")," 2 разряда","")," 3 разряда","")," 4 разряда","")," 5 разряда","")," 6 разряда","")," 1 категории","")," 2 категории","")," 3 категории","")))))</f>
        <v>специалист</v>
      </c>
      <c r="H10" s="12" t="n">
        <f aca="false">IFERROR(INDEX(Соответствие!$B$2:$B$76,MATCH(G10,Соответствие!$A$2:$A$76,0)),"?")</f>
        <v>12</v>
      </c>
      <c r="I10" s="9" t="str">
        <f aca="false">IFERROR(INDEX('Перечень должностей'!$C$2:$C$46,MATCH(H10,'Перечень должностей'!$A$2:$A$46,0)),"")</f>
        <v>п.4.4, п.5.1, п.5.2</v>
      </c>
      <c r="J10" s="12" t="n">
        <f aca="false">IFERROR(INDEX('Перечень должностей'!$D$2:$D$46,MATCH(H10,'Перечень должностей'!$A$2:$A$46,0)),12)</f>
        <v>12</v>
      </c>
      <c r="K10" s="17"/>
      <c r="L10" s="17"/>
      <c r="M10" s="16" t="str">
        <f aca="false">IF(K10="","",EDATE(IF(L10&lt;&gt;"",L10,K10),J10))</f>
        <v/>
      </c>
      <c r="N10" s="12" t="str">
        <f aca="false">IFERROR(INDEX('Перечень должностей'!$F$2:$F$46,MATCH(H10,'Перечень должностей'!$A$2:$A$46,0)),"")</f>
        <v>-</v>
      </c>
      <c r="O10" s="17"/>
      <c r="P10" s="16" t="str">
        <f aca="false">IF(O10="","",EDATE(O10,60))</f>
        <v/>
      </c>
      <c r="Q10" s="12" t="str">
        <f aca="false">IF(AND(K10&lt;&gt;"",F10&lt;&gt;"",K10&gt;F10),"ДА","")</f>
        <v/>
      </c>
      <c r="R10" s="9"/>
    </row>
    <row r="11" customFormat="false" ht="14.25" hidden="false" customHeight="true" outlineLevel="0" collapsed="false">
      <c r="A11" s="15" t="n">
        <v>10</v>
      </c>
      <c r="B11" s="12" t="s">
        <v>415</v>
      </c>
      <c r="C11" s="15" t="s">
        <v>427</v>
      </c>
      <c r="D11" s="15" t="s">
        <v>330</v>
      </c>
      <c r="E11" s="15" t="s">
        <v>428</v>
      </c>
      <c r="F11" s="16" t="n">
        <v>46104</v>
      </c>
      <c r="G11" s="5" t="str">
        <f aca="false">IF(TRIM(SUBSTITUTE(SUBSTITUTE(SUBSTITUTE(SUBSTITUTE(SUBSTITUTE(SUBSTITUTE(SUBSTITUTE(SUBSTITUTE(SUBSTITUTE(SUBSTITUTE(SUBSTITUTE(LOWER(TRIM(D11)),"ё","е"),"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категории",""))="инженер",IF(AND(ISNUMBER(SEARCH("техническ",E11)),ISNUMBER(SEARCH("контрол",E11))),"инженер отк",IF(ISNUMBER(SEARCH("диспетч",E11)),"инженер пдо",TRIM(SUBSTITUTE(SUBSTITUTE(SUBSTITUTE(SUBSTITUTE(SUBSTITUTE(SUBSTITUTE(SUBSTITUTE(SUBSTITUTE(SUBSTITUTE(SUBSTITUTE(SUBSTITUTE(LOWER(TRIM(D11)),"ё","е"),"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инженер",IF(ISNUMBER(SEARCH("диспетч",E11)),"ведущий инженер пдо",TRIM(SUBSTITUTE(SUBSTITUTE(SUBSTITUTE(SUBSTITUTE(SUBSTITUTE(SUBSTITUTE(SUBSTITUTE(SUBSTITUTE(SUBSTITUTE(SUBSTITUTE(SUBSTITUTE(LOWER(TRIM(D11)),"ё","е"),"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отк",TRIM(SUBSTITUTE(SUBSTITUTE(SUBSTITUTE(SUBSTITUTE(SUBSTITUTE(SUBSTITUTE(SUBSTITUTE(SUBSTITUTE(SUBSTITUTE(SUBSTITUTE(SUBSTITUTE(LOWER(TRIM(D11)),"ё","е")," -","-"),"- ","-")," 2 разряда","")," 3 разряда","")," 4 разряда","")," 5 разряда","")," 6 разряда","")," 1 категории","")," 2 категории","")," 3 категории","")))))</f>
        <v>специалист</v>
      </c>
      <c r="H11" s="12" t="n">
        <f aca="false">IFERROR(INDEX(Соответствие!$B$2:$B$76,MATCH(G11,Соответствие!$A$2:$A$76,0)),"?")</f>
        <v>12</v>
      </c>
      <c r="I11" s="9" t="str">
        <f aca="false">IFERROR(INDEX('Перечень должностей'!$C$2:$C$46,MATCH(H11,'Перечень должностей'!$A$2:$A$46,0)),"")</f>
        <v>п.4.4, п.5.1, п.5.2</v>
      </c>
      <c r="J11" s="12" t="n">
        <f aca="false">IFERROR(INDEX('Перечень должностей'!$D$2:$D$46,MATCH(H11,'Перечень должностей'!$A$2:$A$46,0)),12)</f>
        <v>12</v>
      </c>
      <c r="K11" s="17"/>
      <c r="L11" s="17"/>
      <c r="M11" s="16" t="str">
        <f aca="false">IF(K11="","",EDATE(IF(L11&lt;&gt;"",L11,K11),J11))</f>
        <v/>
      </c>
      <c r="N11" s="12" t="str">
        <f aca="false">IFERROR(INDEX('Перечень должностей'!$F$2:$F$46,MATCH(H11,'Перечень должностей'!$A$2:$A$46,0)),"")</f>
        <v>-</v>
      </c>
      <c r="O11" s="17"/>
      <c r="P11" s="16" t="str">
        <f aca="false">IF(O11="","",EDATE(O11,60))</f>
        <v/>
      </c>
      <c r="Q11" s="12" t="str">
        <f aca="false">IF(AND(K11&lt;&gt;"",F11&lt;&gt;"",K11&gt;F11),"ДА","")</f>
        <v/>
      </c>
      <c r="R11" s="9"/>
    </row>
    <row r="12" customFormat="false" ht="14.25" hidden="false" customHeight="true" outlineLevel="0" collapsed="false">
      <c r="A12" s="15" t="n">
        <v>11</v>
      </c>
      <c r="B12" s="12" t="s">
        <v>415</v>
      </c>
      <c r="C12" s="15" t="s">
        <v>429</v>
      </c>
      <c r="D12" s="15" t="s">
        <v>430</v>
      </c>
      <c r="E12" s="15" t="s">
        <v>431</v>
      </c>
      <c r="F12" s="16" t="n">
        <v>43283</v>
      </c>
      <c r="G12" s="5" t="str">
        <f aca="false">IF(TRIM(SUBSTITUTE(SUBSTITUTE(SUBSTITUTE(SUBSTITUTE(SUBSTITUTE(SUBSTITUTE(SUBSTITUTE(SUBSTITUTE(SUBSTITUTE(SUBSTITUTE(SUBSTITUTE(LOWER(TRIM(D12)),"ё","е"),"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категории",""))="инженер",IF(AND(ISNUMBER(SEARCH("техническ",E12)),ISNUMBER(SEARCH("контрол",E12))),"инженер отк",IF(ISNUMBER(SEARCH("диспетч",E12)),"инженер пдо",TRIM(SUBSTITUTE(SUBSTITUTE(SUBSTITUTE(SUBSTITUTE(SUBSTITUTE(SUBSTITUTE(SUBSTITUTE(SUBSTITUTE(SUBSTITUTE(SUBSTITUTE(SUBSTITUTE(LOWER(TRIM(D12)),"ё","е"),"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инженер",IF(ISNUMBER(SEARCH("диспетч",E12)),"ведущий инженер пдо",TRIM(SUBSTITUTE(SUBSTITUTE(SUBSTITUTE(SUBSTITUTE(SUBSTITUTE(SUBSTITUTE(SUBSTITUTE(SUBSTITUTE(SUBSTITUTE(SUBSTITUTE(SUBSTITUTE(LOWER(TRIM(D12)),"ё","е"),"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отк",TRIM(SUBSTITUTE(SUBSTITUTE(SUBSTITUTE(SUBSTITUTE(SUBSTITUTE(SUBSTITUTE(SUBSTITUTE(SUBSTITUTE(SUBSTITUTE(SUBSTITUTE(SUBSTITUTE(LOWER(TRIM(D12)),"ё","е")," -","-"),"- ","-")," 2 разряда","")," 3 разряда","")," 4 разряда","")," 5 разряда","")," 6 разряда","")," 1 категории","")," 2 категории","")," 3 категории","")))))</f>
        <v>старший технический работник</v>
      </c>
      <c r="H12" s="12" t="n">
        <f aca="false">IFERROR(INDEX(Соответствие!$B$2:$B$76,MATCH(G12,Соответствие!$A$2:$A$76,0)),"?")</f>
        <v>10</v>
      </c>
      <c r="I12" s="9" t="str">
        <f aca="false">IFERROR(INDEX('Перечень должностей'!$C$2:$C$46,MATCH(H12,'Перечень должностей'!$A$2:$A$46,0)),"")</f>
        <v>п.1.48, п.4.3.1, п.4.4, п.5.1</v>
      </c>
      <c r="J12" s="12" t="n">
        <f aca="false">IFERROR(INDEX('Перечень должностей'!$D$2:$D$46,MATCH(H12,'Перечень должностей'!$A$2:$A$46,0)),12)</f>
        <v>12</v>
      </c>
      <c r="K12" s="17"/>
      <c r="L12" s="17"/>
      <c r="M12" s="16" t="str">
        <f aca="false">IF(K12="","",EDATE(IF(L12&lt;&gt;"",L12,K12),J12))</f>
        <v/>
      </c>
      <c r="N12" s="12" t="str">
        <f aca="false">IFERROR(INDEX('Перечень должностей'!$F$2:$F$46,MATCH(H12,'Перечень должностей'!$A$2:$A$46,0)),"")</f>
        <v>-</v>
      </c>
      <c r="O12" s="17"/>
      <c r="P12" s="16" t="str">
        <f aca="false">IF(O12="","",EDATE(O12,60))</f>
        <v/>
      </c>
      <c r="Q12" s="12" t="str">
        <f aca="false">IF(AND(K12&lt;&gt;"",F12&lt;&gt;"",K12&gt;F12),"ДА","")</f>
        <v/>
      </c>
      <c r="R12" s="9"/>
    </row>
    <row r="13" customFormat="false" ht="14.25" hidden="false" customHeight="true" outlineLevel="0" collapsed="false">
      <c r="A13" s="15" t="n">
        <v>12</v>
      </c>
      <c r="B13" s="12" t="s">
        <v>415</v>
      </c>
      <c r="C13" s="15" t="s">
        <v>432</v>
      </c>
      <c r="D13" s="15" t="s">
        <v>430</v>
      </c>
      <c r="E13" s="15" t="s">
        <v>431</v>
      </c>
      <c r="F13" s="16" t="n">
        <v>46065</v>
      </c>
      <c r="G13" s="5" t="str">
        <f aca="false">IF(TRIM(SUBSTITUTE(SUBSTITUTE(SUBSTITUTE(SUBSTITUTE(SUBSTITUTE(SUBSTITUTE(SUBSTITUTE(SUBSTITUTE(SUBSTITUTE(SUBSTITUTE(SUBSTITUTE(LOWER(TRIM(D13)),"ё","е"),"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категории",""))="инженер",IF(AND(ISNUMBER(SEARCH("техническ",E13)),ISNUMBER(SEARCH("контрол",E13))),"инженер отк",IF(ISNUMBER(SEARCH("диспетч",E13)),"инженер пдо",TRIM(SUBSTITUTE(SUBSTITUTE(SUBSTITUTE(SUBSTITUTE(SUBSTITUTE(SUBSTITUTE(SUBSTITUTE(SUBSTITUTE(SUBSTITUTE(SUBSTITUTE(SUBSTITUTE(LOWER(TRIM(D13)),"ё","е"),"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инженер",IF(ISNUMBER(SEARCH("диспетч",E13)),"ведущий инженер пдо",TRIM(SUBSTITUTE(SUBSTITUTE(SUBSTITUTE(SUBSTITUTE(SUBSTITUTE(SUBSTITUTE(SUBSTITUTE(SUBSTITUTE(SUBSTITUTE(SUBSTITUTE(SUBSTITUTE(LOWER(TRIM(D13)),"ё","е"),"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отк",TRIM(SUBSTITUTE(SUBSTITUTE(SUBSTITUTE(SUBSTITUTE(SUBSTITUTE(SUBSTITUTE(SUBSTITUTE(SUBSTITUTE(SUBSTITUTE(SUBSTITUTE(SUBSTITUTE(LOWER(TRIM(D13)),"ё","е")," -","-"),"- ","-")," 2 разряда","")," 3 разряда","")," 4 разряда","")," 5 разряда","")," 6 разряда","")," 1 категории","")," 2 категории","")," 3 категории","")))))</f>
        <v>старший технический работник</v>
      </c>
      <c r="H13" s="12" t="n">
        <f aca="false">IFERROR(INDEX(Соответствие!$B$2:$B$76,MATCH(G13,Соответствие!$A$2:$A$76,0)),"?")</f>
        <v>10</v>
      </c>
      <c r="I13" s="9" t="str">
        <f aca="false">IFERROR(INDEX('Перечень должностей'!$C$2:$C$46,MATCH(H13,'Перечень должностей'!$A$2:$A$46,0)),"")</f>
        <v>п.1.48, п.4.3.1, п.4.4, п.5.1</v>
      </c>
      <c r="J13" s="12" t="n">
        <f aca="false">IFERROR(INDEX('Перечень должностей'!$D$2:$D$46,MATCH(H13,'Перечень должностей'!$A$2:$A$46,0)),12)</f>
        <v>12</v>
      </c>
      <c r="K13" s="17"/>
      <c r="L13" s="17"/>
      <c r="M13" s="16" t="str">
        <f aca="false">IF(K13="","",EDATE(IF(L13&lt;&gt;"",L13,K13),J13))</f>
        <v/>
      </c>
      <c r="N13" s="12" t="str">
        <f aca="false">IFERROR(INDEX('Перечень должностей'!$F$2:$F$46,MATCH(H13,'Перечень должностей'!$A$2:$A$46,0)),"")</f>
        <v>-</v>
      </c>
      <c r="O13" s="17"/>
      <c r="P13" s="16" t="str">
        <f aca="false">IF(O13="","",EDATE(O13,60))</f>
        <v/>
      </c>
      <c r="Q13" s="12" t="str">
        <f aca="false">IF(AND(K13&lt;&gt;"",F13&lt;&gt;"",K13&gt;F13),"ДА","")</f>
        <v/>
      </c>
      <c r="R13" s="9"/>
    </row>
    <row r="14" customFormat="false" ht="14.25" hidden="false" customHeight="true" outlineLevel="0" collapsed="false">
      <c r="A14" s="15" t="n">
        <v>13</v>
      </c>
      <c r="B14" s="12" t="s">
        <v>415</v>
      </c>
      <c r="C14" s="15" t="s">
        <v>433</v>
      </c>
      <c r="D14" s="15" t="s">
        <v>430</v>
      </c>
      <c r="E14" s="15" t="s">
        <v>431</v>
      </c>
      <c r="F14" s="16" t="n">
        <v>43845</v>
      </c>
      <c r="G14" s="5" t="str">
        <f aca="false">IF(TRIM(SUBSTITUTE(SUBSTITUTE(SUBSTITUTE(SUBSTITUTE(SUBSTITUTE(SUBSTITUTE(SUBSTITUTE(SUBSTITUTE(SUBSTITUTE(SUBSTITUTE(SUBSTITUTE(LOWER(TRIM(D14)),"ё","е"),"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категории",""))="инженер",IF(AND(ISNUMBER(SEARCH("техническ",E14)),ISNUMBER(SEARCH("контрол",E14))),"инженер отк",IF(ISNUMBER(SEARCH("диспетч",E14)),"инженер пдо",TRIM(SUBSTITUTE(SUBSTITUTE(SUBSTITUTE(SUBSTITUTE(SUBSTITUTE(SUBSTITUTE(SUBSTITUTE(SUBSTITUTE(SUBSTITUTE(SUBSTITUTE(SUBSTITUTE(LOWER(TRIM(D14)),"ё","е"),"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инженер",IF(ISNUMBER(SEARCH("диспетч",E14)),"ведущий инженер пдо",TRIM(SUBSTITUTE(SUBSTITUTE(SUBSTITUTE(SUBSTITUTE(SUBSTITUTE(SUBSTITUTE(SUBSTITUTE(SUBSTITUTE(SUBSTITUTE(SUBSTITUTE(SUBSTITUTE(LOWER(TRIM(D14)),"ё","е"),"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отк",TRIM(SUBSTITUTE(SUBSTITUTE(SUBSTITUTE(SUBSTITUTE(SUBSTITUTE(SUBSTITUTE(SUBSTITUTE(SUBSTITUTE(SUBSTITUTE(SUBSTITUTE(SUBSTITUTE(LOWER(TRIM(D14)),"ё","е")," -","-"),"- ","-")," 2 разряда","")," 3 разряда","")," 4 разряда","")," 5 разряда","")," 6 разряда","")," 1 категории","")," 2 категории","")," 3 категории","")))))</f>
        <v>старший технический работник</v>
      </c>
      <c r="H14" s="12" t="n">
        <f aca="false">IFERROR(INDEX(Соответствие!$B$2:$B$76,MATCH(G14,Соответствие!$A$2:$A$76,0)),"?")</f>
        <v>10</v>
      </c>
      <c r="I14" s="9" t="str">
        <f aca="false">IFERROR(INDEX('Перечень должностей'!$C$2:$C$46,MATCH(H14,'Перечень должностей'!$A$2:$A$46,0)),"")</f>
        <v>п.1.48, п.4.3.1, п.4.4, п.5.1</v>
      </c>
      <c r="J14" s="12" t="n">
        <f aca="false">IFERROR(INDEX('Перечень должностей'!$D$2:$D$46,MATCH(H14,'Перечень должностей'!$A$2:$A$46,0)),12)</f>
        <v>12</v>
      </c>
      <c r="K14" s="17"/>
      <c r="L14" s="17"/>
      <c r="M14" s="16" t="str">
        <f aca="false">IF(K14="","",EDATE(IF(L14&lt;&gt;"",L14,K14),J14))</f>
        <v/>
      </c>
      <c r="N14" s="12" t="str">
        <f aca="false">IFERROR(INDEX('Перечень должностей'!$F$2:$F$46,MATCH(H14,'Перечень должностей'!$A$2:$A$46,0)),"")</f>
        <v>-</v>
      </c>
      <c r="O14" s="17"/>
      <c r="P14" s="16" t="str">
        <f aca="false">IF(O14="","",EDATE(O14,60))</f>
        <v/>
      </c>
      <c r="Q14" s="12" t="str">
        <f aca="false">IF(AND(K14&lt;&gt;"",F14&lt;&gt;"",K14&gt;F14),"ДА","")</f>
        <v/>
      </c>
      <c r="R14" s="9"/>
    </row>
    <row r="15" customFormat="false" ht="14.25" hidden="false" customHeight="true" outlineLevel="0" collapsed="false">
      <c r="A15" s="15" t="n">
        <v>14</v>
      </c>
      <c r="B15" s="12" t="s">
        <v>415</v>
      </c>
      <c r="C15" s="15" t="s">
        <v>434</v>
      </c>
      <c r="D15" s="15" t="s">
        <v>330</v>
      </c>
      <c r="E15" s="15" t="s">
        <v>435</v>
      </c>
      <c r="F15" s="16" t="n">
        <v>39479</v>
      </c>
      <c r="G15" s="5" t="str">
        <f aca="false">IF(TRIM(SUBSTITUTE(SUBSTITUTE(SUBSTITUTE(SUBSTITUTE(SUBSTITUTE(SUBSTITUTE(SUBSTITUTE(SUBSTITUTE(SUBSTITUTE(SUBSTITUTE(SUBSTITUTE(LOWER(TRIM(D15)),"ё","е"),"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категории",""))="инженер",IF(AND(ISNUMBER(SEARCH("техническ",E15)),ISNUMBER(SEARCH("контрол",E15))),"инженер отк",IF(ISNUMBER(SEARCH("диспетч",E15)),"инженер пдо",TRIM(SUBSTITUTE(SUBSTITUTE(SUBSTITUTE(SUBSTITUTE(SUBSTITUTE(SUBSTITUTE(SUBSTITUTE(SUBSTITUTE(SUBSTITUTE(SUBSTITUTE(SUBSTITUTE(LOWER(TRIM(D15)),"ё","е"),"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инженер",IF(ISNUMBER(SEARCH("диспетч",E15)),"ведущий инженер пдо",TRIM(SUBSTITUTE(SUBSTITUTE(SUBSTITUTE(SUBSTITUTE(SUBSTITUTE(SUBSTITUTE(SUBSTITUTE(SUBSTITUTE(SUBSTITUTE(SUBSTITUTE(SUBSTITUTE(LOWER(TRIM(D15)),"ё","е"),"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отк",TRIM(SUBSTITUTE(SUBSTITUTE(SUBSTITUTE(SUBSTITUTE(SUBSTITUTE(SUBSTITUTE(SUBSTITUTE(SUBSTITUTE(SUBSTITUTE(SUBSTITUTE(SUBSTITUTE(LOWER(TRIM(D15)),"ё","е")," -","-"),"- ","-")," 2 разряда","")," 3 разряда","")," 4 разряда","")," 5 разряда","")," 6 разряда","")," 1 категории","")," 2 категории","")," 3 категории","")))))</f>
        <v>специалист</v>
      </c>
      <c r="H15" s="12" t="n">
        <f aca="false">IFERROR(INDEX(Соответствие!$B$2:$B$76,MATCH(G15,Соответствие!$A$2:$A$76,0)),"?")</f>
        <v>12</v>
      </c>
      <c r="I15" s="9" t="str">
        <f aca="false">IFERROR(INDEX('Перечень должностей'!$C$2:$C$46,MATCH(H15,'Перечень должностей'!$A$2:$A$46,0)),"")</f>
        <v>п.4.4, п.5.1, п.5.2</v>
      </c>
      <c r="J15" s="12" t="n">
        <f aca="false">IFERROR(INDEX('Перечень должностей'!$D$2:$D$46,MATCH(H15,'Перечень должностей'!$A$2:$A$46,0)),12)</f>
        <v>12</v>
      </c>
      <c r="K15" s="17"/>
      <c r="L15" s="17"/>
      <c r="M15" s="16" t="str">
        <f aca="false">IF(K15="","",EDATE(IF(L15&lt;&gt;"",L15,K15),J15))</f>
        <v/>
      </c>
      <c r="N15" s="12" t="str">
        <f aca="false">IFERROR(INDEX('Перечень должностей'!$F$2:$F$46,MATCH(H15,'Перечень должностей'!$A$2:$A$46,0)),"")</f>
        <v>-</v>
      </c>
      <c r="O15" s="17"/>
      <c r="P15" s="16" t="str">
        <f aca="false">IF(O15="","",EDATE(O15,60))</f>
        <v/>
      </c>
      <c r="Q15" s="12" t="str">
        <f aca="false">IF(AND(K15&lt;&gt;"",F15&lt;&gt;"",K15&gt;F15),"ДА","")</f>
        <v/>
      </c>
      <c r="R15" s="9"/>
    </row>
    <row r="16" customFormat="false" ht="14.25" hidden="false" customHeight="true" outlineLevel="0" collapsed="false">
      <c r="A16" s="15" t="n">
        <v>15</v>
      </c>
      <c r="B16" s="12" t="s">
        <v>415</v>
      </c>
      <c r="C16" s="15" t="s">
        <v>436</v>
      </c>
      <c r="D16" s="15" t="s">
        <v>330</v>
      </c>
      <c r="E16" s="15" t="s">
        <v>437</v>
      </c>
      <c r="F16" s="16" t="n">
        <v>46237</v>
      </c>
      <c r="G16" s="5" t="str">
        <f aca="false">IF(TRIM(SUBSTITUTE(SUBSTITUTE(SUBSTITUTE(SUBSTITUTE(SUBSTITUTE(SUBSTITUTE(SUBSTITUTE(SUBSTITUTE(SUBSTITUTE(SUBSTITUTE(SUBSTITUTE(LOWER(TRIM(D16)),"ё","е"),"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категории",""))="инженер",IF(AND(ISNUMBER(SEARCH("техническ",E16)),ISNUMBER(SEARCH("контрол",E16))),"инженер отк",IF(ISNUMBER(SEARCH("диспетч",E16)),"инженер пдо",TRIM(SUBSTITUTE(SUBSTITUTE(SUBSTITUTE(SUBSTITUTE(SUBSTITUTE(SUBSTITUTE(SUBSTITUTE(SUBSTITUTE(SUBSTITUTE(SUBSTITUTE(SUBSTITUTE(LOWER(TRIM(D16)),"ё","е"),"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инженер",IF(ISNUMBER(SEARCH("диспетч",E16)),"ведущий инженер пдо",TRIM(SUBSTITUTE(SUBSTITUTE(SUBSTITUTE(SUBSTITUTE(SUBSTITUTE(SUBSTITUTE(SUBSTITUTE(SUBSTITUTE(SUBSTITUTE(SUBSTITUTE(SUBSTITUTE(LOWER(TRIM(D16)),"ё","е"),"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отк",TRIM(SUBSTITUTE(SUBSTITUTE(SUBSTITUTE(SUBSTITUTE(SUBSTITUTE(SUBSTITUTE(SUBSTITUTE(SUBSTITUTE(SUBSTITUTE(SUBSTITUTE(SUBSTITUTE(LOWER(TRIM(D16)),"ё","е")," -","-"),"- ","-")," 2 разряда","")," 3 разряда","")," 4 разряда","")," 5 разряда","")," 6 разряда","")," 1 категории","")," 2 категории","")," 3 категории","")))))</f>
        <v>специалист</v>
      </c>
      <c r="H16" s="12" t="n">
        <f aca="false">IFERROR(INDEX(Соответствие!$B$2:$B$76,MATCH(G16,Соответствие!$A$2:$A$76,0)),"?")</f>
        <v>12</v>
      </c>
      <c r="I16" s="9" t="str">
        <f aca="false">IFERROR(INDEX('Перечень должностей'!$C$2:$C$46,MATCH(H16,'Перечень должностей'!$A$2:$A$46,0)),"")</f>
        <v>п.4.4, п.5.1, п.5.2</v>
      </c>
      <c r="J16" s="12" t="n">
        <f aca="false">IFERROR(INDEX('Перечень должностей'!$D$2:$D$46,MATCH(H16,'Перечень должностей'!$A$2:$A$46,0)),12)</f>
        <v>12</v>
      </c>
      <c r="K16" s="17"/>
      <c r="L16" s="17"/>
      <c r="M16" s="16" t="str">
        <f aca="false">IF(K16="","",EDATE(IF(L16&lt;&gt;"",L16,K16),J16))</f>
        <v/>
      </c>
      <c r="N16" s="12" t="str">
        <f aca="false">IFERROR(INDEX('Перечень должностей'!$F$2:$F$46,MATCH(H16,'Перечень должностей'!$A$2:$A$46,0)),"")</f>
        <v>-</v>
      </c>
      <c r="O16" s="17"/>
      <c r="P16" s="16" t="str">
        <f aca="false">IF(O16="","",EDATE(O16,60))</f>
        <v/>
      </c>
      <c r="Q16" s="12" t="str">
        <f aca="false">IF(AND(K16&lt;&gt;"",F16&lt;&gt;"",K16&gt;F16),"ДА","")</f>
        <v/>
      </c>
      <c r="R16" s="9"/>
    </row>
    <row r="17" customFormat="false" ht="14.25" hidden="false" customHeight="true" outlineLevel="0" collapsed="false">
      <c r="A17" s="15" t="n">
        <v>16</v>
      </c>
      <c r="B17" s="12" t="s">
        <v>438</v>
      </c>
      <c r="C17" s="15" t="s">
        <v>439</v>
      </c>
      <c r="D17" s="15" t="s">
        <v>440</v>
      </c>
      <c r="E17" s="15" t="s">
        <v>441</v>
      </c>
      <c r="F17" s="16" t="n">
        <v>45789</v>
      </c>
      <c r="G17" s="5" t="str">
        <f aca="false">IF(TRIM(SUBSTITUTE(SUBSTITUTE(SUBSTITUTE(SUBSTITUTE(SUBSTITUTE(SUBSTITUTE(SUBSTITUTE(SUBSTITUTE(SUBSTITUTE(SUBSTITUTE(SUBSTITUTE(LOWER(TRIM(D17)),"ё","е"),"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категории",""))="инженер",IF(AND(ISNUMBER(SEARCH("техническ",E17)),ISNUMBER(SEARCH("контрол",E17))),"инженер отк",IF(ISNUMBER(SEARCH("диспетч",E17)),"инженер пдо",TRIM(SUBSTITUTE(SUBSTITUTE(SUBSTITUTE(SUBSTITUTE(SUBSTITUTE(SUBSTITUTE(SUBSTITUTE(SUBSTITUTE(SUBSTITUTE(SUBSTITUTE(SUBSTITUTE(LOWER(TRIM(D17)),"ё","е"),"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инженер",IF(ISNUMBER(SEARCH("диспетч",E17)),"ведущий инженер пдо",TRIM(SUBSTITUTE(SUBSTITUTE(SUBSTITUTE(SUBSTITUTE(SUBSTITUTE(SUBSTITUTE(SUBSTITUTE(SUBSTITUTE(SUBSTITUTE(SUBSTITUTE(SUBSTITUTE(LOWER(TRIM(D17)),"ё","е"),"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отк",TRIM(SUBSTITUTE(SUBSTITUTE(SUBSTITUTE(SUBSTITUTE(SUBSTITUTE(SUBSTITUTE(SUBSTITUTE(SUBSTITUTE(SUBSTITUTE(SUBSTITUTE(SUBSTITUTE(LOWER(TRIM(D17)),"ё","е")," -","-"),"- ","-")," 2 разряда","")," 3 разряда","")," 4 разряда","")," 5 разряда","")," 6 разряда","")," 1 категории","")," 2 категории","")," 3 категории","")))))</f>
        <v>реставратор</v>
      </c>
      <c r="H17" s="12" t="n">
        <f aca="false">IFERROR(INDEX(Соответствие!$B$2:$B$76,MATCH(G17,Соответствие!$A$2:$A$76,0)),"?")</f>
        <v>9</v>
      </c>
      <c r="I17" s="9" t="str">
        <f aca="false">IFERROR(INDEX('Перечень должностей'!$C$2:$C$46,MATCH(H17,'Перечень должностей'!$A$2:$A$46,0)),"")</f>
        <v>п.4.3.1, п.4.4, п.5.1, п.5.2, п.15</v>
      </c>
      <c r="J17" s="12" t="n">
        <f aca="false">IFERROR(INDEX('Перечень должностей'!$D$2:$D$46,MATCH(H17,'Перечень должностей'!$A$2:$A$46,0)),12)</f>
        <v>12</v>
      </c>
      <c r="K17" s="17"/>
      <c r="L17" s="17"/>
      <c r="M17" s="16" t="str">
        <f aca="false">IF(K17="","",EDATE(IF(L17&lt;&gt;"",L17,K17),J17))</f>
        <v/>
      </c>
      <c r="N17" s="12" t="str">
        <f aca="false">IFERROR(INDEX('Перечень должностей'!$F$2:$F$46,MATCH(H17,'Перечень должностей'!$A$2:$A$46,0)),"")</f>
        <v>-</v>
      </c>
      <c r="O17" s="17"/>
      <c r="P17" s="16" t="str">
        <f aca="false">IF(O17="","",EDATE(O17,60))</f>
        <v/>
      </c>
      <c r="Q17" s="12" t="str">
        <f aca="false">IF(AND(K17&lt;&gt;"",F17&lt;&gt;"",K17&gt;F17),"ДА","")</f>
        <v/>
      </c>
      <c r="R17" s="9"/>
    </row>
    <row r="18" customFormat="false" ht="26.25" hidden="false" customHeight="true" outlineLevel="0" collapsed="false">
      <c r="A18" s="15" t="n">
        <v>17</v>
      </c>
      <c r="B18" s="12" t="s">
        <v>438</v>
      </c>
      <c r="C18" s="15" t="s">
        <v>442</v>
      </c>
      <c r="D18" s="15" t="s">
        <v>443</v>
      </c>
      <c r="E18" s="15" t="s">
        <v>441</v>
      </c>
      <c r="F18" s="16" t="n">
        <v>45429</v>
      </c>
      <c r="G18" s="5" t="str">
        <f aca="false">IF(TRIM(SUBSTITUTE(SUBSTITUTE(SUBSTITUTE(SUBSTITUTE(SUBSTITUTE(SUBSTITUTE(SUBSTITUTE(SUBSTITUTE(SUBSTITUTE(SUBSTITUTE(SUBSTITUTE(LOWER(TRIM(D18)),"ё","е"),"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категории",""))="инженер",IF(AND(ISNUMBER(SEARCH("техническ",E18)),ISNUMBER(SEARCH("контрол",E18))),"инженер отк",IF(ISNUMBER(SEARCH("диспетч",E18)),"инженер пдо",TRIM(SUBSTITUTE(SUBSTITUTE(SUBSTITUTE(SUBSTITUTE(SUBSTITUTE(SUBSTITUTE(SUBSTITUTE(SUBSTITUTE(SUBSTITUTE(SUBSTITUTE(SUBSTITUTE(LOWER(TRIM(D18)),"ё","е"),"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инженер",IF(ISNUMBER(SEARCH("диспетч",E18)),"ведущий инженер пдо",TRIM(SUBSTITUTE(SUBSTITUTE(SUBSTITUTE(SUBSTITUTE(SUBSTITUTE(SUBSTITUTE(SUBSTITUTE(SUBSTITUTE(SUBSTITUTE(SUBSTITUTE(SUBSTITUTE(LOWER(TRIM(D18)),"ё","е"),"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18" s="12" t="n">
        <f aca="false">IFERROR(INDEX(Соответствие!$B$2:$B$76,MATCH(G18,Соответствие!$A$2:$A$76,0)),"?")</f>
        <v>20</v>
      </c>
      <c r="I18" s="9" t="str">
        <f aca="false">IFERROR(INDEX('Перечень должностей'!$C$2:$C$46,MATCH(H18,'Перечень должностей'!$A$2:$A$46,0)),"")</f>
        <v>п.4.3.1, п.4.3.2, п.4.4, п.4.9, п.5.1, п.5.2, п.6.2, п.9</v>
      </c>
      <c r="J18" s="12" t="n">
        <f aca="false">IFERROR(INDEX('Перечень должностей'!$D$2:$D$46,MATCH(H18,'Перечень должностей'!$A$2:$A$46,0)),12)</f>
        <v>12</v>
      </c>
      <c r="K18" s="17"/>
      <c r="L18" s="17"/>
      <c r="M18" s="16" t="str">
        <f aca="false">IF(K18="","",EDATE(IF(L18&lt;&gt;"",L18,K18),J18))</f>
        <v/>
      </c>
      <c r="N18" s="12" t="str">
        <f aca="false">IFERROR(INDEX('Перечень должностей'!$F$2:$F$46,MATCH(H18,'Перечень должностей'!$A$2:$A$46,0)),"")</f>
        <v>Проверить</v>
      </c>
      <c r="O18" s="17"/>
      <c r="P18" s="16" t="str">
        <f aca="false">IF(O18="","",EDATE(O18,60))</f>
        <v/>
      </c>
      <c r="Q18" s="12" t="str">
        <f aca="false">IF(AND(K18&lt;&gt;"",F18&lt;&gt;"",K18&gt;F18),"ДА","")</f>
        <v/>
      </c>
      <c r="R18" s="9"/>
    </row>
    <row r="19" customFormat="false" ht="26.25" hidden="false" customHeight="true" outlineLevel="0" collapsed="false">
      <c r="A19" s="15" t="n">
        <v>18</v>
      </c>
      <c r="B19" s="12" t="s">
        <v>438</v>
      </c>
      <c r="C19" s="15" t="s">
        <v>444</v>
      </c>
      <c r="D19" s="15" t="s">
        <v>445</v>
      </c>
      <c r="E19" s="15" t="s">
        <v>441</v>
      </c>
      <c r="F19" s="16" t="n">
        <v>44327</v>
      </c>
      <c r="G19" s="5" t="str">
        <f aca="false">IF(TRIM(SUBSTITUTE(SUBSTITUTE(SUBSTITUTE(SUBSTITUTE(SUBSTITUTE(SUBSTITUTE(SUBSTITUTE(SUBSTITUTE(SUBSTITUTE(SUBSTITUTE(SUBSTITUTE(LOWER(TRIM(D19)),"ё","е"),"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категории",""))="инженер",IF(AND(ISNUMBER(SEARCH("техническ",E19)),ISNUMBER(SEARCH("контрол",E19))),"инженер отк",IF(ISNUMBER(SEARCH("диспетч",E19)),"инженер пдо",TRIM(SUBSTITUTE(SUBSTITUTE(SUBSTITUTE(SUBSTITUTE(SUBSTITUTE(SUBSTITUTE(SUBSTITUTE(SUBSTITUTE(SUBSTITUTE(SUBSTITUTE(SUBSTITUTE(LOWER(TRIM(D19)),"ё","е"),"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инженер",IF(ISNUMBER(SEARCH("диспетч",E19)),"ведущий инженер пдо",TRIM(SUBSTITUTE(SUBSTITUTE(SUBSTITUTE(SUBSTITUTE(SUBSTITUTE(SUBSTITUTE(SUBSTITUTE(SUBSTITUTE(SUBSTITUTE(SUBSTITUTE(SUBSTITUTE(LOWER(TRIM(D19)),"ё","е"),"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19" s="12" t="n">
        <f aca="false">IFERROR(INDEX(Соответствие!$B$2:$B$76,MATCH(G19,Соответствие!$A$2:$A$76,0)),"?")</f>
        <v>20</v>
      </c>
      <c r="I19" s="9" t="str">
        <f aca="false">IFERROR(INDEX('Перечень должностей'!$C$2:$C$46,MATCH(H19,'Перечень должностей'!$A$2:$A$46,0)),"")</f>
        <v>п.4.3.1, п.4.3.2, п.4.4, п.4.9, п.5.1, п.5.2, п.6.2, п.9</v>
      </c>
      <c r="J19" s="12" t="n">
        <f aca="false">IFERROR(INDEX('Перечень должностей'!$D$2:$D$46,MATCH(H19,'Перечень должностей'!$A$2:$A$46,0)),12)</f>
        <v>12</v>
      </c>
      <c r="K19" s="17"/>
      <c r="L19" s="17"/>
      <c r="M19" s="16" t="str">
        <f aca="false">IF(K19="","",EDATE(IF(L19&lt;&gt;"",L19,K19),J19))</f>
        <v/>
      </c>
      <c r="N19" s="12" t="str">
        <f aca="false">IFERROR(INDEX('Перечень должностей'!$F$2:$F$46,MATCH(H19,'Перечень должностей'!$A$2:$A$46,0)),"")</f>
        <v>Проверить</v>
      </c>
      <c r="O19" s="17"/>
      <c r="P19" s="16" t="str">
        <f aca="false">IF(O19="","",EDATE(O19,60))</f>
        <v/>
      </c>
      <c r="Q19" s="12" t="str">
        <f aca="false">IF(AND(K19&lt;&gt;"",F19&lt;&gt;"",K19&gt;F19),"ДА","")</f>
        <v/>
      </c>
      <c r="R19" s="9"/>
    </row>
    <row r="20" customFormat="false" ht="26.25" hidden="false" customHeight="true" outlineLevel="0" collapsed="false">
      <c r="A20" s="15" t="n">
        <v>19</v>
      </c>
      <c r="B20" s="12" t="s">
        <v>438</v>
      </c>
      <c r="C20" s="15" t="s">
        <v>446</v>
      </c>
      <c r="D20" s="15" t="s">
        <v>447</v>
      </c>
      <c r="E20" s="15" t="s">
        <v>441</v>
      </c>
      <c r="F20" s="16" t="n">
        <v>40087</v>
      </c>
      <c r="G20" s="5" t="str">
        <f aca="false">IF(TRIM(SUBSTITUTE(SUBSTITUTE(SUBSTITUTE(SUBSTITUTE(SUBSTITUTE(SUBSTITUTE(SUBSTITUTE(SUBSTITUTE(SUBSTITUTE(SUBSTITUTE(SUBSTITUTE(LOWER(TRIM(D20)),"ё","е"),"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категории",""))="инженер",IF(AND(ISNUMBER(SEARCH("техническ",E20)),ISNUMBER(SEARCH("контрол",E20))),"инженер отк",IF(ISNUMBER(SEARCH("диспетч",E20)),"инженер пдо",TRIM(SUBSTITUTE(SUBSTITUTE(SUBSTITUTE(SUBSTITUTE(SUBSTITUTE(SUBSTITUTE(SUBSTITUTE(SUBSTITUTE(SUBSTITUTE(SUBSTITUTE(SUBSTITUTE(LOWER(TRIM(D20)),"ё","е"),"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инженер",IF(ISNUMBER(SEARCH("диспетч",E20)),"ведущий инженер пдо",TRIM(SUBSTITUTE(SUBSTITUTE(SUBSTITUTE(SUBSTITUTE(SUBSTITUTE(SUBSTITUTE(SUBSTITUTE(SUBSTITUTE(SUBSTITUTE(SUBSTITUTE(SUBSTITUTE(LOWER(TRIM(D20)),"ё","е"),"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0" s="12" t="n">
        <f aca="false">IFERROR(INDEX(Соответствие!$B$2:$B$76,MATCH(G20,Соответствие!$A$2:$A$76,0)),"?")</f>
        <v>19</v>
      </c>
      <c r="I20" s="9" t="str">
        <f aca="false">IFERROR(INDEX('Перечень должностей'!$C$2:$C$46,MATCH(H20,'Перечень должностей'!$A$2:$A$46,0)),"")</f>
        <v>п.4.3.1, п.4.3.2, п.4.4, п.5.1, п.6.2, п.15</v>
      </c>
      <c r="J20" s="12" t="n">
        <f aca="false">IFERROR(INDEX('Перечень должностей'!$D$2:$D$46,MATCH(H20,'Перечень должностей'!$A$2:$A$46,0)),12)</f>
        <v>12</v>
      </c>
      <c r="K20" s="17"/>
      <c r="L20" s="17"/>
      <c r="M20" s="16" t="str">
        <f aca="false">IF(K20="","",EDATE(IF(L20&lt;&gt;"",L20,K20),J20))</f>
        <v/>
      </c>
      <c r="N20" s="12" t="str">
        <f aca="false">IFERROR(INDEX('Перечень должностей'!$F$2:$F$46,MATCH(H20,'Перечень должностей'!$A$2:$A$46,0)),"")</f>
        <v>-</v>
      </c>
      <c r="O20" s="17"/>
      <c r="P20" s="16" t="str">
        <f aca="false">IF(O20="","",EDATE(O20,60))</f>
        <v/>
      </c>
      <c r="Q20" s="12" t="str">
        <f aca="false">IF(AND(K20&lt;&gt;"",F20&lt;&gt;"",K20&gt;F20),"ДА","")</f>
        <v/>
      </c>
      <c r="R20" s="9"/>
    </row>
    <row r="21" customFormat="false" ht="14.25" hidden="false" customHeight="true" outlineLevel="0" collapsed="false">
      <c r="A21" s="15" t="n">
        <v>20</v>
      </c>
      <c r="B21" s="12" t="s">
        <v>438</v>
      </c>
      <c r="C21" s="15" t="s">
        <v>448</v>
      </c>
      <c r="D21" s="15" t="s">
        <v>449</v>
      </c>
      <c r="E21" s="15" t="s">
        <v>441</v>
      </c>
      <c r="F21" s="16" t="n">
        <v>40210</v>
      </c>
      <c r="G21" s="5" t="str">
        <f aca="false">IF(TRIM(SUBSTITUTE(SUBSTITUTE(SUBSTITUTE(SUBSTITUTE(SUBSTITUTE(SUBSTITUTE(SUBSTITUTE(SUBSTITUTE(SUBSTITUTE(SUBSTITUTE(SUBSTITUTE(LOWER(TRIM(D21)),"ё","е"),"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категории",""))="инженер",IF(AND(ISNUMBER(SEARCH("техническ",E21)),ISNUMBER(SEARCH("контрол",E21))),"инженер отк",IF(ISNUMBER(SEARCH("диспетч",E21)),"инженер пдо",TRIM(SUBSTITUTE(SUBSTITUTE(SUBSTITUTE(SUBSTITUTE(SUBSTITUTE(SUBSTITUTE(SUBSTITUTE(SUBSTITUTE(SUBSTITUTE(SUBSTITUTE(SUBSTITUTE(LOWER(TRIM(D21)),"ё","е"),"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инженер",IF(ISNUMBER(SEARCH("диспетч",E21)),"ведущий инженер пдо",TRIM(SUBSTITUTE(SUBSTITUTE(SUBSTITUTE(SUBSTITUTE(SUBSTITUTE(SUBSTITUTE(SUBSTITUTE(SUBSTITUTE(SUBSTITUTE(SUBSTITUTE(SUBSTITUTE(LOWER(TRIM(D21)),"ё","е"),"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отк",TRIM(SUBSTITUTE(SUBSTITUTE(SUBSTITUTE(SUBSTITUTE(SUBSTITUTE(SUBSTITUTE(SUBSTITUTE(SUBSTITUTE(SUBSTITUTE(SUBSTITUTE(SUBSTITUTE(LOWER(TRIM(D21)),"ё","е")," -","-"),"- ","-")," 2 разряда","")," 3 разряда","")," 4 разряда","")," 5 разряда","")," 6 разряда","")," 1 категории","")," 2 категории","")," 3 категории","")))))</f>
        <v>ведущий специалист по реставрации</v>
      </c>
      <c r="H21" s="12" t="n">
        <f aca="false">IFERROR(INDEX(Соответствие!$B$2:$B$76,MATCH(G21,Соответствие!$A$2:$A$76,0)),"?")</f>
        <v>9</v>
      </c>
      <c r="I21" s="9" t="str">
        <f aca="false">IFERROR(INDEX('Перечень должностей'!$C$2:$C$46,MATCH(H21,'Перечень должностей'!$A$2:$A$46,0)),"")</f>
        <v>п.4.3.1, п.4.4, п.5.1, п.5.2, п.15</v>
      </c>
      <c r="J21" s="12" t="n">
        <f aca="false">IFERROR(INDEX('Перечень должностей'!$D$2:$D$46,MATCH(H21,'Перечень должностей'!$A$2:$A$46,0)),12)</f>
        <v>12</v>
      </c>
      <c r="K21" s="17"/>
      <c r="L21" s="17"/>
      <c r="M21" s="16" t="str">
        <f aca="false">IF(K21="","",EDATE(IF(L21&lt;&gt;"",L21,K21),J21))</f>
        <v/>
      </c>
      <c r="N21" s="12" t="str">
        <f aca="false">IFERROR(INDEX('Перечень должностей'!$F$2:$F$46,MATCH(H21,'Перечень должностей'!$A$2:$A$46,0)),"")</f>
        <v>-</v>
      </c>
      <c r="O21" s="17"/>
      <c r="P21" s="16" t="str">
        <f aca="false">IF(O21="","",EDATE(O21,60))</f>
        <v/>
      </c>
      <c r="Q21" s="12" t="str">
        <f aca="false">IF(AND(K21&lt;&gt;"",F21&lt;&gt;"",K21&gt;F21),"ДА","")</f>
        <v/>
      </c>
      <c r="R21" s="9"/>
    </row>
    <row r="22" customFormat="false" ht="26.25" hidden="false" customHeight="true" outlineLevel="0" collapsed="false">
      <c r="A22" s="15" t="n">
        <v>21</v>
      </c>
      <c r="B22" s="12" t="s">
        <v>438</v>
      </c>
      <c r="C22" s="15" t="s">
        <v>450</v>
      </c>
      <c r="D22" s="15" t="s">
        <v>84</v>
      </c>
      <c r="E22" s="15" t="s">
        <v>441</v>
      </c>
      <c r="F22" s="16" t="n">
        <v>42438</v>
      </c>
      <c r="G22" s="5" t="str">
        <f aca="false">IF(TRIM(SUBSTITUTE(SUBSTITUTE(SUBSTITUTE(SUBSTITUTE(SUBSTITUTE(SUBSTITUTE(SUBSTITUTE(SUBSTITUTE(SUBSTITUTE(SUBSTITUTE(SUBSTITUTE(LOWER(TRIM(D22)),"ё","е"),"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категории",""))="инженер",IF(AND(ISNUMBER(SEARCH("техническ",E22)),ISNUMBER(SEARCH("контрол",E22))),"инженер отк",IF(ISNUMBER(SEARCH("диспетч",E22)),"инженер пдо",TRIM(SUBSTITUTE(SUBSTITUTE(SUBSTITUTE(SUBSTITUTE(SUBSTITUTE(SUBSTITUTE(SUBSTITUTE(SUBSTITUTE(SUBSTITUTE(SUBSTITUTE(SUBSTITUTE(LOWER(TRIM(D22)),"ё","е"),"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инженер",IF(ISNUMBER(SEARCH("диспетч",E22)),"ведущий инженер пдо",TRIM(SUBSTITUTE(SUBSTITUTE(SUBSTITUTE(SUBSTITUTE(SUBSTITUTE(SUBSTITUTE(SUBSTITUTE(SUBSTITUTE(SUBSTITUTE(SUBSTITUTE(SUBSTITUTE(LOWER(TRIM(D22)),"ё","е"),"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2" s="12" t="n">
        <f aca="false">IFERROR(INDEX(Соответствие!$B$2:$B$76,MATCH(G22,Соответствие!$A$2:$A$76,0)),"?")</f>
        <v>19</v>
      </c>
      <c r="I22" s="9" t="str">
        <f aca="false">IFERROR(INDEX('Перечень должностей'!$C$2:$C$46,MATCH(H22,'Перечень должностей'!$A$2:$A$46,0)),"")</f>
        <v>п.4.3.1, п.4.3.2, п.4.4, п.5.1, п.6.2, п.15</v>
      </c>
      <c r="J22" s="12" t="n">
        <f aca="false">IFERROR(INDEX('Перечень должностей'!$D$2:$D$46,MATCH(H22,'Перечень должностей'!$A$2:$A$46,0)),12)</f>
        <v>12</v>
      </c>
      <c r="K22" s="17"/>
      <c r="L22" s="17"/>
      <c r="M22" s="16" t="str">
        <f aca="false">IF(K22="","",EDATE(IF(L22&lt;&gt;"",L22,K22),J22))</f>
        <v/>
      </c>
      <c r="N22" s="12" t="str">
        <f aca="false">IFERROR(INDEX('Перечень должностей'!$F$2:$F$46,MATCH(H22,'Перечень должностей'!$A$2:$A$46,0)),"")</f>
        <v>-</v>
      </c>
      <c r="O22" s="17"/>
      <c r="P22" s="16" t="str">
        <f aca="false">IF(O22="","",EDATE(O22,60))</f>
        <v/>
      </c>
      <c r="Q22" s="12" t="str">
        <f aca="false">IF(AND(K22&lt;&gt;"",F22&lt;&gt;"",K22&gt;F22),"ДА","")</f>
        <v/>
      </c>
      <c r="R22" s="9"/>
    </row>
    <row r="23" customFormat="false" ht="26.25" hidden="false" customHeight="true" outlineLevel="0" collapsed="false">
      <c r="A23" s="15" t="n">
        <v>22</v>
      </c>
      <c r="B23" s="12" t="s">
        <v>438</v>
      </c>
      <c r="C23" s="15" t="s">
        <v>451</v>
      </c>
      <c r="D23" s="15" t="s">
        <v>84</v>
      </c>
      <c r="E23" s="15" t="s">
        <v>441</v>
      </c>
      <c r="F23" s="16" t="n">
        <v>45208</v>
      </c>
      <c r="G23" s="5" t="str">
        <f aca="false">IF(TRIM(SUBSTITUTE(SUBSTITUTE(SUBSTITUTE(SUBSTITUTE(SUBSTITUTE(SUBSTITUTE(SUBSTITUTE(SUBSTITUTE(SUBSTITUTE(SUBSTITUTE(SUBSTITUTE(LOWER(TRIM(D23)),"ё","е"),"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категории",""))="инженер",IF(AND(ISNUMBER(SEARCH("техническ",E23)),ISNUMBER(SEARCH("контрол",E23))),"инженер отк",IF(ISNUMBER(SEARCH("диспетч",E23)),"инженер пдо",TRIM(SUBSTITUTE(SUBSTITUTE(SUBSTITUTE(SUBSTITUTE(SUBSTITUTE(SUBSTITUTE(SUBSTITUTE(SUBSTITUTE(SUBSTITUTE(SUBSTITUTE(SUBSTITUTE(LOWER(TRIM(D23)),"ё","е"),"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инженер",IF(ISNUMBER(SEARCH("диспетч",E23)),"ведущий инженер пдо",TRIM(SUBSTITUTE(SUBSTITUTE(SUBSTITUTE(SUBSTITUTE(SUBSTITUTE(SUBSTITUTE(SUBSTITUTE(SUBSTITUTE(SUBSTITUTE(SUBSTITUTE(SUBSTITUTE(LOWER(TRIM(D23)),"ё","е"),"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3" s="12" t="n">
        <f aca="false">IFERROR(INDEX(Соответствие!$B$2:$B$76,MATCH(G23,Соответствие!$A$2:$A$76,0)),"?")</f>
        <v>19</v>
      </c>
      <c r="I23" s="9" t="str">
        <f aca="false">IFERROR(INDEX('Перечень должностей'!$C$2:$C$46,MATCH(H23,'Перечень должностей'!$A$2:$A$46,0)),"")</f>
        <v>п.4.3.1, п.4.3.2, п.4.4, п.5.1, п.6.2, п.15</v>
      </c>
      <c r="J23" s="12" t="n">
        <f aca="false">IFERROR(INDEX('Перечень должностей'!$D$2:$D$46,MATCH(H23,'Перечень должностей'!$A$2:$A$46,0)),12)</f>
        <v>12</v>
      </c>
      <c r="K23" s="17"/>
      <c r="L23" s="17"/>
      <c r="M23" s="16" t="str">
        <f aca="false">IF(K23="","",EDATE(IF(L23&lt;&gt;"",L23,K23),J23))</f>
        <v/>
      </c>
      <c r="N23" s="12" t="str">
        <f aca="false">IFERROR(INDEX('Перечень должностей'!$F$2:$F$46,MATCH(H23,'Перечень должностей'!$A$2:$A$46,0)),"")</f>
        <v>-</v>
      </c>
      <c r="O23" s="17"/>
      <c r="P23" s="16" t="str">
        <f aca="false">IF(O23="","",EDATE(O23,60))</f>
        <v/>
      </c>
      <c r="Q23" s="12" t="str">
        <f aca="false">IF(AND(K23&lt;&gt;"",F23&lt;&gt;"",K23&gt;F23),"ДА","")</f>
        <v/>
      </c>
      <c r="R23" s="9"/>
    </row>
    <row r="24" customFormat="false" ht="26.25" hidden="false" customHeight="true" outlineLevel="0" collapsed="false">
      <c r="A24" s="15" t="n">
        <v>23</v>
      </c>
      <c r="B24" s="12" t="s">
        <v>438</v>
      </c>
      <c r="C24" s="15" t="s">
        <v>452</v>
      </c>
      <c r="D24" s="15" t="s">
        <v>453</v>
      </c>
      <c r="E24" s="15" t="s">
        <v>441</v>
      </c>
      <c r="F24" s="16" t="n">
        <v>45950</v>
      </c>
      <c r="G24" s="5" t="str">
        <f aca="false">IF(TRIM(SUBSTITUTE(SUBSTITUTE(SUBSTITUTE(SUBSTITUTE(SUBSTITUTE(SUBSTITUTE(SUBSTITUTE(SUBSTITUTE(SUBSTITUTE(SUBSTITUTE(SUBSTITUTE(LOWER(TRIM(D24)),"ё","е"),"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категории",""))="инженер",IF(AND(ISNUMBER(SEARCH("техническ",E24)),ISNUMBER(SEARCH("контрол",E24))),"инженер отк",IF(ISNUMBER(SEARCH("диспетч",E24)),"инженер пдо",TRIM(SUBSTITUTE(SUBSTITUTE(SUBSTITUTE(SUBSTITUTE(SUBSTITUTE(SUBSTITUTE(SUBSTITUTE(SUBSTITUTE(SUBSTITUTE(SUBSTITUTE(SUBSTITUTE(LOWER(TRIM(D24)),"ё","е"),"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инженер",IF(ISNUMBER(SEARCH("диспетч",E24)),"ведущий инженер пдо",TRIM(SUBSTITUTE(SUBSTITUTE(SUBSTITUTE(SUBSTITUTE(SUBSTITUTE(SUBSTITUTE(SUBSTITUTE(SUBSTITUTE(SUBSTITUTE(SUBSTITUTE(SUBSTITUTE(LOWER(TRIM(D24)),"ё","е"),"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4" s="12" t="n">
        <f aca="false">IFERROR(INDEX(Соответствие!$B$2:$B$76,MATCH(G24,Соответствие!$A$2:$A$76,0)),"?")</f>
        <v>19</v>
      </c>
      <c r="I24" s="9" t="str">
        <f aca="false">IFERROR(INDEX('Перечень должностей'!$C$2:$C$46,MATCH(H24,'Перечень должностей'!$A$2:$A$46,0)),"")</f>
        <v>п.4.3.1, п.4.3.2, п.4.4, п.5.1, п.6.2, п.15</v>
      </c>
      <c r="J24" s="12" t="n">
        <f aca="false">IFERROR(INDEX('Перечень должностей'!$D$2:$D$46,MATCH(H24,'Перечень должностей'!$A$2:$A$46,0)),12)</f>
        <v>12</v>
      </c>
      <c r="K24" s="17" t="n">
        <v>45940</v>
      </c>
      <c r="L24" s="17"/>
      <c r="M24" s="16" t="n">
        <f aca="false">IF(K24="","",EDATE(IF(L24&lt;&gt;"",L24,K24),J24))</f>
        <v>46305</v>
      </c>
      <c r="N24" s="12" t="str">
        <f aca="false">IFERROR(INDEX('Перечень должностей'!$F$2:$F$46,MATCH(H24,'Перечень должностей'!$A$2:$A$46,0)),"")</f>
        <v>-</v>
      </c>
      <c r="O24" s="17"/>
      <c r="P24" s="16" t="str">
        <f aca="false">IF(O24="","",EDATE(O24,60))</f>
        <v/>
      </c>
      <c r="Q24" s="12" t="str">
        <f aca="false">IF(AND(K24&lt;&gt;"",F24&lt;&gt;"",K24&gt;F24),"ДА","")</f>
        <v/>
      </c>
      <c r="R24" s="9"/>
    </row>
    <row r="25" customFormat="false" ht="14.25" hidden="false" customHeight="true" outlineLevel="0" collapsed="false">
      <c r="A25" s="15" t="n">
        <v>24</v>
      </c>
      <c r="B25" s="12" t="s">
        <v>438</v>
      </c>
      <c r="C25" s="15" t="s">
        <v>454</v>
      </c>
      <c r="D25" s="15" t="s">
        <v>350</v>
      </c>
      <c r="E25" s="15" t="s">
        <v>441</v>
      </c>
      <c r="F25" s="16" t="n">
        <v>44152</v>
      </c>
      <c r="G25" s="5" t="str">
        <f aca="false">IF(TRIM(SUBSTITUTE(SUBSTITUTE(SUBSTITUTE(SUBSTITUTE(SUBSTITUTE(SUBSTITUTE(SUBSTITUTE(SUBSTITUTE(SUBSTITUTE(SUBSTITUTE(SUBSTITUTE(LOWER(TRIM(D25)),"ё","е"),"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категории",""))="инженер",IF(AND(ISNUMBER(SEARCH("техническ",E25)),ISNUMBER(SEARCH("контрол",E25))),"инженер отк",IF(ISNUMBER(SEARCH("диспетч",E25)),"инженер пдо",TRIM(SUBSTITUTE(SUBSTITUTE(SUBSTITUTE(SUBSTITUTE(SUBSTITUTE(SUBSTITUTE(SUBSTITUTE(SUBSTITUTE(SUBSTITUTE(SUBSTITUTE(SUBSTITUTE(LOWER(TRIM(D25)),"ё","е"),"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инженер",IF(ISNUMBER(SEARCH("диспетч",E25)),"ведущий инженер пдо",TRIM(SUBSTITUTE(SUBSTITUTE(SUBSTITUTE(SUBSTITUTE(SUBSTITUTE(SUBSTITUTE(SUBSTITUTE(SUBSTITUTE(SUBSTITUTE(SUBSTITUTE(SUBSTITUTE(LOWER(TRIM(D25)),"ё","е"),"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отк",TRIM(SUBSTITUTE(SUBSTITUTE(SUBSTITUTE(SUBSTITUTE(SUBSTITUTE(SUBSTITUTE(SUBSTITUTE(SUBSTITUTE(SUBSTITUTE(SUBSTITUTE(SUBSTITUTE(LOWER(TRIM(D25)),"ё","е")," -","-"),"- ","-")," 2 разряда","")," 3 разряда","")," 4 разряда","")," 5 разряда","")," 6 разряда","")," 1 категории","")," 2 категории","")," 3 категории","")))))</f>
        <v>менеджер-комплектовщик</v>
      </c>
      <c r="H25" s="12" t="n">
        <f aca="false">IFERROR(INDEX(Соответствие!$B$2:$B$76,MATCH(G25,Соответствие!$A$2:$A$76,0)),"?")</f>
        <v>22</v>
      </c>
      <c r="I25" s="9" t="str">
        <f aca="false">IFERROR(INDEX('Перечень должностей'!$C$2:$C$46,MATCH(H25,'Перечень должностей'!$A$2:$A$46,0)),"")</f>
        <v>п.4.4, п.5.1, п.6.2</v>
      </c>
      <c r="J25" s="12" t="n">
        <f aca="false">IFERROR(INDEX('Перечень должностей'!$D$2:$D$46,MATCH(H25,'Перечень должностей'!$A$2:$A$46,0)),12)</f>
        <v>12</v>
      </c>
      <c r="K25" s="17"/>
      <c r="L25" s="17"/>
      <c r="M25" s="16" t="str">
        <f aca="false">IF(K25="","",EDATE(IF(L25&lt;&gt;"",L25,K25),J25))</f>
        <v/>
      </c>
      <c r="N25" s="12" t="str">
        <f aca="false">IFERROR(INDEX('Перечень должностей'!$F$2:$F$46,MATCH(H25,'Перечень должностей'!$A$2:$A$46,0)),"")</f>
        <v>-</v>
      </c>
      <c r="O25" s="17"/>
      <c r="P25" s="16" t="str">
        <f aca="false">IF(O25="","",EDATE(O25,60))</f>
        <v/>
      </c>
      <c r="Q25" s="12" t="str">
        <f aca="false">IF(AND(K25&lt;&gt;"",F25&lt;&gt;"",K25&gt;F25),"ДА","")</f>
        <v/>
      </c>
      <c r="R25" s="9"/>
    </row>
    <row r="26" customFormat="false" ht="14.25" hidden="false" customHeight="true" outlineLevel="0" collapsed="false">
      <c r="A26" s="15" t="n">
        <v>25</v>
      </c>
      <c r="B26" s="12" t="s">
        <v>438</v>
      </c>
      <c r="C26" s="15" t="s">
        <v>455</v>
      </c>
      <c r="D26" s="15" t="s">
        <v>456</v>
      </c>
      <c r="E26" s="15" t="s">
        <v>441</v>
      </c>
      <c r="F26" s="16" t="n">
        <v>41334</v>
      </c>
      <c r="G26" s="5" t="str">
        <f aca="false">IF(TRIM(SUBSTITUTE(SUBSTITUTE(SUBSTITUTE(SUBSTITUTE(SUBSTITUTE(SUBSTITUTE(SUBSTITUTE(SUBSTITUTE(SUBSTITUTE(SUBSTITUTE(SUBSTITUTE(LOWER(TRIM(D26)),"ё","е"),"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категории",""))="инженер",IF(AND(ISNUMBER(SEARCH("техническ",E26)),ISNUMBER(SEARCH("контрол",E26))),"инженер отк",IF(ISNUMBER(SEARCH("диспетч",E26)),"инженер пдо",TRIM(SUBSTITUTE(SUBSTITUTE(SUBSTITUTE(SUBSTITUTE(SUBSTITUTE(SUBSTITUTE(SUBSTITUTE(SUBSTITUTE(SUBSTITUTE(SUBSTITUTE(SUBSTITUTE(LOWER(TRIM(D26)),"ё","е"),"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инженер",IF(ISNUMBER(SEARCH("диспетч",E26)),"ведущий инженер пдо",TRIM(SUBSTITUTE(SUBSTITUTE(SUBSTITUTE(SUBSTITUTE(SUBSTITUTE(SUBSTITUTE(SUBSTITUTE(SUBSTITUTE(SUBSTITUTE(SUBSTITUTE(SUBSTITUTE(LOWER(TRIM(D26)),"ё","е"),"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отк",TRIM(SUBSTITUTE(SUBSTITUTE(SUBSTITUTE(SUBSTITUTE(SUBSTITUTE(SUBSTITUTE(SUBSTITUTE(SUBSTITUTE(SUBSTITUTE(SUBSTITUTE(SUBSTITUTE(LOWER(TRIM(D26)),"ё","е")," -","-"),"- ","-")," 2 разряда","")," 3 разряда","")," 4 разряда","")," 5 разряда","")," 6 разряда","")," 1 категории","")," 2 категории","")," 3 категории","")))))</f>
        <v>заместитель директора департамента-начальник производственного подразделения</v>
      </c>
      <c r="H26" s="12" t="n">
        <f aca="false">IFERROR(INDEX(Соответствие!$B$2:$B$76,MATCH(G26,Соответствие!$A$2:$A$76,0)),"?")</f>
        <v>42</v>
      </c>
      <c r="I26" s="9" t="str">
        <f aca="false">IFERROR(INDEX('Перечень должностей'!$C$2:$C$46,MATCH(H26,'Перечень должностей'!$A$2:$A$46,0)),"")</f>
        <v>п.4.3.2, п.4.4, п.5.1, п.5.2, п.6.2</v>
      </c>
      <c r="J26" s="12" t="n">
        <f aca="false">IFERROR(INDEX('Перечень должностей'!$D$2:$D$46,MATCH(H26,'Перечень должностей'!$A$2:$A$46,0)),12)</f>
        <v>12</v>
      </c>
      <c r="K26" s="17"/>
      <c r="L26" s="17"/>
      <c r="M26" s="16" t="str">
        <f aca="false">IF(K26="","",EDATE(IF(L26&lt;&gt;"",L26,K26),J26))</f>
        <v/>
      </c>
      <c r="N26" s="12" t="str">
        <f aca="false">IFERROR(INDEX('Перечень должностей'!$F$2:$F$46,MATCH(H26,'Перечень должностей'!$A$2:$A$46,0)),"")</f>
        <v>-</v>
      </c>
      <c r="O26" s="17"/>
      <c r="P26" s="16" t="str">
        <f aca="false">IF(O26="","",EDATE(O26,60))</f>
        <v/>
      </c>
      <c r="Q26" s="12" t="str">
        <f aca="false">IF(AND(K26&lt;&gt;"",F26&lt;&gt;"",K26&gt;F26),"ДА","")</f>
        <v/>
      </c>
      <c r="R26" s="9"/>
    </row>
    <row r="27" customFormat="false" ht="14.25" hidden="false" customHeight="true" outlineLevel="0" collapsed="false">
      <c r="A27" s="15" t="n">
        <v>26</v>
      </c>
      <c r="B27" s="12" t="s">
        <v>415</v>
      </c>
      <c r="C27" s="15" t="s">
        <v>457</v>
      </c>
      <c r="D27" s="15" t="s">
        <v>458</v>
      </c>
      <c r="E27" s="15" t="s">
        <v>459</v>
      </c>
      <c r="F27" s="16" t="n">
        <v>45957</v>
      </c>
      <c r="G27" s="5" t="str">
        <f aca="false">IF(TRIM(SUBSTITUTE(SUBSTITUTE(SUBSTITUTE(SUBSTITUTE(SUBSTITUTE(SUBSTITUTE(SUBSTITUTE(SUBSTITUTE(SUBSTITUTE(SUBSTITUTE(SUBSTITUTE(LOWER(TRIM(D27)),"ё","е"),"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категории",""))="инженер",IF(AND(ISNUMBER(SEARCH("техническ",E27)),ISNUMBER(SEARCH("контрол",E27))),"инженер отк",IF(ISNUMBER(SEARCH("диспетч",E27)),"инженер пдо",TRIM(SUBSTITUTE(SUBSTITUTE(SUBSTITUTE(SUBSTITUTE(SUBSTITUTE(SUBSTITUTE(SUBSTITUTE(SUBSTITUTE(SUBSTITUTE(SUBSTITUTE(SUBSTITUTE(LOWER(TRIM(D27)),"ё","е"),"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инженер",IF(ISNUMBER(SEARCH("диспетч",E27)),"ведущий инженер пдо",TRIM(SUBSTITUTE(SUBSTITUTE(SUBSTITUTE(SUBSTITUTE(SUBSTITUTE(SUBSTITUTE(SUBSTITUTE(SUBSTITUTE(SUBSTITUTE(SUBSTITUTE(SUBSTITUTE(LOWER(TRIM(D27)),"ё","е"),"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отк",TRIM(SUBSTITUTE(SUBSTITUTE(SUBSTITUTE(SUBSTITUTE(SUBSTITUTE(SUBSTITUTE(SUBSTITUTE(SUBSTITUTE(SUBSTITUTE(SUBSTITUTE(SUBSTITUTE(LOWER(TRIM(D27)),"ё","е")," -","-"),"- ","-")," 2 разряда","")," 3 разряда","")," 4 разряда","")," 5 разряда","")," 6 разряда","")," 1 категории","")," 2 категории","")," 3 категории","")))))</f>
        <v>старший оперативный дежурный</v>
      </c>
      <c r="H27" s="12" t="n">
        <f aca="false">IFERROR(INDEX(Соответствие!$B$2:$B$76,MATCH(G27,Соответствие!$A$2:$A$76,0)),"?")</f>
        <v>45</v>
      </c>
      <c r="I27" s="9" t="str">
        <f aca="false">IFERROR(INDEX('Перечень должностей'!$C$2:$C$46,MATCH(H27,'Перечень должностей'!$A$2:$A$46,0)),"")</f>
        <v>п.4.7, п.4.8, п.5.1, п.5.2</v>
      </c>
      <c r="J27" s="12" t="n">
        <f aca="false">IFERROR(INDEX('Перечень должностей'!$D$2:$D$46,MATCH(H27,'Перечень должностей'!$A$2:$A$46,0)),12)</f>
        <v>12</v>
      </c>
      <c r="K27" s="17"/>
      <c r="L27" s="17"/>
      <c r="M27" s="16" t="str">
        <f aca="false">IF(K27="","",EDATE(IF(L27&lt;&gt;"",L27,K27),J27))</f>
        <v/>
      </c>
      <c r="N27" s="12" t="str">
        <f aca="false">IFERROR(INDEX('Перечень должностей'!$F$2:$F$46,MATCH(H27,'Перечень должностей'!$A$2:$A$46,0)),"")</f>
        <v>Нет</v>
      </c>
      <c r="O27" s="17"/>
      <c r="P27" s="16" t="str">
        <f aca="false">IF(O27="","",EDATE(O27,60))</f>
        <v/>
      </c>
      <c r="Q27" s="12" t="str">
        <f aca="false">IF(AND(K27&lt;&gt;"",F27&lt;&gt;"",K27&gt;F27),"ДА","")</f>
        <v/>
      </c>
      <c r="R27" s="9"/>
    </row>
    <row r="28" customFormat="false" ht="14.25" hidden="false" customHeight="true" outlineLevel="0" collapsed="false">
      <c r="A28" s="15" t="n">
        <v>27</v>
      </c>
      <c r="B28" s="12" t="s">
        <v>415</v>
      </c>
      <c r="C28" s="15" t="s">
        <v>460</v>
      </c>
      <c r="D28" s="15" t="s">
        <v>461</v>
      </c>
      <c r="E28" s="15" t="s">
        <v>459</v>
      </c>
      <c r="F28" s="16" t="n">
        <v>45551</v>
      </c>
      <c r="G28" s="5" t="str">
        <f aca="false">IF(TRIM(SUBSTITUTE(SUBSTITUTE(SUBSTITUTE(SUBSTITUTE(SUBSTITUTE(SUBSTITUTE(SUBSTITUTE(SUBSTITUTE(SUBSTITUTE(SUBSTITUTE(SUBSTITUTE(LOWER(TRIM(D28)),"ё","е"),"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категории",""))="инженер",IF(AND(ISNUMBER(SEARCH("техническ",E28)),ISNUMBER(SEARCH("контрол",E28))),"инженер отк",IF(ISNUMBER(SEARCH("диспетч",E28)),"инженер пдо",TRIM(SUBSTITUTE(SUBSTITUTE(SUBSTITUTE(SUBSTITUTE(SUBSTITUTE(SUBSTITUTE(SUBSTITUTE(SUBSTITUTE(SUBSTITUTE(SUBSTITUTE(SUBSTITUTE(LOWER(TRIM(D28)),"ё","е"),"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инженер",IF(ISNUMBER(SEARCH("диспетч",E28)),"ведущий инженер пдо",TRIM(SUBSTITUTE(SUBSTITUTE(SUBSTITUTE(SUBSTITUTE(SUBSTITUTE(SUBSTITUTE(SUBSTITUTE(SUBSTITUTE(SUBSTITUTE(SUBSTITUTE(SUBSTITUTE(LOWER(TRIM(D28)),"ё","е"),"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отк",TRIM(SUBSTITUTE(SUBSTITUTE(SUBSTITUTE(SUBSTITUTE(SUBSTITUTE(SUBSTITUTE(SUBSTITUTE(SUBSTITUTE(SUBSTITUTE(SUBSTITUTE(SUBSTITUTE(LOWER(TRIM(D28)),"ё","е")," -","-"),"- ","-")," 2 разряда","")," 3 разряда","")," 4 разряда","")," 5 разряда","")," 6 разряда","")," 1 категории","")," 2 категории","")," 3 категории","")))))</f>
        <v>оперативный дежурный</v>
      </c>
      <c r="H28" s="12" t="n">
        <f aca="false">IFERROR(INDEX(Соответствие!$B$2:$B$76,MATCH(G28,Соответствие!$A$2:$A$76,0)),"?")</f>
        <v>45</v>
      </c>
      <c r="I28" s="9" t="str">
        <f aca="false">IFERROR(INDEX('Перечень должностей'!$C$2:$C$46,MATCH(H28,'Перечень должностей'!$A$2:$A$46,0)),"")</f>
        <v>п.4.7, п.4.8, п.5.1, п.5.2</v>
      </c>
      <c r="J28" s="12" t="n">
        <f aca="false">IFERROR(INDEX('Перечень должностей'!$D$2:$D$46,MATCH(H28,'Перечень должностей'!$A$2:$A$46,0)),12)</f>
        <v>12</v>
      </c>
      <c r="K28" s="17"/>
      <c r="L28" s="17"/>
      <c r="M28" s="16" t="str">
        <f aca="false">IF(K28="","",EDATE(IF(L28&lt;&gt;"",L28,K28),J28))</f>
        <v/>
      </c>
      <c r="N28" s="12" t="str">
        <f aca="false">IFERROR(INDEX('Перечень должностей'!$F$2:$F$46,MATCH(H28,'Перечень должностей'!$A$2:$A$46,0)),"")</f>
        <v>Нет</v>
      </c>
      <c r="O28" s="17"/>
      <c r="P28" s="16" t="str">
        <f aca="false">IF(O28="","",EDATE(O28,60))</f>
        <v/>
      </c>
      <c r="Q28" s="12" t="str">
        <f aca="false">IF(AND(K28&lt;&gt;"",F28&lt;&gt;"",K28&gt;F28),"ДА","")</f>
        <v/>
      </c>
      <c r="R28" s="9"/>
    </row>
    <row r="29" customFormat="false" ht="14.25" hidden="false" customHeight="true" outlineLevel="0" collapsed="false">
      <c r="A29" s="15" t="n">
        <v>28</v>
      </c>
      <c r="B29" s="12" t="s">
        <v>415</v>
      </c>
      <c r="C29" s="15" t="s">
        <v>462</v>
      </c>
      <c r="D29" s="15" t="s">
        <v>461</v>
      </c>
      <c r="E29" s="15" t="s">
        <v>459</v>
      </c>
      <c r="F29" s="16" t="n">
        <v>44092</v>
      </c>
      <c r="G29" s="5" t="str">
        <f aca="false">IF(TRIM(SUBSTITUTE(SUBSTITUTE(SUBSTITUTE(SUBSTITUTE(SUBSTITUTE(SUBSTITUTE(SUBSTITUTE(SUBSTITUTE(SUBSTITUTE(SUBSTITUTE(SUBSTITUTE(LOWER(TRIM(D29)),"ё","е"),"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категории",""))="инженер",IF(AND(ISNUMBER(SEARCH("техническ",E29)),ISNUMBER(SEARCH("контрол",E29))),"инженер отк",IF(ISNUMBER(SEARCH("диспетч",E29)),"инженер пдо",TRIM(SUBSTITUTE(SUBSTITUTE(SUBSTITUTE(SUBSTITUTE(SUBSTITUTE(SUBSTITUTE(SUBSTITUTE(SUBSTITUTE(SUBSTITUTE(SUBSTITUTE(SUBSTITUTE(LOWER(TRIM(D29)),"ё","е"),"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инженер",IF(ISNUMBER(SEARCH("диспетч",E29)),"ведущий инженер пдо",TRIM(SUBSTITUTE(SUBSTITUTE(SUBSTITUTE(SUBSTITUTE(SUBSTITUTE(SUBSTITUTE(SUBSTITUTE(SUBSTITUTE(SUBSTITUTE(SUBSTITUTE(SUBSTITUTE(LOWER(TRIM(D29)),"ё","е"),"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отк",TRIM(SUBSTITUTE(SUBSTITUTE(SUBSTITUTE(SUBSTITUTE(SUBSTITUTE(SUBSTITUTE(SUBSTITUTE(SUBSTITUTE(SUBSTITUTE(SUBSTITUTE(SUBSTITUTE(LOWER(TRIM(D29)),"ё","е")," -","-"),"- ","-")," 2 разряда","")," 3 разряда","")," 4 разряда","")," 5 разряда","")," 6 разряда","")," 1 категории","")," 2 категории","")," 3 категории","")))))</f>
        <v>оперативный дежурный</v>
      </c>
      <c r="H29" s="12" t="n">
        <f aca="false">IFERROR(INDEX(Соответствие!$B$2:$B$76,MATCH(G29,Соответствие!$A$2:$A$76,0)),"?")</f>
        <v>45</v>
      </c>
      <c r="I29" s="9" t="str">
        <f aca="false">IFERROR(INDEX('Перечень должностей'!$C$2:$C$46,MATCH(H29,'Перечень должностей'!$A$2:$A$46,0)),"")</f>
        <v>п.4.7, п.4.8, п.5.1, п.5.2</v>
      </c>
      <c r="J29" s="12" t="n">
        <f aca="false">IFERROR(INDEX('Перечень должностей'!$D$2:$D$46,MATCH(H29,'Перечень должностей'!$A$2:$A$46,0)),12)</f>
        <v>12</v>
      </c>
      <c r="K29" s="17"/>
      <c r="L29" s="17"/>
      <c r="M29" s="16" t="str">
        <f aca="false">IF(K29="","",EDATE(IF(L29&lt;&gt;"",L29,K29),J29))</f>
        <v/>
      </c>
      <c r="N29" s="12" t="str">
        <f aca="false">IFERROR(INDEX('Перечень должностей'!$F$2:$F$46,MATCH(H29,'Перечень должностей'!$A$2:$A$46,0)),"")</f>
        <v>Нет</v>
      </c>
      <c r="O29" s="17"/>
      <c r="P29" s="16" t="str">
        <f aca="false">IF(O29="","",EDATE(O29,60))</f>
        <v/>
      </c>
      <c r="Q29" s="12" t="str">
        <f aca="false">IF(AND(K29&lt;&gt;"",F29&lt;&gt;"",K29&gt;F29),"ДА","")</f>
        <v/>
      </c>
      <c r="R29" s="9"/>
    </row>
    <row r="30" customFormat="false" ht="14.25" hidden="false" customHeight="true" outlineLevel="0" collapsed="false">
      <c r="A30" s="15" t="n">
        <v>29</v>
      </c>
      <c r="B30" s="12" t="s">
        <v>415</v>
      </c>
      <c r="C30" s="15" t="s">
        <v>463</v>
      </c>
      <c r="D30" s="15" t="s">
        <v>461</v>
      </c>
      <c r="E30" s="15" t="s">
        <v>459</v>
      </c>
      <c r="F30" s="16" t="n">
        <v>46052</v>
      </c>
      <c r="G30" s="5" t="str">
        <f aca="false">IF(TRIM(SUBSTITUTE(SUBSTITUTE(SUBSTITUTE(SUBSTITUTE(SUBSTITUTE(SUBSTITUTE(SUBSTITUTE(SUBSTITUTE(SUBSTITUTE(SUBSTITUTE(SUBSTITUTE(LOWER(TRIM(D30)),"ё","е"),"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категории",""))="инженер",IF(AND(ISNUMBER(SEARCH("техническ",E30)),ISNUMBER(SEARCH("контрол",E30))),"инженер отк",IF(ISNUMBER(SEARCH("диспетч",E30)),"инженер пдо",TRIM(SUBSTITUTE(SUBSTITUTE(SUBSTITUTE(SUBSTITUTE(SUBSTITUTE(SUBSTITUTE(SUBSTITUTE(SUBSTITUTE(SUBSTITUTE(SUBSTITUTE(SUBSTITUTE(LOWER(TRIM(D30)),"ё","е"),"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инженер",IF(ISNUMBER(SEARCH("диспетч",E30)),"ведущий инженер пдо",TRIM(SUBSTITUTE(SUBSTITUTE(SUBSTITUTE(SUBSTITUTE(SUBSTITUTE(SUBSTITUTE(SUBSTITUTE(SUBSTITUTE(SUBSTITUTE(SUBSTITUTE(SUBSTITUTE(LOWER(TRIM(D30)),"ё","е"),"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отк",TRIM(SUBSTITUTE(SUBSTITUTE(SUBSTITUTE(SUBSTITUTE(SUBSTITUTE(SUBSTITUTE(SUBSTITUTE(SUBSTITUTE(SUBSTITUTE(SUBSTITUTE(SUBSTITUTE(LOWER(TRIM(D30)),"ё","е")," -","-"),"- ","-")," 2 разряда","")," 3 разряда","")," 4 разряда","")," 5 разряда","")," 6 разряда","")," 1 категории","")," 2 категории","")," 3 категории","")))))</f>
        <v>оперативный дежурный</v>
      </c>
      <c r="H30" s="12" t="n">
        <f aca="false">IFERROR(INDEX(Соответствие!$B$2:$B$76,MATCH(G30,Соответствие!$A$2:$A$76,0)),"?")</f>
        <v>45</v>
      </c>
      <c r="I30" s="9" t="str">
        <f aca="false">IFERROR(INDEX('Перечень должностей'!$C$2:$C$46,MATCH(H30,'Перечень должностей'!$A$2:$A$46,0)),"")</f>
        <v>п.4.7, п.4.8, п.5.1, п.5.2</v>
      </c>
      <c r="J30" s="12" t="n">
        <f aca="false">IFERROR(INDEX('Перечень должностей'!$D$2:$D$46,MATCH(H30,'Перечень должностей'!$A$2:$A$46,0)),12)</f>
        <v>12</v>
      </c>
      <c r="K30" s="17"/>
      <c r="L30" s="17"/>
      <c r="M30" s="16" t="str">
        <f aca="false">IF(K30="","",EDATE(IF(L30&lt;&gt;"",L30,K30),J30))</f>
        <v/>
      </c>
      <c r="N30" s="12" t="str">
        <f aca="false">IFERROR(INDEX('Перечень должностей'!$F$2:$F$46,MATCH(H30,'Перечень должностей'!$A$2:$A$46,0)),"")</f>
        <v>Нет</v>
      </c>
      <c r="O30" s="17"/>
      <c r="P30" s="16" t="str">
        <f aca="false">IF(O30="","",EDATE(O30,60))</f>
        <v/>
      </c>
      <c r="Q30" s="12" t="str">
        <f aca="false">IF(AND(K30&lt;&gt;"",F30&lt;&gt;"",K30&gt;F30),"ДА","")</f>
        <v/>
      </c>
      <c r="R30" s="9"/>
    </row>
    <row r="31" customFormat="false" ht="26.25" hidden="false" customHeight="true" outlineLevel="0" collapsed="false">
      <c r="A31" s="15" t="n">
        <v>30</v>
      </c>
      <c r="B31" s="12" t="s">
        <v>81</v>
      </c>
      <c r="C31" s="15" t="s">
        <v>464</v>
      </c>
      <c r="D31" s="15" t="s">
        <v>465</v>
      </c>
      <c r="E31" s="15" t="s">
        <v>466</v>
      </c>
      <c r="F31" s="16" t="n">
        <v>45693</v>
      </c>
      <c r="G31" s="5" t="str">
        <f aca="false">IF(TRIM(SUBSTITUTE(SUBSTITUTE(SUBSTITUTE(SUBSTITUTE(SUBSTITUTE(SUBSTITUTE(SUBSTITUTE(SUBSTITUTE(SUBSTITUTE(SUBSTITUTE(SUBSTITUTE(LOWER(TRIM(D31)),"ё","е"),"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категории",""))="инженер",IF(AND(ISNUMBER(SEARCH("техническ",E31)),ISNUMBER(SEARCH("контрол",E31))),"инженер отк",IF(ISNUMBER(SEARCH("диспетч",E31)),"инженер пдо",TRIM(SUBSTITUTE(SUBSTITUTE(SUBSTITUTE(SUBSTITUTE(SUBSTITUTE(SUBSTITUTE(SUBSTITUTE(SUBSTITUTE(SUBSTITUTE(SUBSTITUTE(SUBSTITUTE(LOWER(TRIM(D31)),"ё","е"),"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инженер",IF(ISNUMBER(SEARCH("диспетч",E31)),"ведущий инженер пдо",TRIM(SUBSTITUTE(SUBSTITUTE(SUBSTITUTE(SUBSTITUTE(SUBSTITUTE(SUBSTITUTE(SUBSTITUTE(SUBSTITUTE(SUBSTITUTE(SUBSTITUTE(SUBSTITUTE(LOWER(TRIM(D31)),"ё","е"),"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1" s="12" t="n">
        <f aca="false">IFERROR(INDEX(Соответствие!$B$2:$B$76,MATCH(G31,Соответствие!$A$2:$A$76,0)),"?")</f>
        <v>19</v>
      </c>
      <c r="I31" s="9" t="str">
        <f aca="false">IFERROR(INDEX('Перечень должностей'!$C$2:$C$46,MATCH(H31,'Перечень должностей'!$A$2:$A$46,0)),"")</f>
        <v>п.4.3.1, п.4.3.2, п.4.4, п.5.1, п.6.2, п.15</v>
      </c>
      <c r="J31" s="12" t="n">
        <f aca="false">IFERROR(INDEX('Перечень должностей'!$D$2:$D$46,MATCH(H31,'Перечень должностей'!$A$2:$A$46,0)),12)</f>
        <v>12</v>
      </c>
      <c r="K31" s="17"/>
      <c r="L31" s="17"/>
      <c r="M31" s="16" t="str">
        <f aca="false">IF(K31="","",EDATE(IF(L31&lt;&gt;"",L31,K31),J31))</f>
        <v/>
      </c>
      <c r="N31" s="12" t="str">
        <f aca="false">IFERROR(INDEX('Перечень должностей'!$F$2:$F$46,MATCH(H31,'Перечень должностей'!$A$2:$A$46,0)),"")</f>
        <v>-</v>
      </c>
      <c r="O31" s="17"/>
      <c r="P31" s="16" t="str">
        <f aca="false">IF(O31="","",EDATE(O31,60))</f>
        <v/>
      </c>
      <c r="Q31" s="12" t="str">
        <f aca="false">IF(AND(K31&lt;&gt;"",F31&lt;&gt;"",K31&gt;F31),"ДА","")</f>
        <v/>
      </c>
      <c r="R31" s="9"/>
    </row>
    <row r="32" customFormat="false" ht="26.25" hidden="false" customHeight="true" outlineLevel="0" collapsed="false">
      <c r="A32" s="15" t="n">
        <v>31</v>
      </c>
      <c r="B32" s="12" t="s">
        <v>81</v>
      </c>
      <c r="C32" s="15" t="s">
        <v>467</v>
      </c>
      <c r="D32" s="15" t="s">
        <v>465</v>
      </c>
      <c r="E32" s="15" t="s">
        <v>466</v>
      </c>
      <c r="F32" s="16" t="n">
        <v>45901</v>
      </c>
      <c r="G32" s="5" t="str">
        <f aca="false">IF(TRIM(SUBSTITUTE(SUBSTITUTE(SUBSTITUTE(SUBSTITUTE(SUBSTITUTE(SUBSTITUTE(SUBSTITUTE(SUBSTITUTE(SUBSTITUTE(SUBSTITUTE(SUBSTITUTE(LOWER(TRIM(D32)),"ё","е"),"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категории",""))="инженер",IF(AND(ISNUMBER(SEARCH("техническ",E32)),ISNUMBER(SEARCH("контрол",E32))),"инженер отк",IF(ISNUMBER(SEARCH("диспетч",E32)),"инженер пдо",TRIM(SUBSTITUTE(SUBSTITUTE(SUBSTITUTE(SUBSTITUTE(SUBSTITUTE(SUBSTITUTE(SUBSTITUTE(SUBSTITUTE(SUBSTITUTE(SUBSTITUTE(SUBSTITUTE(LOWER(TRIM(D32)),"ё","е"),"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инженер",IF(ISNUMBER(SEARCH("диспетч",E32)),"ведущий инженер пдо",TRIM(SUBSTITUTE(SUBSTITUTE(SUBSTITUTE(SUBSTITUTE(SUBSTITUTE(SUBSTITUTE(SUBSTITUTE(SUBSTITUTE(SUBSTITUTE(SUBSTITUTE(SUBSTITUTE(LOWER(TRIM(D32)),"ё","е"),"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2" s="12" t="n">
        <f aca="false">IFERROR(INDEX(Соответствие!$B$2:$B$76,MATCH(G32,Соответствие!$A$2:$A$76,0)),"?")</f>
        <v>19</v>
      </c>
      <c r="I32" s="9" t="str">
        <f aca="false">IFERROR(INDEX('Перечень должностей'!$C$2:$C$46,MATCH(H32,'Перечень должностей'!$A$2:$A$46,0)),"")</f>
        <v>п.4.3.1, п.4.3.2, п.4.4, п.5.1, п.6.2, п.15</v>
      </c>
      <c r="J32" s="12" t="n">
        <f aca="false">IFERROR(INDEX('Перечень должностей'!$D$2:$D$46,MATCH(H32,'Перечень должностей'!$A$2:$A$46,0)),12)</f>
        <v>12</v>
      </c>
      <c r="K32" s="17"/>
      <c r="L32" s="17"/>
      <c r="M32" s="16" t="str">
        <f aca="false">IF(K32="","",EDATE(IF(L32&lt;&gt;"",L32,K32),J32))</f>
        <v/>
      </c>
      <c r="N32" s="12" t="str">
        <f aca="false">IFERROR(INDEX('Перечень должностей'!$F$2:$F$46,MATCH(H32,'Перечень должностей'!$A$2:$A$46,0)),"")</f>
        <v>-</v>
      </c>
      <c r="O32" s="17"/>
      <c r="P32" s="16" t="str">
        <f aca="false">IF(O32="","",EDATE(O32,60))</f>
        <v/>
      </c>
      <c r="Q32" s="12" t="str">
        <f aca="false">IF(AND(K32&lt;&gt;"",F32&lt;&gt;"",K32&gt;F32),"ДА","")</f>
        <v/>
      </c>
      <c r="R32" s="9"/>
    </row>
    <row r="33" customFormat="false" ht="26.25" hidden="false" customHeight="true" outlineLevel="0" collapsed="false">
      <c r="A33" s="15" t="n">
        <v>32</v>
      </c>
      <c r="B33" s="12" t="s">
        <v>81</v>
      </c>
      <c r="C33" s="15" t="s">
        <v>468</v>
      </c>
      <c r="D33" s="15" t="s">
        <v>453</v>
      </c>
      <c r="E33" s="15" t="s">
        <v>85</v>
      </c>
      <c r="F33" s="16" t="n">
        <v>46141</v>
      </c>
      <c r="G33" s="5" t="str">
        <f aca="false">IF(TRIM(SUBSTITUTE(SUBSTITUTE(SUBSTITUTE(SUBSTITUTE(SUBSTITUTE(SUBSTITUTE(SUBSTITUTE(SUBSTITUTE(SUBSTITUTE(SUBSTITUTE(SUBSTITUTE(LOWER(TRIM(D33)),"ё","е"),"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категории",""))="инженер",IF(AND(ISNUMBER(SEARCH("техническ",E33)),ISNUMBER(SEARCH("контрол",E33))),"инженер отк",IF(ISNUMBER(SEARCH("диспетч",E33)),"инженер пдо",TRIM(SUBSTITUTE(SUBSTITUTE(SUBSTITUTE(SUBSTITUTE(SUBSTITUTE(SUBSTITUTE(SUBSTITUTE(SUBSTITUTE(SUBSTITUTE(SUBSTITUTE(SUBSTITUTE(LOWER(TRIM(D33)),"ё","е"),"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инженер",IF(ISNUMBER(SEARCH("диспетч",E33)),"ведущий инженер пдо",TRIM(SUBSTITUTE(SUBSTITUTE(SUBSTITUTE(SUBSTITUTE(SUBSTITUTE(SUBSTITUTE(SUBSTITUTE(SUBSTITUTE(SUBSTITUTE(SUBSTITUTE(SUBSTITUTE(LOWER(TRIM(D33)),"ё","е"),"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3" s="12" t="n">
        <f aca="false">IFERROR(INDEX(Соответствие!$B$2:$B$76,MATCH(G33,Соответствие!$A$2:$A$76,0)),"?")</f>
        <v>19</v>
      </c>
      <c r="I33" s="9" t="str">
        <f aca="false">IFERROR(INDEX('Перечень должностей'!$C$2:$C$46,MATCH(H33,'Перечень должностей'!$A$2:$A$46,0)),"")</f>
        <v>п.4.3.1, п.4.3.2, п.4.4, п.5.1, п.6.2, п.15</v>
      </c>
      <c r="J33" s="12" t="n">
        <f aca="false">IFERROR(INDEX('Перечень должностей'!$D$2:$D$46,MATCH(H33,'Перечень должностей'!$A$2:$A$46,0)),12)</f>
        <v>12</v>
      </c>
      <c r="K33" s="17"/>
      <c r="L33" s="17"/>
      <c r="M33" s="16" t="str">
        <f aca="false">IF(K33="","",EDATE(IF(L33&lt;&gt;"",L33,K33),J33))</f>
        <v/>
      </c>
      <c r="N33" s="12" t="str">
        <f aca="false">IFERROR(INDEX('Перечень должностей'!$F$2:$F$46,MATCH(H33,'Перечень должностей'!$A$2:$A$46,0)),"")</f>
        <v>-</v>
      </c>
      <c r="O33" s="17"/>
      <c r="P33" s="16" t="str">
        <f aca="false">IF(O33="","",EDATE(O33,60))</f>
        <v/>
      </c>
      <c r="Q33" s="12" t="str">
        <f aca="false">IF(AND(K33&lt;&gt;"",F33&lt;&gt;"",K33&gt;F33),"ДА","")</f>
        <v/>
      </c>
      <c r="R33" s="9" t="s">
        <v>469</v>
      </c>
    </row>
    <row r="34" customFormat="false" ht="26.25" hidden="false" customHeight="true" outlineLevel="0" collapsed="false">
      <c r="A34" s="15" t="n">
        <v>33</v>
      </c>
      <c r="B34" s="12" t="s">
        <v>81</v>
      </c>
      <c r="C34" s="15" t="s">
        <v>470</v>
      </c>
      <c r="D34" s="15" t="s">
        <v>453</v>
      </c>
      <c r="E34" s="15" t="s">
        <v>85</v>
      </c>
      <c r="F34" s="16" t="n">
        <v>45551</v>
      </c>
      <c r="G34" s="5" t="str">
        <f aca="false">IF(TRIM(SUBSTITUTE(SUBSTITUTE(SUBSTITUTE(SUBSTITUTE(SUBSTITUTE(SUBSTITUTE(SUBSTITUTE(SUBSTITUTE(SUBSTITUTE(SUBSTITUTE(SUBSTITUTE(LOWER(TRIM(D34)),"ё","е"),"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категории",""))="инженер",IF(AND(ISNUMBER(SEARCH("техническ",E34)),ISNUMBER(SEARCH("контрол",E34))),"инженер отк",IF(ISNUMBER(SEARCH("диспетч",E34)),"инженер пдо",TRIM(SUBSTITUTE(SUBSTITUTE(SUBSTITUTE(SUBSTITUTE(SUBSTITUTE(SUBSTITUTE(SUBSTITUTE(SUBSTITUTE(SUBSTITUTE(SUBSTITUTE(SUBSTITUTE(LOWER(TRIM(D34)),"ё","е"),"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инженер",IF(ISNUMBER(SEARCH("диспетч",E34)),"ведущий инженер пдо",TRIM(SUBSTITUTE(SUBSTITUTE(SUBSTITUTE(SUBSTITUTE(SUBSTITUTE(SUBSTITUTE(SUBSTITUTE(SUBSTITUTE(SUBSTITUTE(SUBSTITUTE(SUBSTITUTE(LOWER(TRIM(D34)),"ё","е"),"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4" s="12" t="n">
        <f aca="false">IFERROR(INDEX(Соответствие!$B$2:$B$76,MATCH(G34,Соответствие!$A$2:$A$76,0)),"?")</f>
        <v>19</v>
      </c>
      <c r="I34" s="9" t="str">
        <f aca="false">IFERROR(INDEX('Перечень должностей'!$C$2:$C$46,MATCH(H34,'Перечень должностей'!$A$2:$A$46,0)),"")</f>
        <v>п.4.3.1, п.4.3.2, п.4.4, п.5.1, п.6.2, п.15</v>
      </c>
      <c r="J34" s="12" t="n">
        <f aca="false">IFERROR(INDEX('Перечень должностей'!$D$2:$D$46,MATCH(H34,'Перечень должностей'!$A$2:$A$46,0)),12)</f>
        <v>12</v>
      </c>
      <c r="K34" s="17"/>
      <c r="L34" s="17"/>
      <c r="M34" s="16" t="str">
        <f aca="false">IF(K34="","",EDATE(IF(L34&lt;&gt;"",L34,K34),J34))</f>
        <v/>
      </c>
      <c r="N34" s="12" t="str">
        <f aca="false">IFERROR(INDEX('Перечень должностей'!$F$2:$F$46,MATCH(H34,'Перечень должностей'!$A$2:$A$46,0)),"")</f>
        <v>-</v>
      </c>
      <c r="O34" s="17"/>
      <c r="P34" s="16" t="str">
        <f aca="false">IF(O34="","",EDATE(O34,60))</f>
        <v/>
      </c>
      <c r="Q34" s="12" t="str">
        <f aca="false">IF(AND(K34&lt;&gt;"",F34&lt;&gt;"",K34&gt;F34),"ДА","")</f>
        <v/>
      </c>
      <c r="R34" s="9" t="s">
        <v>469</v>
      </c>
    </row>
    <row r="35" customFormat="false" ht="26.25" hidden="false" customHeight="true" outlineLevel="0" collapsed="false">
      <c r="A35" s="15" t="n">
        <v>34</v>
      </c>
      <c r="B35" s="12" t="s">
        <v>81</v>
      </c>
      <c r="C35" s="15" t="s">
        <v>471</v>
      </c>
      <c r="D35" s="15" t="s">
        <v>465</v>
      </c>
      <c r="E35" s="15" t="s">
        <v>466</v>
      </c>
      <c r="F35" s="16" t="n">
        <v>46043</v>
      </c>
      <c r="G35" s="5" t="str">
        <f aca="false">IF(TRIM(SUBSTITUTE(SUBSTITUTE(SUBSTITUTE(SUBSTITUTE(SUBSTITUTE(SUBSTITUTE(SUBSTITUTE(SUBSTITUTE(SUBSTITUTE(SUBSTITUTE(SUBSTITUTE(LOWER(TRIM(D35)),"ё","е"),"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категории",""))="инженер",IF(AND(ISNUMBER(SEARCH("техническ",E35)),ISNUMBER(SEARCH("контрол",E35))),"инженер отк",IF(ISNUMBER(SEARCH("диспетч",E35)),"инженер пдо",TRIM(SUBSTITUTE(SUBSTITUTE(SUBSTITUTE(SUBSTITUTE(SUBSTITUTE(SUBSTITUTE(SUBSTITUTE(SUBSTITUTE(SUBSTITUTE(SUBSTITUTE(SUBSTITUTE(LOWER(TRIM(D35)),"ё","е"),"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инженер",IF(ISNUMBER(SEARCH("диспетч",E35)),"ведущий инженер пдо",TRIM(SUBSTITUTE(SUBSTITUTE(SUBSTITUTE(SUBSTITUTE(SUBSTITUTE(SUBSTITUTE(SUBSTITUTE(SUBSTITUTE(SUBSTITUTE(SUBSTITUTE(SUBSTITUTE(LOWER(TRIM(D35)),"ё","е"),"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5" s="12" t="n">
        <f aca="false">IFERROR(INDEX(Соответствие!$B$2:$B$76,MATCH(G35,Соответствие!$A$2:$A$76,0)),"?")</f>
        <v>19</v>
      </c>
      <c r="I35" s="9" t="str">
        <f aca="false">IFERROR(INDEX('Перечень должностей'!$C$2:$C$46,MATCH(H35,'Перечень должностей'!$A$2:$A$46,0)),"")</f>
        <v>п.4.3.1, п.4.3.2, п.4.4, п.5.1, п.6.2, п.15</v>
      </c>
      <c r="J35" s="12" t="n">
        <f aca="false">IFERROR(INDEX('Перечень должностей'!$D$2:$D$46,MATCH(H35,'Перечень должностей'!$A$2:$A$46,0)),12)</f>
        <v>12</v>
      </c>
      <c r="K35" s="17"/>
      <c r="L35" s="17"/>
      <c r="M35" s="16" t="str">
        <f aca="false">IF(K35="","",EDATE(IF(L35&lt;&gt;"",L35,K35),J35))</f>
        <v/>
      </c>
      <c r="N35" s="12" t="str">
        <f aca="false">IFERROR(INDEX('Перечень должностей'!$F$2:$F$46,MATCH(H35,'Перечень должностей'!$A$2:$A$46,0)),"")</f>
        <v>-</v>
      </c>
      <c r="O35" s="17"/>
      <c r="P35" s="16" t="str">
        <f aca="false">IF(O35="","",EDATE(O35,60))</f>
        <v/>
      </c>
      <c r="Q35" s="12" t="str">
        <f aca="false">IF(AND(K35&lt;&gt;"",F35&lt;&gt;"",K35&gt;F35),"ДА","")</f>
        <v/>
      </c>
      <c r="R35" s="9"/>
    </row>
    <row r="36" customFormat="false" ht="26.25" hidden="false" customHeight="true" outlineLevel="0" collapsed="false">
      <c r="A36" s="15" t="n">
        <v>35</v>
      </c>
      <c r="B36" s="12" t="s">
        <v>81</v>
      </c>
      <c r="C36" s="15" t="s">
        <v>472</v>
      </c>
      <c r="D36" s="15" t="s">
        <v>453</v>
      </c>
      <c r="E36" s="15" t="s">
        <v>85</v>
      </c>
      <c r="F36" s="16" t="n">
        <v>45614</v>
      </c>
      <c r="G36" s="5" t="str">
        <f aca="false">IF(TRIM(SUBSTITUTE(SUBSTITUTE(SUBSTITUTE(SUBSTITUTE(SUBSTITUTE(SUBSTITUTE(SUBSTITUTE(SUBSTITUTE(SUBSTITUTE(SUBSTITUTE(SUBSTITUTE(LOWER(TRIM(D36)),"ё","е"),"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категории",""))="инженер",IF(AND(ISNUMBER(SEARCH("техническ",E36)),ISNUMBER(SEARCH("контрол",E36))),"инженер отк",IF(ISNUMBER(SEARCH("диспетч",E36)),"инженер пдо",TRIM(SUBSTITUTE(SUBSTITUTE(SUBSTITUTE(SUBSTITUTE(SUBSTITUTE(SUBSTITUTE(SUBSTITUTE(SUBSTITUTE(SUBSTITUTE(SUBSTITUTE(SUBSTITUTE(LOWER(TRIM(D36)),"ё","е"),"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инженер",IF(ISNUMBER(SEARCH("диспетч",E36)),"ведущий инженер пдо",TRIM(SUBSTITUTE(SUBSTITUTE(SUBSTITUTE(SUBSTITUTE(SUBSTITUTE(SUBSTITUTE(SUBSTITUTE(SUBSTITUTE(SUBSTITUTE(SUBSTITUTE(SUBSTITUTE(LOWER(TRIM(D36)),"ё","е"),"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6" s="12" t="n">
        <f aca="false">IFERROR(INDEX(Соответствие!$B$2:$B$76,MATCH(G36,Соответствие!$A$2:$A$76,0)),"?")</f>
        <v>19</v>
      </c>
      <c r="I36" s="9" t="str">
        <f aca="false">IFERROR(INDEX('Перечень должностей'!$C$2:$C$46,MATCH(H36,'Перечень должностей'!$A$2:$A$46,0)),"")</f>
        <v>п.4.3.1, п.4.3.2, п.4.4, п.5.1, п.6.2, п.15</v>
      </c>
      <c r="J36" s="12" t="n">
        <f aca="false">IFERROR(INDEX('Перечень должностей'!$D$2:$D$46,MATCH(H36,'Перечень должностей'!$A$2:$A$46,0)),12)</f>
        <v>12</v>
      </c>
      <c r="K36" s="17"/>
      <c r="L36" s="17"/>
      <c r="M36" s="16" t="str">
        <f aca="false">IF(K36="","",EDATE(IF(L36&lt;&gt;"",L36,K36),J36))</f>
        <v/>
      </c>
      <c r="N36" s="12" t="str">
        <f aca="false">IFERROR(INDEX('Перечень должностей'!$F$2:$F$46,MATCH(H36,'Перечень должностей'!$A$2:$A$46,0)),"")</f>
        <v>-</v>
      </c>
      <c r="O36" s="17"/>
      <c r="P36" s="16" t="str">
        <f aca="false">IF(O36="","",EDATE(O36,60))</f>
        <v/>
      </c>
      <c r="Q36" s="12" t="str">
        <f aca="false">IF(AND(K36&lt;&gt;"",F36&lt;&gt;"",K36&gt;F36),"ДА","")</f>
        <v/>
      </c>
      <c r="R36" s="9" t="s">
        <v>469</v>
      </c>
    </row>
    <row r="37" customFormat="false" ht="26.25" hidden="false" customHeight="true" outlineLevel="0" collapsed="false">
      <c r="A37" s="15" t="n">
        <v>36</v>
      </c>
      <c r="B37" s="12" t="s">
        <v>81</v>
      </c>
      <c r="C37" s="15" t="s">
        <v>473</v>
      </c>
      <c r="D37" s="15" t="s">
        <v>465</v>
      </c>
      <c r="E37" s="15" t="s">
        <v>466</v>
      </c>
      <c r="F37" s="16" t="n">
        <v>45911</v>
      </c>
      <c r="G37" s="5" t="str">
        <f aca="false">IF(TRIM(SUBSTITUTE(SUBSTITUTE(SUBSTITUTE(SUBSTITUTE(SUBSTITUTE(SUBSTITUTE(SUBSTITUTE(SUBSTITUTE(SUBSTITUTE(SUBSTITUTE(SUBSTITUTE(LOWER(TRIM(D37)),"ё","е"),"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категории",""))="инженер",IF(AND(ISNUMBER(SEARCH("техническ",E37)),ISNUMBER(SEARCH("контрол",E37))),"инженер отк",IF(ISNUMBER(SEARCH("диспетч",E37)),"инженер пдо",TRIM(SUBSTITUTE(SUBSTITUTE(SUBSTITUTE(SUBSTITUTE(SUBSTITUTE(SUBSTITUTE(SUBSTITUTE(SUBSTITUTE(SUBSTITUTE(SUBSTITUTE(SUBSTITUTE(LOWER(TRIM(D37)),"ё","е"),"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инженер",IF(ISNUMBER(SEARCH("диспетч",E37)),"ведущий инженер пдо",TRIM(SUBSTITUTE(SUBSTITUTE(SUBSTITUTE(SUBSTITUTE(SUBSTITUTE(SUBSTITUTE(SUBSTITUTE(SUBSTITUTE(SUBSTITUTE(SUBSTITUTE(SUBSTITUTE(LOWER(TRIM(D37)),"ё","е"),"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7" s="12" t="n">
        <f aca="false">IFERROR(INDEX(Соответствие!$B$2:$B$76,MATCH(G37,Соответствие!$A$2:$A$76,0)),"?")</f>
        <v>19</v>
      </c>
      <c r="I37" s="9" t="str">
        <f aca="false">IFERROR(INDEX('Перечень должностей'!$C$2:$C$46,MATCH(H37,'Перечень должностей'!$A$2:$A$46,0)),"")</f>
        <v>п.4.3.1, п.4.3.2, п.4.4, п.5.1, п.6.2, п.15</v>
      </c>
      <c r="J37" s="12" t="n">
        <f aca="false">IFERROR(INDEX('Перечень должностей'!$D$2:$D$46,MATCH(H37,'Перечень должностей'!$A$2:$A$46,0)),12)</f>
        <v>12</v>
      </c>
      <c r="K37" s="17"/>
      <c r="L37" s="17"/>
      <c r="M37" s="16" t="str">
        <f aca="false">IF(K37="","",EDATE(IF(L37&lt;&gt;"",L37,K37),J37))</f>
        <v/>
      </c>
      <c r="N37" s="12" t="str">
        <f aca="false">IFERROR(INDEX('Перечень должностей'!$F$2:$F$46,MATCH(H37,'Перечень должностей'!$A$2:$A$46,0)),"")</f>
        <v>-</v>
      </c>
      <c r="O37" s="17"/>
      <c r="P37" s="16" t="str">
        <f aca="false">IF(O37="","",EDATE(O37,60))</f>
        <v/>
      </c>
      <c r="Q37" s="12" t="str">
        <f aca="false">IF(AND(K37&lt;&gt;"",F37&lt;&gt;"",K37&gt;F37),"ДА","")</f>
        <v/>
      </c>
      <c r="R37" s="9"/>
    </row>
    <row r="38" customFormat="false" ht="26.25" hidden="false" customHeight="true" outlineLevel="0" collapsed="false">
      <c r="A38" s="15" t="n">
        <v>37</v>
      </c>
      <c r="B38" s="12" t="s">
        <v>81</v>
      </c>
      <c r="C38" s="15" t="s">
        <v>474</v>
      </c>
      <c r="D38" s="15" t="s">
        <v>453</v>
      </c>
      <c r="E38" s="15" t="s">
        <v>85</v>
      </c>
      <c r="F38" s="16" t="n">
        <v>45817</v>
      </c>
      <c r="G38" s="5" t="str">
        <f aca="false">IF(TRIM(SUBSTITUTE(SUBSTITUTE(SUBSTITUTE(SUBSTITUTE(SUBSTITUTE(SUBSTITUTE(SUBSTITUTE(SUBSTITUTE(SUBSTITUTE(SUBSTITUTE(SUBSTITUTE(LOWER(TRIM(D38)),"ё","е"),"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категории",""))="инженер",IF(AND(ISNUMBER(SEARCH("техническ",E38)),ISNUMBER(SEARCH("контрол",E38))),"инженер отк",IF(ISNUMBER(SEARCH("диспетч",E38)),"инженер пдо",TRIM(SUBSTITUTE(SUBSTITUTE(SUBSTITUTE(SUBSTITUTE(SUBSTITUTE(SUBSTITUTE(SUBSTITUTE(SUBSTITUTE(SUBSTITUTE(SUBSTITUTE(SUBSTITUTE(LOWER(TRIM(D38)),"ё","е"),"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инженер",IF(ISNUMBER(SEARCH("диспетч",E38)),"ведущий инженер пдо",TRIM(SUBSTITUTE(SUBSTITUTE(SUBSTITUTE(SUBSTITUTE(SUBSTITUTE(SUBSTITUTE(SUBSTITUTE(SUBSTITUTE(SUBSTITUTE(SUBSTITUTE(SUBSTITUTE(LOWER(TRIM(D38)),"ё","е"),"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отк",TRIM(SUBSTITUTE(SUBSTITUTE(SUBSTITUTE(SUBSTITUTE(SUBSTITUTE(SUBSTITUTE(SUBSTITUTE(SUBSTITUTE(SUBSTITUTE(SUBSTITUTE(SUBSTITUTE(LOWER(TRIM(D38)),"ё","е"),"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8" s="12" t="n">
        <f aca="false">IFERROR(INDEX(Соответствие!$B$2:$B$76,MATCH(G38,Соответствие!$A$2:$A$76,0)),"?")</f>
        <v>19</v>
      </c>
      <c r="I38" s="9" t="str">
        <f aca="false">IFERROR(INDEX('Перечень должностей'!$C$2:$C$46,MATCH(H38,'Перечень должностей'!$A$2:$A$46,0)),"")</f>
        <v>п.4.3.1, п.4.3.2, п.4.4, п.5.1, п.6.2, п.15</v>
      </c>
      <c r="J38" s="12" t="n">
        <f aca="false">IFERROR(INDEX('Перечень должностей'!$D$2:$D$46,MATCH(H38,'Перечень должностей'!$A$2:$A$46,0)),12)</f>
        <v>12</v>
      </c>
      <c r="K38" s="17" t="n">
        <v>45813</v>
      </c>
      <c r="L38" s="17"/>
      <c r="M38" s="16" t="n">
        <f aca="false">IF(K38="","",EDATE(IF(L38&lt;&gt;"",L38,K38),J38))</f>
        <v>46178</v>
      </c>
      <c r="N38" s="12" t="str">
        <f aca="false">IFERROR(INDEX('Перечень должностей'!$F$2:$F$46,MATCH(H38,'Перечень должностей'!$A$2:$A$46,0)),"")</f>
        <v>-</v>
      </c>
      <c r="O38" s="17"/>
      <c r="P38" s="16" t="str">
        <f aca="false">IF(O38="","",EDATE(O38,60))</f>
        <v/>
      </c>
      <c r="Q38" s="12" t="str">
        <f aca="false">IF(AND(K38&lt;&gt;"",F38&lt;&gt;"",K38&gt;F38),"ДА","")</f>
        <v/>
      </c>
      <c r="R38" s="9" t="s">
        <v>469</v>
      </c>
    </row>
    <row r="39" customFormat="false" ht="26.25" hidden="false" customHeight="true" outlineLevel="0" collapsed="false">
      <c r="A39" s="15" t="n">
        <v>38</v>
      </c>
      <c r="B39" s="12" t="s">
        <v>81</v>
      </c>
      <c r="C39" s="15" t="s">
        <v>475</v>
      </c>
      <c r="D39" s="15" t="s">
        <v>465</v>
      </c>
      <c r="E39" s="15" t="s">
        <v>466</v>
      </c>
      <c r="F39" s="16" t="n">
        <v>45782</v>
      </c>
      <c r="G39" s="5" t="str">
        <f aca="false">IF(TRIM(SUBSTITUTE(SUBSTITUTE(SUBSTITUTE(SUBSTITUTE(SUBSTITUTE(SUBSTITUTE(SUBSTITUTE(SUBSTITUTE(SUBSTITUTE(SUBSTITUTE(SUBSTITUTE(LOWER(TRIM(D39)),"ё","е"),"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категории",""))="инженер",IF(AND(ISNUMBER(SEARCH("техническ",E39)),ISNUMBER(SEARCH("контрол",E39))),"инженер отк",IF(ISNUMBER(SEARCH("диспетч",E39)),"инженер пдо",TRIM(SUBSTITUTE(SUBSTITUTE(SUBSTITUTE(SUBSTITUTE(SUBSTITUTE(SUBSTITUTE(SUBSTITUTE(SUBSTITUTE(SUBSTITUTE(SUBSTITUTE(SUBSTITUTE(LOWER(TRIM(D39)),"ё","е"),"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инженер",IF(ISNUMBER(SEARCH("диспетч",E39)),"ведущий инженер пдо",TRIM(SUBSTITUTE(SUBSTITUTE(SUBSTITUTE(SUBSTITUTE(SUBSTITUTE(SUBSTITUTE(SUBSTITUTE(SUBSTITUTE(SUBSTITUTE(SUBSTITUTE(SUBSTITUTE(LOWER(TRIM(D39)),"ё","е"),"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отк",TRIM(SUBSTITUTE(SUBSTITUTE(SUBSTITUTE(SUBSTITUTE(SUBSTITUTE(SUBSTITUTE(SUBSTITUTE(SUBSTITUTE(SUBSTITUTE(SUBSTITUTE(SUBSTITUTE(LOWER(TRIM(D39)),"ё","е"),"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9" s="12" t="n">
        <f aca="false">IFERROR(INDEX(Соответствие!$B$2:$B$76,MATCH(G39,Соответствие!$A$2:$A$76,0)),"?")</f>
        <v>19</v>
      </c>
      <c r="I39" s="9" t="str">
        <f aca="false">IFERROR(INDEX('Перечень должностей'!$C$2:$C$46,MATCH(H39,'Перечень должностей'!$A$2:$A$46,0)),"")</f>
        <v>п.4.3.1, п.4.3.2, п.4.4, п.5.1, п.6.2, п.15</v>
      </c>
      <c r="J39" s="12" t="n">
        <f aca="false">IFERROR(INDEX('Перечень должностей'!$D$2:$D$46,MATCH(H39,'Перечень должностей'!$A$2:$A$46,0)),12)</f>
        <v>12</v>
      </c>
      <c r="K39" s="17"/>
      <c r="L39" s="17"/>
      <c r="M39" s="16" t="str">
        <f aca="false">IF(K39="","",EDATE(IF(L39&lt;&gt;"",L39,K39),J39))</f>
        <v/>
      </c>
      <c r="N39" s="12" t="str">
        <f aca="false">IFERROR(INDEX('Перечень должностей'!$F$2:$F$46,MATCH(H39,'Перечень должностей'!$A$2:$A$46,0)),"")</f>
        <v>-</v>
      </c>
      <c r="O39" s="17"/>
      <c r="P39" s="16" t="str">
        <f aca="false">IF(O39="","",EDATE(O39,60))</f>
        <v/>
      </c>
      <c r="Q39" s="12" t="str">
        <f aca="false">IF(AND(K39&lt;&gt;"",F39&lt;&gt;"",K39&gt;F39),"ДА","")</f>
        <v/>
      </c>
      <c r="R39" s="9"/>
    </row>
    <row r="40" customFormat="false" ht="26.25" hidden="false" customHeight="true" outlineLevel="0" collapsed="false">
      <c r="A40" s="15" t="n">
        <v>39</v>
      </c>
      <c r="B40" s="12" t="s">
        <v>81</v>
      </c>
      <c r="C40" s="15" t="s">
        <v>476</v>
      </c>
      <c r="D40" s="15" t="s">
        <v>465</v>
      </c>
      <c r="E40" s="15" t="s">
        <v>466</v>
      </c>
      <c r="F40" s="16" t="n">
        <v>46073</v>
      </c>
      <c r="G40" s="5" t="str">
        <f aca="false">IF(TRIM(SUBSTITUTE(SUBSTITUTE(SUBSTITUTE(SUBSTITUTE(SUBSTITUTE(SUBSTITUTE(SUBSTITUTE(SUBSTITUTE(SUBSTITUTE(SUBSTITUTE(SUBSTITUTE(LOWER(TRIM(D40)),"ё","е"),"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категории",""))="инженер",IF(AND(ISNUMBER(SEARCH("техническ",E40)),ISNUMBER(SEARCH("контрол",E40))),"инженер отк",IF(ISNUMBER(SEARCH("диспетч",E40)),"инженер пдо",TRIM(SUBSTITUTE(SUBSTITUTE(SUBSTITUTE(SUBSTITUTE(SUBSTITUTE(SUBSTITUTE(SUBSTITUTE(SUBSTITUTE(SUBSTITUTE(SUBSTITUTE(SUBSTITUTE(LOWER(TRIM(D40)),"ё","е"),"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инженер",IF(ISNUMBER(SEARCH("диспетч",E40)),"ведущий инженер пдо",TRIM(SUBSTITUTE(SUBSTITUTE(SUBSTITUTE(SUBSTITUTE(SUBSTITUTE(SUBSTITUTE(SUBSTITUTE(SUBSTITUTE(SUBSTITUTE(SUBSTITUTE(SUBSTITUTE(LOWER(TRIM(D40)),"ё","е"),"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отк",TRIM(SUBSTITUTE(SUBSTITUTE(SUBSTITUTE(SUBSTITUTE(SUBSTITUTE(SUBSTITUTE(SUBSTITUTE(SUBSTITUTE(SUBSTITUTE(SUBSTITUTE(SUBSTITUTE(LOWER(TRIM(D40)),"ё","е"),"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40" s="12" t="n">
        <f aca="false">IFERROR(INDEX(Соответствие!$B$2:$B$76,MATCH(G40,Соответствие!$A$2:$A$76,0)),"?")</f>
        <v>19</v>
      </c>
      <c r="I40" s="9" t="str">
        <f aca="false">IFERROR(INDEX('Перечень должностей'!$C$2:$C$46,MATCH(H40,'Перечень должностей'!$A$2:$A$46,0)),"")</f>
        <v>п.4.3.1, п.4.3.2, п.4.4, п.5.1, п.6.2, п.15</v>
      </c>
      <c r="J40" s="12" t="n">
        <f aca="false">IFERROR(INDEX('Перечень должностей'!$D$2:$D$46,MATCH(H40,'Перечень должностей'!$A$2:$A$46,0)),12)</f>
        <v>12</v>
      </c>
      <c r="K40" s="17" t="n">
        <v>46059</v>
      </c>
      <c r="L40" s="17"/>
      <c r="M40" s="16" t="n">
        <f aca="false">IF(K40="","",EDATE(IF(L40&lt;&gt;"",L40,K40),J40))</f>
        <v>46424</v>
      </c>
      <c r="N40" s="12" t="str">
        <f aca="false">IFERROR(INDEX('Перечень должностей'!$F$2:$F$46,MATCH(H40,'Перечень должностей'!$A$2:$A$46,0)),"")</f>
        <v>-</v>
      </c>
      <c r="O40" s="17"/>
      <c r="P40" s="16" t="str">
        <f aca="false">IF(O40="","",EDATE(O40,60))</f>
        <v/>
      </c>
      <c r="Q40" s="12" t="str">
        <f aca="false">IF(AND(K40&lt;&gt;"",F40&lt;&gt;"",K40&gt;F40),"ДА","")</f>
        <v/>
      </c>
      <c r="R40" s="9"/>
    </row>
    <row r="41" customFormat="false" ht="26.25" hidden="false" customHeight="true" outlineLevel="0" collapsed="false">
      <c r="A41" s="15" t="n">
        <v>40</v>
      </c>
      <c r="B41" s="12" t="s">
        <v>81</v>
      </c>
      <c r="C41" s="15" t="s">
        <v>477</v>
      </c>
      <c r="D41" s="15" t="s">
        <v>465</v>
      </c>
      <c r="E41" s="15" t="s">
        <v>466</v>
      </c>
      <c r="F41" s="16" t="n">
        <v>45847</v>
      </c>
      <c r="G41" s="5" t="str">
        <f aca="false">IF(TRIM(SUBSTITUTE(SUBSTITUTE(SUBSTITUTE(SUBSTITUTE(SUBSTITUTE(SUBSTITUTE(SUBSTITUTE(SUBSTITUTE(SUBSTITUTE(SUBSTITUTE(SUBSTITUTE(LOWER(TRIM(D41)),"ё","е"),"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категории",""))="инженер",IF(AND(ISNUMBER(SEARCH("техническ",E41)),ISNUMBER(SEARCH("контрол",E41))),"инженер отк",IF(ISNUMBER(SEARCH("диспетч",E41)),"инженер пдо",TRIM(SUBSTITUTE(SUBSTITUTE(SUBSTITUTE(SUBSTITUTE(SUBSTITUTE(SUBSTITUTE(SUBSTITUTE(SUBSTITUTE(SUBSTITUTE(SUBSTITUTE(SUBSTITUTE(LOWER(TRIM(D41)),"ё","е"),"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инженер",IF(ISNUMBER(SEARCH("диспетч",E41)),"ведущий инженер пдо",TRIM(SUBSTITUTE(SUBSTITUTE(SUBSTITUTE(SUBSTITUTE(SUBSTITUTE(SUBSTITUTE(SUBSTITUTE(SUBSTITUTE(SUBSTITUTE(SUBSTITUTE(SUBSTITUTE(LOWER(TRIM(D41)),"ё","е"),"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отк",TRIM(SUBSTITUTE(SUBSTITUTE(SUBSTITUTE(SUBSTITUTE(SUBSTITUTE(SUBSTITUTE(SUBSTITUTE(SUBSTITUTE(SUBSTITUTE(SUBSTITUTE(SUBSTITUTE(LOWER(TRIM(D41)),"ё","е"),"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41" s="12" t="n">
        <f aca="false">IFERROR(INDEX(Соответствие!$B$2:$B$76,MATCH(G41,Соответствие!$A$2:$A$76,0)),"?")</f>
        <v>19</v>
      </c>
      <c r="I41" s="9" t="str">
        <f aca="false">IFERROR(INDEX('Перечень должностей'!$C$2:$C$46,MATCH(H41,'Перечень должностей'!$A$2:$A$46,0)),"")</f>
        <v>п.4.3.1, п.4.3.2, п.4.4, п.5.1, п.6.2, п.15</v>
      </c>
      <c r="J41" s="12" t="n">
        <f aca="false">IFERROR(INDEX('Перечень должностей'!$D$2:$D$46,MATCH(H41,'Перечень должностей'!$A$2:$A$46,0)),12)</f>
        <v>12</v>
      </c>
      <c r="K41" s="17"/>
      <c r="L41" s="17"/>
      <c r="M41" s="16" t="str">
        <f aca="false">IF(K41="","",EDATE(IF(L41&lt;&gt;"",L41,K41),J41))</f>
        <v/>
      </c>
      <c r="N41" s="12" t="str">
        <f aca="false">IFERROR(INDEX('Перечень должностей'!$F$2:$F$46,MATCH(H41,'Перечень должностей'!$A$2:$A$46,0)),"")</f>
        <v>-</v>
      </c>
      <c r="O41" s="17"/>
      <c r="P41" s="16" t="str">
        <f aca="false">IF(O41="","",EDATE(O41,60))</f>
        <v/>
      </c>
      <c r="Q41" s="12" t="str">
        <f aca="false">IF(AND(K41&lt;&gt;"",F41&lt;&gt;"",K41&gt;F41),"ДА","")</f>
        <v/>
      </c>
      <c r="R41" s="9"/>
    </row>
    <row r="42" customFormat="false" ht="26.25" hidden="false" customHeight="true" outlineLevel="0" collapsed="false">
      <c r="A42" s="15" t="n">
        <v>41</v>
      </c>
      <c r="B42" s="12" t="s">
        <v>81</v>
      </c>
      <c r="C42" s="15" t="s">
        <v>478</v>
      </c>
      <c r="D42" s="15" t="s">
        <v>453</v>
      </c>
      <c r="E42" s="15" t="s">
        <v>85</v>
      </c>
      <c r="F42" s="16" t="n">
        <v>45969</v>
      </c>
      <c r="G42" s="5" t="str">
        <f aca="false">IF(TRIM(SUBSTITUTE(SUBSTITUTE(SUBSTITUTE(SUBSTITUTE(SUBSTITUTE(SUBSTITUTE(SUBSTITUTE(SUBSTITUTE(SUBSTITUTE(SUBSTITUTE(SUBSTITUTE(LOWER(TRIM(D42)),"ё","е"),"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категории",""))="инженер",IF(AND(ISNUMBER(SEARCH("техническ",E42)),ISNUMBER(SEARCH("контрол",E42))),"инженер отк",IF(ISNUMBER(SEARCH("диспетч",E42)),"инженер пдо",TRIM(SUBSTITUTE(SUBSTITUTE(SUBSTITUTE(SUBSTITUTE(SUBSTITUTE(SUBSTITUTE(SUBSTITUTE(SUBSTITUTE(SUBSTITUTE(SUBSTITUTE(SUBSTITUTE(LOWER(TRIM(D42)),"ё","е"),"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инженер",IF(ISNUMBER(SEARCH("диспетч",E42)),"ведущий инженер пдо",TRIM(SUBSTITUTE(SUBSTITUTE(SUBSTITUTE(SUBSTITUTE(SUBSTITUTE(SUBSTITUTE(SUBSTITUTE(SUBSTITUTE(SUBSTITUTE(SUBSTITUTE(SUBSTITUTE(LOWER(TRIM(D42)),"ё","е"),"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отк",TRIM(SUBSTITUTE(SUBSTITUTE(SUBSTITUTE(SUBSTITUTE(SUBSTITUTE(SUBSTITUTE(SUBSTITUTE(SUBSTITUTE(SUBSTITUTE(SUBSTITUTE(SUBSTITUTE(LOWER(TRIM(D42)),"ё","е"),"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42" s="12" t="n">
        <f aca="false">IFERROR(INDEX(Соответствие!$B$2:$B$76,MATCH(G42,Соответствие!$A$2:$A$76,0)),"?")</f>
        <v>19</v>
      </c>
      <c r="I42" s="9" t="str">
        <f aca="false">IFERROR(INDEX('Перечень должностей'!$C$2:$C$46,MATCH(H42,'Перечень должностей'!$A$2:$A$46,0)),"")</f>
        <v>п.4.3.1, п.4.3.2, п.4.4, п.5.1, п.6.2, п.15</v>
      </c>
      <c r="J42" s="12" t="n">
        <f aca="false">IFERROR(INDEX('Перечень должностей'!$D$2:$D$46,MATCH(H42,'Перечень должностей'!$A$2:$A$46,0)),12)</f>
        <v>12</v>
      </c>
      <c r="K42" s="17" t="n">
        <v>45948</v>
      </c>
      <c r="L42" s="17"/>
      <c r="M42" s="16" t="n">
        <f aca="false">IF(K42="","",EDATE(IF(L42&lt;&gt;"",L42,K42),J42))</f>
        <v>46313</v>
      </c>
      <c r="N42" s="12" t="str">
        <f aca="false">IFERROR(INDEX('Перечень должностей'!$F$2:$F$46,MATCH(H42,'Перечень должностей'!$A$2:$A$46,0)),"")</f>
        <v>-</v>
      </c>
      <c r="O42" s="17"/>
      <c r="P42" s="16" t="str">
        <f aca="false">IF(O42="","",EDATE(O42,60))</f>
        <v/>
      </c>
      <c r="Q42" s="12" t="str">
        <f aca="false">IF(AND(K42&lt;&gt;"",F42&lt;&gt;"",K42&gt;F42),"ДА","")</f>
        <v/>
      </c>
      <c r="R42" s="9" t="s">
        <v>469</v>
      </c>
    </row>
    <row r="43" customFormat="false" ht="26.25" hidden="false" customHeight="true" outlineLevel="0" collapsed="false">
      <c r="A43" s="15" t="n">
        <v>42</v>
      </c>
      <c r="B43" s="12" t="s">
        <v>81</v>
      </c>
      <c r="C43" s="15" t="s">
        <v>479</v>
      </c>
      <c r="D43" s="15" t="s">
        <v>453</v>
      </c>
      <c r="E43" s="15" t="s">
        <v>85</v>
      </c>
      <c r="F43" s="16" t="n">
        <v>45775</v>
      </c>
      <c r="G43" s="5" t="str">
        <f aca="false">IF(TRIM(SUBSTITUTE(SUBSTITUTE(SUBSTITUTE(SUBSTITUTE(SUBSTITUTE(SUBSTITUTE(SUBSTITUTE(SUBSTITUTE(SUBSTITUTE(SUBSTITUTE(SUBSTITUTE(LOWER(TRIM(D43)),"ё","е"),"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категории",""))="инженер",IF(AND(ISNUMBER(SEARCH("техническ",E43)),ISNUMBER(SEARCH("контрол",E43))),"инженер отк",IF(ISNUMBER(SEARCH("диспетч",E43)),"инженер пдо",TRIM(SUBSTITUTE(SUBSTITUTE(SUBSTITUTE(SUBSTITUTE(SUBSTITUTE(SUBSTITUTE(SUBSTITUTE(SUBSTITUTE(SUBSTITUTE(SUBSTITUTE(SUBSTITUTE(LOWER(TRIM(D43)),"ё","е"),"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инженер",IF(ISNUMBER(SEARCH("диспетч",E43)),"ведущий инженер пдо",TRIM(SUBSTITUTE(SUBSTITUTE(SUBSTITUTE(SUBSTITUTE(SUBSTITUTE(SUBSTITUTE(SUBSTITUTE(SUBSTITUTE(SUBSTITUTE(SUBSTITUTE(SUBSTITUTE(LOWER(TRIM(D43)),"ё","е"),"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отк",TRIM(SUBSTITUTE(SUBSTITUTE(SUBSTITUTE(SUBSTITUTE(SUBSTITUTE(SUBSTITUTE(SUBSTITUTE(SUBSTITUTE(SUBSTITUTE(SUBSTITUTE(SUBSTITUTE(LOWER(TRIM(D43)),"ё","е"),"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43" s="12" t="n">
        <f aca="false">IFERROR(INDEX(Соответствие!$B$2:$B$76,MATCH(G43,Соответствие!$A$2:$A$76,0)),"?")</f>
        <v>19</v>
      </c>
      <c r="I43" s="9" t="str">
        <f aca="false">IFERROR(INDEX('Перечень должностей'!$C$2:$C$46,MATCH(H43,'Перечень должностей'!$A$2:$A$46,0)),"")</f>
        <v>п.4.3.1, п.4.3.2, п.4.4, п.5.1, п.6.2, п.15</v>
      </c>
      <c r="J43" s="12" t="n">
        <f aca="false">IFERROR(INDEX('Перечень должностей'!$D$2:$D$46,MATCH(H43,'Перечень должностей'!$A$2:$A$46,0)),12)</f>
        <v>12</v>
      </c>
      <c r="K43" s="17"/>
      <c r="L43" s="17"/>
      <c r="M43" s="16" t="str">
        <f aca="false">IF(K43="","",EDATE(IF(L43&lt;&gt;"",L43,K43),J43))</f>
        <v/>
      </c>
      <c r="N43" s="12" t="str">
        <f aca="false">IFERROR(INDEX('Перечень должностей'!$F$2:$F$46,MATCH(H43,'Перечень должностей'!$A$2:$A$46,0)),"")</f>
        <v>-</v>
      </c>
      <c r="O43" s="17"/>
      <c r="P43" s="16" t="str">
        <f aca="false">IF(O43="","",EDATE(O43,60))</f>
        <v/>
      </c>
      <c r="Q43" s="12" t="str">
        <f aca="false">IF(AND(K43&lt;&gt;"",F43&lt;&gt;"",K43&gt;F43),"ДА","")</f>
        <v/>
      </c>
      <c r="R43" s="9" t="s">
        <v>469</v>
      </c>
    </row>
    <row r="44" customFormat="false" ht="26.25" hidden="false" customHeight="true" outlineLevel="0" collapsed="false">
      <c r="A44" s="15" t="n">
        <v>43</v>
      </c>
      <c r="B44" s="12" t="s">
        <v>81</v>
      </c>
      <c r="C44" s="15" t="s">
        <v>480</v>
      </c>
      <c r="D44" s="15" t="s">
        <v>453</v>
      </c>
      <c r="E44" s="15" t="s">
        <v>85</v>
      </c>
      <c r="F44" s="16" t="n">
        <v>45775</v>
      </c>
      <c r="G44" s="5" t="str">
        <f aca="false">IF(TRIM(SUBSTITUTE(SUBSTITUTE(SUBSTITUTE(SUBSTITUTE(SUBSTITUTE(SUBSTITUTE(SUBSTITUTE(SUBSTITUTE(SUBSTITUTE(SUBSTITUTE(SUBSTITUTE(LOWER(TRIM(D44)),"ё","е"),"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категории",""))="инженер",IF(AND(ISNUMBER(SEARCH("техническ",E44)),ISNUMBER(SEARCH("контрол",E44))),"инженер отк",IF(ISNUMBER(SEARCH("диспетч",E44)),"инженер пдо",TRIM(SUBSTITUTE(SUBSTITUTE(SUBSTITUTE(SUBSTITUTE(SUBSTITUTE(SUBSTITUTE(SUBSTITUTE(SUBSTITUTE(SUBSTITUTE(SUBSTITUTE(SUBSTITUTE(LOWER(TRIM(D44)),"ё","е"),"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инженер",IF(ISNUMBER(SEARCH("диспетч",E44)),"ведущий инженер пдо",TRIM(SUBSTITUTE(SUBSTITUTE(SUBSTITUTE(SUBSTITUTE(SUBSTITUTE(SUBSTITUTE(SUBSTITUTE(SUBSTITUTE(SUBSTITUTE(SUBSTITUTE(SUBSTITUTE(LOWER(TRIM(D44)),"ё","е"),"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отк",TRIM(SUBSTITUTE(SUBSTITUTE(SUBSTITUTE(SUBSTITUTE(SUBSTITUTE(SUBSTITUTE(SUBSTITUTE(SUBSTITUTE(SUBSTITUTE(SUBSTITUTE(SUBSTITUTE(LOWER(TRIM(D44)),"ё","е"),"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44" s="12" t="n">
        <f aca="false">IFERROR(INDEX(Соответствие!$B$2:$B$76,MATCH(G44,Соответствие!$A$2:$A$76,0)),"?")</f>
        <v>19</v>
      </c>
      <c r="I44" s="9" t="str">
        <f aca="false">IFERROR(INDEX('Перечень должностей'!$C$2:$C$46,MATCH(H44,'Перечень должностей'!$A$2:$A$46,0)),"")</f>
        <v>п.4.3.1, п.4.3.2, п.4.4, п.5.1, п.6.2, п.15</v>
      </c>
      <c r="J44" s="12" t="n">
        <f aca="false">IFERROR(INDEX('Перечень должностей'!$D$2:$D$46,MATCH(H44,'Перечень должностей'!$A$2:$A$46,0)),12)</f>
        <v>12</v>
      </c>
      <c r="K44" s="17"/>
      <c r="L44" s="17"/>
      <c r="M44" s="16" t="str">
        <f aca="false">IF(K44="","",EDATE(IF(L44&lt;&gt;"",L44,K44),J44))</f>
        <v/>
      </c>
      <c r="N44" s="12" t="str">
        <f aca="false">IFERROR(INDEX('Перечень должностей'!$F$2:$F$46,MATCH(H44,'Перечень должностей'!$A$2:$A$46,0)),"")</f>
        <v>-</v>
      </c>
      <c r="O44" s="17"/>
      <c r="P44" s="16" t="str">
        <f aca="false">IF(O44="","",EDATE(O44,60))</f>
        <v/>
      </c>
      <c r="Q44" s="12" t="str">
        <f aca="false">IF(AND(K44&lt;&gt;"",F44&lt;&gt;"",K44&gt;F44),"ДА","")</f>
        <v/>
      </c>
      <c r="R44" s="9" t="s">
        <v>469</v>
      </c>
    </row>
    <row r="45" customFormat="false" ht="26.25" hidden="false" customHeight="true" outlineLevel="0" collapsed="false">
      <c r="A45" s="15" t="n">
        <v>44</v>
      </c>
      <c r="B45" s="12" t="s">
        <v>81</v>
      </c>
      <c r="C45" s="15" t="s">
        <v>481</v>
      </c>
      <c r="D45" s="15" t="s">
        <v>453</v>
      </c>
      <c r="E45" s="15" t="s">
        <v>85</v>
      </c>
      <c r="F45" s="16" t="n">
        <v>45995</v>
      </c>
      <c r="G45" s="5" t="str">
        <f aca="false">IF(TRIM(SUBSTITUTE(SUBSTITUTE(SUBSTITUTE(SUBSTITUTE(SUBSTITUTE(SUBSTITUTE(SUBSTITUTE(SUBSTITUTE(SUBSTITUTE(SUBSTITUTE(SUBSTITUTE(LOWER(TRIM(D45)),"ё","е"),"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категории",""))="инженер",IF(AND(ISNUMBER(SEARCH("техническ",E45)),ISNUMBER(SEARCH("контрол",E45))),"инженер отк",IF(ISNUMBER(SEARCH("диспетч",E45)),"инженер пдо",TRIM(SUBSTITUTE(SUBSTITUTE(SUBSTITUTE(SUBSTITUTE(SUBSTITUTE(SUBSTITUTE(SUBSTITUTE(SUBSTITUTE(SUBSTITUTE(SUBSTITUTE(SUBSTITUTE(LOWER(TRIM(D45)),"ё","е"),"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инженер",IF(ISNUMBER(SEARCH("диспетч",E45)),"ведущий инженер пдо",TRIM(SUBSTITUTE(SUBSTITUTE(SUBSTITUTE(SUBSTITUTE(SUBSTITUTE(SUBSTITUTE(SUBSTITUTE(SUBSTITUTE(SUBSTITUTE(SUBSTITUTE(SUBSTITUTE(LOWER(TRIM(D45)),"ё","е"),"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отк",TRIM(SUBSTITUTE(SUBSTITUTE(SUBSTITUTE(SUBSTITUTE(SUBSTITUTE(SUBSTITUTE(SUBSTITUTE(SUBSTITUTE(SUBSTITUTE(SUBSTITUTE(SUBSTITUTE(LOWER(TRIM(D45)),"ё","е"),"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45" s="12" t="n">
        <f aca="false">IFERROR(INDEX(Соответствие!$B$2:$B$76,MATCH(G45,Соответствие!$A$2:$A$76,0)),"?")</f>
        <v>19</v>
      </c>
      <c r="I45" s="9" t="str">
        <f aca="false">IFERROR(INDEX('Перечень должностей'!$C$2:$C$46,MATCH(H45,'Перечень должностей'!$A$2:$A$46,0)),"")</f>
        <v>п.4.3.1, п.4.3.2, п.4.4, п.5.1, п.6.2, п.15</v>
      </c>
      <c r="J45" s="12" t="n">
        <f aca="false">IFERROR(INDEX('Перечень должностей'!$D$2:$D$46,MATCH(H45,'Перечень должностей'!$A$2:$A$46,0)),12)</f>
        <v>12</v>
      </c>
      <c r="K45" s="17"/>
      <c r="L45" s="17"/>
      <c r="M45" s="16" t="str">
        <f aca="false">IF(K45="","",EDATE(IF(L45&lt;&gt;"",L45,K45),J45))</f>
        <v/>
      </c>
      <c r="N45" s="12" t="str">
        <f aca="false">IFERROR(INDEX('Перечень должностей'!$F$2:$F$46,MATCH(H45,'Перечень должностей'!$A$2:$A$46,0)),"")</f>
        <v>-</v>
      </c>
      <c r="O45" s="17"/>
      <c r="P45" s="16" t="str">
        <f aca="false">IF(O45="","",EDATE(O45,60))</f>
        <v/>
      </c>
      <c r="Q45" s="12" t="str">
        <f aca="false">IF(AND(K45&lt;&gt;"",F45&lt;&gt;"",K45&gt;F45),"ДА","")</f>
        <v/>
      </c>
      <c r="R45" s="9" t="s">
        <v>469</v>
      </c>
    </row>
    <row r="46" customFormat="false" ht="26.25" hidden="false" customHeight="true" outlineLevel="0" collapsed="false">
      <c r="A46" s="15" t="n">
        <v>45</v>
      </c>
      <c r="B46" s="12" t="s">
        <v>81</v>
      </c>
      <c r="C46" s="15" t="s">
        <v>482</v>
      </c>
      <c r="D46" s="15" t="s">
        <v>453</v>
      </c>
      <c r="E46" s="15" t="s">
        <v>85</v>
      </c>
      <c r="F46" s="16" t="n">
        <v>44977</v>
      </c>
      <c r="G46" s="5" t="str">
        <f aca="false">IF(TRIM(SUBSTITUTE(SUBSTITUTE(SUBSTITUTE(SUBSTITUTE(SUBSTITUTE(SUBSTITUTE(SUBSTITUTE(SUBSTITUTE(SUBSTITUTE(SUBSTITUTE(SUBSTITUTE(LOWER(TRIM(D46)),"ё","е"),"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категории",""))="инженер",IF(AND(ISNUMBER(SEARCH("техническ",E46)),ISNUMBER(SEARCH("контрол",E46))),"инженер отк",IF(ISNUMBER(SEARCH("диспетч",E46)),"инженер пдо",TRIM(SUBSTITUTE(SUBSTITUTE(SUBSTITUTE(SUBSTITUTE(SUBSTITUTE(SUBSTITUTE(SUBSTITUTE(SUBSTITUTE(SUBSTITUTE(SUBSTITUTE(SUBSTITUTE(LOWER(TRIM(D46)),"ё","е"),"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инженер",IF(ISNUMBER(SEARCH("диспетч",E46)),"ведущий инженер пдо",TRIM(SUBSTITUTE(SUBSTITUTE(SUBSTITUTE(SUBSTITUTE(SUBSTITUTE(SUBSTITUTE(SUBSTITUTE(SUBSTITUTE(SUBSTITUTE(SUBSTITUTE(SUBSTITUTE(LOWER(TRIM(D46)),"ё","е"),"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отк",TRIM(SUBSTITUTE(SUBSTITUTE(SUBSTITUTE(SUBSTITUTE(SUBSTITUTE(SUBSTITUTE(SUBSTITUTE(SUBSTITUTE(SUBSTITUTE(SUBSTITUTE(SUBSTITUTE(LOWER(TRIM(D46)),"ё","е"),"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46" s="12" t="n">
        <f aca="false">IFERROR(INDEX(Соответствие!$B$2:$B$76,MATCH(G46,Соответствие!$A$2:$A$76,0)),"?")</f>
        <v>19</v>
      </c>
      <c r="I46" s="9" t="str">
        <f aca="false">IFERROR(INDEX('Перечень должностей'!$C$2:$C$46,MATCH(H46,'Перечень должностей'!$A$2:$A$46,0)),"")</f>
        <v>п.4.3.1, п.4.3.2, п.4.4, п.5.1, п.6.2, п.15</v>
      </c>
      <c r="J46" s="12" t="n">
        <f aca="false">IFERROR(INDEX('Перечень должностей'!$D$2:$D$46,MATCH(H46,'Перечень должностей'!$A$2:$A$46,0)),12)</f>
        <v>12</v>
      </c>
      <c r="K46" s="17"/>
      <c r="L46" s="17"/>
      <c r="M46" s="16" t="str">
        <f aca="false">IF(K46="","",EDATE(IF(L46&lt;&gt;"",L46,K46),J46))</f>
        <v/>
      </c>
      <c r="N46" s="12" t="str">
        <f aca="false">IFERROR(INDEX('Перечень должностей'!$F$2:$F$46,MATCH(H46,'Перечень должностей'!$A$2:$A$46,0)),"")</f>
        <v>-</v>
      </c>
      <c r="O46" s="17"/>
      <c r="P46" s="16" t="str">
        <f aca="false">IF(O46="","",EDATE(O46,60))</f>
        <v/>
      </c>
      <c r="Q46" s="12" t="str">
        <f aca="false">IF(AND(K46&lt;&gt;"",F46&lt;&gt;"",K46&gt;F46),"ДА","")</f>
        <v/>
      </c>
      <c r="R46" s="9" t="s">
        <v>469</v>
      </c>
    </row>
    <row r="47" customFormat="false" ht="26.25" hidden="false" customHeight="true" outlineLevel="0" collapsed="false">
      <c r="A47" s="15" t="n">
        <v>46</v>
      </c>
      <c r="B47" s="12" t="s">
        <v>81</v>
      </c>
      <c r="C47" s="15" t="s">
        <v>483</v>
      </c>
      <c r="D47" s="15" t="s">
        <v>453</v>
      </c>
      <c r="E47" s="15" t="s">
        <v>85</v>
      </c>
      <c r="F47" s="16" t="n">
        <v>45567</v>
      </c>
      <c r="G47" s="5" t="str">
        <f aca="false">IF(TRIM(SUBSTITUTE(SUBSTITUTE(SUBSTITUTE(SUBSTITUTE(SUBSTITUTE(SUBSTITUTE(SUBSTITUTE(SUBSTITUTE(SUBSTITUTE(SUBSTITUTE(SUBSTITUTE(LOWER(TRIM(D47)),"ё","е"),"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категории",""))="инженер",IF(AND(ISNUMBER(SEARCH("техническ",E47)),ISNUMBER(SEARCH("контрол",E47))),"инженер отк",IF(ISNUMBER(SEARCH("диспетч",E47)),"инженер пдо",TRIM(SUBSTITUTE(SUBSTITUTE(SUBSTITUTE(SUBSTITUTE(SUBSTITUTE(SUBSTITUTE(SUBSTITUTE(SUBSTITUTE(SUBSTITUTE(SUBSTITUTE(SUBSTITUTE(LOWER(TRIM(D47)),"ё","е"),"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инженер",IF(ISNUMBER(SEARCH("диспетч",E47)),"ведущий инженер пдо",TRIM(SUBSTITUTE(SUBSTITUTE(SUBSTITUTE(SUBSTITUTE(SUBSTITUTE(SUBSTITUTE(SUBSTITUTE(SUBSTITUTE(SUBSTITUTE(SUBSTITUTE(SUBSTITUTE(LOWER(TRIM(D47)),"ё","е"),"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отк",TRIM(SUBSTITUTE(SUBSTITUTE(SUBSTITUTE(SUBSTITUTE(SUBSTITUTE(SUBSTITUTE(SUBSTITUTE(SUBSTITUTE(SUBSTITUTE(SUBSTITUTE(SUBSTITUTE(LOWER(TRIM(D47)),"ё","е"),"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47" s="12" t="n">
        <f aca="false">IFERROR(INDEX(Соответствие!$B$2:$B$76,MATCH(G47,Соответствие!$A$2:$A$76,0)),"?")</f>
        <v>19</v>
      </c>
      <c r="I47" s="9" t="str">
        <f aca="false">IFERROR(INDEX('Перечень должностей'!$C$2:$C$46,MATCH(H47,'Перечень должностей'!$A$2:$A$46,0)),"")</f>
        <v>п.4.3.1, п.4.3.2, п.4.4, п.5.1, п.6.2, п.15</v>
      </c>
      <c r="J47" s="12" t="n">
        <f aca="false">IFERROR(INDEX('Перечень должностей'!$D$2:$D$46,MATCH(H47,'Перечень должностей'!$A$2:$A$46,0)),12)</f>
        <v>12</v>
      </c>
      <c r="K47" s="17"/>
      <c r="L47" s="17"/>
      <c r="M47" s="16" t="str">
        <f aca="false">IF(K47="","",EDATE(IF(L47&lt;&gt;"",L47,K47),J47))</f>
        <v/>
      </c>
      <c r="N47" s="12" t="str">
        <f aca="false">IFERROR(INDEX('Перечень должностей'!$F$2:$F$46,MATCH(H47,'Перечень должностей'!$A$2:$A$46,0)),"")</f>
        <v>-</v>
      </c>
      <c r="O47" s="17"/>
      <c r="P47" s="16" t="str">
        <f aca="false">IF(O47="","",EDATE(O47,60))</f>
        <v/>
      </c>
      <c r="Q47" s="12" t="str">
        <f aca="false">IF(AND(K47&lt;&gt;"",F47&lt;&gt;"",K47&gt;F47),"ДА","")</f>
        <v/>
      </c>
      <c r="R47" s="9" t="s">
        <v>469</v>
      </c>
    </row>
    <row r="48" customFormat="false" ht="26.25" hidden="false" customHeight="true" outlineLevel="0" collapsed="false">
      <c r="A48" s="15" t="n">
        <v>47</v>
      </c>
      <c r="B48" s="12" t="s">
        <v>81</v>
      </c>
      <c r="C48" s="15" t="s">
        <v>484</v>
      </c>
      <c r="D48" s="15" t="s">
        <v>453</v>
      </c>
      <c r="E48" s="15" t="s">
        <v>85</v>
      </c>
      <c r="F48" s="16" t="n">
        <v>45896</v>
      </c>
      <c r="G48" s="5" t="str">
        <f aca="false">IF(TRIM(SUBSTITUTE(SUBSTITUTE(SUBSTITUTE(SUBSTITUTE(SUBSTITUTE(SUBSTITUTE(SUBSTITUTE(SUBSTITUTE(SUBSTITUTE(SUBSTITUTE(SUBSTITUTE(LOWER(TRIM(D48)),"ё","е"),"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категории",""))="инженер",IF(AND(ISNUMBER(SEARCH("техническ",E48)),ISNUMBER(SEARCH("контрол",E48))),"инженер отк",IF(ISNUMBER(SEARCH("диспетч",E48)),"инженер пдо",TRIM(SUBSTITUTE(SUBSTITUTE(SUBSTITUTE(SUBSTITUTE(SUBSTITUTE(SUBSTITUTE(SUBSTITUTE(SUBSTITUTE(SUBSTITUTE(SUBSTITUTE(SUBSTITUTE(LOWER(TRIM(D48)),"ё","е"),"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инженер",IF(ISNUMBER(SEARCH("диспетч",E48)),"ведущий инженер пдо",TRIM(SUBSTITUTE(SUBSTITUTE(SUBSTITUTE(SUBSTITUTE(SUBSTITUTE(SUBSTITUTE(SUBSTITUTE(SUBSTITUTE(SUBSTITUTE(SUBSTITUTE(SUBSTITUTE(LOWER(TRIM(D48)),"ё","е"),"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отк",TRIM(SUBSTITUTE(SUBSTITUTE(SUBSTITUTE(SUBSTITUTE(SUBSTITUTE(SUBSTITUTE(SUBSTITUTE(SUBSTITUTE(SUBSTITUTE(SUBSTITUTE(SUBSTITUTE(LOWER(TRIM(D48)),"ё","е"),"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48" s="12" t="n">
        <f aca="false">IFERROR(INDEX(Соответствие!$B$2:$B$76,MATCH(G48,Соответствие!$A$2:$A$76,0)),"?")</f>
        <v>19</v>
      </c>
      <c r="I48" s="9" t="str">
        <f aca="false">IFERROR(INDEX('Перечень должностей'!$C$2:$C$46,MATCH(H48,'Перечень должностей'!$A$2:$A$46,0)),"")</f>
        <v>п.4.3.1, п.4.3.2, п.4.4, п.5.1, п.6.2, п.15</v>
      </c>
      <c r="J48" s="12" t="n">
        <f aca="false">IFERROR(INDEX('Перечень должностей'!$D$2:$D$46,MATCH(H48,'Перечень должностей'!$A$2:$A$46,0)),12)</f>
        <v>12</v>
      </c>
      <c r="K48" s="17"/>
      <c r="L48" s="17"/>
      <c r="M48" s="16" t="str">
        <f aca="false">IF(K48="","",EDATE(IF(L48&lt;&gt;"",L48,K48),J48))</f>
        <v/>
      </c>
      <c r="N48" s="12" t="str">
        <f aca="false">IFERROR(INDEX('Перечень должностей'!$F$2:$F$46,MATCH(H48,'Перечень должностей'!$A$2:$A$46,0)),"")</f>
        <v>-</v>
      </c>
      <c r="O48" s="17"/>
      <c r="P48" s="16" t="str">
        <f aca="false">IF(O48="","",EDATE(O48,60))</f>
        <v/>
      </c>
      <c r="Q48" s="12" t="str">
        <f aca="false">IF(AND(K48&lt;&gt;"",F48&lt;&gt;"",K48&gt;F48),"ДА","")</f>
        <v/>
      </c>
      <c r="R48" s="9" t="s">
        <v>469</v>
      </c>
    </row>
    <row r="49" customFormat="false" ht="26.25" hidden="false" customHeight="true" outlineLevel="0" collapsed="false">
      <c r="A49" s="15" t="n">
        <v>48</v>
      </c>
      <c r="B49" s="12" t="s">
        <v>81</v>
      </c>
      <c r="C49" s="15" t="s">
        <v>485</v>
      </c>
      <c r="D49" s="15" t="s">
        <v>465</v>
      </c>
      <c r="E49" s="15" t="s">
        <v>466</v>
      </c>
      <c r="F49" s="16" t="n">
        <v>45765</v>
      </c>
      <c r="G49" s="5" t="str">
        <f aca="false">IF(TRIM(SUBSTITUTE(SUBSTITUTE(SUBSTITUTE(SUBSTITUTE(SUBSTITUTE(SUBSTITUTE(SUBSTITUTE(SUBSTITUTE(SUBSTITUTE(SUBSTITUTE(SUBSTITUTE(LOWER(TRIM(D49)),"ё","е"),"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категории",""))="инженер",IF(AND(ISNUMBER(SEARCH("техническ",E49)),ISNUMBER(SEARCH("контрол",E49))),"инженер отк",IF(ISNUMBER(SEARCH("диспетч",E49)),"инженер пдо",TRIM(SUBSTITUTE(SUBSTITUTE(SUBSTITUTE(SUBSTITUTE(SUBSTITUTE(SUBSTITUTE(SUBSTITUTE(SUBSTITUTE(SUBSTITUTE(SUBSTITUTE(SUBSTITUTE(LOWER(TRIM(D49)),"ё","е"),"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инженер",IF(ISNUMBER(SEARCH("диспетч",E49)),"ведущий инженер пдо",TRIM(SUBSTITUTE(SUBSTITUTE(SUBSTITUTE(SUBSTITUTE(SUBSTITUTE(SUBSTITUTE(SUBSTITUTE(SUBSTITUTE(SUBSTITUTE(SUBSTITUTE(SUBSTITUTE(LOWER(TRIM(D49)),"ё","е"),"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отк",TRIM(SUBSTITUTE(SUBSTITUTE(SUBSTITUTE(SUBSTITUTE(SUBSTITUTE(SUBSTITUTE(SUBSTITUTE(SUBSTITUTE(SUBSTITUTE(SUBSTITUTE(SUBSTITUTE(LOWER(TRIM(D49)),"ё","е"),"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49" s="12" t="n">
        <f aca="false">IFERROR(INDEX(Соответствие!$B$2:$B$76,MATCH(G49,Соответствие!$A$2:$A$76,0)),"?")</f>
        <v>19</v>
      </c>
      <c r="I49" s="9" t="str">
        <f aca="false">IFERROR(INDEX('Перечень должностей'!$C$2:$C$46,MATCH(H49,'Перечень должностей'!$A$2:$A$46,0)),"")</f>
        <v>п.4.3.1, п.4.3.2, п.4.4, п.5.1, п.6.2, п.15</v>
      </c>
      <c r="J49" s="12" t="n">
        <f aca="false">IFERROR(INDEX('Перечень должностей'!$D$2:$D$46,MATCH(H49,'Перечень должностей'!$A$2:$A$46,0)),12)</f>
        <v>12</v>
      </c>
      <c r="K49" s="17"/>
      <c r="L49" s="17"/>
      <c r="M49" s="16" t="str">
        <f aca="false">IF(K49="","",EDATE(IF(L49&lt;&gt;"",L49,K49),J49))</f>
        <v/>
      </c>
      <c r="N49" s="12" t="str">
        <f aca="false">IFERROR(INDEX('Перечень должностей'!$F$2:$F$46,MATCH(H49,'Перечень должностей'!$A$2:$A$46,0)),"")</f>
        <v>-</v>
      </c>
      <c r="O49" s="17"/>
      <c r="P49" s="16" t="str">
        <f aca="false">IF(O49="","",EDATE(O49,60))</f>
        <v/>
      </c>
      <c r="Q49" s="12" t="str">
        <f aca="false">IF(AND(K49&lt;&gt;"",F49&lt;&gt;"",K49&gt;F49),"ДА","")</f>
        <v/>
      </c>
      <c r="R49" s="9"/>
    </row>
    <row r="50" customFormat="false" ht="26.25" hidden="false" customHeight="true" outlineLevel="0" collapsed="false">
      <c r="A50" s="15" t="n">
        <v>49</v>
      </c>
      <c r="B50" s="12" t="s">
        <v>81</v>
      </c>
      <c r="C50" s="15" t="s">
        <v>486</v>
      </c>
      <c r="D50" s="15" t="s">
        <v>465</v>
      </c>
      <c r="E50" s="15" t="s">
        <v>466</v>
      </c>
      <c r="F50" s="16" t="n">
        <v>45666</v>
      </c>
      <c r="G50" s="5" t="str">
        <f aca="false">IF(TRIM(SUBSTITUTE(SUBSTITUTE(SUBSTITUTE(SUBSTITUTE(SUBSTITUTE(SUBSTITUTE(SUBSTITUTE(SUBSTITUTE(SUBSTITUTE(SUBSTITUTE(SUBSTITUTE(LOWER(TRIM(D50)),"ё","е"),"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категории",""))="инженер",IF(AND(ISNUMBER(SEARCH("техническ",E50)),ISNUMBER(SEARCH("контрол",E50))),"инженер отк",IF(ISNUMBER(SEARCH("диспетч",E50)),"инженер пдо",TRIM(SUBSTITUTE(SUBSTITUTE(SUBSTITUTE(SUBSTITUTE(SUBSTITUTE(SUBSTITUTE(SUBSTITUTE(SUBSTITUTE(SUBSTITUTE(SUBSTITUTE(SUBSTITUTE(LOWER(TRIM(D50)),"ё","е"),"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инженер",IF(ISNUMBER(SEARCH("диспетч",E50)),"ведущий инженер пдо",TRIM(SUBSTITUTE(SUBSTITUTE(SUBSTITUTE(SUBSTITUTE(SUBSTITUTE(SUBSTITUTE(SUBSTITUTE(SUBSTITUTE(SUBSTITUTE(SUBSTITUTE(SUBSTITUTE(LOWER(TRIM(D50)),"ё","е"),"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отк",TRIM(SUBSTITUTE(SUBSTITUTE(SUBSTITUTE(SUBSTITUTE(SUBSTITUTE(SUBSTITUTE(SUBSTITUTE(SUBSTITUTE(SUBSTITUTE(SUBSTITUTE(SUBSTITUTE(LOWER(TRIM(D50)),"ё","е"),"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50" s="12" t="n">
        <f aca="false">IFERROR(INDEX(Соответствие!$B$2:$B$76,MATCH(G50,Соответствие!$A$2:$A$76,0)),"?")</f>
        <v>19</v>
      </c>
      <c r="I50" s="9" t="str">
        <f aca="false">IFERROR(INDEX('Перечень должностей'!$C$2:$C$46,MATCH(H50,'Перечень должностей'!$A$2:$A$46,0)),"")</f>
        <v>п.4.3.1, п.4.3.2, п.4.4, п.5.1, п.6.2, п.15</v>
      </c>
      <c r="J50" s="12" t="n">
        <f aca="false">IFERROR(INDEX('Перечень должностей'!$D$2:$D$46,MATCH(H50,'Перечень должностей'!$A$2:$A$46,0)),12)</f>
        <v>12</v>
      </c>
      <c r="K50" s="17"/>
      <c r="L50" s="17"/>
      <c r="M50" s="16" t="str">
        <f aca="false">IF(K50="","",EDATE(IF(L50&lt;&gt;"",L50,K50),J50))</f>
        <v/>
      </c>
      <c r="N50" s="12" t="str">
        <f aca="false">IFERROR(INDEX('Перечень должностей'!$F$2:$F$46,MATCH(H50,'Перечень должностей'!$A$2:$A$46,0)),"")</f>
        <v>-</v>
      </c>
      <c r="O50" s="17"/>
      <c r="P50" s="16" t="str">
        <f aca="false">IF(O50="","",EDATE(O50,60))</f>
        <v/>
      </c>
      <c r="Q50" s="12" t="str">
        <f aca="false">IF(AND(K50&lt;&gt;"",F50&lt;&gt;"",K50&gt;F50),"ДА","")</f>
        <v/>
      </c>
      <c r="R50" s="9"/>
    </row>
    <row r="51" customFormat="false" ht="26.25" hidden="false" customHeight="true" outlineLevel="0" collapsed="false">
      <c r="A51" s="15" t="n">
        <v>50</v>
      </c>
      <c r="B51" s="12" t="s">
        <v>81</v>
      </c>
      <c r="C51" s="15" t="s">
        <v>487</v>
      </c>
      <c r="D51" s="15" t="s">
        <v>465</v>
      </c>
      <c r="E51" s="15" t="s">
        <v>466</v>
      </c>
      <c r="F51" s="16" t="n">
        <v>46062</v>
      </c>
      <c r="G51" s="5" t="str">
        <f aca="false">IF(TRIM(SUBSTITUTE(SUBSTITUTE(SUBSTITUTE(SUBSTITUTE(SUBSTITUTE(SUBSTITUTE(SUBSTITUTE(SUBSTITUTE(SUBSTITUTE(SUBSTITUTE(SUBSTITUTE(LOWER(TRIM(D51)),"ё","е"),"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категории",""))="инженер",IF(AND(ISNUMBER(SEARCH("техническ",E51)),ISNUMBER(SEARCH("контрол",E51))),"инженер отк",IF(ISNUMBER(SEARCH("диспетч",E51)),"инженер пдо",TRIM(SUBSTITUTE(SUBSTITUTE(SUBSTITUTE(SUBSTITUTE(SUBSTITUTE(SUBSTITUTE(SUBSTITUTE(SUBSTITUTE(SUBSTITUTE(SUBSTITUTE(SUBSTITUTE(LOWER(TRIM(D51)),"ё","е"),"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инженер",IF(ISNUMBER(SEARCH("диспетч",E51)),"ведущий инженер пдо",TRIM(SUBSTITUTE(SUBSTITUTE(SUBSTITUTE(SUBSTITUTE(SUBSTITUTE(SUBSTITUTE(SUBSTITUTE(SUBSTITUTE(SUBSTITUTE(SUBSTITUTE(SUBSTITUTE(LOWER(TRIM(D51)),"ё","е"),"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отк",TRIM(SUBSTITUTE(SUBSTITUTE(SUBSTITUTE(SUBSTITUTE(SUBSTITUTE(SUBSTITUTE(SUBSTITUTE(SUBSTITUTE(SUBSTITUTE(SUBSTITUTE(SUBSTITUTE(LOWER(TRIM(D51)),"ё","е"),"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51" s="12" t="n">
        <f aca="false">IFERROR(INDEX(Соответствие!$B$2:$B$76,MATCH(G51,Соответствие!$A$2:$A$76,0)),"?")</f>
        <v>19</v>
      </c>
      <c r="I51" s="9" t="str">
        <f aca="false">IFERROR(INDEX('Перечень должностей'!$C$2:$C$46,MATCH(H51,'Перечень должностей'!$A$2:$A$46,0)),"")</f>
        <v>п.4.3.1, п.4.3.2, п.4.4, п.5.1, п.6.2, п.15</v>
      </c>
      <c r="J51" s="12" t="n">
        <f aca="false">IFERROR(INDEX('Перечень должностей'!$D$2:$D$46,MATCH(H51,'Перечень должностей'!$A$2:$A$46,0)),12)</f>
        <v>12</v>
      </c>
      <c r="K51" s="17"/>
      <c r="L51" s="17"/>
      <c r="M51" s="16" t="str">
        <f aca="false">IF(K51="","",EDATE(IF(L51&lt;&gt;"",L51,K51),J51))</f>
        <v/>
      </c>
      <c r="N51" s="12" t="str">
        <f aca="false">IFERROR(INDEX('Перечень должностей'!$F$2:$F$46,MATCH(H51,'Перечень должностей'!$A$2:$A$46,0)),"")</f>
        <v>-</v>
      </c>
      <c r="O51" s="17"/>
      <c r="P51" s="16" t="str">
        <f aca="false">IF(O51="","",EDATE(O51,60))</f>
        <v/>
      </c>
      <c r="Q51" s="12" t="str">
        <f aca="false">IF(AND(K51&lt;&gt;"",F51&lt;&gt;"",K51&gt;F51),"ДА","")</f>
        <v/>
      </c>
      <c r="R51" s="9"/>
    </row>
    <row r="52" customFormat="false" ht="23.25" hidden="false" customHeight="true" outlineLevel="0" collapsed="false">
      <c r="A52" s="15" t="n">
        <v>51</v>
      </c>
      <c r="B52" s="12" t="s">
        <v>81</v>
      </c>
      <c r="C52" s="15" t="s">
        <v>488</v>
      </c>
      <c r="D52" s="15" t="s">
        <v>75</v>
      </c>
      <c r="E52" s="15" t="s">
        <v>88</v>
      </c>
      <c r="F52" s="16" t="n">
        <v>46127</v>
      </c>
      <c r="G52" s="5" t="str">
        <f aca="false">IF(TRIM(SUBSTITUTE(SUBSTITUTE(SUBSTITUTE(SUBSTITUTE(SUBSTITUTE(SUBSTITUTE(SUBSTITUTE(SUBSTITUTE(SUBSTITUTE(SUBSTITUTE(SUBSTITUTE(LOWER(TRIM(D52)),"ё","е"),"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категории",""))="инженер",IF(AND(ISNUMBER(SEARCH("техническ",E52)),ISNUMBER(SEARCH("контрол",E52))),"инженер отк",IF(ISNUMBER(SEARCH("диспетч",E52)),"инженер пдо",TRIM(SUBSTITUTE(SUBSTITUTE(SUBSTITUTE(SUBSTITUTE(SUBSTITUTE(SUBSTITUTE(SUBSTITUTE(SUBSTITUTE(SUBSTITUTE(SUBSTITUTE(SUBSTITUTE(LOWER(TRIM(D52)),"ё","е"),"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инженер",IF(ISNUMBER(SEARCH("диспетч",E52)),"ведущий инженер пдо",TRIM(SUBSTITUTE(SUBSTITUTE(SUBSTITUTE(SUBSTITUTE(SUBSTITUTE(SUBSTITUTE(SUBSTITUTE(SUBSTITUTE(SUBSTITUTE(SUBSTITUTE(SUBSTITUTE(LOWER(TRIM(D52)),"ё","е"),"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отк",TRIM(SUBSTITUTE(SUBSTITUTE(SUBSTITUTE(SUBSTITUTE(SUBSTITUTE(SUBSTITUTE(SUBSTITUTE(SUBSTITUTE(SUBSTITUTE(SUBSTITUTE(SUBSTITUTE(LOWER(TRIM(D52)),"ё","е"),"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52" s="12" t="n">
        <f aca="false">IFERROR(INDEX(Соответствие!$B$2:$B$76,MATCH(G52,Соответствие!$A$2:$A$76,0)),"?")</f>
        <v>14</v>
      </c>
      <c r="I52" s="9" t="str">
        <f aca="false">IFERROR(INDEX('Перечень должностей'!$C$2:$C$46,MATCH(H52,'Перечень должностей'!$A$2:$A$46,0)),"")</f>
        <v>п.4.4, п.5.1, п.6.2</v>
      </c>
      <c r="J52" s="12" t="n">
        <f aca="false">IFERROR(INDEX('Перечень должностей'!$D$2:$D$46,MATCH(H52,'Перечень должностей'!$A$2:$A$46,0)),12)</f>
        <v>12</v>
      </c>
      <c r="K52" s="17"/>
      <c r="L52" s="17"/>
      <c r="M52" s="16" t="str">
        <f aca="false">IF(K52="","",EDATE(IF(L52&lt;&gt;"",L52,K52),J52))</f>
        <v/>
      </c>
      <c r="N52" s="12" t="str">
        <f aca="false">IFERROR(INDEX('Перечень должностей'!$F$2:$F$46,MATCH(H52,'Перечень должностей'!$A$2:$A$46,0)),"")</f>
        <v>-</v>
      </c>
      <c r="O52" s="17"/>
      <c r="P52" s="16" t="str">
        <f aca="false">IF(O52="","",EDATE(O52,60))</f>
        <v/>
      </c>
      <c r="Q52" s="12" t="str">
        <f aca="false">IF(AND(K52&lt;&gt;"",F52&lt;&gt;"",K52&gt;F52),"ДА","")</f>
        <v/>
      </c>
      <c r="R52" s="9" t="s">
        <v>489</v>
      </c>
    </row>
    <row r="53" customFormat="false" ht="23.25" hidden="false" customHeight="true" outlineLevel="0" collapsed="false">
      <c r="A53" s="15" t="n">
        <v>52</v>
      </c>
      <c r="B53" s="12" t="s">
        <v>81</v>
      </c>
      <c r="C53" s="15" t="s">
        <v>490</v>
      </c>
      <c r="D53" s="15" t="s">
        <v>445</v>
      </c>
      <c r="E53" s="15" t="s">
        <v>80</v>
      </c>
      <c r="F53" s="16" t="n">
        <v>45852</v>
      </c>
      <c r="G53" s="5" t="str">
        <f aca="false">IF(TRIM(SUBSTITUTE(SUBSTITUTE(SUBSTITUTE(SUBSTITUTE(SUBSTITUTE(SUBSTITUTE(SUBSTITUTE(SUBSTITUTE(SUBSTITUTE(SUBSTITUTE(SUBSTITUTE(LOWER(TRIM(D53)),"ё","е"),"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категории",""))="инженер",IF(AND(ISNUMBER(SEARCH("техническ",E53)),ISNUMBER(SEARCH("контрол",E53))),"инженер отк",IF(ISNUMBER(SEARCH("диспетч",E53)),"инженер пдо",TRIM(SUBSTITUTE(SUBSTITUTE(SUBSTITUTE(SUBSTITUTE(SUBSTITUTE(SUBSTITUTE(SUBSTITUTE(SUBSTITUTE(SUBSTITUTE(SUBSTITUTE(SUBSTITUTE(LOWER(TRIM(D53)),"ё","е"),"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инженер",IF(ISNUMBER(SEARCH("диспетч",E53)),"ведущий инженер пдо",TRIM(SUBSTITUTE(SUBSTITUTE(SUBSTITUTE(SUBSTITUTE(SUBSTITUTE(SUBSTITUTE(SUBSTITUTE(SUBSTITUTE(SUBSTITUTE(SUBSTITUTE(SUBSTITUTE(LOWER(TRIM(D53)),"ё","е"),"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отк",TRIM(SUBSTITUTE(SUBSTITUTE(SUBSTITUTE(SUBSTITUTE(SUBSTITUTE(SUBSTITUTE(SUBSTITUTE(SUBSTITUTE(SUBSTITUTE(SUBSTITUTE(SUBSTITUTE(LOWER(TRIM(D53)),"ё","е"),"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53" s="12" t="n">
        <f aca="false">IFERROR(INDEX(Соответствие!$B$2:$B$76,MATCH(G53,Соответствие!$A$2:$A$76,0)),"?")</f>
        <v>20</v>
      </c>
      <c r="I53" s="9" t="str">
        <f aca="false">IFERROR(INDEX('Перечень должностей'!$C$2:$C$46,MATCH(H53,'Перечень должностей'!$A$2:$A$46,0)),"")</f>
        <v>п.4.3.1, п.4.3.2, п.4.4, п.4.9, п.5.1, п.5.2, п.6.2, п.9</v>
      </c>
      <c r="J53" s="12" t="n">
        <f aca="false">IFERROR(INDEX('Перечень должностей'!$D$2:$D$46,MATCH(H53,'Перечень должностей'!$A$2:$A$46,0)),12)</f>
        <v>12</v>
      </c>
      <c r="K53" s="17"/>
      <c r="L53" s="17"/>
      <c r="M53" s="16" t="str">
        <f aca="false">IF(K53="","",EDATE(IF(L53&lt;&gt;"",L53,K53),J53))</f>
        <v/>
      </c>
      <c r="N53" s="12" t="str">
        <f aca="false">IFERROR(INDEX('Перечень должностей'!$F$2:$F$46,MATCH(H53,'Перечень должностей'!$A$2:$A$46,0)),"")</f>
        <v>Проверить</v>
      </c>
      <c r="O53" s="17"/>
      <c r="P53" s="16" t="str">
        <f aca="false">IF(O53="","",EDATE(O53,60))</f>
        <v/>
      </c>
      <c r="Q53" s="12" t="str">
        <f aca="false">IF(AND(K53&lt;&gt;"",F53&lt;&gt;"",K53&gt;F53),"ДА","")</f>
        <v/>
      </c>
      <c r="R53" s="9" t="s">
        <v>491</v>
      </c>
    </row>
    <row r="54" customFormat="false" ht="26.25" hidden="false" customHeight="true" outlineLevel="0" collapsed="false">
      <c r="A54" s="15" t="n">
        <v>53</v>
      </c>
      <c r="B54" s="12" t="s">
        <v>81</v>
      </c>
      <c r="C54" s="15" t="s">
        <v>492</v>
      </c>
      <c r="D54" s="15" t="s">
        <v>443</v>
      </c>
      <c r="E54" s="15" t="s">
        <v>80</v>
      </c>
      <c r="F54" s="16" t="n">
        <v>46140</v>
      </c>
      <c r="G54" s="5" t="str">
        <f aca="false">IF(TRIM(SUBSTITUTE(SUBSTITUTE(SUBSTITUTE(SUBSTITUTE(SUBSTITUTE(SUBSTITUTE(SUBSTITUTE(SUBSTITUTE(SUBSTITUTE(SUBSTITUTE(SUBSTITUTE(LOWER(TRIM(D54)),"ё","е"),"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категории",""))="инженер",IF(AND(ISNUMBER(SEARCH("техническ",E54)),ISNUMBER(SEARCH("контрол",E54))),"инженер отк",IF(ISNUMBER(SEARCH("диспетч",E54)),"инженер пдо",TRIM(SUBSTITUTE(SUBSTITUTE(SUBSTITUTE(SUBSTITUTE(SUBSTITUTE(SUBSTITUTE(SUBSTITUTE(SUBSTITUTE(SUBSTITUTE(SUBSTITUTE(SUBSTITUTE(LOWER(TRIM(D54)),"ё","е"),"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инженер",IF(ISNUMBER(SEARCH("диспетч",E54)),"ведущий инженер пдо",TRIM(SUBSTITUTE(SUBSTITUTE(SUBSTITUTE(SUBSTITUTE(SUBSTITUTE(SUBSTITUTE(SUBSTITUTE(SUBSTITUTE(SUBSTITUTE(SUBSTITUTE(SUBSTITUTE(LOWER(TRIM(D54)),"ё","е"),"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отк",TRIM(SUBSTITUTE(SUBSTITUTE(SUBSTITUTE(SUBSTITUTE(SUBSTITUTE(SUBSTITUTE(SUBSTITUTE(SUBSTITUTE(SUBSTITUTE(SUBSTITUTE(SUBSTITUTE(LOWER(TRIM(D54)),"ё","е"),"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54" s="12" t="n">
        <f aca="false">IFERROR(INDEX(Соответствие!$B$2:$B$76,MATCH(G54,Соответствие!$A$2:$A$76,0)),"?")</f>
        <v>20</v>
      </c>
      <c r="I54" s="9" t="str">
        <f aca="false">IFERROR(INDEX('Перечень должностей'!$C$2:$C$46,MATCH(H54,'Перечень должностей'!$A$2:$A$46,0)),"")</f>
        <v>п.4.3.1, п.4.3.2, п.4.4, п.4.9, п.5.1, п.5.2, п.6.2, п.9</v>
      </c>
      <c r="J54" s="12" t="n">
        <f aca="false">IFERROR(INDEX('Перечень должностей'!$D$2:$D$46,MATCH(H54,'Перечень должностей'!$A$2:$A$46,0)),12)</f>
        <v>12</v>
      </c>
      <c r="K54" s="17"/>
      <c r="L54" s="17"/>
      <c r="M54" s="16" t="str">
        <f aca="false">IF(K54="","",EDATE(IF(L54&lt;&gt;"",L54,K54),J54))</f>
        <v/>
      </c>
      <c r="N54" s="12" t="str">
        <f aca="false">IFERROR(INDEX('Перечень должностей'!$F$2:$F$46,MATCH(H54,'Перечень должностей'!$A$2:$A$46,0)),"")</f>
        <v>Проверить</v>
      </c>
      <c r="O54" s="17"/>
      <c r="P54" s="16" t="str">
        <f aca="false">IF(O54="","",EDATE(O54,60))</f>
        <v/>
      </c>
      <c r="Q54" s="12" t="str">
        <f aca="false">IF(AND(K54&lt;&gt;"",F54&lt;&gt;"",K54&gt;F54),"ДА","")</f>
        <v/>
      </c>
      <c r="R54" s="9" t="s">
        <v>491</v>
      </c>
    </row>
    <row r="55" customFormat="false" ht="26.25" hidden="false" customHeight="true" outlineLevel="0" collapsed="false">
      <c r="A55" s="15" t="n">
        <v>54</v>
      </c>
      <c r="B55" s="12" t="s">
        <v>81</v>
      </c>
      <c r="C55" s="15" t="s">
        <v>493</v>
      </c>
      <c r="D55" s="15" t="s">
        <v>443</v>
      </c>
      <c r="E55" s="15" t="s">
        <v>80</v>
      </c>
      <c r="F55" s="16" t="n">
        <v>45796</v>
      </c>
      <c r="G55" s="5" t="str">
        <f aca="false">IF(TRIM(SUBSTITUTE(SUBSTITUTE(SUBSTITUTE(SUBSTITUTE(SUBSTITUTE(SUBSTITUTE(SUBSTITUTE(SUBSTITUTE(SUBSTITUTE(SUBSTITUTE(SUBSTITUTE(LOWER(TRIM(D55)),"ё","е"),"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категории",""))="инженер",IF(AND(ISNUMBER(SEARCH("техническ",E55)),ISNUMBER(SEARCH("контрол",E55))),"инженер отк",IF(ISNUMBER(SEARCH("диспетч",E55)),"инженер пдо",TRIM(SUBSTITUTE(SUBSTITUTE(SUBSTITUTE(SUBSTITUTE(SUBSTITUTE(SUBSTITUTE(SUBSTITUTE(SUBSTITUTE(SUBSTITUTE(SUBSTITUTE(SUBSTITUTE(LOWER(TRIM(D55)),"ё","е"),"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инженер",IF(ISNUMBER(SEARCH("диспетч",E55)),"ведущий инженер пдо",TRIM(SUBSTITUTE(SUBSTITUTE(SUBSTITUTE(SUBSTITUTE(SUBSTITUTE(SUBSTITUTE(SUBSTITUTE(SUBSTITUTE(SUBSTITUTE(SUBSTITUTE(SUBSTITUTE(LOWER(TRIM(D55)),"ё","е"),"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отк",TRIM(SUBSTITUTE(SUBSTITUTE(SUBSTITUTE(SUBSTITUTE(SUBSTITUTE(SUBSTITUTE(SUBSTITUTE(SUBSTITUTE(SUBSTITUTE(SUBSTITUTE(SUBSTITUTE(LOWER(TRIM(D55)),"ё","е"),"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55" s="12" t="n">
        <f aca="false">IFERROR(INDEX(Соответствие!$B$2:$B$76,MATCH(G55,Соответствие!$A$2:$A$76,0)),"?")</f>
        <v>20</v>
      </c>
      <c r="I55" s="9" t="str">
        <f aca="false">IFERROR(INDEX('Перечень должностей'!$C$2:$C$46,MATCH(H55,'Перечень должностей'!$A$2:$A$46,0)),"")</f>
        <v>п.4.3.1, п.4.3.2, п.4.4, п.4.9, п.5.1, п.5.2, п.6.2, п.9</v>
      </c>
      <c r="J55" s="12" t="n">
        <f aca="false">IFERROR(INDEX('Перечень должностей'!$D$2:$D$46,MATCH(H55,'Перечень должностей'!$A$2:$A$46,0)),12)</f>
        <v>12</v>
      </c>
      <c r="K55" s="17" t="n">
        <v>45784</v>
      </c>
      <c r="L55" s="17"/>
      <c r="M55" s="16" t="n">
        <f aca="false">IF(K55="","",EDATE(IF(L55&lt;&gt;"",L55,K55),J55))</f>
        <v>46149</v>
      </c>
      <c r="N55" s="12" t="str">
        <f aca="false">IFERROR(INDEX('Перечень должностей'!$F$2:$F$46,MATCH(H55,'Перечень должностей'!$A$2:$A$46,0)),"")</f>
        <v>Проверить</v>
      </c>
      <c r="O55" s="17"/>
      <c r="P55" s="16" t="str">
        <f aca="false">IF(O55="","",EDATE(O55,60))</f>
        <v/>
      </c>
      <c r="Q55" s="12" t="str">
        <f aca="false">IF(AND(K55&lt;&gt;"",F55&lt;&gt;"",K55&gt;F55),"ДА","")</f>
        <v/>
      </c>
      <c r="R55" s="9" t="s">
        <v>491</v>
      </c>
    </row>
    <row r="56" customFormat="false" ht="26.25" hidden="false" customHeight="true" outlineLevel="0" collapsed="false">
      <c r="A56" s="15" t="n">
        <v>55</v>
      </c>
      <c r="B56" s="12" t="s">
        <v>81</v>
      </c>
      <c r="C56" s="15" t="s">
        <v>494</v>
      </c>
      <c r="D56" s="15" t="s">
        <v>443</v>
      </c>
      <c r="E56" s="15" t="s">
        <v>80</v>
      </c>
      <c r="F56" s="16" t="n">
        <v>45873</v>
      </c>
      <c r="G56" s="5" t="str">
        <f aca="false">IF(TRIM(SUBSTITUTE(SUBSTITUTE(SUBSTITUTE(SUBSTITUTE(SUBSTITUTE(SUBSTITUTE(SUBSTITUTE(SUBSTITUTE(SUBSTITUTE(SUBSTITUTE(SUBSTITUTE(LOWER(TRIM(D56)),"ё","е"),"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категории",""))="инженер",IF(AND(ISNUMBER(SEARCH("техническ",E56)),ISNUMBER(SEARCH("контрол",E56))),"инженер отк",IF(ISNUMBER(SEARCH("диспетч",E56)),"инженер пдо",TRIM(SUBSTITUTE(SUBSTITUTE(SUBSTITUTE(SUBSTITUTE(SUBSTITUTE(SUBSTITUTE(SUBSTITUTE(SUBSTITUTE(SUBSTITUTE(SUBSTITUTE(SUBSTITUTE(LOWER(TRIM(D56)),"ё","е"),"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инженер",IF(ISNUMBER(SEARCH("диспетч",E56)),"ведущий инженер пдо",TRIM(SUBSTITUTE(SUBSTITUTE(SUBSTITUTE(SUBSTITUTE(SUBSTITUTE(SUBSTITUTE(SUBSTITUTE(SUBSTITUTE(SUBSTITUTE(SUBSTITUTE(SUBSTITUTE(LOWER(TRIM(D56)),"ё","е"),"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отк",TRIM(SUBSTITUTE(SUBSTITUTE(SUBSTITUTE(SUBSTITUTE(SUBSTITUTE(SUBSTITUTE(SUBSTITUTE(SUBSTITUTE(SUBSTITUTE(SUBSTITUTE(SUBSTITUTE(LOWER(TRIM(D56)),"ё","е"),"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56" s="12" t="n">
        <f aca="false">IFERROR(INDEX(Соответствие!$B$2:$B$76,MATCH(G56,Соответствие!$A$2:$A$76,0)),"?")</f>
        <v>20</v>
      </c>
      <c r="I56" s="9" t="str">
        <f aca="false">IFERROR(INDEX('Перечень должностей'!$C$2:$C$46,MATCH(H56,'Перечень должностей'!$A$2:$A$46,0)),"")</f>
        <v>п.4.3.1, п.4.3.2, п.4.4, п.4.9, п.5.1, п.5.2, п.6.2, п.9</v>
      </c>
      <c r="J56" s="12" t="n">
        <f aca="false">IFERROR(INDEX('Перечень должностей'!$D$2:$D$46,MATCH(H56,'Перечень должностей'!$A$2:$A$46,0)),12)</f>
        <v>12</v>
      </c>
      <c r="K56" s="17"/>
      <c r="L56" s="17"/>
      <c r="M56" s="16" t="str">
        <f aca="false">IF(K56="","",EDATE(IF(L56&lt;&gt;"",L56,K56),J56))</f>
        <v/>
      </c>
      <c r="N56" s="12" t="str">
        <f aca="false">IFERROR(INDEX('Перечень должностей'!$F$2:$F$46,MATCH(H56,'Перечень должностей'!$A$2:$A$46,0)),"")</f>
        <v>Проверить</v>
      </c>
      <c r="O56" s="17"/>
      <c r="P56" s="16" t="str">
        <f aca="false">IF(O56="","",EDATE(O56,60))</f>
        <v/>
      </c>
      <c r="Q56" s="12" t="str">
        <f aca="false">IF(AND(K56&lt;&gt;"",F56&lt;&gt;"",K56&gt;F56),"ДА","")</f>
        <v/>
      </c>
      <c r="R56" s="9" t="s">
        <v>491</v>
      </c>
    </row>
    <row r="57" customFormat="false" ht="26.25" hidden="false" customHeight="true" outlineLevel="0" collapsed="false">
      <c r="A57" s="15" t="n">
        <v>56</v>
      </c>
      <c r="B57" s="12" t="s">
        <v>81</v>
      </c>
      <c r="C57" s="15" t="s">
        <v>495</v>
      </c>
      <c r="D57" s="15" t="s">
        <v>443</v>
      </c>
      <c r="E57" s="15" t="s">
        <v>80</v>
      </c>
      <c r="F57" s="16" t="n">
        <v>45813</v>
      </c>
      <c r="G57" s="5" t="str">
        <f aca="false">IF(TRIM(SUBSTITUTE(SUBSTITUTE(SUBSTITUTE(SUBSTITUTE(SUBSTITUTE(SUBSTITUTE(SUBSTITUTE(SUBSTITUTE(SUBSTITUTE(SUBSTITUTE(SUBSTITUTE(LOWER(TRIM(D57)),"ё","е"),"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категории",""))="инженер",IF(AND(ISNUMBER(SEARCH("техническ",E57)),ISNUMBER(SEARCH("контрол",E57))),"инженер отк",IF(ISNUMBER(SEARCH("диспетч",E57)),"инженер пдо",TRIM(SUBSTITUTE(SUBSTITUTE(SUBSTITUTE(SUBSTITUTE(SUBSTITUTE(SUBSTITUTE(SUBSTITUTE(SUBSTITUTE(SUBSTITUTE(SUBSTITUTE(SUBSTITUTE(LOWER(TRIM(D57)),"ё","е"),"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инженер",IF(ISNUMBER(SEARCH("диспетч",E57)),"ведущий инженер пдо",TRIM(SUBSTITUTE(SUBSTITUTE(SUBSTITUTE(SUBSTITUTE(SUBSTITUTE(SUBSTITUTE(SUBSTITUTE(SUBSTITUTE(SUBSTITUTE(SUBSTITUTE(SUBSTITUTE(LOWER(TRIM(D57)),"ё","е"),"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отк",TRIM(SUBSTITUTE(SUBSTITUTE(SUBSTITUTE(SUBSTITUTE(SUBSTITUTE(SUBSTITUTE(SUBSTITUTE(SUBSTITUTE(SUBSTITUTE(SUBSTITUTE(SUBSTITUTE(LOWER(TRIM(D57)),"ё","е"),"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57" s="12" t="n">
        <f aca="false">IFERROR(INDEX(Соответствие!$B$2:$B$76,MATCH(G57,Соответствие!$A$2:$A$76,0)),"?")</f>
        <v>20</v>
      </c>
      <c r="I57" s="9" t="str">
        <f aca="false">IFERROR(INDEX('Перечень должностей'!$C$2:$C$46,MATCH(H57,'Перечень должностей'!$A$2:$A$46,0)),"")</f>
        <v>п.4.3.1, п.4.3.2, п.4.4, п.4.9, п.5.1, п.5.2, п.6.2, п.9</v>
      </c>
      <c r="J57" s="12" t="n">
        <f aca="false">IFERROR(INDEX('Перечень должностей'!$D$2:$D$46,MATCH(H57,'Перечень должностей'!$A$2:$A$46,0)),12)</f>
        <v>12</v>
      </c>
      <c r="K57" s="17" t="n">
        <v>45810</v>
      </c>
      <c r="L57" s="17"/>
      <c r="M57" s="16" t="n">
        <f aca="false">IF(K57="","",EDATE(IF(L57&lt;&gt;"",L57,K57),J57))</f>
        <v>46175</v>
      </c>
      <c r="N57" s="12" t="str">
        <f aca="false">IFERROR(INDEX('Перечень должностей'!$F$2:$F$46,MATCH(H57,'Перечень должностей'!$A$2:$A$46,0)),"")</f>
        <v>Проверить</v>
      </c>
      <c r="O57" s="17"/>
      <c r="P57" s="16" t="str">
        <f aca="false">IF(O57="","",EDATE(O57,60))</f>
        <v/>
      </c>
      <c r="Q57" s="12" t="str">
        <f aca="false">IF(AND(K57&lt;&gt;"",F57&lt;&gt;"",K57&gt;F57),"ДА","")</f>
        <v/>
      </c>
      <c r="R57" s="9" t="s">
        <v>491</v>
      </c>
    </row>
    <row r="58" customFormat="false" ht="26.25" hidden="false" customHeight="true" outlineLevel="0" collapsed="false">
      <c r="A58" s="15" t="n">
        <v>57</v>
      </c>
      <c r="B58" s="12" t="s">
        <v>81</v>
      </c>
      <c r="C58" s="15" t="s">
        <v>496</v>
      </c>
      <c r="D58" s="15" t="s">
        <v>443</v>
      </c>
      <c r="E58" s="15" t="s">
        <v>80</v>
      </c>
      <c r="F58" s="16" t="n">
        <v>45789</v>
      </c>
      <c r="G58" s="5" t="str">
        <f aca="false">IF(TRIM(SUBSTITUTE(SUBSTITUTE(SUBSTITUTE(SUBSTITUTE(SUBSTITUTE(SUBSTITUTE(SUBSTITUTE(SUBSTITUTE(SUBSTITUTE(SUBSTITUTE(SUBSTITUTE(LOWER(TRIM(D58)),"ё","е"),"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категории",""))="инженер",IF(AND(ISNUMBER(SEARCH("техническ",E58)),ISNUMBER(SEARCH("контрол",E58))),"инженер отк",IF(ISNUMBER(SEARCH("диспетч",E58)),"инженер пдо",TRIM(SUBSTITUTE(SUBSTITUTE(SUBSTITUTE(SUBSTITUTE(SUBSTITUTE(SUBSTITUTE(SUBSTITUTE(SUBSTITUTE(SUBSTITUTE(SUBSTITUTE(SUBSTITUTE(LOWER(TRIM(D58)),"ё","е"),"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инженер",IF(ISNUMBER(SEARCH("диспетч",E58)),"ведущий инженер пдо",TRIM(SUBSTITUTE(SUBSTITUTE(SUBSTITUTE(SUBSTITUTE(SUBSTITUTE(SUBSTITUTE(SUBSTITUTE(SUBSTITUTE(SUBSTITUTE(SUBSTITUTE(SUBSTITUTE(LOWER(TRIM(D58)),"ё","е"),"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отк",TRIM(SUBSTITUTE(SUBSTITUTE(SUBSTITUTE(SUBSTITUTE(SUBSTITUTE(SUBSTITUTE(SUBSTITUTE(SUBSTITUTE(SUBSTITUTE(SUBSTITUTE(SUBSTITUTE(LOWER(TRIM(D58)),"ё","е"),"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58" s="12" t="n">
        <f aca="false">IFERROR(INDEX(Соответствие!$B$2:$B$76,MATCH(G58,Соответствие!$A$2:$A$76,0)),"?")</f>
        <v>20</v>
      </c>
      <c r="I58" s="9" t="str">
        <f aca="false">IFERROR(INDEX('Перечень должностей'!$C$2:$C$46,MATCH(H58,'Перечень должностей'!$A$2:$A$46,0)),"")</f>
        <v>п.4.3.1, п.4.3.2, п.4.4, п.4.9, п.5.1, п.5.2, п.6.2, п.9</v>
      </c>
      <c r="J58" s="12" t="n">
        <f aca="false">IFERROR(INDEX('Перечень должностей'!$D$2:$D$46,MATCH(H58,'Перечень должностей'!$A$2:$A$46,0)),12)</f>
        <v>12</v>
      </c>
      <c r="K58" s="17"/>
      <c r="L58" s="17"/>
      <c r="M58" s="16" t="str">
        <f aca="false">IF(K58="","",EDATE(IF(L58&lt;&gt;"",L58,K58),J58))</f>
        <v/>
      </c>
      <c r="N58" s="12" t="str">
        <f aca="false">IFERROR(INDEX('Перечень должностей'!$F$2:$F$46,MATCH(H58,'Перечень должностей'!$A$2:$A$46,0)),"")</f>
        <v>Проверить</v>
      </c>
      <c r="O58" s="17"/>
      <c r="P58" s="16" t="str">
        <f aca="false">IF(O58="","",EDATE(O58,60))</f>
        <v/>
      </c>
      <c r="Q58" s="12" t="str">
        <f aca="false">IF(AND(K58&lt;&gt;"",F58&lt;&gt;"",K58&gt;F58),"ДА","")</f>
        <v/>
      </c>
      <c r="R58" s="9" t="s">
        <v>491</v>
      </c>
    </row>
    <row r="59" customFormat="false" ht="26.25" hidden="false" customHeight="true" outlineLevel="0" collapsed="false">
      <c r="A59" s="15" t="n">
        <v>58</v>
      </c>
      <c r="B59" s="12" t="s">
        <v>81</v>
      </c>
      <c r="C59" s="15" t="s">
        <v>497</v>
      </c>
      <c r="D59" s="15" t="s">
        <v>443</v>
      </c>
      <c r="E59" s="15" t="s">
        <v>80</v>
      </c>
      <c r="F59" s="16" t="n">
        <v>45769</v>
      </c>
      <c r="G59" s="5" t="str">
        <f aca="false">IF(TRIM(SUBSTITUTE(SUBSTITUTE(SUBSTITUTE(SUBSTITUTE(SUBSTITUTE(SUBSTITUTE(SUBSTITUTE(SUBSTITUTE(SUBSTITUTE(SUBSTITUTE(SUBSTITUTE(LOWER(TRIM(D59)),"ё","е"),"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категории",""))="инженер",IF(AND(ISNUMBER(SEARCH("техническ",E59)),ISNUMBER(SEARCH("контрол",E59))),"инженер отк",IF(ISNUMBER(SEARCH("диспетч",E59)),"инженер пдо",TRIM(SUBSTITUTE(SUBSTITUTE(SUBSTITUTE(SUBSTITUTE(SUBSTITUTE(SUBSTITUTE(SUBSTITUTE(SUBSTITUTE(SUBSTITUTE(SUBSTITUTE(SUBSTITUTE(LOWER(TRIM(D59)),"ё","е"),"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инженер",IF(ISNUMBER(SEARCH("диспетч",E59)),"ведущий инженер пдо",TRIM(SUBSTITUTE(SUBSTITUTE(SUBSTITUTE(SUBSTITUTE(SUBSTITUTE(SUBSTITUTE(SUBSTITUTE(SUBSTITUTE(SUBSTITUTE(SUBSTITUTE(SUBSTITUTE(LOWER(TRIM(D59)),"ё","е"),"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отк",TRIM(SUBSTITUTE(SUBSTITUTE(SUBSTITUTE(SUBSTITUTE(SUBSTITUTE(SUBSTITUTE(SUBSTITUTE(SUBSTITUTE(SUBSTITUTE(SUBSTITUTE(SUBSTITUTE(LOWER(TRIM(D59)),"ё","е"),"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59" s="12" t="n">
        <f aca="false">IFERROR(INDEX(Соответствие!$B$2:$B$76,MATCH(G59,Соответствие!$A$2:$A$76,0)),"?")</f>
        <v>20</v>
      </c>
      <c r="I59" s="9" t="str">
        <f aca="false">IFERROR(INDEX('Перечень должностей'!$C$2:$C$46,MATCH(H59,'Перечень должностей'!$A$2:$A$46,0)),"")</f>
        <v>п.4.3.1, п.4.3.2, п.4.4, п.4.9, п.5.1, п.5.2, п.6.2, п.9</v>
      </c>
      <c r="J59" s="12" t="n">
        <f aca="false">IFERROR(INDEX('Перечень должностей'!$D$2:$D$46,MATCH(H59,'Перечень должностей'!$A$2:$A$46,0)),12)</f>
        <v>12</v>
      </c>
      <c r="K59" s="17"/>
      <c r="L59" s="17"/>
      <c r="M59" s="16" t="str">
        <f aca="false">IF(K59="","",EDATE(IF(L59&lt;&gt;"",L59,K59),J59))</f>
        <v/>
      </c>
      <c r="N59" s="12" t="str">
        <f aca="false">IFERROR(INDEX('Перечень должностей'!$F$2:$F$46,MATCH(H59,'Перечень должностей'!$A$2:$A$46,0)),"")</f>
        <v>Проверить</v>
      </c>
      <c r="O59" s="17"/>
      <c r="P59" s="16" t="str">
        <f aca="false">IF(O59="","",EDATE(O59,60))</f>
        <v/>
      </c>
      <c r="Q59" s="12" t="str">
        <f aca="false">IF(AND(K59&lt;&gt;"",F59&lt;&gt;"",K59&gt;F59),"ДА","")</f>
        <v/>
      </c>
      <c r="R59" s="9" t="s">
        <v>491</v>
      </c>
    </row>
    <row r="60" customFormat="false" ht="26.25" hidden="false" customHeight="true" outlineLevel="0" collapsed="false">
      <c r="A60" s="15" t="n">
        <v>59</v>
      </c>
      <c r="B60" s="12" t="s">
        <v>81</v>
      </c>
      <c r="C60" s="15" t="s">
        <v>498</v>
      </c>
      <c r="D60" s="15" t="s">
        <v>445</v>
      </c>
      <c r="E60" s="15" t="s">
        <v>80</v>
      </c>
      <c r="F60" s="16" t="n">
        <v>45797</v>
      </c>
      <c r="G60" s="5" t="str">
        <f aca="false">IF(TRIM(SUBSTITUTE(SUBSTITUTE(SUBSTITUTE(SUBSTITUTE(SUBSTITUTE(SUBSTITUTE(SUBSTITUTE(SUBSTITUTE(SUBSTITUTE(SUBSTITUTE(SUBSTITUTE(LOWER(TRIM(D60)),"ё","е"),"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категории",""))="инженер",IF(AND(ISNUMBER(SEARCH("техническ",E60)),ISNUMBER(SEARCH("контрол",E60))),"инженер отк",IF(ISNUMBER(SEARCH("диспетч",E60)),"инженер пдо",TRIM(SUBSTITUTE(SUBSTITUTE(SUBSTITUTE(SUBSTITUTE(SUBSTITUTE(SUBSTITUTE(SUBSTITUTE(SUBSTITUTE(SUBSTITUTE(SUBSTITUTE(SUBSTITUTE(LOWER(TRIM(D60)),"ё","е"),"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инженер",IF(ISNUMBER(SEARCH("диспетч",E60)),"ведущий инженер пдо",TRIM(SUBSTITUTE(SUBSTITUTE(SUBSTITUTE(SUBSTITUTE(SUBSTITUTE(SUBSTITUTE(SUBSTITUTE(SUBSTITUTE(SUBSTITUTE(SUBSTITUTE(SUBSTITUTE(LOWER(TRIM(D60)),"ё","е"),"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отк",TRIM(SUBSTITUTE(SUBSTITUTE(SUBSTITUTE(SUBSTITUTE(SUBSTITUTE(SUBSTITUTE(SUBSTITUTE(SUBSTITUTE(SUBSTITUTE(SUBSTITUTE(SUBSTITUTE(LOWER(TRIM(D60)),"ё","е"),"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60" s="12" t="n">
        <f aca="false">IFERROR(INDEX(Соответствие!$B$2:$B$76,MATCH(G60,Соответствие!$A$2:$A$76,0)),"?")</f>
        <v>20</v>
      </c>
      <c r="I60" s="9" t="str">
        <f aca="false">IFERROR(INDEX('Перечень должностей'!$C$2:$C$46,MATCH(H60,'Перечень должностей'!$A$2:$A$46,0)),"")</f>
        <v>п.4.3.1, п.4.3.2, п.4.4, п.4.9, п.5.1, п.5.2, п.6.2, п.9</v>
      </c>
      <c r="J60" s="12" t="n">
        <f aca="false">IFERROR(INDEX('Перечень должностей'!$D$2:$D$46,MATCH(H60,'Перечень должностей'!$A$2:$A$46,0)),12)</f>
        <v>12</v>
      </c>
      <c r="K60" s="17" t="n">
        <v>45768</v>
      </c>
      <c r="L60" s="17"/>
      <c r="M60" s="16" t="n">
        <f aca="false">IF(K60="","",EDATE(IF(L60&lt;&gt;"",L60,K60),J60))</f>
        <v>46133</v>
      </c>
      <c r="N60" s="12" t="str">
        <f aca="false">IFERROR(INDEX('Перечень должностей'!$F$2:$F$46,MATCH(H60,'Перечень должностей'!$A$2:$A$46,0)),"")</f>
        <v>Проверить</v>
      </c>
      <c r="O60" s="17"/>
      <c r="P60" s="16" t="str">
        <f aca="false">IF(O60="","",EDATE(O60,60))</f>
        <v/>
      </c>
      <c r="Q60" s="12" t="str">
        <f aca="false">IF(AND(K60&lt;&gt;"",F60&lt;&gt;"",K60&gt;F60),"ДА","")</f>
        <v/>
      </c>
      <c r="R60" s="9" t="s">
        <v>491</v>
      </c>
    </row>
    <row r="61" customFormat="false" ht="26.25" hidden="false" customHeight="true" outlineLevel="0" collapsed="false">
      <c r="A61" s="15" t="n">
        <v>60</v>
      </c>
      <c r="B61" s="12" t="s">
        <v>81</v>
      </c>
      <c r="C61" s="15" t="s">
        <v>499</v>
      </c>
      <c r="D61" s="15" t="s">
        <v>445</v>
      </c>
      <c r="E61" s="15" t="s">
        <v>466</v>
      </c>
      <c r="F61" s="16" t="n">
        <v>44124</v>
      </c>
      <c r="G61" s="5" t="str">
        <f aca="false">IF(TRIM(SUBSTITUTE(SUBSTITUTE(SUBSTITUTE(SUBSTITUTE(SUBSTITUTE(SUBSTITUTE(SUBSTITUTE(SUBSTITUTE(SUBSTITUTE(SUBSTITUTE(SUBSTITUTE(LOWER(TRIM(D61)),"ё","е"),"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категории",""))="инженер",IF(AND(ISNUMBER(SEARCH("техническ",E61)),ISNUMBER(SEARCH("контрол",E61))),"инженер отк",IF(ISNUMBER(SEARCH("диспетч",E61)),"инженер пдо",TRIM(SUBSTITUTE(SUBSTITUTE(SUBSTITUTE(SUBSTITUTE(SUBSTITUTE(SUBSTITUTE(SUBSTITUTE(SUBSTITUTE(SUBSTITUTE(SUBSTITUTE(SUBSTITUTE(LOWER(TRIM(D61)),"ё","е"),"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инженер",IF(ISNUMBER(SEARCH("диспетч",E61)),"ведущий инженер пдо",TRIM(SUBSTITUTE(SUBSTITUTE(SUBSTITUTE(SUBSTITUTE(SUBSTITUTE(SUBSTITUTE(SUBSTITUTE(SUBSTITUTE(SUBSTITUTE(SUBSTITUTE(SUBSTITUTE(LOWER(TRIM(D61)),"ё","е"),"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отк",TRIM(SUBSTITUTE(SUBSTITUTE(SUBSTITUTE(SUBSTITUTE(SUBSTITUTE(SUBSTITUTE(SUBSTITUTE(SUBSTITUTE(SUBSTITUTE(SUBSTITUTE(SUBSTITUTE(LOWER(TRIM(D61)),"ё","е"),"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61" s="12" t="n">
        <f aca="false">IFERROR(INDEX(Соответствие!$B$2:$B$76,MATCH(G61,Соответствие!$A$2:$A$76,0)),"?")</f>
        <v>20</v>
      </c>
      <c r="I61" s="9" t="str">
        <f aca="false">IFERROR(INDEX('Перечень должностей'!$C$2:$C$46,MATCH(H61,'Перечень должностей'!$A$2:$A$46,0)),"")</f>
        <v>п.4.3.1, п.4.3.2, п.4.4, п.4.9, п.5.1, п.5.2, п.6.2, п.9</v>
      </c>
      <c r="J61" s="12" t="n">
        <f aca="false">IFERROR(INDEX('Перечень должностей'!$D$2:$D$46,MATCH(H61,'Перечень должностей'!$A$2:$A$46,0)),12)</f>
        <v>12</v>
      </c>
      <c r="K61" s="17" t="n">
        <v>44662</v>
      </c>
      <c r="L61" s="17"/>
      <c r="M61" s="16" t="n">
        <f aca="false">IF(K61="","",EDATE(IF(L61&lt;&gt;"",L61,K61),J61))</f>
        <v>45027</v>
      </c>
      <c r="N61" s="12" t="str">
        <f aca="false">IFERROR(INDEX('Перечень должностей'!$F$2:$F$46,MATCH(H61,'Перечень должностей'!$A$2:$A$46,0)),"")</f>
        <v>Проверить</v>
      </c>
      <c r="O61" s="17"/>
      <c r="P61" s="16" t="str">
        <f aca="false">IF(O61="","",EDATE(O61,60))</f>
        <v/>
      </c>
      <c r="Q61" s="12" t="str">
        <f aca="false">IF(AND(K61&lt;&gt;"",F61&lt;&gt;"",K61&gt;F61),"ДА","")</f>
        <v>ДА</v>
      </c>
      <c r="R61" s="9"/>
    </row>
    <row r="62" customFormat="false" ht="26.25" hidden="false" customHeight="true" outlineLevel="0" collapsed="false">
      <c r="A62" s="15" t="n">
        <v>61</v>
      </c>
      <c r="B62" s="12" t="s">
        <v>81</v>
      </c>
      <c r="C62" s="15" t="s">
        <v>500</v>
      </c>
      <c r="D62" s="15" t="s">
        <v>445</v>
      </c>
      <c r="E62" s="15" t="s">
        <v>80</v>
      </c>
      <c r="F62" s="16" t="n">
        <v>45793</v>
      </c>
      <c r="G62" s="5" t="str">
        <f aca="false">IF(TRIM(SUBSTITUTE(SUBSTITUTE(SUBSTITUTE(SUBSTITUTE(SUBSTITUTE(SUBSTITUTE(SUBSTITUTE(SUBSTITUTE(SUBSTITUTE(SUBSTITUTE(SUBSTITUTE(LOWER(TRIM(D62)),"ё","е"),"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категории",""))="инженер",IF(AND(ISNUMBER(SEARCH("техническ",E62)),ISNUMBER(SEARCH("контрол",E62))),"инженер отк",IF(ISNUMBER(SEARCH("диспетч",E62)),"инженер пдо",TRIM(SUBSTITUTE(SUBSTITUTE(SUBSTITUTE(SUBSTITUTE(SUBSTITUTE(SUBSTITUTE(SUBSTITUTE(SUBSTITUTE(SUBSTITUTE(SUBSTITUTE(SUBSTITUTE(LOWER(TRIM(D62)),"ё","е"),"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инженер",IF(ISNUMBER(SEARCH("диспетч",E62)),"ведущий инженер пдо",TRIM(SUBSTITUTE(SUBSTITUTE(SUBSTITUTE(SUBSTITUTE(SUBSTITUTE(SUBSTITUTE(SUBSTITUTE(SUBSTITUTE(SUBSTITUTE(SUBSTITUTE(SUBSTITUTE(LOWER(TRIM(D62)),"ё","е"),"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отк",TRIM(SUBSTITUTE(SUBSTITUTE(SUBSTITUTE(SUBSTITUTE(SUBSTITUTE(SUBSTITUTE(SUBSTITUTE(SUBSTITUTE(SUBSTITUTE(SUBSTITUTE(SUBSTITUTE(LOWER(TRIM(D62)),"ё","е"),"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62" s="12" t="n">
        <f aca="false">IFERROR(INDEX(Соответствие!$B$2:$B$76,MATCH(G62,Соответствие!$A$2:$A$76,0)),"?")</f>
        <v>20</v>
      </c>
      <c r="I62" s="9" t="str">
        <f aca="false">IFERROR(INDEX('Перечень должностей'!$C$2:$C$46,MATCH(H62,'Перечень должностей'!$A$2:$A$46,0)),"")</f>
        <v>п.4.3.1, п.4.3.2, п.4.4, п.4.9, п.5.1, п.5.2, п.6.2, п.9</v>
      </c>
      <c r="J62" s="12" t="n">
        <f aca="false">IFERROR(INDEX('Перечень должностей'!$D$2:$D$46,MATCH(H62,'Перечень должностей'!$A$2:$A$46,0)),12)</f>
        <v>12</v>
      </c>
      <c r="K62" s="17" t="n">
        <v>45791</v>
      </c>
      <c r="L62" s="17"/>
      <c r="M62" s="16" t="n">
        <f aca="false">IF(K62="","",EDATE(IF(L62&lt;&gt;"",L62,K62),J62))</f>
        <v>46156</v>
      </c>
      <c r="N62" s="12" t="str">
        <f aca="false">IFERROR(INDEX('Перечень должностей'!$F$2:$F$46,MATCH(H62,'Перечень должностей'!$A$2:$A$46,0)),"")</f>
        <v>Проверить</v>
      </c>
      <c r="O62" s="17"/>
      <c r="P62" s="16" t="str">
        <f aca="false">IF(O62="","",EDATE(O62,60))</f>
        <v/>
      </c>
      <c r="Q62" s="12" t="str">
        <f aca="false">IF(AND(K62&lt;&gt;"",F62&lt;&gt;"",K62&gt;F62),"ДА","")</f>
        <v/>
      </c>
      <c r="R62" s="9" t="s">
        <v>491</v>
      </c>
    </row>
    <row r="63" customFormat="false" ht="26.25" hidden="false" customHeight="true" outlineLevel="0" collapsed="false">
      <c r="A63" s="15" t="n">
        <v>62</v>
      </c>
      <c r="B63" s="12" t="s">
        <v>81</v>
      </c>
      <c r="C63" s="15" t="s">
        <v>501</v>
      </c>
      <c r="D63" s="15" t="s">
        <v>445</v>
      </c>
      <c r="E63" s="15" t="s">
        <v>80</v>
      </c>
      <c r="F63" s="16" t="n">
        <v>44322</v>
      </c>
      <c r="G63" s="5" t="str">
        <f aca="false">IF(TRIM(SUBSTITUTE(SUBSTITUTE(SUBSTITUTE(SUBSTITUTE(SUBSTITUTE(SUBSTITUTE(SUBSTITUTE(SUBSTITUTE(SUBSTITUTE(SUBSTITUTE(SUBSTITUTE(LOWER(TRIM(D63)),"ё","е"),"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категории",""))="инженер",IF(AND(ISNUMBER(SEARCH("техническ",E63)),ISNUMBER(SEARCH("контрол",E63))),"инженер отк",IF(ISNUMBER(SEARCH("диспетч",E63)),"инженер пдо",TRIM(SUBSTITUTE(SUBSTITUTE(SUBSTITUTE(SUBSTITUTE(SUBSTITUTE(SUBSTITUTE(SUBSTITUTE(SUBSTITUTE(SUBSTITUTE(SUBSTITUTE(SUBSTITUTE(LOWER(TRIM(D63)),"ё","е"),"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инженер",IF(ISNUMBER(SEARCH("диспетч",E63)),"ведущий инженер пдо",TRIM(SUBSTITUTE(SUBSTITUTE(SUBSTITUTE(SUBSTITUTE(SUBSTITUTE(SUBSTITUTE(SUBSTITUTE(SUBSTITUTE(SUBSTITUTE(SUBSTITUTE(SUBSTITUTE(LOWER(TRIM(D63)),"ё","е"),"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отк",TRIM(SUBSTITUTE(SUBSTITUTE(SUBSTITUTE(SUBSTITUTE(SUBSTITUTE(SUBSTITUTE(SUBSTITUTE(SUBSTITUTE(SUBSTITUTE(SUBSTITUTE(SUBSTITUTE(LOWER(TRIM(D63)),"ё","е"),"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63" s="12" t="n">
        <f aca="false">IFERROR(INDEX(Соответствие!$B$2:$B$76,MATCH(G63,Соответствие!$A$2:$A$76,0)),"?")</f>
        <v>20</v>
      </c>
      <c r="I63" s="9" t="str">
        <f aca="false">IFERROR(INDEX('Перечень должностей'!$C$2:$C$46,MATCH(H63,'Перечень должностей'!$A$2:$A$46,0)),"")</f>
        <v>п.4.3.1, п.4.3.2, п.4.4, п.4.9, п.5.1, п.5.2, п.6.2, п.9</v>
      </c>
      <c r="J63" s="12" t="n">
        <f aca="false">IFERROR(INDEX('Перечень должностей'!$D$2:$D$46,MATCH(H63,'Перечень должностей'!$A$2:$A$46,0)),12)</f>
        <v>12</v>
      </c>
      <c r="K63" s="17" t="n">
        <v>44662</v>
      </c>
      <c r="L63" s="17"/>
      <c r="M63" s="16" t="n">
        <f aca="false">IF(K63="","",EDATE(IF(L63&lt;&gt;"",L63,K63),J63))</f>
        <v>45027</v>
      </c>
      <c r="N63" s="12" t="str">
        <f aca="false">IFERROR(INDEX('Перечень должностей'!$F$2:$F$46,MATCH(H63,'Перечень должностей'!$A$2:$A$46,0)),"")</f>
        <v>Проверить</v>
      </c>
      <c r="O63" s="17"/>
      <c r="P63" s="16" t="str">
        <f aca="false">IF(O63="","",EDATE(O63,60))</f>
        <v/>
      </c>
      <c r="Q63" s="12" t="str">
        <f aca="false">IF(AND(K63&lt;&gt;"",F63&lt;&gt;"",K63&gt;F63),"ДА","")</f>
        <v>ДА</v>
      </c>
      <c r="R63" s="9" t="s">
        <v>491</v>
      </c>
    </row>
    <row r="64" customFormat="false" ht="26.25" hidden="false" customHeight="true" outlineLevel="0" collapsed="false">
      <c r="A64" s="15" t="n">
        <v>63</v>
      </c>
      <c r="B64" s="12" t="s">
        <v>81</v>
      </c>
      <c r="C64" s="15" t="s">
        <v>502</v>
      </c>
      <c r="D64" s="15" t="s">
        <v>445</v>
      </c>
      <c r="E64" s="15" t="s">
        <v>80</v>
      </c>
      <c r="F64" s="16" t="n">
        <v>45810</v>
      </c>
      <c r="G64" s="5" t="str">
        <f aca="false">IF(TRIM(SUBSTITUTE(SUBSTITUTE(SUBSTITUTE(SUBSTITUTE(SUBSTITUTE(SUBSTITUTE(SUBSTITUTE(SUBSTITUTE(SUBSTITUTE(SUBSTITUTE(SUBSTITUTE(LOWER(TRIM(D64)),"ё","е"),"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категории",""))="инженер",IF(AND(ISNUMBER(SEARCH("техническ",E64)),ISNUMBER(SEARCH("контрол",E64))),"инженер отк",IF(ISNUMBER(SEARCH("диспетч",E64)),"инженер пдо",TRIM(SUBSTITUTE(SUBSTITUTE(SUBSTITUTE(SUBSTITUTE(SUBSTITUTE(SUBSTITUTE(SUBSTITUTE(SUBSTITUTE(SUBSTITUTE(SUBSTITUTE(SUBSTITUTE(LOWER(TRIM(D64)),"ё","е"),"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инженер",IF(ISNUMBER(SEARCH("диспетч",E64)),"ведущий инженер пдо",TRIM(SUBSTITUTE(SUBSTITUTE(SUBSTITUTE(SUBSTITUTE(SUBSTITUTE(SUBSTITUTE(SUBSTITUTE(SUBSTITUTE(SUBSTITUTE(SUBSTITUTE(SUBSTITUTE(LOWER(TRIM(D64)),"ё","е"),"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отк",TRIM(SUBSTITUTE(SUBSTITUTE(SUBSTITUTE(SUBSTITUTE(SUBSTITUTE(SUBSTITUTE(SUBSTITUTE(SUBSTITUTE(SUBSTITUTE(SUBSTITUTE(SUBSTITUTE(LOWER(TRIM(D64)),"ё","е"),"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64" s="12" t="n">
        <f aca="false">IFERROR(INDEX(Соответствие!$B$2:$B$76,MATCH(G64,Соответствие!$A$2:$A$76,0)),"?")</f>
        <v>20</v>
      </c>
      <c r="I64" s="9" t="str">
        <f aca="false">IFERROR(INDEX('Перечень должностей'!$C$2:$C$46,MATCH(H64,'Перечень должностей'!$A$2:$A$46,0)),"")</f>
        <v>п.4.3.1, п.4.3.2, п.4.4, п.4.9, п.5.1, п.5.2, п.6.2, п.9</v>
      </c>
      <c r="J64" s="12" t="n">
        <f aca="false">IFERROR(INDEX('Перечень должностей'!$D$2:$D$46,MATCH(H64,'Перечень должностей'!$A$2:$A$46,0)),12)</f>
        <v>12</v>
      </c>
      <c r="K64" s="17" t="n">
        <v>45805</v>
      </c>
      <c r="L64" s="17"/>
      <c r="M64" s="16" t="n">
        <f aca="false">IF(K64="","",EDATE(IF(L64&lt;&gt;"",L64,K64),J64))</f>
        <v>46170</v>
      </c>
      <c r="N64" s="12" t="str">
        <f aca="false">IFERROR(INDEX('Перечень должностей'!$F$2:$F$46,MATCH(H64,'Перечень должностей'!$A$2:$A$46,0)),"")</f>
        <v>Проверить</v>
      </c>
      <c r="O64" s="17"/>
      <c r="P64" s="16" t="str">
        <f aca="false">IF(O64="","",EDATE(O64,60))</f>
        <v/>
      </c>
      <c r="Q64" s="12" t="str">
        <f aca="false">IF(AND(K64&lt;&gt;"",F64&lt;&gt;"",K64&gt;F64),"ДА","")</f>
        <v/>
      </c>
      <c r="R64" s="9" t="s">
        <v>491</v>
      </c>
    </row>
    <row r="65" customFormat="false" ht="26.25" hidden="false" customHeight="true" outlineLevel="0" collapsed="false">
      <c r="A65" s="15" t="n">
        <v>64</v>
      </c>
      <c r="B65" s="12" t="s">
        <v>81</v>
      </c>
      <c r="C65" s="15" t="s">
        <v>503</v>
      </c>
      <c r="D65" s="15" t="s">
        <v>445</v>
      </c>
      <c r="E65" s="15" t="s">
        <v>80</v>
      </c>
      <c r="F65" s="16" t="n">
        <v>45846</v>
      </c>
      <c r="G65" s="5" t="str">
        <f aca="false">IF(TRIM(SUBSTITUTE(SUBSTITUTE(SUBSTITUTE(SUBSTITUTE(SUBSTITUTE(SUBSTITUTE(SUBSTITUTE(SUBSTITUTE(SUBSTITUTE(SUBSTITUTE(SUBSTITUTE(LOWER(TRIM(D65)),"ё","е"),"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категории",""))="инженер",IF(AND(ISNUMBER(SEARCH("техническ",E65)),ISNUMBER(SEARCH("контрол",E65))),"инженер отк",IF(ISNUMBER(SEARCH("диспетч",E65)),"инженер пдо",TRIM(SUBSTITUTE(SUBSTITUTE(SUBSTITUTE(SUBSTITUTE(SUBSTITUTE(SUBSTITUTE(SUBSTITUTE(SUBSTITUTE(SUBSTITUTE(SUBSTITUTE(SUBSTITUTE(LOWER(TRIM(D65)),"ё","е"),"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инженер",IF(ISNUMBER(SEARCH("диспетч",E65)),"ведущий инженер пдо",TRIM(SUBSTITUTE(SUBSTITUTE(SUBSTITUTE(SUBSTITUTE(SUBSTITUTE(SUBSTITUTE(SUBSTITUTE(SUBSTITUTE(SUBSTITUTE(SUBSTITUTE(SUBSTITUTE(LOWER(TRIM(D65)),"ё","е"),"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отк",TRIM(SUBSTITUTE(SUBSTITUTE(SUBSTITUTE(SUBSTITUTE(SUBSTITUTE(SUBSTITUTE(SUBSTITUTE(SUBSTITUTE(SUBSTITUTE(SUBSTITUTE(SUBSTITUTE(LOWER(TRIM(D65)),"ё","е"),"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65" s="12" t="n">
        <f aca="false">IFERROR(INDEX(Соответствие!$B$2:$B$76,MATCH(G65,Соответствие!$A$2:$A$76,0)),"?")</f>
        <v>20</v>
      </c>
      <c r="I65" s="9" t="str">
        <f aca="false">IFERROR(INDEX('Перечень должностей'!$C$2:$C$46,MATCH(H65,'Перечень должностей'!$A$2:$A$46,0)),"")</f>
        <v>п.4.3.1, п.4.3.2, п.4.4, п.4.9, п.5.1, п.5.2, п.6.2, п.9</v>
      </c>
      <c r="J65" s="12" t="n">
        <f aca="false">IFERROR(INDEX('Перечень должностей'!$D$2:$D$46,MATCH(H65,'Перечень должностей'!$A$2:$A$46,0)),12)</f>
        <v>12</v>
      </c>
      <c r="K65" s="17"/>
      <c r="L65" s="17"/>
      <c r="M65" s="16" t="str">
        <f aca="false">IF(K65="","",EDATE(IF(L65&lt;&gt;"",L65,K65),J65))</f>
        <v/>
      </c>
      <c r="N65" s="12" t="str">
        <f aca="false">IFERROR(INDEX('Перечень должностей'!$F$2:$F$46,MATCH(H65,'Перечень должностей'!$A$2:$A$46,0)),"")</f>
        <v>Проверить</v>
      </c>
      <c r="O65" s="17"/>
      <c r="P65" s="16" t="str">
        <f aca="false">IF(O65="","",EDATE(O65,60))</f>
        <v/>
      </c>
      <c r="Q65" s="12" t="str">
        <f aca="false">IF(AND(K65&lt;&gt;"",F65&lt;&gt;"",K65&gt;F65),"ДА","")</f>
        <v/>
      </c>
      <c r="R65" s="9" t="s">
        <v>491</v>
      </c>
    </row>
    <row r="66" customFormat="false" ht="26.25" hidden="false" customHeight="true" outlineLevel="0" collapsed="false">
      <c r="A66" s="15" t="n">
        <v>65</v>
      </c>
      <c r="B66" s="12" t="s">
        <v>81</v>
      </c>
      <c r="C66" s="15" t="s">
        <v>504</v>
      </c>
      <c r="D66" s="15" t="s">
        <v>445</v>
      </c>
      <c r="E66" s="15" t="s">
        <v>80</v>
      </c>
      <c r="F66" s="16" t="n">
        <v>44153</v>
      </c>
      <c r="G66" s="5" t="str">
        <f aca="false">IF(TRIM(SUBSTITUTE(SUBSTITUTE(SUBSTITUTE(SUBSTITUTE(SUBSTITUTE(SUBSTITUTE(SUBSTITUTE(SUBSTITUTE(SUBSTITUTE(SUBSTITUTE(SUBSTITUTE(LOWER(TRIM(D66)),"ё","е"),"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категории",""))="инженер",IF(AND(ISNUMBER(SEARCH("техническ",E66)),ISNUMBER(SEARCH("контрол",E66))),"инженер отк",IF(ISNUMBER(SEARCH("диспетч",E66)),"инженер пдо",TRIM(SUBSTITUTE(SUBSTITUTE(SUBSTITUTE(SUBSTITUTE(SUBSTITUTE(SUBSTITUTE(SUBSTITUTE(SUBSTITUTE(SUBSTITUTE(SUBSTITUTE(SUBSTITUTE(LOWER(TRIM(D66)),"ё","е"),"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инженер",IF(ISNUMBER(SEARCH("диспетч",E66)),"ведущий инженер пдо",TRIM(SUBSTITUTE(SUBSTITUTE(SUBSTITUTE(SUBSTITUTE(SUBSTITUTE(SUBSTITUTE(SUBSTITUTE(SUBSTITUTE(SUBSTITUTE(SUBSTITUTE(SUBSTITUTE(LOWER(TRIM(D66)),"ё","е"),"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отк",TRIM(SUBSTITUTE(SUBSTITUTE(SUBSTITUTE(SUBSTITUTE(SUBSTITUTE(SUBSTITUTE(SUBSTITUTE(SUBSTITUTE(SUBSTITUTE(SUBSTITUTE(SUBSTITUTE(LOWER(TRIM(D66)),"ё","е"),"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66" s="12" t="n">
        <f aca="false">IFERROR(INDEX(Соответствие!$B$2:$B$76,MATCH(G66,Соответствие!$A$2:$A$76,0)),"?")</f>
        <v>20</v>
      </c>
      <c r="I66" s="9" t="str">
        <f aca="false">IFERROR(INDEX('Перечень должностей'!$C$2:$C$46,MATCH(H66,'Перечень должностей'!$A$2:$A$46,0)),"")</f>
        <v>п.4.3.1, п.4.3.2, п.4.4, п.4.9, п.5.1, п.5.2, п.6.2, п.9</v>
      </c>
      <c r="J66" s="12" t="n">
        <f aca="false">IFERROR(INDEX('Перечень должностей'!$D$2:$D$46,MATCH(H66,'Перечень должностей'!$A$2:$A$46,0)),12)</f>
        <v>12</v>
      </c>
      <c r="K66" s="17" t="n">
        <v>44662</v>
      </c>
      <c r="L66" s="17"/>
      <c r="M66" s="16" t="n">
        <f aca="false">IF(K66="","",EDATE(IF(L66&lt;&gt;"",L66,K66),J66))</f>
        <v>45027</v>
      </c>
      <c r="N66" s="12" t="str">
        <f aca="false">IFERROR(INDEX('Перечень должностей'!$F$2:$F$46,MATCH(H66,'Перечень должностей'!$A$2:$A$46,0)),"")</f>
        <v>Проверить</v>
      </c>
      <c r="O66" s="17"/>
      <c r="P66" s="16" t="str">
        <f aca="false">IF(O66="","",EDATE(O66,60))</f>
        <v/>
      </c>
      <c r="Q66" s="12" t="str">
        <f aca="false">IF(AND(K66&lt;&gt;"",F66&lt;&gt;"",K66&gt;F66),"ДА","")</f>
        <v>ДА</v>
      </c>
      <c r="R66" s="9" t="s">
        <v>491</v>
      </c>
    </row>
    <row r="67" customFormat="false" ht="26.25" hidden="false" customHeight="true" outlineLevel="0" collapsed="false">
      <c r="A67" s="15" t="n">
        <v>66</v>
      </c>
      <c r="B67" s="12" t="s">
        <v>81</v>
      </c>
      <c r="C67" s="15" t="s">
        <v>505</v>
      </c>
      <c r="D67" s="15" t="s">
        <v>445</v>
      </c>
      <c r="E67" s="15" t="s">
        <v>80</v>
      </c>
      <c r="F67" s="16" t="n">
        <v>45806</v>
      </c>
      <c r="G67" s="5" t="str">
        <f aca="false">IF(TRIM(SUBSTITUTE(SUBSTITUTE(SUBSTITUTE(SUBSTITUTE(SUBSTITUTE(SUBSTITUTE(SUBSTITUTE(SUBSTITUTE(SUBSTITUTE(SUBSTITUTE(SUBSTITUTE(LOWER(TRIM(D67)),"ё","е"),"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категории",""))="инженер",IF(AND(ISNUMBER(SEARCH("техническ",E67)),ISNUMBER(SEARCH("контрол",E67))),"инженер отк",IF(ISNUMBER(SEARCH("диспетч",E67)),"инженер пдо",TRIM(SUBSTITUTE(SUBSTITUTE(SUBSTITUTE(SUBSTITUTE(SUBSTITUTE(SUBSTITUTE(SUBSTITUTE(SUBSTITUTE(SUBSTITUTE(SUBSTITUTE(SUBSTITUTE(LOWER(TRIM(D67)),"ё","е"),"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инженер",IF(ISNUMBER(SEARCH("диспетч",E67)),"ведущий инженер пдо",TRIM(SUBSTITUTE(SUBSTITUTE(SUBSTITUTE(SUBSTITUTE(SUBSTITUTE(SUBSTITUTE(SUBSTITUTE(SUBSTITUTE(SUBSTITUTE(SUBSTITUTE(SUBSTITUTE(LOWER(TRIM(D67)),"ё","е"),"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отк",TRIM(SUBSTITUTE(SUBSTITUTE(SUBSTITUTE(SUBSTITUTE(SUBSTITUTE(SUBSTITUTE(SUBSTITUTE(SUBSTITUTE(SUBSTITUTE(SUBSTITUTE(SUBSTITUTE(LOWER(TRIM(D67)),"ё","е"),"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67" s="12" t="n">
        <f aca="false">IFERROR(INDEX(Соответствие!$B$2:$B$76,MATCH(G67,Соответствие!$A$2:$A$76,0)),"?")</f>
        <v>20</v>
      </c>
      <c r="I67" s="9" t="str">
        <f aca="false">IFERROR(INDEX('Перечень должностей'!$C$2:$C$46,MATCH(H67,'Перечень должностей'!$A$2:$A$46,0)),"")</f>
        <v>п.4.3.1, п.4.3.2, п.4.4, п.4.9, п.5.1, п.5.2, п.6.2, п.9</v>
      </c>
      <c r="J67" s="12" t="n">
        <f aca="false">IFERROR(INDEX('Перечень должностей'!$D$2:$D$46,MATCH(H67,'Перечень должностей'!$A$2:$A$46,0)),12)</f>
        <v>12</v>
      </c>
      <c r="K67" s="17" t="n">
        <v>45784</v>
      </c>
      <c r="L67" s="17"/>
      <c r="M67" s="16" t="n">
        <f aca="false">IF(K67="","",EDATE(IF(L67&lt;&gt;"",L67,K67),J67))</f>
        <v>46149</v>
      </c>
      <c r="N67" s="12" t="str">
        <f aca="false">IFERROR(INDEX('Перечень должностей'!$F$2:$F$46,MATCH(H67,'Перечень должностей'!$A$2:$A$46,0)),"")</f>
        <v>Проверить</v>
      </c>
      <c r="O67" s="17"/>
      <c r="P67" s="16" t="str">
        <f aca="false">IF(O67="","",EDATE(O67,60))</f>
        <v/>
      </c>
      <c r="Q67" s="12" t="str">
        <f aca="false">IF(AND(K67&lt;&gt;"",F67&lt;&gt;"",K67&gt;F67),"ДА","")</f>
        <v/>
      </c>
      <c r="R67" s="9" t="s">
        <v>491</v>
      </c>
    </row>
    <row r="68" customFormat="false" ht="26.25" hidden="false" customHeight="true" outlineLevel="0" collapsed="false">
      <c r="A68" s="15" t="n">
        <v>67</v>
      </c>
      <c r="B68" s="12" t="s">
        <v>81</v>
      </c>
      <c r="C68" s="15" t="s">
        <v>506</v>
      </c>
      <c r="D68" s="15" t="s">
        <v>507</v>
      </c>
      <c r="E68" s="15" t="s">
        <v>466</v>
      </c>
      <c r="F68" s="16" t="n">
        <v>45782</v>
      </c>
      <c r="G68" s="5" t="str">
        <f aca="false">IF(TRIM(SUBSTITUTE(SUBSTITUTE(SUBSTITUTE(SUBSTITUTE(SUBSTITUTE(SUBSTITUTE(SUBSTITUTE(SUBSTITUTE(SUBSTITUTE(SUBSTITUTE(SUBSTITUTE(LOWER(TRIM(D68)),"ё","е"),"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категории",""))="инженер",IF(AND(ISNUMBER(SEARCH("техническ",E68)),ISNUMBER(SEARCH("контрол",E68))),"инженер отк",IF(ISNUMBER(SEARCH("диспетч",E68)),"инженер пдо",TRIM(SUBSTITUTE(SUBSTITUTE(SUBSTITUTE(SUBSTITUTE(SUBSTITUTE(SUBSTITUTE(SUBSTITUTE(SUBSTITUTE(SUBSTITUTE(SUBSTITUTE(SUBSTITUTE(LOWER(TRIM(D68)),"ё","е"),"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инженер",IF(ISNUMBER(SEARCH("диспетч",E68)),"ведущий инженер пдо",TRIM(SUBSTITUTE(SUBSTITUTE(SUBSTITUTE(SUBSTITUTE(SUBSTITUTE(SUBSTITUTE(SUBSTITUTE(SUBSTITUTE(SUBSTITUTE(SUBSTITUTE(SUBSTITUTE(LOWER(TRIM(D68)),"ё","е"),"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отк",TRIM(SUBSTITUTE(SUBSTITUTE(SUBSTITUTE(SUBSTITUTE(SUBSTITUTE(SUBSTITUTE(SUBSTITUTE(SUBSTITUTE(SUBSTITUTE(SUBSTITUTE(SUBSTITUTE(LOWER(TRIM(D68)),"ё","е"),"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68" s="12" t="n">
        <f aca="false">IFERROR(INDEX(Соответствие!$B$2:$B$76,MATCH(G68,Соответствие!$A$2:$A$76,0)),"?")</f>
        <v>19</v>
      </c>
      <c r="I68" s="9" t="str">
        <f aca="false">IFERROR(INDEX('Перечень должностей'!$C$2:$C$46,MATCH(H68,'Перечень должностей'!$A$2:$A$46,0)),"")</f>
        <v>п.4.3.1, п.4.3.2, п.4.4, п.5.1, п.6.2, п.15</v>
      </c>
      <c r="J68" s="12" t="n">
        <f aca="false">IFERROR(INDEX('Перечень должностей'!$D$2:$D$46,MATCH(H68,'Перечень должностей'!$A$2:$A$46,0)),12)</f>
        <v>12</v>
      </c>
      <c r="K68" s="17"/>
      <c r="L68" s="17"/>
      <c r="M68" s="16" t="str">
        <f aca="false">IF(K68="","",EDATE(IF(L68&lt;&gt;"",L68,K68),J68))</f>
        <v/>
      </c>
      <c r="N68" s="12" t="str">
        <f aca="false">IFERROR(INDEX('Перечень должностей'!$F$2:$F$46,MATCH(H68,'Перечень должностей'!$A$2:$A$46,0)),"")</f>
        <v>-</v>
      </c>
      <c r="O68" s="17"/>
      <c r="P68" s="16" t="str">
        <f aca="false">IF(O68="","",EDATE(O68,60))</f>
        <v/>
      </c>
      <c r="Q68" s="12" t="str">
        <f aca="false">IF(AND(K68&lt;&gt;"",F68&lt;&gt;"",K68&gt;F68),"ДА","")</f>
        <v/>
      </c>
      <c r="R68" s="9"/>
    </row>
    <row r="69" customFormat="false" ht="26.25" hidden="false" customHeight="true" outlineLevel="0" collapsed="false">
      <c r="A69" s="15" t="n">
        <v>68</v>
      </c>
      <c r="B69" s="12" t="s">
        <v>81</v>
      </c>
      <c r="C69" s="15" t="s">
        <v>508</v>
      </c>
      <c r="D69" s="15" t="s">
        <v>84</v>
      </c>
      <c r="E69" s="15" t="s">
        <v>85</v>
      </c>
      <c r="F69" s="16" t="n">
        <v>45852</v>
      </c>
      <c r="G69" s="5" t="str">
        <f aca="false">IF(TRIM(SUBSTITUTE(SUBSTITUTE(SUBSTITUTE(SUBSTITUTE(SUBSTITUTE(SUBSTITUTE(SUBSTITUTE(SUBSTITUTE(SUBSTITUTE(SUBSTITUTE(SUBSTITUTE(LOWER(TRIM(D69)),"ё","е"),"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категории",""))="инженер",IF(AND(ISNUMBER(SEARCH("техническ",E69)),ISNUMBER(SEARCH("контрол",E69))),"инженер отк",IF(ISNUMBER(SEARCH("диспетч",E69)),"инженер пдо",TRIM(SUBSTITUTE(SUBSTITUTE(SUBSTITUTE(SUBSTITUTE(SUBSTITUTE(SUBSTITUTE(SUBSTITUTE(SUBSTITUTE(SUBSTITUTE(SUBSTITUTE(SUBSTITUTE(LOWER(TRIM(D69)),"ё","е"),"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инженер",IF(ISNUMBER(SEARCH("диспетч",E69)),"ведущий инженер пдо",TRIM(SUBSTITUTE(SUBSTITUTE(SUBSTITUTE(SUBSTITUTE(SUBSTITUTE(SUBSTITUTE(SUBSTITUTE(SUBSTITUTE(SUBSTITUTE(SUBSTITUTE(SUBSTITUTE(LOWER(TRIM(D69)),"ё","е"),"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отк",TRIM(SUBSTITUTE(SUBSTITUTE(SUBSTITUTE(SUBSTITUTE(SUBSTITUTE(SUBSTITUTE(SUBSTITUTE(SUBSTITUTE(SUBSTITUTE(SUBSTITUTE(SUBSTITUTE(LOWER(TRIM(D69)),"ё","е"),"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69" s="12" t="n">
        <f aca="false">IFERROR(INDEX(Соответствие!$B$2:$B$76,MATCH(G69,Соответствие!$A$2:$A$76,0)),"?")</f>
        <v>19</v>
      </c>
      <c r="I69" s="9" t="str">
        <f aca="false">IFERROR(INDEX('Перечень должностей'!$C$2:$C$46,MATCH(H69,'Перечень должностей'!$A$2:$A$46,0)),"")</f>
        <v>п.4.3.1, п.4.3.2, п.4.4, п.5.1, п.6.2, п.15</v>
      </c>
      <c r="J69" s="12" t="n">
        <f aca="false">IFERROR(INDEX('Перечень должностей'!$D$2:$D$46,MATCH(H69,'Перечень должностей'!$A$2:$A$46,0)),12)</f>
        <v>12</v>
      </c>
      <c r="K69" s="17"/>
      <c r="L69" s="17"/>
      <c r="M69" s="16" t="str">
        <f aca="false">IF(K69="","",EDATE(IF(L69&lt;&gt;"",L69,K69),J69))</f>
        <v/>
      </c>
      <c r="N69" s="12" t="str">
        <f aca="false">IFERROR(INDEX('Перечень должностей'!$F$2:$F$46,MATCH(H69,'Перечень должностей'!$A$2:$A$46,0)),"")</f>
        <v>-</v>
      </c>
      <c r="O69" s="17"/>
      <c r="P69" s="16" t="str">
        <f aca="false">IF(O69="","",EDATE(O69,60))</f>
        <v/>
      </c>
      <c r="Q69" s="12" t="str">
        <f aca="false">IF(AND(K69&lt;&gt;"",F69&lt;&gt;"",K69&gt;F69),"ДА","")</f>
        <v/>
      </c>
      <c r="R69" s="9" t="s">
        <v>469</v>
      </c>
    </row>
    <row r="70" customFormat="false" ht="26.25" hidden="false" customHeight="true" outlineLevel="0" collapsed="false">
      <c r="A70" s="15" t="n">
        <v>69</v>
      </c>
      <c r="B70" s="12" t="s">
        <v>81</v>
      </c>
      <c r="C70" s="15" t="s">
        <v>509</v>
      </c>
      <c r="D70" s="15" t="s">
        <v>84</v>
      </c>
      <c r="E70" s="15" t="s">
        <v>85</v>
      </c>
      <c r="F70" s="16" t="n">
        <v>45915</v>
      </c>
      <c r="G70" s="5" t="str">
        <f aca="false">IF(TRIM(SUBSTITUTE(SUBSTITUTE(SUBSTITUTE(SUBSTITUTE(SUBSTITUTE(SUBSTITUTE(SUBSTITUTE(SUBSTITUTE(SUBSTITUTE(SUBSTITUTE(SUBSTITUTE(LOWER(TRIM(D70)),"ё","е"),"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категории",""))="инженер",IF(AND(ISNUMBER(SEARCH("техническ",E70)),ISNUMBER(SEARCH("контрол",E70))),"инженер отк",IF(ISNUMBER(SEARCH("диспетч",E70)),"инженер пдо",TRIM(SUBSTITUTE(SUBSTITUTE(SUBSTITUTE(SUBSTITUTE(SUBSTITUTE(SUBSTITUTE(SUBSTITUTE(SUBSTITUTE(SUBSTITUTE(SUBSTITUTE(SUBSTITUTE(LOWER(TRIM(D70)),"ё","е"),"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инженер",IF(ISNUMBER(SEARCH("диспетч",E70)),"ведущий инженер пдо",TRIM(SUBSTITUTE(SUBSTITUTE(SUBSTITUTE(SUBSTITUTE(SUBSTITUTE(SUBSTITUTE(SUBSTITUTE(SUBSTITUTE(SUBSTITUTE(SUBSTITUTE(SUBSTITUTE(LOWER(TRIM(D70)),"ё","е"),"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отк",TRIM(SUBSTITUTE(SUBSTITUTE(SUBSTITUTE(SUBSTITUTE(SUBSTITUTE(SUBSTITUTE(SUBSTITUTE(SUBSTITUTE(SUBSTITUTE(SUBSTITUTE(SUBSTITUTE(LOWER(TRIM(D70)),"ё","е"),"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70" s="12" t="n">
        <f aca="false">IFERROR(INDEX(Соответствие!$B$2:$B$76,MATCH(G70,Соответствие!$A$2:$A$76,0)),"?")</f>
        <v>19</v>
      </c>
      <c r="I70" s="9" t="str">
        <f aca="false">IFERROR(INDEX('Перечень должностей'!$C$2:$C$46,MATCH(H70,'Перечень должностей'!$A$2:$A$46,0)),"")</f>
        <v>п.4.3.1, п.4.3.2, п.4.4, п.5.1, п.6.2, п.15</v>
      </c>
      <c r="J70" s="12" t="n">
        <f aca="false">IFERROR(INDEX('Перечень должностей'!$D$2:$D$46,MATCH(H70,'Перечень должностей'!$A$2:$A$46,0)),12)</f>
        <v>12</v>
      </c>
      <c r="K70" s="17"/>
      <c r="L70" s="17"/>
      <c r="M70" s="16" t="str">
        <f aca="false">IF(K70="","",EDATE(IF(L70&lt;&gt;"",L70,K70),J70))</f>
        <v/>
      </c>
      <c r="N70" s="12" t="str">
        <f aca="false">IFERROR(INDEX('Перечень должностей'!$F$2:$F$46,MATCH(H70,'Перечень должностей'!$A$2:$A$46,0)),"")</f>
        <v>-</v>
      </c>
      <c r="O70" s="17"/>
      <c r="P70" s="16" t="str">
        <f aca="false">IF(O70="","",EDATE(O70,60))</f>
        <v/>
      </c>
      <c r="Q70" s="12" t="str">
        <f aca="false">IF(AND(K70&lt;&gt;"",F70&lt;&gt;"",K70&gt;F70),"ДА","")</f>
        <v/>
      </c>
      <c r="R70" s="9" t="s">
        <v>469</v>
      </c>
    </row>
    <row r="71" customFormat="false" ht="26.25" hidden="false" customHeight="true" outlineLevel="0" collapsed="false">
      <c r="A71" s="15" t="n">
        <v>70</v>
      </c>
      <c r="B71" s="12" t="s">
        <v>81</v>
      </c>
      <c r="C71" s="15" t="s">
        <v>510</v>
      </c>
      <c r="D71" s="15" t="s">
        <v>511</v>
      </c>
      <c r="E71" s="15" t="s">
        <v>466</v>
      </c>
      <c r="F71" s="16" t="n">
        <v>45425</v>
      </c>
      <c r="G71" s="5" t="str">
        <f aca="false">IF(TRIM(SUBSTITUTE(SUBSTITUTE(SUBSTITUTE(SUBSTITUTE(SUBSTITUTE(SUBSTITUTE(SUBSTITUTE(SUBSTITUTE(SUBSTITUTE(SUBSTITUTE(SUBSTITUTE(LOWER(TRIM(D71)),"ё","е"),"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категории",""))="инженер",IF(AND(ISNUMBER(SEARCH("техническ",E71)),ISNUMBER(SEARCH("контрол",E71))),"инженер отк",IF(ISNUMBER(SEARCH("диспетч",E71)),"инженер пдо",TRIM(SUBSTITUTE(SUBSTITUTE(SUBSTITUTE(SUBSTITUTE(SUBSTITUTE(SUBSTITUTE(SUBSTITUTE(SUBSTITUTE(SUBSTITUTE(SUBSTITUTE(SUBSTITUTE(LOWER(TRIM(D71)),"ё","е"),"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инженер",IF(ISNUMBER(SEARCH("диспетч",E71)),"ведущий инженер пдо",TRIM(SUBSTITUTE(SUBSTITUTE(SUBSTITUTE(SUBSTITUTE(SUBSTITUTE(SUBSTITUTE(SUBSTITUTE(SUBSTITUTE(SUBSTITUTE(SUBSTITUTE(SUBSTITUTE(LOWER(TRIM(D71)),"ё","е"),"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отк",TRIM(SUBSTITUTE(SUBSTITUTE(SUBSTITUTE(SUBSTITUTE(SUBSTITUTE(SUBSTITUTE(SUBSTITUTE(SUBSTITUTE(SUBSTITUTE(SUBSTITUTE(SUBSTITUTE(LOWER(TRIM(D71)),"ё","е"),"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71" s="12" t="n">
        <f aca="false">IFERROR(INDEX(Соответствие!$B$2:$B$76,MATCH(G71,Соответствие!$A$2:$A$76,0)),"?")</f>
        <v>19</v>
      </c>
      <c r="I71" s="9" t="str">
        <f aca="false">IFERROR(INDEX('Перечень должностей'!$C$2:$C$46,MATCH(H71,'Перечень должностей'!$A$2:$A$46,0)),"")</f>
        <v>п.4.3.1, п.4.3.2, п.4.4, п.5.1, п.6.2, п.15</v>
      </c>
      <c r="J71" s="12" t="n">
        <f aca="false">IFERROR(INDEX('Перечень должностей'!$D$2:$D$46,MATCH(H71,'Перечень должностей'!$A$2:$A$46,0)),12)</f>
        <v>12</v>
      </c>
      <c r="K71" s="17" t="n">
        <v>45461</v>
      </c>
      <c r="L71" s="17"/>
      <c r="M71" s="16" t="n">
        <f aca="false">IF(K71="","",EDATE(IF(L71&lt;&gt;"",L71,K71),J71))</f>
        <v>45826</v>
      </c>
      <c r="N71" s="12" t="str">
        <f aca="false">IFERROR(INDEX('Перечень должностей'!$F$2:$F$46,MATCH(H71,'Перечень должностей'!$A$2:$A$46,0)),"")</f>
        <v>-</v>
      </c>
      <c r="O71" s="17"/>
      <c r="P71" s="16" t="str">
        <f aca="false">IF(O71="","",EDATE(O71,60))</f>
        <v/>
      </c>
      <c r="Q71" s="12" t="str">
        <f aca="false">IF(AND(K71&lt;&gt;"",F71&lt;&gt;"",K71&gt;F71),"ДА","")</f>
        <v>ДА</v>
      </c>
      <c r="R71" s="9"/>
    </row>
    <row r="72" customFormat="false" ht="26.25" hidden="false" customHeight="true" outlineLevel="0" collapsed="false">
      <c r="A72" s="15" t="n">
        <v>71</v>
      </c>
      <c r="B72" s="12" t="s">
        <v>81</v>
      </c>
      <c r="C72" s="15" t="s">
        <v>512</v>
      </c>
      <c r="D72" s="15" t="s">
        <v>511</v>
      </c>
      <c r="E72" s="15" t="s">
        <v>466</v>
      </c>
      <c r="F72" s="16" t="n">
        <v>44368</v>
      </c>
      <c r="G72" s="5" t="str">
        <f aca="false">IF(TRIM(SUBSTITUTE(SUBSTITUTE(SUBSTITUTE(SUBSTITUTE(SUBSTITUTE(SUBSTITUTE(SUBSTITUTE(SUBSTITUTE(SUBSTITUTE(SUBSTITUTE(SUBSTITUTE(LOWER(TRIM(D72)),"ё","е"),"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категории",""))="инженер",IF(AND(ISNUMBER(SEARCH("техническ",E72)),ISNUMBER(SEARCH("контрол",E72))),"инженер отк",IF(ISNUMBER(SEARCH("диспетч",E72)),"инженер пдо",TRIM(SUBSTITUTE(SUBSTITUTE(SUBSTITUTE(SUBSTITUTE(SUBSTITUTE(SUBSTITUTE(SUBSTITUTE(SUBSTITUTE(SUBSTITUTE(SUBSTITUTE(SUBSTITUTE(LOWER(TRIM(D72)),"ё","е"),"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инженер",IF(ISNUMBER(SEARCH("диспетч",E72)),"ведущий инженер пдо",TRIM(SUBSTITUTE(SUBSTITUTE(SUBSTITUTE(SUBSTITUTE(SUBSTITUTE(SUBSTITUTE(SUBSTITUTE(SUBSTITUTE(SUBSTITUTE(SUBSTITUTE(SUBSTITUTE(LOWER(TRIM(D72)),"ё","е"),"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отк",TRIM(SUBSTITUTE(SUBSTITUTE(SUBSTITUTE(SUBSTITUTE(SUBSTITUTE(SUBSTITUTE(SUBSTITUTE(SUBSTITUTE(SUBSTITUTE(SUBSTITUTE(SUBSTITUTE(LOWER(TRIM(D72)),"ё","е"),"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72" s="12" t="n">
        <f aca="false">IFERROR(INDEX(Соответствие!$B$2:$B$76,MATCH(G72,Соответствие!$A$2:$A$76,0)),"?")</f>
        <v>19</v>
      </c>
      <c r="I72" s="9" t="str">
        <f aca="false">IFERROR(INDEX('Перечень должностей'!$C$2:$C$46,MATCH(H72,'Перечень должностей'!$A$2:$A$46,0)),"")</f>
        <v>п.4.3.1, п.4.3.2, п.4.4, п.5.1, п.6.2, п.15</v>
      </c>
      <c r="J72" s="12" t="n">
        <f aca="false">IFERROR(INDEX('Перечень должностей'!$D$2:$D$46,MATCH(H72,'Перечень должностей'!$A$2:$A$46,0)),12)</f>
        <v>12</v>
      </c>
      <c r="K72" s="17"/>
      <c r="L72" s="17"/>
      <c r="M72" s="16" t="str">
        <f aca="false">IF(K72="","",EDATE(IF(L72&lt;&gt;"",L72,K72),J72))</f>
        <v/>
      </c>
      <c r="N72" s="12" t="str">
        <f aca="false">IFERROR(INDEX('Перечень должностей'!$F$2:$F$46,MATCH(H72,'Перечень должностей'!$A$2:$A$46,0)),"")</f>
        <v>-</v>
      </c>
      <c r="O72" s="17"/>
      <c r="P72" s="16" t="str">
        <f aca="false">IF(O72="","",EDATE(O72,60))</f>
        <v/>
      </c>
      <c r="Q72" s="12" t="str">
        <f aca="false">IF(AND(K72&lt;&gt;"",F72&lt;&gt;"",K72&gt;F72),"ДА","")</f>
        <v/>
      </c>
      <c r="R72" s="9"/>
    </row>
    <row r="73" customFormat="false" ht="26.25" hidden="false" customHeight="true" outlineLevel="0" collapsed="false">
      <c r="A73" s="15" t="n">
        <v>72</v>
      </c>
      <c r="B73" s="12" t="s">
        <v>81</v>
      </c>
      <c r="C73" s="15" t="s">
        <v>513</v>
      </c>
      <c r="D73" s="15" t="s">
        <v>84</v>
      </c>
      <c r="E73" s="15" t="s">
        <v>85</v>
      </c>
      <c r="F73" s="16" t="n">
        <v>44600</v>
      </c>
      <c r="G73" s="5" t="str">
        <f aca="false">IF(TRIM(SUBSTITUTE(SUBSTITUTE(SUBSTITUTE(SUBSTITUTE(SUBSTITUTE(SUBSTITUTE(SUBSTITUTE(SUBSTITUTE(SUBSTITUTE(SUBSTITUTE(SUBSTITUTE(LOWER(TRIM(D73)),"ё","е"),"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категории",""))="инженер",IF(AND(ISNUMBER(SEARCH("техническ",E73)),ISNUMBER(SEARCH("контрол",E73))),"инженер отк",IF(ISNUMBER(SEARCH("диспетч",E73)),"инженер пдо",TRIM(SUBSTITUTE(SUBSTITUTE(SUBSTITUTE(SUBSTITUTE(SUBSTITUTE(SUBSTITUTE(SUBSTITUTE(SUBSTITUTE(SUBSTITUTE(SUBSTITUTE(SUBSTITUTE(LOWER(TRIM(D73)),"ё","е"),"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инженер",IF(ISNUMBER(SEARCH("диспетч",E73)),"ведущий инженер пдо",TRIM(SUBSTITUTE(SUBSTITUTE(SUBSTITUTE(SUBSTITUTE(SUBSTITUTE(SUBSTITUTE(SUBSTITUTE(SUBSTITUTE(SUBSTITUTE(SUBSTITUTE(SUBSTITUTE(LOWER(TRIM(D73)),"ё","е"),"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отк",TRIM(SUBSTITUTE(SUBSTITUTE(SUBSTITUTE(SUBSTITUTE(SUBSTITUTE(SUBSTITUTE(SUBSTITUTE(SUBSTITUTE(SUBSTITUTE(SUBSTITUTE(SUBSTITUTE(LOWER(TRIM(D73)),"ё","е"),"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73" s="12" t="n">
        <f aca="false">IFERROR(INDEX(Соответствие!$B$2:$B$76,MATCH(G73,Соответствие!$A$2:$A$76,0)),"?")</f>
        <v>19</v>
      </c>
      <c r="I73" s="9" t="str">
        <f aca="false">IFERROR(INDEX('Перечень должностей'!$C$2:$C$46,MATCH(H73,'Перечень должностей'!$A$2:$A$46,0)),"")</f>
        <v>п.4.3.1, п.4.3.2, п.4.4, п.5.1, п.6.2, п.15</v>
      </c>
      <c r="J73" s="12" t="n">
        <f aca="false">IFERROR(INDEX('Перечень должностей'!$D$2:$D$46,MATCH(H73,'Перечень должностей'!$A$2:$A$46,0)),12)</f>
        <v>12</v>
      </c>
      <c r="K73" s="17"/>
      <c r="L73" s="17"/>
      <c r="M73" s="16" t="str">
        <f aca="false">IF(K73="","",EDATE(IF(L73&lt;&gt;"",L73,K73),J73))</f>
        <v/>
      </c>
      <c r="N73" s="12" t="str">
        <f aca="false">IFERROR(INDEX('Перечень должностей'!$F$2:$F$46,MATCH(H73,'Перечень должностей'!$A$2:$A$46,0)),"")</f>
        <v>-</v>
      </c>
      <c r="O73" s="17"/>
      <c r="P73" s="16" t="str">
        <f aca="false">IF(O73="","",EDATE(O73,60))</f>
        <v/>
      </c>
      <c r="Q73" s="12" t="str">
        <f aca="false">IF(AND(K73&lt;&gt;"",F73&lt;&gt;"",K73&gt;F73),"ДА","")</f>
        <v/>
      </c>
      <c r="R73" s="9" t="s">
        <v>469</v>
      </c>
    </row>
    <row r="74" customFormat="false" ht="26.25" hidden="false" customHeight="true" outlineLevel="0" collapsed="false">
      <c r="A74" s="15" t="n">
        <v>73</v>
      </c>
      <c r="B74" s="12" t="s">
        <v>81</v>
      </c>
      <c r="C74" s="15" t="s">
        <v>514</v>
      </c>
      <c r="D74" s="15" t="s">
        <v>84</v>
      </c>
      <c r="E74" s="15" t="s">
        <v>85</v>
      </c>
      <c r="F74" s="16" t="n">
        <v>45873</v>
      </c>
      <c r="G74" s="5" t="str">
        <f aca="false">IF(TRIM(SUBSTITUTE(SUBSTITUTE(SUBSTITUTE(SUBSTITUTE(SUBSTITUTE(SUBSTITUTE(SUBSTITUTE(SUBSTITUTE(SUBSTITUTE(SUBSTITUTE(SUBSTITUTE(LOWER(TRIM(D74)),"ё","е"),"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категории",""))="инженер",IF(AND(ISNUMBER(SEARCH("техническ",E74)),ISNUMBER(SEARCH("контрол",E74))),"инженер отк",IF(ISNUMBER(SEARCH("диспетч",E74)),"инженер пдо",TRIM(SUBSTITUTE(SUBSTITUTE(SUBSTITUTE(SUBSTITUTE(SUBSTITUTE(SUBSTITUTE(SUBSTITUTE(SUBSTITUTE(SUBSTITUTE(SUBSTITUTE(SUBSTITUTE(LOWER(TRIM(D74)),"ё","е"),"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инженер",IF(ISNUMBER(SEARCH("диспетч",E74)),"ведущий инженер пдо",TRIM(SUBSTITUTE(SUBSTITUTE(SUBSTITUTE(SUBSTITUTE(SUBSTITUTE(SUBSTITUTE(SUBSTITUTE(SUBSTITUTE(SUBSTITUTE(SUBSTITUTE(SUBSTITUTE(LOWER(TRIM(D74)),"ё","е"),"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отк",TRIM(SUBSTITUTE(SUBSTITUTE(SUBSTITUTE(SUBSTITUTE(SUBSTITUTE(SUBSTITUTE(SUBSTITUTE(SUBSTITUTE(SUBSTITUTE(SUBSTITUTE(SUBSTITUTE(LOWER(TRIM(D74)),"ё","е"),"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74" s="12" t="n">
        <f aca="false">IFERROR(INDEX(Соответствие!$B$2:$B$76,MATCH(G74,Соответствие!$A$2:$A$76,0)),"?")</f>
        <v>19</v>
      </c>
      <c r="I74" s="9" t="str">
        <f aca="false">IFERROR(INDEX('Перечень должностей'!$C$2:$C$46,MATCH(H74,'Перечень должностей'!$A$2:$A$46,0)),"")</f>
        <v>п.4.3.1, п.4.3.2, п.4.4, п.5.1, п.6.2, п.15</v>
      </c>
      <c r="J74" s="12" t="n">
        <f aca="false">IFERROR(INDEX('Перечень должностей'!$D$2:$D$46,MATCH(H74,'Перечень должностей'!$A$2:$A$46,0)),12)</f>
        <v>12</v>
      </c>
      <c r="K74" s="17"/>
      <c r="L74" s="17"/>
      <c r="M74" s="16" t="str">
        <f aca="false">IF(K74="","",EDATE(IF(L74&lt;&gt;"",L74,K74),J74))</f>
        <v/>
      </c>
      <c r="N74" s="12" t="str">
        <f aca="false">IFERROR(INDEX('Перечень должностей'!$F$2:$F$46,MATCH(H74,'Перечень должностей'!$A$2:$A$46,0)),"")</f>
        <v>-</v>
      </c>
      <c r="O74" s="17"/>
      <c r="P74" s="16" t="str">
        <f aca="false">IF(O74="","",EDATE(O74,60))</f>
        <v/>
      </c>
      <c r="Q74" s="12" t="str">
        <f aca="false">IF(AND(K74&lt;&gt;"",F74&lt;&gt;"",K74&gt;F74),"ДА","")</f>
        <v/>
      </c>
      <c r="R74" s="9" t="s">
        <v>469</v>
      </c>
    </row>
    <row r="75" customFormat="false" ht="26.25" hidden="false" customHeight="true" outlineLevel="0" collapsed="false">
      <c r="A75" s="15" t="n">
        <v>74</v>
      </c>
      <c r="B75" s="12" t="s">
        <v>81</v>
      </c>
      <c r="C75" s="15" t="s">
        <v>515</v>
      </c>
      <c r="D75" s="15" t="s">
        <v>84</v>
      </c>
      <c r="E75" s="15" t="s">
        <v>85</v>
      </c>
      <c r="F75" s="16" t="n">
        <v>45425</v>
      </c>
      <c r="G75" s="5" t="str">
        <f aca="false">IF(TRIM(SUBSTITUTE(SUBSTITUTE(SUBSTITUTE(SUBSTITUTE(SUBSTITUTE(SUBSTITUTE(SUBSTITUTE(SUBSTITUTE(SUBSTITUTE(SUBSTITUTE(SUBSTITUTE(LOWER(TRIM(D75)),"ё","е"),"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категории",""))="инженер",IF(AND(ISNUMBER(SEARCH("техническ",E75)),ISNUMBER(SEARCH("контрол",E75))),"инженер отк",IF(ISNUMBER(SEARCH("диспетч",E75)),"инженер пдо",TRIM(SUBSTITUTE(SUBSTITUTE(SUBSTITUTE(SUBSTITUTE(SUBSTITUTE(SUBSTITUTE(SUBSTITUTE(SUBSTITUTE(SUBSTITUTE(SUBSTITUTE(SUBSTITUTE(LOWER(TRIM(D75)),"ё","е"),"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инженер",IF(ISNUMBER(SEARCH("диспетч",E75)),"ведущий инженер пдо",TRIM(SUBSTITUTE(SUBSTITUTE(SUBSTITUTE(SUBSTITUTE(SUBSTITUTE(SUBSTITUTE(SUBSTITUTE(SUBSTITUTE(SUBSTITUTE(SUBSTITUTE(SUBSTITUTE(LOWER(TRIM(D75)),"ё","е"),"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отк",TRIM(SUBSTITUTE(SUBSTITUTE(SUBSTITUTE(SUBSTITUTE(SUBSTITUTE(SUBSTITUTE(SUBSTITUTE(SUBSTITUTE(SUBSTITUTE(SUBSTITUTE(SUBSTITUTE(LOWER(TRIM(D75)),"ё","е"),"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75" s="12" t="n">
        <f aca="false">IFERROR(INDEX(Соответствие!$B$2:$B$76,MATCH(G75,Соответствие!$A$2:$A$76,0)),"?")</f>
        <v>19</v>
      </c>
      <c r="I75" s="9" t="str">
        <f aca="false">IFERROR(INDEX('Перечень должностей'!$C$2:$C$46,MATCH(H75,'Перечень должностей'!$A$2:$A$46,0)),"")</f>
        <v>п.4.3.1, п.4.3.2, п.4.4, п.5.1, п.6.2, п.15</v>
      </c>
      <c r="J75" s="12" t="n">
        <f aca="false">IFERROR(INDEX('Перечень должностей'!$D$2:$D$46,MATCH(H75,'Перечень должностей'!$A$2:$A$46,0)),12)</f>
        <v>12</v>
      </c>
      <c r="K75" s="17"/>
      <c r="L75" s="17"/>
      <c r="M75" s="16" t="str">
        <f aca="false">IF(K75="","",EDATE(IF(L75&lt;&gt;"",L75,K75),J75))</f>
        <v/>
      </c>
      <c r="N75" s="12" t="str">
        <f aca="false">IFERROR(INDEX('Перечень должностей'!$F$2:$F$46,MATCH(H75,'Перечень должностей'!$A$2:$A$46,0)),"")</f>
        <v>-</v>
      </c>
      <c r="O75" s="17"/>
      <c r="P75" s="16" t="str">
        <f aca="false">IF(O75="","",EDATE(O75,60))</f>
        <v/>
      </c>
      <c r="Q75" s="12" t="str">
        <f aca="false">IF(AND(K75&lt;&gt;"",F75&lt;&gt;"",K75&gt;F75),"ДА","")</f>
        <v/>
      </c>
      <c r="R75" s="9" t="s">
        <v>469</v>
      </c>
    </row>
    <row r="76" customFormat="false" ht="26.25" hidden="false" customHeight="true" outlineLevel="0" collapsed="false">
      <c r="A76" s="15" t="n">
        <v>75</v>
      </c>
      <c r="B76" s="12" t="s">
        <v>81</v>
      </c>
      <c r="C76" s="15" t="s">
        <v>516</v>
      </c>
      <c r="D76" s="15" t="s">
        <v>84</v>
      </c>
      <c r="E76" s="15" t="s">
        <v>85</v>
      </c>
      <c r="F76" s="16" t="n">
        <v>45917</v>
      </c>
      <c r="G76" s="5" t="str">
        <f aca="false">IF(TRIM(SUBSTITUTE(SUBSTITUTE(SUBSTITUTE(SUBSTITUTE(SUBSTITUTE(SUBSTITUTE(SUBSTITUTE(SUBSTITUTE(SUBSTITUTE(SUBSTITUTE(SUBSTITUTE(LOWER(TRIM(D76)),"ё","е"),"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категории",""))="инженер",IF(AND(ISNUMBER(SEARCH("техническ",E76)),ISNUMBER(SEARCH("контрол",E76))),"инженер отк",IF(ISNUMBER(SEARCH("диспетч",E76)),"инженер пдо",TRIM(SUBSTITUTE(SUBSTITUTE(SUBSTITUTE(SUBSTITUTE(SUBSTITUTE(SUBSTITUTE(SUBSTITUTE(SUBSTITUTE(SUBSTITUTE(SUBSTITUTE(SUBSTITUTE(LOWER(TRIM(D76)),"ё","е"),"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инженер",IF(ISNUMBER(SEARCH("диспетч",E76)),"ведущий инженер пдо",TRIM(SUBSTITUTE(SUBSTITUTE(SUBSTITUTE(SUBSTITUTE(SUBSTITUTE(SUBSTITUTE(SUBSTITUTE(SUBSTITUTE(SUBSTITUTE(SUBSTITUTE(SUBSTITUTE(LOWER(TRIM(D76)),"ё","е"),"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отк",TRIM(SUBSTITUTE(SUBSTITUTE(SUBSTITUTE(SUBSTITUTE(SUBSTITUTE(SUBSTITUTE(SUBSTITUTE(SUBSTITUTE(SUBSTITUTE(SUBSTITUTE(SUBSTITUTE(LOWER(TRIM(D76)),"ё","е"),"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76" s="12" t="n">
        <f aca="false">IFERROR(INDEX(Соответствие!$B$2:$B$76,MATCH(G76,Соответствие!$A$2:$A$76,0)),"?")</f>
        <v>19</v>
      </c>
      <c r="I76" s="9" t="str">
        <f aca="false">IFERROR(INDEX('Перечень должностей'!$C$2:$C$46,MATCH(H76,'Перечень должностей'!$A$2:$A$46,0)),"")</f>
        <v>п.4.3.1, п.4.3.2, п.4.4, п.5.1, п.6.2, п.15</v>
      </c>
      <c r="J76" s="12" t="n">
        <f aca="false">IFERROR(INDEX('Перечень должностей'!$D$2:$D$46,MATCH(H76,'Перечень должностей'!$A$2:$A$46,0)),12)</f>
        <v>12</v>
      </c>
      <c r="K76" s="17" t="n">
        <v>45909</v>
      </c>
      <c r="L76" s="17"/>
      <c r="M76" s="16" t="n">
        <f aca="false">IF(K76="","",EDATE(IF(L76&lt;&gt;"",L76,K76),J76))</f>
        <v>46274</v>
      </c>
      <c r="N76" s="12" t="str">
        <f aca="false">IFERROR(INDEX('Перечень должностей'!$F$2:$F$46,MATCH(H76,'Перечень должностей'!$A$2:$A$46,0)),"")</f>
        <v>-</v>
      </c>
      <c r="O76" s="17"/>
      <c r="P76" s="16" t="str">
        <f aca="false">IF(O76="","",EDATE(O76,60))</f>
        <v/>
      </c>
      <c r="Q76" s="12" t="str">
        <f aca="false">IF(AND(K76&lt;&gt;"",F76&lt;&gt;"",K76&gt;F76),"ДА","")</f>
        <v/>
      </c>
      <c r="R76" s="9" t="s">
        <v>469</v>
      </c>
    </row>
    <row r="77" customFormat="false" ht="26.25" hidden="false" customHeight="true" outlineLevel="0" collapsed="false">
      <c r="A77" s="15" t="n">
        <v>76</v>
      </c>
      <c r="B77" s="12" t="s">
        <v>81</v>
      </c>
      <c r="C77" s="15" t="s">
        <v>517</v>
      </c>
      <c r="D77" s="15" t="s">
        <v>84</v>
      </c>
      <c r="E77" s="15" t="s">
        <v>85</v>
      </c>
      <c r="F77" s="16" t="n">
        <v>44378</v>
      </c>
      <c r="G77" s="5" t="str">
        <f aca="false">IF(TRIM(SUBSTITUTE(SUBSTITUTE(SUBSTITUTE(SUBSTITUTE(SUBSTITUTE(SUBSTITUTE(SUBSTITUTE(SUBSTITUTE(SUBSTITUTE(SUBSTITUTE(SUBSTITUTE(LOWER(TRIM(D77)),"ё","е"),"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категории",""))="инженер",IF(AND(ISNUMBER(SEARCH("техническ",E77)),ISNUMBER(SEARCH("контрол",E77))),"инженер отк",IF(ISNUMBER(SEARCH("диспетч",E77)),"инженер пдо",TRIM(SUBSTITUTE(SUBSTITUTE(SUBSTITUTE(SUBSTITUTE(SUBSTITUTE(SUBSTITUTE(SUBSTITUTE(SUBSTITUTE(SUBSTITUTE(SUBSTITUTE(SUBSTITUTE(LOWER(TRIM(D77)),"ё","е"),"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инженер",IF(ISNUMBER(SEARCH("диспетч",E77)),"ведущий инженер пдо",TRIM(SUBSTITUTE(SUBSTITUTE(SUBSTITUTE(SUBSTITUTE(SUBSTITUTE(SUBSTITUTE(SUBSTITUTE(SUBSTITUTE(SUBSTITUTE(SUBSTITUTE(SUBSTITUTE(LOWER(TRIM(D77)),"ё","е"),"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отк",TRIM(SUBSTITUTE(SUBSTITUTE(SUBSTITUTE(SUBSTITUTE(SUBSTITUTE(SUBSTITUTE(SUBSTITUTE(SUBSTITUTE(SUBSTITUTE(SUBSTITUTE(SUBSTITUTE(LOWER(TRIM(D77)),"ё","е"),"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77" s="12" t="n">
        <f aca="false">IFERROR(INDEX(Соответствие!$B$2:$B$76,MATCH(G77,Соответствие!$A$2:$A$76,0)),"?")</f>
        <v>19</v>
      </c>
      <c r="I77" s="9" t="str">
        <f aca="false">IFERROR(INDEX('Перечень должностей'!$C$2:$C$46,MATCH(H77,'Перечень должностей'!$A$2:$A$46,0)),"")</f>
        <v>п.4.3.1, п.4.3.2, п.4.4, п.5.1, п.6.2, п.15</v>
      </c>
      <c r="J77" s="12" t="n">
        <f aca="false">IFERROR(INDEX('Перечень должностей'!$D$2:$D$46,MATCH(H77,'Перечень должностей'!$A$2:$A$46,0)),12)</f>
        <v>12</v>
      </c>
      <c r="K77" s="17"/>
      <c r="L77" s="17"/>
      <c r="M77" s="16" t="str">
        <f aca="false">IF(K77="","",EDATE(IF(L77&lt;&gt;"",L77,K77),J77))</f>
        <v/>
      </c>
      <c r="N77" s="12" t="str">
        <f aca="false">IFERROR(INDEX('Перечень должностей'!$F$2:$F$46,MATCH(H77,'Перечень должностей'!$A$2:$A$46,0)),"")</f>
        <v>-</v>
      </c>
      <c r="O77" s="17"/>
      <c r="P77" s="16" t="str">
        <f aca="false">IF(O77="","",EDATE(O77,60))</f>
        <v/>
      </c>
      <c r="Q77" s="12" t="str">
        <f aca="false">IF(AND(K77&lt;&gt;"",F77&lt;&gt;"",K77&gt;F77),"ДА","")</f>
        <v/>
      </c>
      <c r="R77" s="9" t="s">
        <v>469</v>
      </c>
    </row>
    <row r="78" customFormat="false" ht="26.25" hidden="false" customHeight="true" outlineLevel="0" collapsed="false">
      <c r="A78" s="15" t="n">
        <v>77</v>
      </c>
      <c r="B78" s="12" t="s">
        <v>81</v>
      </c>
      <c r="C78" s="15" t="s">
        <v>518</v>
      </c>
      <c r="D78" s="15" t="s">
        <v>84</v>
      </c>
      <c r="E78" s="15" t="s">
        <v>85</v>
      </c>
      <c r="F78" s="16" t="n">
        <v>44789</v>
      </c>
      <c r="G78" s="5" t="str">
        <f aca="false">IF(TRIM(SUBSTITUTE(SUBSTITUTE(SUBSTITUTE(SUBSTITUTE(SUBSTITUTE(SUBSTITUTE(SUBSTITUTE(SUBSTITUTE(SUBSTITUTE(SUBSTITUTE(SUBSTITUTE(LOWER(TRIM(D78)),"ё","е"),"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категории",""))="инженер",IF(AND(ISNUMBER(SEARCH("техническ",E78)),ISNUMBER(SEARCH("контрол",E78))),"инженер отк",IF(ISNUMBER(SEARCH("диспетч",E78)),"инженер пдо",TRIM(SUBSTITUTE(SUBSTITUTE(SUBSTITUTE(SUBSTITUTE(SUBSTITUTE(SUBSTITUTE(SUBSTITUTE(SUBSTITUTE(SUBSTITUTE(SUBSTITUTE(SUBSTITUTE(LOWER(TRIM(D78)),"ё","е"),"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инженер",IF(ISNUMBER(SEARCH("диспетч",E78)),"ведущий инженер пдо",TRIM(SUBSTITUTE(SUBSTITUTE(SUBSTITUTE(SUBSTITUTE(SUBSTITUTE(SUBSTITUTE(SUBSTITUTE(SUBSTITUTE(SUBSTITUTE(SUBSTITUTE(SUBSTITUTE(LOWER(TRIM(D78)),"ё","е"),"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отк",TRIM(SUBSTITUTE(SUBSTITUTE(SUBSTITUTE(SUBSTITUTE(SUBSTITUTE(SUBSTITUTE(SUBSTITUTE(SUBSTITUTE(SUBSTITUTE(SUBSTITUTE(SUBSTITUTE(LOWER(TRIM(D78)),"ё","е"),"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78" s="12" t="n">
        <f aca="false">IFERROR(INDEX(Соответствие!$B$2:$B$76,MATCH(G78,Соответствие!$A$2:$A$76,0)),"?")</f>
        <v>19</v>
      </c>
      <c r="I78" s="9" t="str">
        <f aca="false">IFERROR(INDEX('Перечень должностей'!$C$2:$C$46,MATCH(H78,'Перечень должностей'!$A$2:$A$46,0)),"")</f>
        <v>п.4.3.1, п.4.3.2, п.4.4, п.5.1, п.6.2, п.15</v>
      </c>
      <c r="J78" s="12" t="n">
        <f aca="false">IFERROR(INDEX('Перечень должностей'!$D$2:$D$46,MATCH(H78,'Перечень должностей'!$A$2:$A$46,0)),12)</f>
        <v>12</v>
      </c>
      <c r="K78" s="17"/>
      <c r="L78" s="17"/>
      <c r="M78" s="16" t="str">
        <f aca="false">IF(K78="","",EDATE(IF(L78&lt;&gt;"",L78,K78),J78))</f>
        <v/>
      </c>
      <c r="N78" s="12" t="str">
        <f aca="false">IFERROR(INDEX('Перечень должностей'!$F$2:$F$46,MATCH(H78,'Перечень должностей'!$A$2:$A$46,0)),"")</f>
        <v>-</v>
      </c>
      <c r="O78" s="17"/>
      <c r="P78" s="16" t="str">
        <f aca="false">IF(O78="","",EDATE(O78,60))</f>
        <v/>
      </c>
      <c r="Q78" s="12" t="str">
        <f aca="false">IF(AND(K78&lt;&gt;"",F78&lt;&gt;"",K78&gt;F78),"ДА","")</f>
        <v/>
      </c>
      <c r="R78" s="9" t="s">
        <v>469</v>
      </c>
    </row>
    <row r="79" customFormat="false" ht="26.25" hidden="false" customHeight="true" outlineLevel="0" collapsed="false">
      <c r="A79" s="15" t="n">
        <v>78</v>
      </c>
      <c r="B79" s="12" t="s">
        <v>81</v>
      </c>
      <c r="C79" s="15" t="s">
        <v>519</v>
      </c>
      <c r="D79" s="15" t="s">
        <v>84</v>
      </c>
      <c r="E79" s="15" t="s">
        <v>85</v>
      </c>
      <c r="F79" s="16" t="n">
        <v>44153</v>
      </c>
      <c r="G79" s="5" t="str">
        <f aca="false">IF(TRIM(SUBSTITUTE(SUBSTITUTE(SUBSTITUTE(SUBSTITUTE(SUBSTITUTE(SUBSTITUTE(SUBSTITUTE(SUBSTITUTE(SUBSTITUTE(SUBSTITUTE(SUBSTITUTE(LOWER(TRIM(D79)),"ё","е"),"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категории",""))="инженер",IF(AND(ISNUMBER(SEARCH("техническ",E79)),ISNUMBER(SEARCH("контрол",E79))),"инженер отк",IF(ISNUMBER(SEARCH("диспетч",E79)),"инженер пдо",TRIM(SUBSTITUTE(SUBSTITUTE(SUBSTITUTE(SUBSTITUTE(SUBSTITUTE(SUBSTITUTE(SUBSTITUTE(SUBSTITUTE(SUBSTITUTE(SUBSTITUTE(SUBSTITUTE(LOWER(TRIM(D79)),"ё","е"),"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инженер",IF(ISNUMBER(SEARCH("диспетч",E79)),"ведущий инженер пдо",TRIM(SUBSTITUTE(SUBSTITUTE(SUBSTITUTE(SUBSTITUTE(SUBSTITUTE(SUBSTITUTE(SUBSTITUTE(SUBSTITUTE(SUBSTITUTE(SUBSTITUTE(SUBSTITUTE(LOWER(TRIM(D79)),"ё","е"),"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отк",TRIM(SUBSTITUTE(SUBSTITUTE(SUBSTITUTE(SUBSTITUTE(SUBSTITUTE(SUBSTITUTE(SUBSTITUTE(SUBSTITUTE(SUBSTITUTE(SUBSTITUTE(SUBSTITUTE(LOWER(TRIM(D79)),"ё","е"),"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79" s="12" t="n">
        <f aca="false">IFERROR(INDEX(Соответствие!$B$2:$B$76,MATCH(G79,Соответствие!$A$2:$A$76,0)),"?")</f>
        <v>19</v>
      </c>
      <c r="I79" s="9" t="str">
        <f aca="false">IFERROR(INDEX('Перечень должностей'!$C$2:$C$46,MATCH(H79,'Перечень должностей'!$A$2:$A$46,0)),"")</f>
        <v>п.4.3.1, п.4.3.2, п.4.4, п.5.1, п.6.2, п.15</v>
      </c>
      <c r="J79" s="12" t="n">
        <f aca="false">IFERROR(INDEX('Перечень должностей'!$D$2:$D$46,MATCH(H79,'Перечень должностей'!$A$2:$A$46,0)),12)</f>
        <v>12</v>
      </c>
      <c r="K79" s="17"/>
      <c r="L79" s="17"/>
      <c r="M79" s="16" t="str">
        <f aca="false">IF(K79="","",EDATE(IF(L79&lt;&gt;"",L79,K79),J79))</f>
        <v/>
      </c>
      <c r="N79" s="12" t="str">
        <f aca="false">IFERROR(INDEX('Перечень должностей'!$F$2:$F$46,MATCH(H79,'Перечень должностей'!$A$2:$A$46,0)),"")</f>
        <v>-</v>
      </c>
      <c r="O79" s="17"/>
      <c r="P79" s="16" t="str">
        <f aca="false">IF(O79="","",EDATE(O79,60))</f>
        <v/>
      </c>
      <c r="Q79" s="12" t="str">
        <f aca="false">IF(AND(K79&lt;&gt;"",F79&lt;&gt;"",K79&gt;F79),"ДА","")</f>
        <v/>
      </c>
      <c r="R79" s="9" t="s">
        <v>469</v>
      </c>
    </row>
    <row r="80" customFormat="false" ht="26.25" hidden="false" customHeight="true" outlineLevel="0" collapsed="false">
      <c r="A80" s="15" t="n">
        <v>79</v>
      </c>
      <c r="B80" s="12" t="s">
        <v>81</v>
      </c>
      <c r="C80" s="15" t="s">
        <v>520</v>
      </c>
      <c r="D80" s="15" t="s">
        <v>84</v>
      </c>
      <c r="E80" s="15" t="s">
        <v>85</v>
      </c>
      <c r="F80" s="16" t="n">
        <v>45873</v>
      </c>
      <c r="G80" s="5" t="str">
        <f aca="false">IF(TRIM(SUBSTITUTE(SUBSTITUTE(SUBSTITUTE(SUBSTITUTE(SUBSTITUTE(SUBSTITUTE(SUBSTITUTE(SUBSTITUTE(SUBSTITUTE(SUBSTITUTE(SUBSTITUTE(LOWER(TRIM(D80)),"ё","е"),"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категории",""))="инженер",IF(AND(ISNUMBER(SEARCH("техническ",E80)),ISNUMBER(SEARCH("контрол",E80))),"инженер отк",IF(ISNUMBER(SEARCH("диспетч",E80)),"инженер пдо",TRIM(SUBSTITUTE(SUBSTITUTE(SUBSTITUTE(SUBSTITUTE(SUBSTITUTE(SUBSTITUTE(SUBSTITUTE(SUBSTITUTE(SUBSTITUTE(SUBSTITUTE(SUBSTITUTE(LOWER(TRIM(D80)),"ё","е"),"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инженер",IF(ISNUMBER(SEARCH("диспетч",E80)),"ведущий инженер пдо",TRIM(SUBSTITUTE(SUBSTITUTE(SUBSTITUTE(SUBSTITUTE(SUBSTITUTE(SUBSTITUTE(SUBSTITUTE(SUBSTITUTE(SUBSTITUTE(SUBSTITUTE(SUBSTITUTE(LOWER(TRIM(D80)),"ё","е"),"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отк",TRIM(SUBSTITUTE(SUBSTITUTE(SUBSTITUTE(SUBSTITUTE(SUBSTITUTE(SUBSTITUTE(SUBSTITUTE(SUBSTITUTE(SUBSTITUTE(SUBSTITUTE(SUBSTITUTE(LOWER(TRIM(D80)),"ё","е"),"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80" s="12" t="n">
        <f aca="false">IFERROR(INDEX(Соответствие!$B$2:$B$76,MATCH(G80,Соответствие!$A$2:$A$76,0)),"?")</f>
        <v>19</v>
      </c>
      <c r="I80" s="9" t="str">
        <f aca="false">IFERROR(INDEX('Перечень должностей'!$C$2:$C$46,MATCH(H80,'Перечень должностей'!$A$2:$A$46,0)),"")</f>
        <v>п.4.3.1, п.4.3.2, п.4.4, п.5.1, п.6.2, п.15</v>
      </c>
      <c r="J80" s="12" t="n">
        <f aca="false">IFERROR(INDEX('Перечень должностей'!$D$2:$D$46,MATCH(H80,'Перечень должностей'!$A$2:$A$46,0)),12)</f>
        <v>12</v>
      </c>
      <c r="K80" s="17"/>
      <c r="L80" s="17"/>
      <c r="M80" s="16" t="str">
        <f aca="false">IF(K80="","",EDATE(IF(L80&lt;&gt;"",L80,K80),J80))</f>
        <v/>
      </c>
      <c r="N80" s="12" t="str">
        <f aca="false">IFERROR(INDEX('Перечень должностей'!$F$2:$F$46,MATCH(H80,'Перечень должностей'!$A$2:$A$46,0)),"")</f>
        <v>-</v>
      </c>
      <c r="O80" s="17"/>
      <c r="P80" s="16" t="str">
        <f aca="false">IF(O80="","",EDATE(O80,60))</f>
        <v/>
      </c>
      <c r="Q80" s="12" t="str">
        <f aca="false">IF(AND(K80&lt;&gt;"",F80&lt;&gt;"",K80&gt;F80),"ДА","")</f>
        <v/>
      </c>
      <c r="R80" s="9" t="s">
        <v>469</v>
      </c>
    </row>
    <row r="81" customFormat="false" ht="26.25" hidden="false" customHeight="true" outlineLevel="0" collapsed="false">
      <c r="A81" s="15" t="n">
        <v>80</v>
      </c>
      <c r="B81" s="12" t="s">
        <v>81</v>
      </c>
      <c r="C81" s="15" t="s">
        <v>521</v>
      </c>
      <c r="D81" s="15" t="s">
        <v>84</v>
      </c>
      <c r="E81" s="15" t="s">
        <v>85</v>
      </c>
      <c r="F81" s="16" t="n">
        <v>45425</v>
      </c>
      <c r="G81" s="5" t="str">
        <f aca="false">IF(TRIM(SUBSTITUTE(SUBSTITUTE(SUBSTITUTE(SUBSTITUTE(SUBSTITUTE(SUBSTITUTE(SUBSTITUTE(SUBSTITUTE(SUBSTITUTE(SUBSTITUTE(SUBSTITUTE(LOWER(TRIM(D81)),"ё","е"),"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категории",""))="инженер",IF(AND(ISNUMBER(SEARCH("техническ",E81)),ISNUMBER(SEARCH("контрол",E81))),"инженер отк",IF(ISNUMBER(SEARCH("диспетч",E81)),"инженер пдо",TRIM(SUBSTITUTE(SUBSTITUTE(SUBSTITUTE(SUBSTITUTE(SUBSTITUTE(SUBSTITUTE(SUBSTITUTE(SUBSTITUTE(SUBSTITUTE(SUBSTITUTE(SUBSTITUTE(LOWER(TRIM(D81)),"ё","е"),"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инженер",IF(ISNUMBER(SEARCH("диспетч",E81)),"ведущий инженер пдо",TRIM(SUBSTITUTE(SUBSTITUTE(SUBSTITUTE(SUBSTITUTE(SUBSTITUTE(SUBSTITUTE(SUBSTITUTE(SUBSTITUTE(SUBSTITUTE(SUBSTITUTE(SUBSTITUTE(LOWER(TRIM(D81)),"ё","е"),"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отк",TRIM(SUBSTITUTE(SUBSTITUTE(SUBSTITUTE(SUBSTITUTE(SUBSTITUTE(SUBSTITUTE(SUBSTITUTE(SUBSTITUTE(SUBSTITUTE(SUBSTITUTE(SUBSTITUTE(LOWER(TRIM(D81)),"ё","е"),"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81" s="12" t="n">
        <f aca="false">IFERROR(INDEX(Соответствие!$B$2:$B$76,MATCH(G81,Соответствие!$A$2:$A$76,0)),"?")</f>
        <v>19</v>
      </c>
      <c r="I81" s="9" t="str">
        <f aca="false">IFERROR(INDEX('Перечень должностей'!$C$2:$C$46,MATCH(H81,'Перечень должностей'!$A$2:$A$46,0)),"")</f>
        <v>п.4.3.1, п.4.3.2, п.4.4, п.5.1, п.6.2, п.15</v>
      </c>
      <c r="J81" s="12" t="n">
        <f aca="false">IFERROR(INDEX('Перечень должностей'!$D$2:$D$46,MATCH(H81,'Перечень должностей'!$A$2:$A$46,0)),12)</f>
        <v>12</v>
      </c>
      <c r="K81" s="17"/>
      <c r="L81" s="17"/>
      <c r="M81" s="16" t="str">
        <f aca="false">IF(K81="","",EDATE(IF(L81&lt;&gt;"",L81,K81),J81))</f>
        <v/>
      </c>
      <c r="N81" s="12" t="str">
        <f aca="false">IFERROR(INDEX('Перечень должностей'!$F$2:$F$46,MATCH(H81,'Перечень должностей'!$A$2:$A$46,0)),"")</f>
        <v>-</v>
      </c>
      <c r="O81" s="17"/>
      <c r="P81" s="16" t="str">
        <f aca="false">IF(O81="","",EDATE(O81,60))</f>
        <v/>
      </c>
      <c r="Q81" s="12" t="str">
        <f aca="false">IF(AND(K81&lt;&gt;"",F81&lt;&gt;"",K81&gt;F81),"ДА","")</f>
        <v/>
      </c>
      <c r="R81" s="9" t="s">
        <v>469</v>
      </c>
    </row>
    <row r="82" customFormat="false" ht="26.25" hidden="false" customHeight="true" outlineLevel="0" collapsed="false">
      <c r="A82" s="15" t="n">
        <v>81</v>
      </c>
      <c r="B82" s="12" t="s">
        <v>81</v>
      </c>
      <c r="C82" s="15" t="s">
        <v>522</v>
      </c>
      <c r="D82" s="15" t="s">
        <v>523</v>
      </c>
      <c r="E82" s="15" t="s">
        <v>466</v>
      </c>
      <c r="F82" s="16" t="n">
        <v>42121</v>
      </c>
      <c r="G82" s="5" t="str">
        <f aca="false">IF(TRIM(SUBSTITUTE(SUBSTITUTE(SUBSTITUTE(SUBSTITUTE(SUBSTITUTE(SUBSTITUTE(SUBSTITUTE(SUBSTITUTE(SUBSTITUTE(SUBSTITUTE(SUBSTITUTE(LOWER(TRIM(D82)),"ё","е"),"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категории",""))="инженер",IF(AND(ISNUMBER(SEARCH("техническ",E82)),ISNUMBER(SEARCH("контрол",E82))),"инженер отк",IF(ISNUMBER(SEARCH("диспетч",E82)),"инженер пдо",TRIM(SUBSTITUTE(SUBSTITUTE(SUBSTITUTE(SUBSTITUTE(SUBSTITUTE(SUBSTITUTE(SUBSTITUTE(SUBSTITUTE(SUBSTITUTE(SUBSTITUTE(SUBSTITUTE(LOWER(TRIM(D82)),"ё","е"),"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инженер",IF(ISNUMBER(SEARCH("диспетч",E82)),"ведущий инженер пдо",TRIM(SUBSTITUTE(SUBSTITUTE(SUBSTITUTE(SUBSTITUTE(SUBSTITUTE(SUBSTITUTE(SUBSTITUTE(SUBSTITUTE(SUBSTITUTE(SUBSTITUTE(SUBSTITUTE(LOWER(TRIM(D82)),"ё","е"),"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отк",TRIM(SUBSTITUTE(SUBSTITUTE(SUBSTITUTE(SUBSTITUTE(SUBSTITUTE(SUBSTITUTE(SUBSTITUTE(SUBSTITUTE(SUBSTITUTE(SUBSTITUTE(SUBSTITUTE(LOWER(TRIM(D82)),"ё","е")," -","-"),"- ","-")," 2 разряда","")," 3 разряда","")," 4 разряда","")," 5 разряда","")," 6 разряда","")," 1 категории","")," 2 категории","")," 3 категории","")))))</f>
        <v>мастер участка сборки интерьера</v>
      </c>
      <c r="H82" s="12" t="n">
        <f aca="false">IFERROR(INDEX(Соответствие!$B$2:$B$76,MATCH(G82,Соответствие!$A$2:$A$76,0)),"?")</f>
        <v>18</v>
      </c>
      <c r="I82" s="9" t="str">
        <f aca="false">IFERROR(INDEX('Перечень должностей'!$C$2:$C$46,MATCH(H82,'Перечень должностей'!$A$2:$A$46,0)),"")</f>
        <v>п.4.4, п.5.1, п.5.2</v>
      </c>
      <c r="J82" s="12" t="n">
        <f aca="false">IFERROR(INDEX('Перечень должностей'!$D$2:$D$46,MATCH(H82,'Перечень должностей'!$A$2:$A$46,0)),12)</f>
        <v>12</v>
      </c>
      <c r="K82" s="17"/>
      <c r="L82" s="17"/>
      <c r="M82" s="16" t="str">
        <f aca="false">IF(K82="","",EDATE(IF(L82&lt;&gt;"",L82,K82),J82))</f>
        <v/>
      </c>
      <c r="N82" s="12" t="str">
        <f aca="false">IFERROR(INDEX('Перечень должностей'!$F$2:$F$46,MATCH(H82,'Перечень должностей'!$A$2:$A$46,0)),"")</f>
        <v>-</v>
      </c>
      <c r="O82" s="17"/>
      <c r="P82" s="16" t="str">
        <f aca="false">IF(O82="","",EDATE(O82,60))</f>
        <v/>
      </c>
      <c r="Q82" s="12" t="str">
        <f aca="false">IF(AND(K82&lt;&gt;"",F82&lt;&gt;"",K82&gt;F82),"ДА","")</f>
        <v/>
      </c>
      <c r="R82" s="9"/>
    </row>
    <row r="83" customFormat="false" ht="23.25" hidden="false" customHeight="true" outlineLevel="0" collapsed="false">
      <c r="A83" s="15" t="n">
        <v>82</v>
      </c>
      <c r="B83" s="12" t="s">
        <v>81</v>
      </c>
      <c r="C83" s="15" t="s">
        <v>524</v>
      </c>
      <c r="D83" s="15" t="s">
        <v>60</v>
      </c>
      <c r="E83" s="15" t="s">
        <v>85</v>
      </c>
      <c r="F83" s="16" t="n">
        <v>45700</v>
      </c>
      <c r="G83" s="5" t="str">
        <f aca="false">IF(TRIM(SUBSTITUTE(SUBSTITUTE(SUBSTITUTE(SUBSTITUTE(SUBSTITUTE(SUBSTITUTE(SUBSTITUTE(SUBSTITUTE(SUBSTITUTE(SUBSTITUTE(SUBSTITUTE(LOWER(TRIM(D83)),"ё","е"),"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категории",""))="инженер",IF(AND(ISNUMBER(SEARCH("техническ",E83)),ISNUMBER(SEARCH("контрол",E83))),"инженер отк",IF(ISNUMBER(SEARCH("диспетч",E83)),"инженер пдо",TRIM(SUBSTITUTE(SUBSTITUTE(SUBSTITUTE(SUBSTITUTE(SUBSTITUTE(SUBSTITUTE(SUBSTITUTE(SUBSTITUTE(SUBSTITUTE(SUBSTITUTE(SUBSTITUTE(LOWER(TRIM(D83)),"ё","е"),"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инженер",IF(ISNUMBER(SEARCH("диспетч",E83)),"ведущий инженер пдо",TRIM(SUBSTITUTE(SUBSTITUTE(SUBSTITUTE(SUBSTITUTE(SUBSTITUTE(SUBSTITUTE(SUBSTITUTE(SUBSTITUTE(SUBSTITUTE(SUBSTITUTE(SUBSTITUTE(LOWER(TRIM(D83)),"ё","е"),"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отк",TRIM(SUBSTITUTE(SUBSTITUTE(SUBSTITUTE(SUBSTITUTE(SUBSTITUTE(SUBSTITUTE(SUBSTITUTE(SUBSTITUTE(SUBSTITUTE(SUBSTITUTE(SUBSTITUTE(LOWER(TRIM(D83)),"ё","е")," -","-"),"- ","-")," 2 разряда","")," 3 разряда","")," 4 разряда","")," 5 разряда","")," 6 разряда","")," 1 категории","")," 2 категории","")," 3 категории","")))))</f>
        <v>мастер участка</v>
      </c>
      <c r="H83" s="12" t="n">
        <f aca="false">IFERROR(INDEX(Соответствие!$B$2:$B$76,MATCH(G83,Соответствие!$A$2:$A$76,0)),"?")</f>
        <v>18</v>
      </c>
      <c r="I83" s="9" t="str">
        <f aca="false">IFERROR(INDEX('Перечень должностей'!$C$2:$C$46,MATCH(H83,'Перечень должностей'!$A$2:$A$46,0)),"")</f>
        <v>п.4.4, п.5.1, п.5.2</v>
      </c>
      <c r="J83" s="12" t="n">
        <f aca="false">IFERROR(INDEX('Перечень должностей'!$D$2:$D$46,MATCH(H83,'Перечень должностей'!$A$2:$A$46,0)),12)</f>
        <v>12</v>
      </c>
      <c r="K83" s="17"/>
      <c r="L83" s="17"/>
      <c r="M83" s="16" t="str">
        <f aca="false">IF(K83="","",EDATE(IF(L83&lt;&gt;"",L83,K83),J83))</f>
        <v/>
      </c>
      <c r="N83" s="12" t="str">
        <f aca="false">IFERROR(INDEX('Перечень должностей'!$F$2:$F$46,MATCH(H83,'Перечень должностей'!$A$2:$A$46,0)),"")</f>
        <v>-</v>
      </c>
      <c r="O83" s="17"/>
      <c r="P83" s="16" t="str">
        <f aca="false">IF(O83="","",EDATE(O83,60))</f>
        <v/>
      </c>
      <c r="Q83" s="12" t="str">
        <f aca="false">IF(AND(K83&lt;&gt;"",F83&lt;&gt;"",K83&gt;F83),"ДА","")</f>
        <v/>
      </c>
      <c r="R83" s="9" t="s">
        <v>525</v>
      </c>
    </row>
    <row r="84" customFormat="false" ht="23.25" hidden="false" customHeight="true" outlineLevel="0" collapsed="false">
      <c r="A84" s="15" t="n">
        <v>83</v>
      </c>
      <c r="B84" s="12" t="s">
        <v>81</v>
      </c>
      <c r="C84" s="15" t="s">
        <v>526</v>
      </c>
      <c r="D84" s="15" t="s">
        <v>60</v>
      </c>
      <c r="E84" s="15" t="s">
        <v>85</v>
      </c>
      <c r="F84" s="16" t="n">
        <v>45838</v>
      </c>
      <c r="G84" s="5" t="str">
        <f aca="false">IF(TRIM(SUBSTITUTE(SUBSTITUTE(SUBSTITUTE(SUBSTITUTE(SUBSTITUTE(SUBSTITUTE(SUBSTITUTE(SUBSTITUTE(SUBSTITUTE(SUBSTITUTE(SUBSTITUTE(LOWER(TRIM(D84)),"ё","е"),"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категории",""))="инженер",IF(AND(ISNUMBER(SEARCH("техническ",E84)),ISNUMBER(SEARCH("контрол",E84))),"инженер отк",IF(ISNUMBER(SEARCH("диспетч",E84)),"инженер пдо",TRIM(SUBSTITUTE(SUBSTITUTE(SUBSTITUTE(SUBSTITUTE(SUBSTITUTE(SUBSTITUTE(SUBSTITUTE(SUBSTITUTE(SUBSTITUTE(SUBSTITUTE(SUBSTITUTE(LOWER(TRIM(D84)),"ё","е"),"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инженер",IF(ISNUMBER(SEARCH("диспетч",E84)),"ведущий инженер пдо",TRIM(SUBSTITUTE(SUBSTITUTE(SUBSTITUTE(SUBSTITUTE(SUBSTITUTE(SUBSTITUTE(SUBSTITUTE(SUBSTITUTE(SUBSTITUTE(SUBSTITUTE(SUBSTITUTE(LOWER(TRIM(D84)),"ё","е"),"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отк",TRIM(SUBSTITUTE(SUBSTITUTE(SUBSTITUTE(SUBSTITUTE(SUBSTITUTE(SUBSTITUTE(SUBSTITUTE(SUBSTITUTE(SUBSTITUTE(SUBSTITUTE(SUBSTITUTE(LOWER(TRIM(D84)),"ё","е")," -","-"),"- ","-")," 2 разряда","")," 3 разряда","")," 4 разряда","")," 5 разряда","")," 6 разряда","")," 1 категории","")," 2 категории","")," 3 категории","")))))</f>
        <v>мастер участка</v>
      </c>
      <c r="H84" s="12" t="n">
        <f aca="false">IFERROR(INDEX(Соответствие!$B$2:$B$76,MATCH(G84,Соответствие!$A$2:$A$76,0)),"?")</f>
        <v>18</v>
      </c>
      <c r="I84" s="9" t="str">
        <f aca="false">IFERROR(INDEX('Перечень должностей'!$C$2:$C$46,MATCH(H84,'Перечень должностей'!$A$2:$A$46,0)),"")</f>
        <v>п.4.4, п.5.1, п.5.2</v>
      </c>
      <c r="J84" s="12" t="n">
        <f aca="false">IFERROR(INDEX('Перечень должностей'!$D$2:$D$46,MATCH(H84,'Перечень должностей'!$A$2:$A$46,0)),12)</f>
        <v>12</v>
      </c>
      <c r="K84" s="17" t="n">
        <v>45825</v>
      </c>
      <c r="L84" s="17"/>
      <c r="M84" s="16" t="n">
        <f aca="false">IF(K84="","",EDATE(IF(L84&lt;&gt;"",L84,K84),J84))</f>
        <v>46190</v>
      </c>
      <c r="N84" s="12" t="str">
        <f aca="false">IFERROR(INDEX('Перечень должностей'!$F$2:$F$46,MATCH(H84,'Перечень должностей'!$A$2:$A$46,0)),"")</f>
        <v>-</v>
      </c>
      <c r="O84" s="17"/>
      <c r="P84" s="16" t="str">
        <f aca="false">IF(O84="","",EDATE(O84,60))</f>
        <v/>
      </c>
      <c r="Q84" s="12" t="str">
        <f aca="false">IF(AND(K84&lt;&gt;"",F84&lt;&gt;"",K84&gt;F84),"ДА","")</f>
        <v/>
      </c>
      <c r="R84" s="9" t="s">
        <v>525</v>
      </c>
    </row>
    <row r="85" customFormat="false" ht="23.25" hidden="false" customHeight="true" outlineLevel="0" collapsed="false">
      <c r="A85" s="15" t="n">
        <v>84</v>
      </c>
      <c r="B85" s="12" t="s">
        <v>81</v>
      </c>
      <c r="C85" s="15" t="s">
        <v>527</v>
      </c>
      <c r="D85" s="15" t="s">
        <v>60</v>
      </c>
      <c r="E85" s="15" t="s">
        <v>85</v>
      </c>
      <c r="F85" s="16" t="n">
        <v>46041</v>
      </c>
      <c r="G85" s="5" t="str">
        <f aca="false">IF(TRIM(SUBSTITUTE(SUBSTITUTE(SUBSTITUTE(SUBSTITUTE(SUBSTITUTE(SUBSTITUTE(SUBSTITUTE(SUBSTITUTE(SUBSTITUTE(SUBSTITUTE(SUBSTITUTE(LOWER(TRIM(D85)),"ё","е"),"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категории",""))="инженер",IF(AND(ISNUMBER(SEARCH("техническ",E85)),ISNUMBER(SEARCH("контрол",E85))),"инженер отк",IF(ISNUMBER(SEARCH("диспетч",E85)),"инженер пдо",TRIM(SUBSTITUTE(SUBSTITUTE(SUBSTITUTE(SUBSTITUTE(SUBSTITUTE(SUBSTITUTE(SUBSTITUTE(SUBSTITUTE(SUBSTITUTE(SUBSTITUTE(SUBSTITUTE(LOWER(TRIM(D85)),"ё","е"),"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инженер",IF(ISNUMBER(SEARCH("диспетч",E85)),"ведущий инженер пдо",TRIM(SUBSTITUTE(SUBSTITUTE(SUBSTITUTE(SUBSTITUTE(SUBSTITUTE(SUBSTITUTE(SUBSTITUTE(SUBSTITUTE(SUBSTITUTE(SUBSTITUTE(SUBSTITUTE(LOWER(TRIM(D85)),"ё","е"),"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отк",TRIM(SUBSTITUTE(SUBSTITUTE(SUBSTITUTE(SUBSTITUTE(SUBSTITUTE(SUBSTITUTE(SUBSTITUTE(SUBSTITUTE(SUBSTITUTE(SUBSTITUTE(SUBSTITUTE(LOWER(TRIM(D85)),"ё","е")," -","-"),"- ","-")," 2 разряда","")," 3 разряда","")," 4 разряда","")," 5 разряда","")," 6 разряда","")," 1 категории","")," 2 категории","")," 3 категории","")))))</f>
        <v>мастер участка</v>
      </c>
      <c r="H85" s="12" t="n">
        <f aca="false">IFERROR(INDEX(Соответствие!$B$2:$B$76,MATCH(G85,Соответствие!$A$2:$A$76,0)),"?")</f>
        <v>18</v>
      </c>
      <c r="I85" s="9" t="str">
        <f aca="false">IFERROR(INDEX('Перечень должностей'!$C$2:$C$46,MATCH(H85,'Перечень должностей'!$A$2:$A$46,0)),"")</f>
        <v>п.4.4, п.5.1, п.5.2</v>
      </c>
      <c r="J85" s="12" t="n">
        <f aca="false">IFERROR(INDEX('Перечень должностей'!$D$2:$D$46,MATCH(H85,'Перечень должностей'!$A$2:$A$46,0)),12)</f>
        <v>12</v>
      </c>
      <c r="K85" s="17"/>
      <c r="L85" s="17"/>
      <c r="M85" s="16" t="str">
        <f aca="false">IF(K85="","",EDATE(IF(L85&lt;&gt;"",L85,K85),J85))</f>
        <v/>
      </c>
      <c r="N85" s="12" t="str">
        <f aca="false">IFERROR(INDEX('Перечень должностей'!$F$2:$F$46,MATCH(H85,'Перечень должностей'!$A$2:$A$46,0)),"")</f>
        <v>-</v>
      </c>
      <c r="O85" s="17"/>
      <c r="P85" s="16" t="str">
        <f aca="false">IF(O85="","",EDATE(O85,60))</f>
        <v/>
      </c>
      <c r="Q85" s="12" t="str">
        <f aca="false">IF(AND(K85&lt;&gt;"",F85&lt;&gt;"",K85&gt;F85),"ДА","")</f>
        <v/>
      </c>
      <c r="R85" s="9" t="s">
        <v>525</v>
      </c>
    </row>
    <row r="86" customFormat="false" ht="23.25" hidden="false" customHeight="true" outlineLevel="0" collapsed="false">
      <c r="A86" s="15" t="n">
        <v>85</v>
      </c>
      <c r="B86" s="12" t="s">
        <v>81</v>
      </c>
      <c r="C86" s="15" t="s">
        <v>528</v>
      </c>
      <c r="D86" s="15" t="s">
        <v>529</v>
      </c>
      <c r="E86" s="15" t="s">
        <v>466</v>
      </c>
      <c r="F86" s="16" t="n">
        <v>42983</v>
      </c>
      <c r="G86" s="5" t="str">
        <f aca="false">IF(TRIM(SUBSTITUTE(SUBSTITUTE(SUBSTITUTE(SUBSTITUTE(SUBSTITUTE(SUBSTITUTE(SUBSTITUTE(SUBSTITUTE(SUBSTITUTE(SUBSTITUTE(SUBSTITUTE(LOWER(TRIM(D86)),"ё","е"),"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категории",""))="инженер",IF(AND(ISNUMBER(SEARCH("техническ",E86)),ISNUMBER(SEARCH("контрол",E86))),"инженер отк",IF(ISNUMBER(SEARCH("диспетч",E86)),"инженер пдо",TRIM(SUBSTITUTE(SUBSTITUTE(SUBSTITUTE(SUBSTITUTE(SUBSTITUTE(SUBSTITUTE(SUBSTITUTE(SUBSTITUTE(SUBSTITUTE(SUBSTITUTE(SUBSTITUTE(LOWER(TRIM(D86)),"ё","е"),"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инженер",IF(ISNUMBER(SEARCH("диспетч",E86)),"ведущий инженер пдо",TRIM(SUBSTITUTE(SUBSTITUTE(SUBSTITUTE(SUBSTITUTE(SUBSTITUTE(SUBSTITUTE(SUBSTITUTE(SUBSTITUTE(SUBSTITUTE(SUBSTITUTE(SUBSTITUTE(LOWER(TRIM(D86)),"ё","е"),"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отк",TRIM(SUBSTITUTE(SUBSTITUTE(SUBSTITUTE(SUBSTITUTE(SUBSTITUTE(SUBSTITUTE(SUBSTITUTE(SUBSTITUTE(SUBSTITUTE(SUBSTITUTE(SUBSTITUTE(LOWER(TRIM(D86)),"ё","е")," -","-"),"- ","-")," 2 разряда","")," 3 разряда","")," 4 разряда","")," 5 разряда","")," 6 разряда","")," 1 категории","")," 2 категории","")," 3 категории","")))))</f>
        <v>мастер участка электромонтажных работ</v>
      </c>
      <c r="H86" s="12" t="n">
        <f aca="false">IFERROR(INDEX(Соответствие!$B$2:$B$76,MATCH(G86,Соответствие!$A$2:$A$76,0)),"?")</f>
        <v>29</v>
      </c>
      <c r="I86" s="9" t="str">
        <f aca="false">IFERROR(INDEX('Перечень должностей'!$C$2:$C$46,MATCH(H86,'Перечень должностей'!$A$2:$A$46,0)),"")</f>
        <v>п.4.3.1, п.4.3.2, п.4.4, п.4.9, п.5.1, п.5.2, п.6.2, п.9</v>
      </c>
      <c r="J86" s="12" t="n">
        <f aca="false">IFERROR(INDEX('Перечень должностей'!$D$2:$D$46,MATCH(H86,'Перечень должностей'!$A$2:$A$46,0)),12)</f>
        <v>12</v>
      </c>
      <c r="K86" s="17" t="n">
        <v>44662</v>
      </c>
      <c r="L86" s="17"/>
      <c r="M86" s="16" t="n">
        <f aca="false">IF(K86="","",EDATE(IF(L86&lt;&gt;"",L86,K86),J86))</f>
        <v>45027</v>
      </c>
      <c r="N86" s="12" t="str">
        <f aca="false">IFERROR(INDEX('Перечень должностей'!$F$2:$F$46,MATCH(H86,'Перечень должностей'!$A$2:$A$46,0)),"")</f>
        <v>Проверить</v>
      </c>
      <c r="O86" s="17"/>
      <c r="P86" s="16" t="str">
        <f aca="false">IF(O86="","",EDATE(O86,60))</f>
        <v/>
      </c>
      <c r="Q86" s="12" t="str">
        <f aca="false">IF(AND(K86&lt;&gt;"",F86&lt;&gt;"",K86&gt;F86),"ДА","")</f>
        <v>ДА</v>
      </c>
      <c r="R86" s="9"/>
    </row>
    <row r="87" customFormat="false" ht="26.25" hidden="false" customHeight="true" outlineLevel="0" collapsed="false">
      <c r="A87" s="15" t="n">
        <v>86</v>
      </c>
      <c r="B87" s="12" t="s">
        <v>81</v>
      </c>
      <c r="C87" s="15" t="s">
        <v>530</v>
      </c>
      <c r="D87" s="15" t="s">
        <v>381</v>
      </c>
      <c r="E87" s="15" t="s">
        <v>531</v>
      </c>
      <c r="F87" s="16" t="n">
        <v>44966</v>
      </c>
      <c r="G87" s="5" t="str">
        <f aca="false">IF(TRIM(SUBSTITUTE(SUBSTITUTE(SUBSTITUTE(SUBSTITUTE(SUBSTITUTE(SUBSTITUTE(SUBSTITUTE(SUBSTITUTE(SUBSTITUTE(SUBSTITUTE(SUBSTITUTE(LOWER(TRIM(D87)),"ё","е"),"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категории",""))="инженер",IF(AND(ISNUMBER(SEARCH("техническ",E87)),ISNUMBER(SEARCH("контрол",E87))),"инженер отк",IF(ISNUMBER(SEARCH("диспетч",E87)),"инженер пдо",TRIM(SUBSTITUTE(SUBSTITUTE(SUBSTITUTE(SUBSTITUTE(SUBSTITUTE(SUBSTITUTE(SUBSTITUTE(SUBSTITUTE(SUBSTITUTE(SUBSTITUTE(SUBSTITUTE(LOWER(TRIM(D87)),"ё","е"),"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инженер",IF(ISNUMBER(SEARCH("диспетч",E87)),"ведущий инженер пдо",TRIM(SUBSTITUTE(SUBSTITUTE(SUBSTITUTE(SUBSTITUTE(SUBSTITUTE(SUBSTITUTE(SUBSTITUTE(SUBSTITUTE(SUBSTITUTE(SUBSTITUTE(SUBSTITUTE(LOWER(TRIM(D87)),"ё","е"),"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отк",TRIM(SUBSTITUTE(SUBSTITUTE(SUBSTITUTE(SUBSTITUTE(SUBSTITUTE(SUBSTITUTE(SUBSTITUTE(SUBSTITUTE(SUBSTITUTE(SUBSTITUTE(SUBSTITUTE(LOWER(TRIM(D87)),"ё","е")," -","-"),"- ","-")," 2 разряда","")," 3 разряда","")," 4 разряда","")," 5 разряда","")," 6 разряда","")," 1 категории","")," 2 категории","")," 3 категории","")))))</f>
        <v>инженер по авиационному и радиоэлектронному оборудованию</v>
      </c>
      <c r="H87" s="12" t="n">
        <f aca="false">IFERROR(INDEX(Соответствие!$B$2:$B$76,MATCH(G87,Соответствие!$A$2:$A$76,0)),"?")</f>
        <v>40</v>
      </c>
      <c r="I87" s="9" t="str">
        <f aca="false">IFERROR(INDEX('Перечень должностей'!$C$2:$C$46,MATCH(H87,'Перечень должностей'!$A$2:$A$46,0)),"")</f>
        <v>п.4.4, п.4.6, п.5.1, п.6.2</v>
      </c>
      <c r="J87" s="12" t="n">
        <f aca="false">IFERROR(INDEX('Перечень должностей'!$D$2:$D$46,MATCH(H87,'Перечень должностей'!$A$2:$A$46,0)),12)</f>
        <v>12</v>
      </c>
      <c r="K87" s="17"/>
      <c r="L87" s="17"/>
      <c r="M87" s="16" t="str">
        <f aca="false">IF(K87="","",EDATE(IF(L87&lt;&gt;"",L87,K87),J87))</f>
        <v/>
      </c>
      <c r="N87" s="12" t="str">
        <f aca="false">IFERROR(INDEX('Перечень должностей'!$F$2:$F$46,MATCH(H87,'Перечень должностей'!$A$2:$A$46,0)),"")</f>
        <v>-</v>
      </c>
      <c r="O87" s="17"/>
      <c r="P87" s="16" t="str">
        <f aca="false">IF(O87="","",EDATE(O87,60))</f>
        <v/>
      </c>
      <c r="Q87" s="12" t="str">
        <f aca="false">IF(AND(K87&lt;&gt;"",F87&lt;&gt;"",K87&gt;F87),"ДА","")</f>
        <v/>
      </c>
      <c r="R87" s="9" t="s">
        <v>532</v>
      </c>
    </row>
    <row r="88" customFormat="false" ht="23.25" hidden="false" customHeight="true" outlineLevel="0" collapsed="false">
      <c r="A88" s="15" t="n">
        <v>87</v>
      </c>
      <c r="B88" s="12" t="s">
        <v>50</v>
      </c>
      <c r="C88" s="15" t="s">
        <v>533</v>
      </c>
      <c r="D88" s="15" t="s">
        <v>337</v>
      </c>
      <c r="E88" s="15" t="s">
        <v>534</v>
      </c>
      <c r="F88" s="16" t="n">
        <v>46139</v>
      </c>
      <c r="G88" s="5" t="str">
        <f aca="false">IF(TRIM(SUBSTITUTE(SUBSTITUTE(SUBSTITUTE(SUBSTITUTE(SUBSTITUTE(SUBSTITUTE(SUBSTITUTE(SUBSTITUTE(SUBSTITUTE(SUBSTITUTE(SUBSTITUTE(LOWER(TRIM(D88)),"ё","е"),"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категории",""))="инженер",IF(AND(ISNUMBER(SEARCH("техническ",E88)),ISNUMBER(SEARCH("контрол",E88))),"инженер отк",IF(ISNUMBER(SEARCH("диспетч",E88)),"инженер пдо",TRIM(SUBSTITUTE(SUBSTITUTE(SUBSTITUTE(SUBSTITUTE(SUBSTITUTE(SUBSTITUTE(SUBSTITUTE(SUBSTITUTE(SUBSTITUTE(SUBSTITUTE(SUBSTITUTE(LOWER(TRIM(D88)),"ё","е"),"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инженер",IF(ISNUMBER(SEARCH("диспетч",E88)),"ведущий инженер пдо",TRIM(SUBSTITUTE(SUBSTITUTE(SUBSTITUTE(SUBSTITUTE(SUBSTITUTE(SUBSTITUTE(SUBSTITUTE(SUBSTITUTE(SUBSTITUTE(SUBSTITUTE(SUBSTITUTE(LOWER(TRIM(D88)),"ё","е"),"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отк",TRIM(SUBSTITUTE(SUBSTITUTE(SUBSTITUTE(SUBSTITUTE(SUBSTITUTE(SUBSTITUTE(SUBSTITUTE(SUBSTITUTE(SUBSTITUTE(SUBSTITUTE(SUBSTITUTE(LOWER(TRIM(D88)),"ё","е")," -","-"),"- ","-")," 2 разряда","")," 3 разряда","")," 4 разряда","")," 5 разряда","")," 6 разряда","")," 1 категории","")," 2 категории","")," 3 категории","")))))</f>
        <v>оператор склада</v>
      </c>
      <c r="H88" s="12" t="n">
        <f aca="false">IFERROR(INDEX(Соответствие!$B$2:$B$76,MATCH(G88,Соответствие!$A$2:$A$76,0)),"?")</f>
        <v>16</v>
      </c>
      <c r="I88" s="9" t="str">
        <f aca="false">IFERROR(INDEX('Перечень должностей'!$C$2:$C$46,MATCH(H88,'Перечень должностей'!$A$2:$A$46,0)),"")</f>
        <v>п.4.3.1, п.4.3.2, п.4.4, п.5.1, п.6.2, п.18.1</v>
      </c>
      <c r="J88" s="12" t="n">
        <f aca="false">IFERROR(INDEX('Перечень должностей'!$D$2:$D$46,MATCH(H88,'Перечень должностей'!$A$2:$A$46,0)),12)</f>
        <v>12</v>
      </c>
      <c r="K88" s="17"/>
      <c r="L88" s="17"/>
      <c r="M88" s="16" t="str">
        <f aca="false">IF(K88="","",EDATE(IF(L88&lt;&gt;"",L88,K88),J88))</f>
        <v/>
      </c>
      <c r="N88" s="12" t="str">
        <f aca="false">IFERROR(INDEX('Перечень должностей'!$F$2:$F$46,MATCH(H88,'Перечень должностей'!$A$2:$A$46,0)),"")</f>
        <v>-</v>
      </c>
      <c r="O88" s="17"/>
      <c r="P88" s="16" t="str">
        <f aca="false">IF(O88="","",EDATE(O88,60))</f>
        <v/>
      </c>
      <c r="Q88" s="12" t="str">
        <f aca="false">IF(AND(K88&lt;&gt;"",F88&lt;&gt;"",K88&gt;F88),"ДА","")</f>
        <v/>
      </c>
      <c r="R88" s="9"/>
    </row>
    <row r="89" customFormat="false" ht="26.25" hidden="false" customHeight="true" outlineLevel="0" collapsed="false">
      <c r="A89" s="15" t="n">
        <v>88</v>
      </c>
      <c r="B89" s="12" t="s">
        <v>72</v>
      </c>
      <c r="C89" s="15" t="s">
        <v>535</v>
      </c>
      <c r="D89" s="15" t="s">
        <v>536</v>
      </c>
      <c r="E89" s="15" t="s">
        <v>537</v>
      </c>
      <c r="F89" s="16" t="n">
        <v>45558</v>
      </c>
      <c r="G89" s="5" t="str">
        <f aca="false">IF(TRIM(SUBSTITUTE(SUBSTITUTE(SUBSTITUTE(SUBSTITUTE(SUBSTITUTE(SUBSTITUTE(SUBSTITUTE(SUBSTITUTE(SUBSTITUTE(SUBSTITUTE(SUBSTITUTE(LOWER(TRIM(D89)),"ё","е"),"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категории",""))="инженер",IF(AND(ISNUMBER(SEARCH("техническ",E89)),ISNUMBER(SEARCH("контрол",E89))),"инженер отк",IF(ISNUMBER(SEARCH("диспетч",E89)),"инженер пдо",TRIM(SUBSTITUTE(SUBSTITUTE(SUBSTITUTE(SUBSTITUTE(SUBSTITUTE(SUBSTITUTE(SUBSTITUTE(SUBSTITUTE(SUBSTITUTE(SUBSTITUTE(SUBSTITUTE(LOWER(TRIM(D89)),"ё","е"),"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инженер",IF(ISNUMBER(SEARCH("диспетч",E89)),"ведущий инженер пдо",TRIM(SUBSTITUTE(SUBSTITUTE(SUBSTITUTE(SUBSTITUTE(SUBSTITUTE(SUBSTITUTE(SUBSTITUTE(SUBSTITUTE(SUBSTITUTE(SUBSTITUTE(SUBSTITUTE(LOWER(TRIM(D89)),"ё","е"),"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отк",TRIM(SUBSTITUTE(SUBSTITUTE(SUBSTITUTE(SUBSTITUTE(SUBSTITUTE(SUBSTITUTE(SUBSTITUTE(SUBSTITUTE(SUBSTITUTE(SUBSTITUTE(SUBSTITUTE(LOWER(TRIM(D89)),"ё","е")," -","-"),"- ","-")," 2 разряда","")," 3 разряда","")," 4 разряда","")," 5 разряда","")," 6 разряда","")," 1 категории","")," 2 категории","")," 3 категории","")))))</f>
        <v>инженер пдо</v>
      </c>
      <c r="H89" s="12" t="n">
        <f aca="false">IFERROR(INDEX(Соответствие!$B$2:$B$76,MATCH(G89,Соответствие!$A$2:$A$76,0)),"?")</f>
        <v>27</v>
      </c>
      <c r="I89" s="9" t="str">
        <f aca="false">IFERROR(INDEX('Перечень должностей'!$C$2:$C$46,MATCH(H89,'Перечень должностей'!$A$2:$A$46,0)),"")</f>
        <v>п.4.4, п.5.1, п.5.2</v>
      </c>
      <c r="J89" s="12" t="n">
        <f aca="false">IFERROR(INDEX('Перечень должностей'!$D$2:$D$46,MATCH(H89,'Перечень должностей'!$A$2:$A$46,0)),12)</f>
        <v>12</v>
      </c>
      <c r="K89" s="17"/>
      <c r="L89" s="17"/>
      <c r="M89" s="16" t="str">
        <f aca="false">IF(K89="","",EDATE(IF(L89&lt;&gt;"",L89,K89),J89))</f>
        <v/>
      </c>
      <c r="N89" s="12" t="str">
        <f aca="false">IFERROR(INDEX('Перечень должностей'!$F$2:$F$46,MATCH(H89,'Перечень должностей'!$A$2:$A$46,0)),"")</f>
        <v>-</v>
      </c>
      <c r="O89" s="17"/>
      <c r="P89" s="16" t="str">
        <f aca="false">IF(O89="","",EDATE(O89,60))</f>
        <v/>
      </c>
      <c r="Q89" s="12" t="str">
        <f aca="false">IF(AND(K89&lt;&gt;"",F89&lt;&gt;"",K89&gt;F89),"ДА","")</f>
        <v/>
      </c>
      <c r="R89" s="9"/>
    </row>
    <row r="90" customFormat="false" ht="14.25" hidden="false" customHeight="true" outlineLevel="0" collapsed="false">
      <c r="A90" s="15" t="n">
        <v>89</v>
      </c>
      <c r="B90" s="12" t="s">
        <v>50</v>
      </c>
      <c r="C90" s="15" t="s">
        <v>538</v>
      </c>
      <c r="D90" s="15" t="s">
        <v>536</v>
      </c>
      <c r="E90" s="15" t="s">
        <v>537</v>
      </c>
      <c r="F90" s="16" t="n">
        <v>43031</v>
      </c>
      <c r="G90" s="5" t="str">
        <f aca="false">IF(TRIM(SUBSTITUTE(SUBSTITUTE(SUBSTITUTE(SUBSTITUTE(SUBSTITUTE(SUBSTITUTE(SUBSTITUTE(SUBSTITUTE(SUBSTITUTE(SUBSTITUTE(SUBSTITUTE(LOWER(TRIM(D90)),"ё","е"),"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категории",""))="инженер",IF(AND(ISNUMBER(SEARCH("техническ",E90)),ISNUMBER(SEARCH("контрол",E90))),"инженер отк",IF(ISNUMBER(SEARCH("диспетч",E90)),"инженер пдо",TRIM(SUBSTITUTE(SUBSTITUTE(SUBSTITUTE(SUBSTITUTE(SUBSTITUTE(SUBSTITUTE(SUBSTITUTE(SUBSTITUTE(SUBSTITUTE(SUBSTITUTE(SUBSTITUTE(LOWER(TRIM(D90)),"ё","е"),"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инженер",IF(ISNUMBER(SEARCH("диспетч",E90)),"ведущий инженер пдо",TRIM(SUBSTITUTE(SUBSTITUTE(SUBSTITUTE(SUBSTITUTE(SUBSTITUTE(SUBSTITUTE(SUBSTITUTE(SUBSTITUTE(SUBSTITUTE(SUBSTITUTE(SUBSTITUTE(LOWER(TRIM(D90)),"ё","е"),"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отк",TRIM(SUBSTITUTE(SUBSTITUTE(SUBSTITUTE(SUBSTITUTE(SUBSTITUTE(SUBSTITUTE(SUBSTITUTE(SUBSTITUTE(SUBSTITUTE(SUBSTITUTE(SUBSTITUTE(LOWER(TRIM(D90)),"ё","е")," -","-"),"- ","-")," 2 разряда","")," 3 разряда","")," 4 разряда","")," 5 разряда","")," 6 разряда","")," 1 категории","")," 2 категории","")," 3 категории","")))))</f>
        <v>инженер пдо</v>
      </c>
      <c r="H90" s="12" t="n">
        <f aca="false">IFERROR(INDEX(Соответствие!$B$2:$B$76,MATCH(G90,Соответствие!$A$2:$A$76,0)),"?")</f>
        <v>27</v>
      </c>
      <c r="I90" s="9" t="str">
        <f aca="false">IFERROR(INDEX('Перечень должностей'!$C$2:$C$46,MATCH(H90,'Перечень должностей'!$A$2:$A$46,0)),"")</f>
        <v>п.4.4, п.5.1, п.5.2</v>
      </c>
      <c r="J90" s="12" t="n">
        <f aca="false">IFERROR(INDEX('Перечень должностей'!$D$2:$D$46,MATCH(H90,'Перечень должностей'!$A$2:$A$46,0)),12)</f>
        <v>12</v>
      </c>
      <c r="K90" s="17"/>
      <c r="L90" s="17"/>
      <c r="M90" s="16" t="str">
        <f aca="false">IF(K90="","",EDATE(IF(L90&lt;&gt;"",L90,K90),J90))</f>
        <v/>
      </c>
      <c r="N90" s="12" t="str">
        <f aca="false">IFERROR(INDEX('Перечень должностей'!$F$2:$F$46,MATCH(H90,'Перечень должностей'!$A$2:$A$46,0)),"")</f>
        <v>-</v>
      </c>
      <c r="O90" s="17"/>
      <c r="P90" s="16" t="str">
        <f aca="false">IF(O90="","",EDATE(O90,60))</f>
        <v/>
      </c>
      <c r="Q90" s="12" t="str">
        <f aca="false">IF(AND(K90&lt;&gt;"",F90&lt;&gt;"",K90&gt;F90),"ДА","")</f>
        <v/>
      </c>
      <c r="R90" s="9"/>
    </row>
    <row r="91" customFormat="false" ht="14.25" hidden="false" customHeight="true" outlineLevel="0" collapsed="false">
      <c r="A91" s="15" t="n">
        <v>90</v>
      </c>
      <c r="B91" s="12" t="s">
        <v>50</v>
      </c>
      <c r="C91" s="15" t="s">
        <v>539</v>
      </c>
      <c r="D91" s="15" t="s">
        <v>540</v>
      </c>
      <c r="E91" s="15" t="s">
        <v>537</v>
      </c>
      <c r="F91" s="16" t="n">
        <v>45719</v>
      </c>
      <c r="G91" s="5" t="str">
        <f aca="false">IF(TRIM(SUBSTITUTE(SUBSTITUTE(SUBSTITUTE(SUBSTITUTE(SUBSTITUTE(SUBSTITUTE(SUBSTITUTE(SUBSTITUTE(SUBSTITUTE(SUBSTITUTE(SUBSTITUTE(LOWER(TRIM(D91)),"ё","е"),"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категории",""))="инженер",IF(AND(ISNUMBER(SEARCH("техническ",E91)),ISNUMBER(SEARCH("контрол",E91))),"инженер отк",IF(ISNUMBER(SEARCH("диспетч",E91)),"инженер пдо",TRIM(SUBSTITUTE(SUBSTITUTE(SUBSTITUTE(SUBSTITUTE(SUBSTITUTE(SUBSTITUTE(SUBSTITUTE(SUBSTITUTE(SUBSTITUTE(SUBSTITUTE(SUBSTITUTE(LOWER(TRIM(D91)),"ё","е"),"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инженер",IF(ISNUMBER(SEARCH("диспетч",E91)),"ведущий инженер пдо",TRIM(SUBSTITUTE(SUBSTITUTE(SUBSTITUTE(SUBSTITUTE(SUBSTITUTE(SUBSTITUTE(SUBSTITUTE(SUBSTITUTE(SUBSTITUTE(SUBSTITUTE(SUBSTITUTE(LOWER(TRIM(D91)),"ё","е"),"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отк",TRIM(SUBSTITUTE(SUBSTITUTE(SUBSTITUTE(SUBSTITUTE(SUBSTITUTE(SUBSTITUTE(SUBSTITUTE(SUBSTITUTE(SUBSTITUTE(SUBSTITUTE(SUBSTITUTE(LOWER(TRIM(D91)),"ё","е")," -","-"),"- ","-")," 2 разряда","")," 3 разряда","")," 4 разряда","")," 5 разряда","")," 6 разряда","")," 1 категории","")," 2 категории","")," 3 категории","")))))</f>
        <v>диспетчер</v>
      </c>
      <c r="H91" s="12" t="n">
        <f aca="false">IFERROR(INDEX(Соответствие!$B$2:$B$76,MATCH(G91,Соответствие!$A$2:$A$76,0)),"?")</f>
        <v>28</v>
      </c>
      <c r="I91" s="9" t="str">
        <f aca="false">IFERROR(INDEX('Перечень должностей'!$C$2:$C$46,MATCH(H91,'Перечень должностей'!$A$2:$A$46,0)),"")</f>
        <v>п.4.4, п.5.1, п.5.2</v>
      </c>
      <c r="J91" s="12" t="n">
        <f aca="false">IFERROR(INDEX('Перечень должностей'!$D$2:$D$46,MATCH(H91,'Перечень должностей'!$A$2:$A$46,0)),12)</f>
        <v>12</v>
      </c>
      <c r="K91" s="17"/>
      <c r="L91" s="17"/>
      <c r="M91" s="16" t="str">
        <f aca="false">IF(K91="","",EDATE(IF(L91&lt;&gt;"",L91,K91),J91))</f>
        <v/>
      </c>
      <c r="N91" s="12" t="str">
        <f aca="false">IFERROR(INDEX('Перечень должностей'!$F$2:$F$46,MATCH(H91,'Перечень должностей'!$A$2:$A$46,0)),"")</f>
        <v>-</v>
      </c>
      <c r="O91" s="17"/>
      <c r="P91" s="16" t="str">
        <f aca="false">IF(O91="","",EDATE(O91,60))</f>
        <v/>
      </c>
      <c r="Q91" s="12" t="str">
        <f aca="false">IF(AND(K91&lt;&gt;"",F91&lt;&gt;"",K91&gt;F91),"ДА","")</f>
        <v/>
      </c>
      <c r="R91" s="9"/>
    </row>
    <row r="92" customFormat="false" ht="14.25" hidden="false" customHeight="true" outlineLevel="0" collapsed="false">
      <c r="A92" s="15" t="n">
        <v>91</v>
      </c>
      <c r="B92" s="12" t="s">
        <v>50</v>
      </c>
      <c r="C92" s="15" t="s">
        <v>541</v>
      </c>
      <c r="D92" s="15" t="s">
        <v>540</v>
      </c>
      <c r="E92" s="15" t="s">
        <v>537</v>
      </c>
      <c r="F92" s="16" t="n">
        <v>45803</v>
      </c>
      <c r="G92" s="5" t="str">
        <f aca="false">IF(TRIM(SUBSTITUTE(SUBSTITUTE(SUBSTITUTE(SUBSTITUTE(SUBSTITUTE(SUBSTITUTE(SUBSTITUTE(SUBSTITUTE(SUBSTITUTE(SUBSTITUTE(SUBSTITUTE(LOWER(TRIM(D92)),"ё","е"),"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категории",""))="инженер",IF(AND(ISNUMBER(SEARCH("техническ",E92)),ISNUMBER(SEARCH("контрол",E92))),"инженер отк",IF(ISNUMBER(SEARCH("диспетч",E92)),"инженер пдо",TRIM(SUBSTITUTE(SUBSTITUTE(SUBSTITUTE(SUBSTITUTE(SUBSTITUTE(SUBSTITUTE(SUBSTITUTE(SUBSTITUTE(SUBSTITUTE(SUBSTITUTE(SUBSTITUTE(LOWER(TRIM(D92)),"ё","е"),"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инженер",IF(ISNUMBER(SEARCH("диспетч",E92)),"ведущий инженер пдо",TRIM(SUBSTITUTE(SUBSTITUTE(SUBSTITUTE(SUBSTITUTE(SUBSTITUTE(SUBSTITUTE(SUBSTITUTE(SUBSTITUTE(SUBSTITUTE(SUBSTITUTE(SUBSTITUTE(LOWER(TRIM(D92)),"ё","е"),"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отк",TRIM(SUBSTITUTE(SUBSTITUTE(SUBSTITUTE(SUBSTITUTE(SUBSTITUTE(SUBSTITUTE(SUBSTITUTE(SUBSTITUTE(SUBSTITUTE(SUBSTITUTE(SUBSTITUTE(LOWER(TRIM(D92)),"ё","е")," -","-"),"- ","-")," 2 разряда","")," 3 разряда","")," 4 разряда","")," 5 разряда","")," 6 разряда","")," 1 категории","")," 2 категории","")," 3 категории","")))))</f>
        <v>диспетчер</v>
      </c>
      <c r="H92" s="12" t="n">
        <f aca="false">IFERROR(INDEX(Соответствие!$B$2:$B$76,MATCH(G92,Соответствие!$A$2:$A$76,0)),"?")</f>
        <v>28</v>
      </c>
      <c r="I92" s="9" t="str">
        <f aca="false">IFERROR(INDEX('Перечень должностей'!$C$2:$C$46,MATCH(H92,'Перечень должностей'!$A$2:$A$46,0)),"")</f>
        <v>п.4.4, п.5.1, п.5.2</v>
      </c>
      <c r="J92" s="12" t="n">
        <f aca="false">IFERROR(INDEX('Перечень должностей'!$D$2:$D$46,MATCH(H92,'Перечень должностей'!$A$2:$A$46,0)),12)</f>
        <v>12</v>
      </c>
      <c r="K92" s="17"/>
      <c r="L92" s="17"/>
      <c r="M92" s="16" t="str">
        <f aca="false">IF(K92="","",EDATE(IF(L92&lt;&gt;"",L92,K92),J92))</f>
        <v/>
      </c>
      <c r="N92" s="12" t="str">
        <f aca="false">IFERROR(INDEX('Перечень должностей'!$F$2:$F$46,MATCH(H92,'Перечень должностей'!$A$2:$A$46,0)),"")</f>
        <v>-</v>
      </c>
      <c r="O92" s="17"/>
      <c r="P92" s="16" t="str">
        <f aca="false">IF(O92="","",EDATE(O92,60))</f>
        <v/>
      </c>
      <c r="Q92" s="12" t="str">
        <f aca="false">IF(AND(K92&lt;&gt;"",F92&lt;&gt;"",K92&gt;F92),"ДА","")</f>
        <v/>
      </c>
      <c r="R92" s="9"/>
    </row>
    <row r="93" customFormat="false" ht="14.25" hidden="false" customHeight="true" outlineLevel="0" collapsed="false">
      <c r="A93" s="15" t="n">
        <v>92</v>
      </c>
      <c r="B93" s="12" t="s">
        <v>50</v>
      </c>
      <c r="C93" s="15" t="s">
        <v>542</v>
      </c>
      <c r="D93" s="15" t="s">
        <v>540</v>
      </c>
      <c r="E93" s="15" t="s">
        <v>537</v>
      </c>
      <c r="F93" s="16" t="n">
        <v>45833</v>
      </c>
      <c r="G93" s="5" t="str">
        <f aca="false">IF(TRIM(SUBSTITUTE(SUBSTITUTE(SUBSTITUTE(SUBSTITUTE(SUBSTITUTE(SUBSTITUTE(SUBSTITUTE(SUBSTITUTE(SUBSTITUTE(SUBSTITUTE(SUBSTITUTE(LOWER(TRIM(D93)),"ё","е"),"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категории",""))="инженер",IF(AND(ISNUMBER(SEARCH("техническ",E93)),ISNUMBER(SEARCH("контрол",E93))),"инженер отк",IF(ISNUMBER(SEARCH("диспетч",E93)),"инженер пдо",TRIM(SUBSTITUTE(SUBSTITUTE(SUBSTITUTE(SUBSTITUTE(SUBSTITUTE(SUBSTITUTE(SUBSTITUTE(SUBSTITUTE(SUBSTITUTE(SUBSTITUTE(SUBSTITUTE(LOWER(TRIM(D93)),"ё","е"),"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инженер",IF(ISNUMBER(SEARCH("диспетч",E93)),"ведущий инженер пдо",TRIM(SUBSTITUTE(SUBSTITUTE(SUBSTITUTE(SUBSTITUTE(SUBSTITUTE(SUBSTITUTE(SUBSTITUTE(SUBSTITUTE(SUBSTITUTE(SUBSTITUTE(SUBSTITUTE(LOWER(TRIM(D93)),"ё","е"),"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отк",TRIM(SUBSTITUTE(SUBSTITUTE(SUBSTITUTE(SUBSTITUTE(SUBSTITUTE(SUBSTITUTE(SUBSTITUTE(SUBSTITUTE(SUBSTITUTE(SUBSTITUTE(SUBSTITUTE(LOWER(TRIM(D93)),"ё","е")," -","-"),"- ","-")," 2 разряда","")," 3 разряда","")," 4 разряда","")," 5 разряда","")," 6 разряда","")," 1 категории","")," 2 категории","")," 3 категории","")))))</f>
        <v>диспетчер</v>
      </c>
      <c r="H93" s="12" t="n">
        <f aca="false">IFERROR(INDEX(Соответствие!$B$2:$B$76,MATCH(G93,Соответствие!$A$2:$A$76,0)),"?")</f>
        <v>28</v>
      </c>
      <c r="I93" s="9" t="str">
        <f aca="false">IFERROR(INDEX('Перечень должностей'!$C$2:$C$46,MATCH(H93,'Перечень должностей'!$A$2:$A$46,0)),"")</f>
        <v>п.4.4, п.5.1, п.5.2</v>
      </c>
      <c r="J93" s="12" t="n">
        <f aca="false">IFERROR(INDEX('Перечень должностей'!$D$2:$D$46,MATCH(H93,'Перечень должностей'!$A$2:$A$46,0)),12)</f>
        <v>12</v>
      </c>
      <c r="K93" s="17"/>
      <c r="L93" s="17"/>
      <c r="M93" s="16" t="str">
        <f aca="false">IF(K93="","",EDATE(IF(L93&lt;&gt;"",L93,K93),J93))</f>
        <v/>
      </c>
      <c r="N93" s="12" t="str">
        <f aca="false">IFERROR(INDEX('Перечень должностей'!$F$2:$F$46,MATCH(H93,'Перечень должностей'!$A$2:$A$46,0)),"")</f>
        <v>-</v>
      </c>
      <c r="O93" s="17"/>
      <c r="P93" s="16" t="str">
        <f aca="false">IF(O93="","",EDATE(O93,60))</f>
        <v/>
      </c>
      <c r="Q93" s="12" t="str">
        <f aca="false">IF(AND(K93&lt;&gt;"",F93&lt;&gt;"",K93&gt;F93),"ДА","")</f>
        <v/>
      </c>
      <c r="R93" s="9"/>
    </row>
    <row r="94" customFormat="false" ht="14.25" hidden="false" customHeight="true" outlineLevel="0" collapsed="false">
      <c r="A94" s="15" t="n">
        <v>93</v>
      </c>
      <c r="B94" s="12" t="s">
        <v>50</v>
      </c>
      <c r="C94" s="15" t="s">
        <v>543</v>
      </c>
      <c r="D94" s="15" t="s">
        <v>540</v>
      </c>
      <c r="E94" s="15" t="s">
        <v>537</v>
      </c>
      <c r="F94" s="16" t="n">
        <v>45908</v>
      </c>
      <c r="G94" s="5" t="str">
        <f aca="false">IF(TRIM(SUBSTITUTE(SUBSTITUTE(SUBSTITUTE(SUBSTITUTE(SUBSTITUTE(SUBSTITUTE(SUBSTITUTE(SUBSTITUTE(SUBSTITUTE(SUBSTITUTE(SUBSTITUTE(LOWER(TRIM(D94)),"ё","е"),"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категории",""))="инженер",IF(AND(ISNUMBER(SEARCH("техническ",E94)),ISNUMBER(SEARCH("контрол",E94))),"инженер отк",IF(ISNUMBER(SEARCH("диспетч",E94)),"инженер пдо",TRIM(SUBSTITUTE(SUBSTITUTE(SUBSTITUTE(SUBSTITUTE(SUBSTITUTE(SUBSTITUTE(SUBSTITUTE(SUBSTITUTE(SUBSTITUTE(SUBSTITUTE(SUBSTITUTE(LOWER(TRIM(D94)),"ё","е"),"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инженер",IF(ISNUMBER(SEARCH("диспетч",E94)),"ведущий инженер пдо",TRIM(SUBSTITUTE(SUBSTITUTE(SUBSTITUTE(SUBSTITUTE(SUBSTITUTE(SUBSTITUTE(SUBSTITUTE(SUBSTITUTE(SUBSTITUTE(SUBSTITUTE(SUBSTITUTE(LOWER(TRIM(D94)),"ё","е"),"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отк",TRIM(SUBSTITUTE(SUBSTITUTE(SUBSTITUTE(SUBSTITUTE(SUBSTITUTE(SUBSTITUTE(SUBSTITUTE(SUBSTITUTE(SUBSTITUTE(SUBSTITUTE(SUBSTITUTE(LOWER(TRIM(D94)),"ё","е")," -","-"),"- ","-")," 2 разряда","")," 3 разряда","")," 4 разряда","")," 5 разряда","")," 6 разряда","")," 1 категории","")," 2 категории","")," 3 категории","")))))</f>
        <v>диспетчер</v>
      </c>
      <c r="H94" s="12" t="n">
        <f aca="false">IFERROR(INDEX(Соответствие!$B$2:$B$76,MATCH(G94,Соответствие!$A$2:$A$76,0)),"?")</f>
        <v>28</v>
      </c>
      <c r="I94" s="9" t="str">
        <f aca="false">IFERROR(INDEX('Перечень должностей'!$C$2:$C$46,MATCH(H94,'Перечень должностей'!$A$2:$A$46,0)),"")</f>
        <v>п.4.4, п.5.1, п.5.2</v>
      </c>
      <c r="J94" s="12" t="n">
        <f aca="false">IFERROR(INDEX('Перечень должностей'!$D$2:$D$46,MATCH(H94,'Перечень должностей'!$A$2:$A$46,0)),12)</f>
        <v>12</v>
      </c>
      <c r="K94" s="17"/>
      <c r="L94" s="17"/>
      <c r="M94" s="16" t="str">
        <f aca="false">IF(K94="","",EDATE(IF(L94&lt;&gt;"",L94,K94),J94))</f>
        <v/>
      </c>
      <c r="N94" s="12" t="str">
        <f aca="false">IFERROR(INDEX('Перечень должностей'!$F$2:$F$46,MATCH(H94,'Перечень должностей'!$A$2:$A$46,0)),"")</f>
        <v>-</v>
      </c>
      <c r="O94" s="17"/>
      <c r="P94" s="16" t="str">
        <f aca="false">IF(O94="","",EDATE(O94,60))</f>
        <v/>
      </c>
      <c r="Q94" s="12" t="str">
        <f aca="false">IF(AND(K94&lt;&gt;"",F94&lt;&gt;"",K94&gt;F94),"ДА","")</f>
        <v/>
      </c>
      <c r="R94" s="9"/>
    </row>
    <row r="95" customFormat="false" ht="14.25" hidden="false" customHeight="true" outlineLevel="0" collapsed="false">
      <c r="A95" s="15" t="n">
        <v>94</v>
      </c>
      <c r="B95" s="12" t="s">
        <v>50</v>
      </c>
      <c r="C95" s="15" t="s">
        <v>544</v>
      </c>
      <c r="D95" s="15" t="s">
        <v>540</v>
      </c>
      <c r="E95" s="15" t="s">
        <v>537</v>
      </c>
      <c r="F95" s="16" t="n">
        <v>42360</v>
      </c>
      <c r="G95" s="5" t="str">
        <f aca="false">IF(TRIM(SUBSTITUTE(SUBSTITUTE(SUBSTITUTE(SUBSTITUTE(SUBSTITUTE(SUBSTITUTE(SUBSTITUTE(SUBSTITUTE(SUBSTITUTE(SUBSTITUTE(SUBSTITUTE(LOWER(TRIM(D95)),"ё","е"),"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категории",""))="инженер",IF(AND(ISNUMBER(SEARCH("техническ",E95)),ISNUMBER(SEARCH("контрол",E95))),"инженер отк",IF(ISNUMBER(SEARCH("диспетч",E95)),"инженер пдо",TRIM(SUBSTITUTE(SUBSTITUTE(SUBSTITUTE(SUBSTITUTE(SUBSTITUTE(SUBSTITUTE(SUBSTITUTE(SUBSTITUTE(SUBSTITUTE(SUBSTITUTE(SUBSTITUTE(LOWER(TRIM(D95)),"ё","е"),"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инженер",IF(ISNUMBER(SEARCH("диспетч",E95)),"ведущий инженер пдо",TRIM(SUBSTITUTE(SUBSTITUTE(SUBSTITUTE(SUBSTITUTE(SUBSTITUTE(SUBSTITUTE(SUBSTITUTE(SUBSTITUTE(SUBSTITUTE(SUBSTITUTE(SUBSTITUTE(LOWER(TRIM(D95)),"ё","е"),"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отк",TRIM(SUBSTITUTE(SUBSTITUTE(SUBSTITUTE(SUBSTITUTE(SUBSTITUTE(SUBSTITUTE(SUBSTITUTE(SUBSTITUTE(SUBSTITUTE(SUBSTITUTE(SUBSTITUTE(LOWER(TRIM(D95)),"ё","е")," -","-"),"- ","-")," 2 разряда","")," 3 разряда","")," 4 разряда","")," 5 разряда","")," 6 разряда","")," 1 категории","")," 2 категории","")," 3 категории","")))))</f>
        <v>диспетчер</v>
      </c>
      <c r="H95" s="12" t="n">
        <f aca="false">IFERROR(INDEX(Соответствие!$B$2:$B$76,MATCH(G95,Соответствие!$A$2:$A$76,0)),"?")</f>
        <v>28</v>
      </c>
      <c r="I95" s="9" t="str">
        <f aca="false">IFERROR(INDEX('Перечень должностей'!$C$2:$C$46,MATCH(H95,'Перечень должностей'!$A$2:$A$46,0)),"")</f>
        <v>п.4.4, п.5.1, п.5.2</v>
      </c>
      <c r="J95" s="12" t="n">
        <f aca="false">IFERROR(INDEX('Перечень должностей'!$D$2:$D$46,MATCH(H95,'Перечень должностей'!$A$2:$A$46,0)),12)</f>
        <v>12</v>
      </c>
      <c r="K95" s="17"/>
      <c r="L95" s="17"/>
      <c r="M95" s="16" t="str">
        <f aca="false">IF(K95="","",EDATE(IF(L95&lt;&gt;"",L95,K95),J95))</f>
        <v/>
      </c>
      <c r="N95" s="12" t="str">
        <f aca="false">IFERROR(INDEX('Перечень должностей'!$F$2:$F$46,MATCH(H95,'Перечень должностей'!$A$2:$A$46,0)),"")</f>
        <v>-</v>
      </c>
      <c r="O95" s="17"/>
      <c r="P95" s="16" t="str">
        <f aca="false">IF(O95="","",EDATE(O95,60))</f>
        <v/>
      </c>
      <c r="Q95" s="12" t="str">
        <f aca="false">IF(AND(K95&lt;&gt;"",F95&lt;&gt;"",K95&gt;F95),"ДА","")</f>
        <v/>
      </c>
      <c r="R95" s="9"/>
    </row>
    <row r="96" customFormat="false" ht="14.25" hidden="false" customHeight="true" outlineLevel="0" collapsed="false">
      <c r="A96" s="15" t="n">
        <v>95</v>
      </c>
      <c r="B96" s="12" t="s">
        <v>50</v>
      </c>
      <c r="C96" s="15" t="s">
        <v>545</v>
      </c>
      <c r="D96" s="15" t="s">
        <v>540</v>
      </c>
      <c r="E96" s="15" t="s">
        <v>537</v>
      </c>
      <c r="F96" s="16" t="n">
        <v>45966</v>
      </c>
      <c r="G96" s="5" t="str">
        <f aca="false">IF(TRIM(SUBSTITUTE(SUBSTITUTE(SUBSTITUTE(SUBSTITUTE(SUBSTITUTE(SUBSTITUTE(SUBSTITUTE(SUBSTITUTE(SUBSTITUTE(SUBSTITUTE(SUBSTITUTE(LOWER(TRIM(D96)),"ё","е"),"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категории",""))="инженер",IF(AND(ISNUMBER(SEARCH("техническ",E96)),ISNUMBER(SEARCH("контрол",E96))),"инженер отк",IF(ISNUMBER(SEARCH("диспетч",E96)),"инженер пдо",TRIM(SUBSTITUTE(SUBSTITUTE(SUBSTITUTE(SUBSTITUTE(SUBSTITUTE(SUBSTITUTE(SUBSTITUTE(SUBSTITUTE(SUBSTITUTE(SUBSTITUTE(SUBSTITUTE(LOWER(TRIM(D96)),"ё","е"),"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инженер",IF(ISNUMBER(SEARCH("диспетч",E96)),"ведущий инженер пдо",TRIM(SUBSTITUTE(SUBSTITUTE(SUBSTITUTE(SUBSTITUTE(SUBSTITUTE(SUBSTITUTE(SUBSTITUTE(SUBSTITUTE(SUBSTITUTE(SUBSTITUTE(SUBSTITUTE(LOWER(TRIM(D96)),"ё","е"),"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отк",TRIM(SUBSTITUTE(SUBSTITUTE(SUBSTITUTE(SUBSTITUTE(SUBSTITUTE(SUBSTITUTE(SUBSTITUTE(SUBSTITUTE(SUBSTITUTE(SUBSTITUTE(SUBSTITUTE(LOWER(TRIM(D96)),"ё","е")," -","-"),"- ","-")," 2 разряда","")," 3 разряда","")," 4 разряда","")," 5 разряда","")," 6 разряда","")," 1 категории","")," 2 категории","")," 3 категории","")))))</f>
        <v>диспетчер</v>
      </c>
      <c r="H96" s="12" t="n">
        <f aca="false">IFERROR(INDEX(Соответствие!$B$2:$B$76,MATCH(G96,Соответствие!$A$2:$A$76,0)),"?")</f>
        <v>28</v>
      </c>
      <c r="I96" s="9" t="str">
        <f aca="false">IFERROR(INDEX('Перечень должностей'!$C$2:$C$46,MATCH(H96,'Перечень должностей'!$A$2:$A$46,0)),"")</f>
        <v>п.4.4, п.5.1, п.5.2</v>
      </c>
      <c r="J96" s="12" t="n">
        <f aca="false">IFERROR(INDEX('Перечень должностей'!$D$2:$D$46,MATCH(H96,'Перечень должностей'!$A$2:$A$46,0)),12)</f>
        <v>12</v>
      </c>
      <c r="K96" s="17"/>
      <c r="L96" s="17"/>
      <c r="M96" s="16" t="str">
        <f aca="false">IF(K96="","",EDATE(IF(L96&lt;&gt;"",L96,K96),J96))</f>
        <v/>
      </c>
      <c r="N96" s="12" t="str">
        <f aca="false">IFERROR(INDEX('Перечень должностей'!$F$2:$F$46,MATCH(H96,'Перечень должностей'!$A$2:$A$46,0)),"")</f>
        <v>-</v>
      </c>
      <c r="O96" s="17"/>
      <c r="P96" s="16" t="str">
        <f aca="false">IF(O96="","",EDATE(O96,60))</f>
        <v/>
      </c>
      <c r="Q96" s="12" t="str">
        <f aca="false">IF(AND(K96&lt;&gt;"",F96&lt;&gt;"",K96&gt;F96),"ДА","")</f>
        <v/>
      </c>
      <c r="R96" s="9"/>
    </row>
    <row r="97" customFormat="false" ht="14.25" hidden="false" customHeight="true" outlineLevel="0" collapsed="false">
      <c r="A97" s="15" t="n">
        <v>96</v>
      </c>
      <c r="B97" s="12" t="s">
        <v>50</v>
      </c>
      <c r="C97" s="15" t="s">
        <v>546</v>
      </c>
      <c r="D97" s="15" t="s">
        <v>540</v>
      </c>
      <c r="E97" s="15" t="s">
        <v>537</v>
      </c>
      <c r="F97" s="16" t="n">
        <v>46113</v>
      </c>
      <c r="G97" s="5" t="str">
        <f aca="false">IF(TRIM(SUBSTITUTE(SUBSTITUTE(SUBSTITUTE(SUBSTITUTE(SUBSTITUTE(SUBSTITUTE(SUBSTITUTE(SUBSTITUTE(SUBSTITUTE(SUBSTITUTE(SUBSTITUTE(LOWER(TRIM(D97)),"ё","е"),"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категории",""))="инженер",IF(AND(ISNUMBER(SEARCH("техническ",E97)),ISNUMBER(SEARCH("контрол",E97))),"инженер отк",IF(ISNUMBER(SEARCH("диспетч",E97)),"инженер пдо",TRIM(SUBSTITUTE(SUBSTITUTE(SUBSTITUTE(SUBSTITUTE(SUBSTITUTE(SUBSTITUTE(SUBSTITUTE(SUBSTITUTE(SUBSTITUTE(SUBSTITUTE(SUBSTITUTE(LOWER(TRIM(D97)),"ё","е"),"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инженер",IF(ISNUMBER(SEARCH("диспетч",E97)),"ведущий инженер пдо",TRIM(SUBSTITUTE(SUBSTITUTE(SUBSTITUTE(SUBSTITUTE(SUBSTITUTE(SUBSTITUTE(SUBSTITUTE(SUBSTITUTE(SUBSTITUTE(SUBSTITUTE(SUBSTITUTE(LOWER(TRIM(D97)),"ё","е"),"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отк",TRIM(SUBSTITUTE(SUBSTITUTE(SUBSTITUTE(SUBSTITUTE(SUBSTITUTE(SUBSTITUTE(SUBSTITUTE(SUBSTITUTE(SUBSTITUTE(SUBSTITUTE(SUBSTITUTE(LOWER(TRIM(D97)),"ё","е")," -","-"),"- ","-")," 2 разряда","")," 3 разряда","")," 4 разряда","")," 5 разряда","")," 6 разряда","")," 1 категории","")," 2 категории","")," 3 категории","")))))</f>
        <v>диспетчер</v>
      </c>
      <c r="H97" s="12" t="n">
        <f aca="false">IFERROR(INDEX(Соответствие!$B$2:$B$76,MATCH(G97,Соответствие!$A$2:$A$76,0)),"?")</f>
        <v>28</v>
      </c>
      <c r="I97" s="9" t="str">
        <f aca="false">IFERROR(INDEX('Перечень должностей'!$C$2:$C$46,MATCH(H97,'Перечень должностей'!$A$2:$A$46,0)),"")</f>
        <v>п.4.4, п.5.1, п.5.2</v>
      </c>
      <c r="J97" s="12" t="n">
        <f aca="false">IFERROR(INDEX('Перечень должностей'!$D$2:$D$46,MATCH(H97,'Перечень должностей'!$A$2:$A$46,0)),12)</f>
        <v>12</v>
      </c>
      <c r="K97" s="17"/>
      <c r="L97" s="17"/>
      <c r="M97" s="16" t="str">
        <f aca="false">IF(K97="","",EDATE(IF(L97&lt;&gt;"",L97,K97),J97))</f>
        <v/>
      </c>
      <c r="N97" s="12" t="str">
        <f aca="false">IFERROR(INDEX('Перечень должностей'!$F$2:$F$46,MATCH(H97,'Перечень должностей'!$A$2:$A$46,0)),"")</f>
        <v>-</v>
      </c>
      <c r="O97" s="17"/>
      <c r="P97" s="16" t="str">
        <f aca="false">IF(O97="","",EDATE(O97,60))</f>
        <v/>
      </c>
      <c r="Q97" s="12" t="str">
        <f aca="false">IF(AND(K97&lt;&gt;"",F97&lt;&gt;"",K97&gt;F97),"ДА","")</f>
        <v/>
      </c>
      <c r="R97" s="9"/>
    </row>
    <row r="98" customFormat="false" ht="14.25" hidden="false" customHeight="true" outlineLevel="0" collapsed="false">
      <c r="A98" s="15" t="n">
        <v>97</v>
      </c>
      <c r="B98" s="12" t="s">
        <v>50</v>
      </c>
      <c r="C98" s="15" t="s">
        <v>547</v>
      </c>
      <c r="D98" s="15" t="s">
        <v>95</v>
      </c>
      <c r="E98" s="15" t="s">
        <v>537</v>
      </c>
      <c r="F98" s="16" t="n">
        <v>45691</v>
      </c>
      <c r="G98" s="5" t="str">
        <f aca="false">IF(TRIM(SUBSTITUTE(SUBSTITUTE(SUBSTITUTE(SUBSTITUTE(SUBSTITUTE(SUBSTITUTE(SUBSTITUTE(SUBSTITUTE(SUBSTITUTE(SUBSTITUTE(SUBSTITUTE(LOWER(TRIM(D98)),"ё","е"),"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категории",""))="инженер",IF(AND(ISNUMBER(SEARCH("техническ",E98)),ISNUMBER(SEARCH("контрол",E98))),"инженер отк",IF(ISNUMBER(SEARCH("диспетч",E98)),"инженер пдо",TRIM(SUBSTITUTE(SUBSTITUTE(SUBSTITUTE(SUBSTITUTE(SUBSTITUTE(SUBSTITUTE(SUBSTITUTE(SUBSTITUTE(SUBSTITUTE(SUBSTITUTE(SUBSTITUTE(LOWER(TRIM(D98)),"ё","е"),"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инженер",IF(ISNUMBER(SEARCH("диспетч",E98)),"ведущий инженер пдо",TRIM(SUBSTITUTE(SUBSTITUTE(SUBSTITUTE(SUBSTITUTE(SUBSTITUTE(SUBSTITUTE(SUBSTITUTE(SUBSTITUTE(SUBSTITUTE(SUBSTITUTE(SUBSTITUTE(LOWER(TRIM(D98)),"ё","е"),"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отк",TRIM(SUBSTITUTE(SUBSTITUTE(SUBSTITUTE(SUBSTITUTE(SUBSTITUTE(SUBSTITUTE(SUBSTITUTE(SUBSTITUTE(SUBSTITUTE(SUBSTITUTE(SUBSTITUTE(LOWER(TRIM(D98)),"ё","е")," -","-"),"- ","-")," 2 разряда","")," 3 разряда","")," 4 разряда","")," 5 разряда","")," 6 разряда","")," 1 категории","")," 2 категории","")," 3 категории","")))))</f>
        <v>ведущий диспетчер</v>
      </c>
      <c r="H98" s="12" t="n">
        <f aca="false">IFERROR(INDEX(Соответствие!$B$2:$B$76,MATCH(G98,Соответствие!$A$2:$A$76,0)),"?")</f>
        <v>28</v>
      </c>
      <c r="I98" s="9" t="str">
        <f aca="false">IFERROR(INDEX('Перечень должностей'!$C$2:$C$46,MATCH(H98,'Перечень должностей'!$A$2:$A$46,0)),"")</f>
        <v>п.4.4, п.5.1, п.5.2</v>
      </c>
      <c r="J98" s="12" t="n">
        <f aca="false">IFERROR(INDEX('Перечень должностей'!$D$2:$D$46,MATCH(H98,'Перечень должностей'!$A$2:$A$46,0)),12)</f>
        <v>12</v>
      </c>
      <c r="K98" s="17"/>
      <c r="L98" s="17"/>
      <c r="M98" s="16" t="str">
        <f aca="false">IF(K98="","",EDATE(IF(L98&lt;&gt;"",L98,K98),J98))</f>
        <v/>
      </c>
      <c r="N98" s="12" t="str">
        <f aca="false">IFERROR(INDEX('Перечень должностей'!$F$2:$F$46,MATCH(H98,'Перечень должностей'!$A$2:$A$46,0)),"")</f>
        <v>-</v>
      </c>
      <c r="O98" s="17"/>
      <c r="P98" s="16" t="str">
        <f aca="false">IF(O98="","",EDATE(O98,60))</f>
        <v/>
      </c>
      <c r="Q98" s="12" t="str">
        <f aca="false">IF(AND(K98&lt;&gt;"",F98&lt;&gt;"",K98&gt;F98),"ДА","")</f>
        <v/>
      </c>
      <c r="R98" s="9"/>
    </row>
    <row r="99" customFormat="false" ht="14.25" hidden="false" customHeight="true" outlineLevel="0" collapsed="false">
      <c r="A99" s="15" t="n">
        <v>98</v>
      </c>
      <c r="B99" s="12" t="s">
        <v>50</v>
      </c>
      <c r="C99" s="15" t="s">
        <v>548</v>
      </c>
      <c r="D99" s="15" t="s">
        <v>95</v>
      </c>
      <c r="E99" s="15" t="s">
        <v>537</v>
      </c>
      <c r="F99" s="16" t="n">
        <v>45537</v>
      </c>
      <c r="G99" s="5" t="str">
        <f aca="false">IF(TRIM(SUBSTITUTE(SUBSTITUTE(SUBSTITUTE(SUBSTITUTE(SUBSTITUTE(SUBSTITUTE(SUBSTITUTE(SUBSTITUTE(SUBSTITUTE(SUBSTITUTE(SUBSTITUTE(LOWER(TRIM(D99)),"ё","е"),"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категории",""))="инженер",IF(AND(ISNUMBER(SEARCH("техническ",E99)),ISNUMBER(SEARCH("контрол",E99))),"инженер отк",IF(ISNUMBER(SEARCH("диспетч",E99)),"инженер пдо",TRIM(SUBSTITUTE(SUBSTITUTE(SUBSTITUTE(SUBSTITUTE(SUBSTITUTE(SUBSTITUTE(SUBSTITUTE(SUBSTITUTE(SUBSTITUTE(SUBSTITUTE(SUBSTITUTE(LOWER(TRIM(D99)),"ё","е"),"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инженер",IF(ISNUMBER(SEARCH("диспетч",E99)),"ведущий инженер пдо",TRIM(SUBSTITUTE(SUBSTITUTE(SUBSTITUTE(SUBSTITUTE(SUBSTITUTE(SUBSTITUTE(SUBSTITUTE(SUBSTITUTE(SUBSTITUTE(SUBSTITUTE(SUBSTITUTE(LOWER(TRIM(D99)),"ё","е"),"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отк",TRIM(SUBSTITUTE(SUBSTITUTE(SUBSTITUTE(SUBSTITUTE(SUBSTITUTE(SUBSTITUTE(SUBSTITUTE(SUBSTITUTE(SUBSTITUTE(SUBSTITUTE(SUBSTITUTE(LOWER(TRIM(D99)),"ё","е")," -","-"),"- ","-")," 2 разряда","")," 3 разряда","")," 4 разряда","")," 5 разряда","")," 6 разряда","")," 1 категории","")," 2 категории","")," 3 категории","")))))</f>
        <v>ведущий диспетчер</v>
      </c>
      <c r="H99" s="12" t="n">
        <f aca="false">IFERROR(INDEX(Соответствие!$B$2:$B$76,MATCH(G99,Соответствие!$A$2:$A$76,0)),"?")</f>
        <v>28</v>
      </c>
      <c r="I99" s="9" t="str">
        <f aca="false">IFERROR(INDEX('Перечень должностей'!$C$2:$C$46,MATCH(H99,'Перечень должностей'!$A$2:$A$46,0)),"")</f>
        <v>п.4.4, п.5.1, п.5.2</v>
      </c>
      <c r="J99" s="12" t="n">
        <f aca="false">IFERROR(INDEX('Перечень должностей'!$D$2:$D$46,MATCH(H99,'Перечень должностей'!$A$2:$A$46,0)),12)</f>
        <v>12</v>
      </c>
      <c r="K99" s="17"/>
      <c r="L99" s="17"/>
      <c r="M99" s="16" t="str">
        <f aca="false">IF(K99="","",EDATE(IF(L99&lt;&gt;"",L99,K99),J99))</f>
        <v/>
      </c>
      <c r="N99" s="12" t="str">
        <f aca="false">IFERROR(INDEX('Перечень должностей'!$F$2:$F$46,MATCH(H99,'Перечень должностей'!$A$2:$A$46,0)),"")</f>
        <v>-</v>
      </c>
      <c r="O99" s="17"/>
      <c r="P99" s="16" t="str">
        <f aca="false">IF(O99="","",EDATE(O99,60))</f>
        <v/>
      </c>
      <c r="Q99" s="12" t="str">
        <f aca="false">IF(AND(K99&lt;&gt;"",F99&lt;&gt;"",K99&gt;F99),"ДА","")</f>
        <v/>
      </c>
      <c r="R99" s="9"/>
    </row>
    <row r="100" customFormat="false" ht="14.25" hidden="false" customHeight="true" outlineLevel="0" collapsed="false">
      <c r="A100" s="15" t="n">
        <v>99</v>
      </c>
      <c r="B100" s="12" t="s">
        <v>50</v>
      </c>
      <c r="C100" s="15" t="s">
        <v>549</v>
      </c>
      <c r="D100" s="15" t="s">
        <v>95</v>
      </c>
      <c r="E100" s="15" t="s">
        <v>537</v>
      </c>
      <c r="F100" s="16" t="n">
        <v>45579</v>
      </c>
      <c r="G100" s="5" t="str">
        <f aca="false">IF(TRIM(SUBSTITUTE(SUBSTITUTE(SUBSTITUTE(SUBSTITUTE(SUBSTITUTE(SUBSTITUTE(SUBSTITUTE(SUBSTITUTE(SUBSTITUTE(SUBSTITUTE(SUBSTITUTE(LOWER(TRIM(D100)),"ё","е"),"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категории",""))="инженер",IF(AND(ISNUMBER(SEARCH("техническ",E100)),ISNUMBER(SEARCH("контрол",E100))),"инженер отк",IF(ISNUMBER(SEARCH("диспетч",E100)),"инженер пдо",TRIM(SUBSTITUTE(SUBSTITUTE(SUBSTITUTE(SUBSTITUTE(SUBSTITUTE(SUBSTITUTE(SUBSTITUTE(SUBSTITUTE(SUBSTITUTE(SUBSTITUTE(SUBSTITUTE(LOWER(TRIM(D100)),"ё","е"),"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инженер",IF(ISNUMBER(SEARCH("диспетч",E100)),"ведущий инженер пдо",TRIM(SUBSTITUTE(SUBSTITUTE(SUBSTITUTE(SUBSTITUTE(SUBSTITUTE(SUBSTITUTE(SUBSTITUTE(SUBSTITUTE(SUBSTITUTE(SUBSTITUTE(SUBSTITUTE(LOWER(TRIM(D100)),"ё","е"),"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отк",TRIM(SUBSTITUTE(SUBSTITUTE(SUBSTITUTE(SUBSTITUTE(SUBSTITUTE(SUBSTITUTE(SUBSTITUTE(SUBSTITUTE(SUBSTITUTE(SUBSTITUTE(SUBSTITUTE(LOWER(TRIM(D100)),"ё","е")," -","-"),"- ","-")," 2 разряда","")," 3 разряда","")," 4 разряда","")," 5 разряда","")," 6 разряда","")," 1 категории","")," 2 категории","")," 3 категории","")))))</f>
        <v>ведущий диспетчер</v>
      </c>
      <c r="H100" s="12" t="n">
        <f aca="false">IFERROR(INDEX(Соответствие!$B$2:$B$76,MATCH(G100,Соответствие!$A$2:$A$76,0)),"?")</f>
        <v>28</v>
      </c>
      <c r="I100" s="9" t="str">
        <f aca="false">IFERROR(INDEX('Перечень должностей'!$C$2:$C$46,MATCH(H100,'Перечень должностей'!$A$2:$A$46,0)),"")</f>
        <v>п.4.4, п.5.1, п.5.2</v>
      </c>
      <c r="J100" s="12" t="n">
        <f aca="false">IFERROR(INDEX('Перечень должностей'!$D$2:$D$46,MATCH(H100,'Перечень должностей'!$A$2:$A$46,0)),12)</f>
        <v>12</v>
      </c>
      <c r="K100" s="17"/>
      <c r="L100" s="17"/>
      <c r="M100" s="16" t="str">
        <f aca="false">IF(K100="","",EDATE(IF(L100&lt;&gt;"",L100,K100),J100))</f>
        <v/>
      </c>
      <c r="N100" s="12" t="str">
        <f aca="false">IFERROR(INDEX('Перечень должностей'!$F$2:$F$46,MATCH(H100,'Перечень должностей'!$A$2:$A$46,0)),"")</f>
        <v>-</v>
      </c>
      <c r="O100" s="17"/>
      <c r="P100" s="16" t="str">
        <f aca="false">IF(O100="","",EDATE(O100,60))</f>
        <v/>
      </c>
      <c r="Q100" s="12" t="str">
        <f aca="false">IF(AND(K100&lt;&gt;"",F100&lt;&gt;"",K100&gt;F100),"ДА","")</f>
        <v/>
      </c>
      <c r="R100" s="9"/>
    </row>
    <row r="101" customFormat="false" ht="14.25" hidden="false" customHeight="true" outlineLevel="0" collapsed="false">
      <c r="A101" s="15" t="n">
        <v>100</v>
      </c>
      <c r="B101" s="12" t="s">
        <v>50</v>
      </c>
      <c r="C101" s="15" t="s">
        <v>550</v>
      </c>
      <c r="D101" s="15" t="s">
        <v>551</v>
      </c>
      <c r="E101" s="15" t="s">
        <v>537</v>
      </c>
      <c r="F101" s="16" t="n">
        <v>40616</v>
      </c>
      <c r="G101" s="5" t="str">
        <f aca="false">IF(TRIM(SUBSTITUTE(SUBSTITUTE(SUBSTITUTE(SUBSTITUTE(SUBSTITUTE(SUBSTITUTE(SUBSTITUTE(SUBSTITUTE(SUBSTITUTE(SUBSTITUTE(SUBSTITUTE(LOWER(TRIM(D101)),"ё","е"),"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категории",""))="инженер",IF(AND(ISNUMBER(SEARCH("техническ",E101)),ISNUMBER(SEARCH("контрол",E101))),"инженер отк",IF(ISNUMBER(SEARCH("диспетч",E101)),"инженер пдо",TRIM(SUBSTITUTE(SUBSTITUTE(SUBSTITUTE(SUBSTITUTE(SUBSTITUTE(SUBSTITUTE(SUBSTITUTE(SUBSTITUTE(SUBSTITUTE(SUBSTITUTE(SUBSTITUTE(LOWER(TRIM(D101)),"ё","е"),"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инженер",IF(ISNUMBER(SEARCH("диспетч",E101)),"ведущий инженер пдо",TRIM(SUBSTITUTE(SUBSTITUTE(SUBSTITUTE(SUBSTITUTE(SUBSTITUTE(SUBSTITUTE(SUBSTITUTE(SUBSTITUTE(SUBSTITUTE(SUBSTITUTE(SUBSTITUTE(LOWER(TRIM(D101)),"ё","е"),"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отк",TRIM(SUBSTITUTE(SUBSTITUTE(SUBSTITUTE(SUBSTITUTE(SUBSTITUTE(SUBSTITUTE(SUBSTITUTE(SUBSTITUTE(SUBSTITUTE(SUBSTITUTE(SUBSTITUTE(LOWER(TRIM(D101)),"ё","е")," -","-"),"- ","-")," 2 разряда","")," 3 разряда","")," 4 разряда","")," 5 разряда","")," 6 разряда","")," 1 категории","")," 2 категории","")," 3 категории","")))))</f>
        <v>ведущий инженер пдо</v>
      </c>
      <c r="H101" s="12" t="n">
        <f aca="false">IFERROR(INDEX(Соответствие!$B$2:$B$76,MATCH(G101,Соответствие!$A$2:$A$76,0)),"?")</f>
        <v>27</v>
      </c>
      <c r="I101" s="9" t="str">
        <f aca="false">IFERROR(INDEX('Перечень должностей'!$C$2:$C$46,MATCH(H101,'Перечень должностей'!$A$2:$A$46,0)),"")</f>
        <v>п.4.4, п.5.1, п.5.2</v>
      </c>
      <c r="J101" s="12" t="n">
        <f aca="false">IFERROR(INDEX('Перечень должностей'!$D$2:$D$46,MATCH(H101,'Перечень должностей'!$A$2:$A$46,0)),12)</f>
        <v>12</v>
      </c>
      <c r="K101" s="17"/>
      <c r="L101" s="17"/>
      <c r="M101" s="16" t="str">
        <f aca="false">IF(K101="","",EDATE(IF(L101&lt;&gt;"",L101,K101),J101))</f>
        <v/>
      </c>
      <c r="N101" s="12" t="str">
        <f aca="false">IFERROR(INDEX('Перечень должностей'!$F$2:$F$46,MATCH(H101,'Перечень должностей'!$A$2:$A$46,0)),"")</f>
        <v>-</v>
      </c>
      <c r="O101" s="17"/>
      <c r="P101" s="16" t="str">
        <f aca="false">IF(O101="","",EDATE(O101,60))</f>
        <v/>
      </c>
      <c r="Q101" s="12" t="str">
        <f aca="false">IF(AND(K101&lt;&gt;"",F101&lt;&gt;"",K101&gt;F101),"ДА","")</f>
        <v/>
      </c>
      <c r="R101" s="9"/>
    </row>
    <row r="102" customFormat="false" ht="14.25" hidden="false" customHeight="true" outlineLevel="0" collapsed="false">
      <c r="A102" s="15" t="n">
        <v>101</v>
      </c>
      <c r="B102" s="12" t="s">
        <v>50</v>
      </c>
      <c r="C102" s="15" t="s">
        <v>552</v>
      </c>
      <c r="D102" s="15" t="s">
        <v>553</v>
      </c>
      <c r="E102" s="15" t="s">
        <v>537</v>
      </c>
      <c r="F102" s="16" t="n">
        <v>45397</v>
      </c>
      <c r="G102" s="5" t="str">
        <f aca="false">IF(TRIM(SUBSTITUTE(SUBSTITUTE(SUBSTITUTE(SUBSTITUTE(SUBSTITUTE(SUBSTITUTE(SUBSTITUTE(SUBSTITUTE(SUBSTITUTE(SUBSTITUTE(SUBSTITUTE(LOWER(TRIM(D102)),"ё","е"),"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категории",""))="инженер",IF(AND(ISNUMBER(SEARCH("техническ",E102)),ISNUMBER(SEARCH("контрол",E102))),"инженер отк",IF(ISNUMBER(SEARCH("диспетч",E102)),"инженер пдо",TRIM(SUBSTITUTE(SUBSTITUTE(SUBSTITUTE(SUBSTITUTE(SUBSTITUTE(SUBSTITUTE(SUBSTITUTE(SUBSTITUTE(SUBSTITUTE(SUBSTITUTE(SUBSTITUTE(LOWER(TRIM(D102)),"ё","е"),"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инженер",IF(ISNUMBER(SEARCH("диспетч",E102)),"ведущий инженер пдо",TRIM(SUBSTITUTE(SUBSTITUTE(SUBSTITUTE(SUBSTITUTE(SUBSTITUTE(SUBSTITUTE(SUBSTITUTE(SUBSTITUTE(SUBSTITUTE(SUBSTITUTE(SUBSTITUTE(LOWER(TRIM(D102)),"ё","е"),"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отк",TRIM(SUBSTITUTE(SUBSTITUTE(SUBSTITUTE(SUBSTITUTE(SUBSTITUTE(SUBSTITUTE(SUBSTITUTE(SUBSTITUTE(SUBSTITUTE(SUBSTITUTE(SUBSTITUTE(LOWER(TRIM(D102)),"ё","е")," -","-"),"- ","-")," 2 разряда","")," 3 разряда","")," 4 разряда","")," 5 разряда","")," 6 разряда","")," 1 категории","")," 2 категории","")," 3 категории","")))))</f>
        <v>ведущий специалист по учету</v>
      </c>
      <c r="H102" s="12" t="n">
        <f aca="false">IFERROR(INDEX(Соответствие!$B$2:$B$76,MATCH(G102,Соответствие!$A$2:$A$76,0)),"?")</f>
        <v>27</v>
      </c>
      <c r="I102" s="9" t="str">
        <f aca="false">IFERROR(INDEX('Перечень должностей'!$C$2:$C$46,MATCH(H102,'Перечень должностей'!$A$2:$A$46,0)),"")</f>
        <v>п.4.4, п.5.1, п.5.2</v>
      </c>
      <c r="J102" s="12" t="n">
        <f aca="false">IFERROR(INDEX('Перечень должностей'!$D$2:$D$46,MATCH(H102,'Перечень должностей'!$A$2:$A$46,0)),12)</f>
        <v>12</v>
      </c>
      <c r="K102" s="17"/>
      <c r="L102" s="17"/>
      <c r="M102" s="16" t="str">
        <f aca="false">IF(K102="","",EDATE(IF(L102&lt;&gt;"",L102,K102),J102))</f>
        <v/>
      </c>
      <c r="N102" s="12" t="str">
        <f aca="false">IFERROR(INDEX('Перечень должностей'!$F$2:$F$46,MATCH(H102,'Перечень должностей'!$A$2:$A$46,0)),"")</f>
        <v>-</v>
      </c>
      <c r="O102" s="17"/>
      <c r="P102" s="16" t="str">
        <f aca="false">IF(O102="","",EDATE(O102,60))</f>
        <v/>
      </c>
      <c r="Q102" s="12" t="str">
        <f aca="false">IF(AND(K102&lt;&gt;"",F102&lt;&gt;"",K102&gt;F102),"ДА","")</f>
        <v/>
      </c>
      <c r="R102" s="9"/>
    </row>
    <row r="103" customFormat="false" ht="23.25" hidden="false" customHeight="true" outlineLevel="0" collapsed="false">
      <c r="A103" s="15" t="n">
        <v>102</v>
      </c>
      <c r="B103" s="12" t="s">
        <v>50</v>
      </c>
      <c r="C103" s="15" t="s">
        <v>554</v>
      </c>
      <c r="D103" s="15" t="s">
        <v>555</v>
      </c>
      <c r="E103" s="15" t="s">
        <v>556</v>
      </c>
      <c r="F103" s="16" t="n">
        <v>45509</v>
      </c>
      <c r="G103" s="5" t="str">
        <f aca="false">IF(TRIM(SUBSTITUTE(SUBSTITUTE(SUBSTITUTE(SUBSTITUTE(SUBSTITUTE(SUBSTITUTE(SUBSTITUTE(SUBSTITUTE(SUBSTITUTE(SUBSTITUTE(SUBSTITUTE(LOWER(TRIM(D103)),"ё","е"),"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категории",""))="инженер",IF(AND(ISNUMBER(SEARCH("техническ",E103)),ISNUMBER(SEARCH("контрол",E103))),"инженер отк",IF(ISNUMBER(SEARCH("диспетч",E103)),"инженер пдо",TRIM(SUBSTITUTE(SUBSTITUTE(SUBSTITUTE(SUBSTITUTE(SUBSTITUTE(SUBSTITUTE(SUBSTITUTE(SUBSTITUTE(SUBSTITUTE(SUBSTITUTE(SUBSTITUTE(LOWER(TRIM(D103)),"ё","е"),"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инженер",IF(ISNUMBER(SEARCH("диспетч",E103)),"ведущий инженер пдо",TRIM(SUBSTITUTE(SUBSTITUTE(SUBSTITUTE(SUBSTITUTE(SUBSTITUTE(SUBSTITUTE(SUBSTITUTE(SUBSTITUTE(SUBSTITUTE(SUBSTITUTE(SUBSTITUTE(LOWER(TRIM(D103)),"ё","е"),"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отк",TRIM(SUBSTITUTE(SUBSTITUTE(SUBSTITUTE(SUBSTITUTE(SUBSTITUTE(SUBSTITUTE(SUBSTITUTE(SUBSTITUTE(SUBSTITUTE(SUBSTITUTE(SUBSTITUTE(LOWER(TRIM(D103)),"ё","е")," -","-"),"- ","-")," 2 разряда","")," 3 разряда","")," 4 разряда","")," 5 разряда","")," 6 разряда","")," 1 категории","")," 2 категории","")," 3 категории","")))))</f>
        <v>токарь</v>
      </c>
      <c r="H103" s="12" t="n">
        <f aca="false">IFERROR(INDEX(Соответствие!$B$2:$B$76,MATCH(G103,Соответствие!$A$2:$A$76,0)),"?")</f>
        <v>34</v>
      </c>
      <c r="I103" s="9" t="str">
        <f aca="false">IFERROR(INDEX('Перечень должностей'!$C$2:$C$46,MATCH(H103,'Перечень должностей'!$A$2:$A$46,0)),"")</f>
        <v>п.4.3.1, п.4.3.2, п.4.4, п.5.1, п.5.2, п.15</v>
      </c>
      <c r="J103" s="12" t="n">
        <f aca="false">IFERROR(INDEX('Перечень должностей'!$D$2:$D$46,MATCH(H103,'Перечень должностей'!$A$2:$A$46,0)),12)</f>
        <v>12</v>
      </c>
      <c r="K103" s="17"/>
      <c r="L103" s="17"/>
      <c r="M103" s="16" t="str">
        <f aca="false">IF(K103="","",EDATE(IF(L103&lt;&gt;"",L103,K103),J103))</f>
        <v/>
      </c>
      <c r="N103" s="12" t="str">
        <f aca="false">IFERROR(INDEX('Перечень должностей'!$F$2:$F$46,MATCH(H103,'Перечень должностей'!$A$2:$A$46,0)),"")</f>
        <v>-</v>
      </c>
      <c r="O103" s="17"/>
      <c r="P103" s="16" t="str">
        <f aca="false">IF(O103="","",EDATE(O103,60))</f>
        <v/>
      </c>
      <c r="Q103" s="12" t="str">
        <f aca="false">IF(AND(K103&lt;&gt;"",F103&lt;&gt;"",K103&gt;F103),"ДА","")</f>
        <v/>
      </c>
      <c r="R103" s="9"/>
    </row>
    <row r="104" customFormat="false" ht="23.25" hidden="false" customHeight="true" outlineLevel="0" collapsed="false">
      <c r="A104" s="15" t="n">
        <v>103</v>
      </c>
      <c r="B104" s="12" t="s">
        <v>50</v>
      </c>
      <c r="C104" s="15" t="s">
        <v>557</v>
      </c>
      <c r="D104" s="15" t="s">
        <v>555</v>
      </c>
      <c r="E104" s="15" t="s">
        <v>556</v>
      </c>
      <c r="F104" s="16" t="n">
        <v>45565</v>
      </c>
      <c r="G104" s="5" t="str">
        <f aca="false">IF(TRIM(SUBSTITUTE(SUBSTITUTE(SUBSTITUTE(SUBSTITUTE(SUBSTITUTE(SUBSTITUTE(SUBSTITUTE(SUBSTITUTE(SUBSTITUTE(SUBSTITUTE(SUBSTITUTE(LOWER(TRIM(D104)),"ё","е"),"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категории",""))="инженер",IF(AND(ISNUMBER(SEARCH("техническ",E104)),ISNUMBER(SEARCH("контрол",E104))),"инженер отк",IF(ISNUMBER(SEARCH("диспетч",E104)),"инженер пдо",TRIM(SUBSTITUTE(SUBSTITUTE(SUBSTITUTE(SUBSTITUTE(SUBSTITUTE(SUBSTITUTE(SUBSTITUTE(SUBSTITUTE(SUBSTITUTE(SUBSTITUTE(SUBSTITUTE(LOWER(TRIM(D104)),"ё","е"),"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инженер",IF(ISNUMBER(SEARCH("диспетч",E104)),"ведущий инженер пдо",TRIM(SUBSTITUTE(SUBSTITUTE(SUBSTITUTE(SUBSTITUTE(SUBSTITUTE(SUBSTITUTE(SUBSTITUTE(SUBSTITUTE(SUBSTITUTE(SUBSTITUTE(SUBSTITUTE(LOWER(TRIM(D104)),"ё","е"),"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отк",TRIM(SUBSTITUTE(SUBSTITUTE(SUBSTITUTE(SUBSTITUTE(SUBSTITUTE(SUBSTITUTE(SUBSTITUTE(SUBSTITUTE(SUBSTITUTE(SUBSTITUTE(SUBSTITUTE(LOWER(TRIM(D104)),"ё","е")," -","-"),"- ","-")," 2 разряда","")," 3 разряда","")," 4 разряда","")," 5 разряда","")," 6 разряда","")," 1 категории","")," 2 категории","")," 3 категории","")))))</f>
        <v>токарь</v>
      </c>
      <c r="H104" s="12" t="n">
        <f aca="false">IFERROR(INDEX(Соответствие!$B$2:$B$76,MATCH(G104,Соответствие!$A$2:$A$76,0)),"?")</f>
        <v>34</v>
      </c>
      <c r="I104" s="9" t="str">
        <f aca="false">IFERROR(INDEX('Перечень должностей'!$C$2:$C$46,MATCH(H104,'Перечень должностей'!$A$2:$A$46,0)),"")</f>
        <v>п.4.3.1, п.4.3.2, п.4.4, п.5.1, п.5.2, п.15</v>
      </c>
      <c r="J104" s="12" t="n">
        <f aca="false">IFERROR(INDEX('Перечень должностей'!$D$2:$D$46,MATCH(H104,'Перечень должностей'!$A$2:$A$46,0)),12)</f>
        <v>12</v>
      </c>
      <c r="K104" s="17"/>
      <c r="L104" s="17"/>
      <c r="M104" s="16" t="str">
        <f aca="false">IF(K104="","",EDATE(IF(L104&lt;&gt;"",L104,K104),J104))</f>
        <v/>
      </c>
      <c r="N104" s="12" t="str">
        <f aca="false">IFERROR(INDEX('Перечень должностей'!$F$2:$F$46,MATCH(H104,'Перечень должностей'!$A$2:$A$46,0)),"")</f>
        <v>-</v>
      </c>
      <c r="O104" s="17"/>
      <c r="P104" s="16" t="str">
        <f aca="false">IF(O104="","",EDATE(O104,60))</f>
        <v/>
      </c>
      <c r="Q104" s="12" t="str">
        <f aca="false">IF(AND(K104&lt;&gt;"",F104&lt;&gt;"",K104&gt;F104),"ДА","")</f>
        <v/>
      </c>
      <c r="R104" s="9"/>
    </row>
    <row r="105" customFormat="false" ht="26.25" hidden="false" customHeight="true" outlineLevel="0" collapsed="false">
      <c r="A105" s="15" t="n">
        <v>104</v>
      </c>
      <c r="B105" s="12" t="s">
        <v>50</v>
      </c>
      <c r="C105" s="15" t="s">
        <v>558</v>
      </c>
      <c r="D105" s="15" t="s">
        <v>555</v>
      </c>
      <c r="E105" s="15" t="s">
        <v>556</v>
      </c>
      <c r="F105" s="16" t="n">
        <v>45924</v>
      </c>
      <c r="G105" s="5" t="str">
        <f aca="false">IF(TRIM(SUBSTITUTE(SUBSTITUTE(SUBSTITUTE(SUBSTITUTE(SUBSTITUTE(SUBSTITUTE(SUBSTITUTE(SUBSTITUTE(SUBSTITUTE(SUBSTITUTE(SUBSTITUTE(LOWER(TRIM(D105)),"ё","е"),"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категории",""))="инженер",IF(AND(ISNUMBER(SEARCH("техническ",E105)),ISNUMBER(SEARCH("контрол",E105))),"инженер отк",IF(ISNUMBER(SEARCH("диспетч",E105)),"инженер пдо",TRIM(SUBSTITUTE(SUBSTITUTE(SUBSTITUTE(SUBSTITUTE(SUBSTITUTE(SUBSTITUTE(SUBSTITUTE(SUBSTITUTE(SUBSTITUTE(SUBSTITUTE(SUBSTITUTE(LOWER(TRIM(D105)),"ё","е"),"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инженер",IF(ISNUMBER(SEARCH("диспетч",E105)),"ведущий инженер пдо",TRIM(SUBSTITUTE(SUBSTITUTE(SUBSTITUTE(SUBSTITUTE(SUBSTITUTE(SUBSTITUTE(SUBSTITUTE(SUBSTITUTE(SUBSTITUTE(SUBSTITUTE(SUBSTITUTE(LOWER(TRIM(D105)),"ё","е"),"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отк",TRIM(SUBSTITUTE(SUBSTITUTE(SUBSTITUTE(SUBSTITUTE(SUBSTITUTE(SUBSTITUTE(SUBSTITUTE(SUBSTITUTE(SUBSTITUTE(SUBSTITUTE(SUBSTITUTE(LOWER(TRIM(D105)),"ё","е")," -","-"),"- ","-")," 2 разряда","")," 3 разряда","")," 4 разряда","")," 5 разряда","")," 6 разряда","")," 1 категории","")," 2 категории","")," 3 категории","")))))</f>
        <v>токарь</v>
      </c>
      <c r="H105" s="12" t="n">
        <f aca="false">IFERROR(INDEX(Соответствие!$B$2:$B$76,MATCH(G105,Соответствие!$A$2:$A$76,0)),"?")</f>
        <v>34</v>
      </c>
      <c r="I105" s="9" t="str">
        <f aca="false">IFERROR(INDEX('Перечень должностей'!$C$2:$C$46,MATCH(H105,'Перечень должностей'!$A$2:$A$46,0)),"")</f>
        <v>п.4.3.1, п.4.3.2, п.4.4, п.5.1, п.5.2, п.15</v>
      </c>
      <c r="J105" s="12" t="n">
        <f aca="false">IFERROR(INDEX('Перечень должностей'!$D$2:$D$46,MATCH(H105,'Перечень должностей'!$A$2:$A$46,0)),12)</f>
        <v>12</v>
      </c>
      <c r="K105" s="17" t="n">
        <v>45882</v>
      </c>
      <c r="L105" s="17"/>
      <c r="M105" s="16" t="n">
        <f aca="false">IF(K105="","",EDATE(IF(L105&lt;&gt;"",L105,K105),J105))</f>
        <v>46247</v>
      </c>
      <c r="N105" s="12" t="str">
        <f aca="false">IFERROR(INDEX('Перечень должностей'!$F$2:$F$46,MATCH(H105,'Перечень должностей'!$A$2:$A$46,0)),"")</f>
        <v>-</v>
      </c>
      <c r="O105" s="17"/>
      <c r="P105" s="16" t="str">
        <f aca="false">IF(O105="","",EDATE(O105,60))</f>
        <v/>
      </c>
      <c r="Q105" s="12" t="str">
        <f aca="false">IF(AND(K105&lt;&gt;"",F105&lt;&gt;"",K105&gt;F105),"ДА","")</f>
        <v/>
      </c>
      <c r="R105" s="9"/>
    </row>
    <row r="106" customFormat="false" ht="26.25" hidden="false" customHeight="true" outlineLevel="0" collapsed="false">
      <c r="A106" s="15" t="n">
        <v>105</v>
      </c>
      <c r="B106" s="12" t="s">
        <v>50</v>
      </c>
      <c r="C106" s="15" t="s">
        <v>559</v>
      </c>
      <c r="D106" s="15" t="s">
        <v>99</v>
      </c>
      <c r="E106" s="15" t="s">
        <v>556</v>
      </c>
      <c r="F106" s="16" t="n">
        <v>45638</v>
      </c>
      <c r="G106" s="5" t="str">
        <f aca="false">IF(TRIM(SUBSTITUTE(SUBSTITUTE(SUBSTITUTE(SUBSTITUTE(SUBSTITUTE(SUBSTITUTE(SUBSTITUTE(SUBSTITUTE(SUBSTITUTE(SUBSTITUTE(SUBSTITUTE(LOWER(TRIM(D106)),"ё","е"),"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категории",""))="инженер",IF(AND(ISNUMBER(SEARCH("техническ",E106)),ISNUMBER(SEARCH("контрол",E106))),"инженер отк",IF(ISNUMBER(SEARCH("диспетч",E106)),"инженер пдо",TRIM(SUBSTITUTE(SUBSTITUTE(SUBSTITUTE(SUBSTITUTE(SUBSTITUTE(SUBSTITUTE(SUBSTITUTE(SUBSTITUTE(SUBSTITUTE(SUBSTITUTE(SUBSTITUTE(LOWER(TRIM(D106)),"ё","е"),"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инженер",IF(ISNUMBER(SEARCH("диспетч",E106)),"ведущий инженер пдо",TRIM(SUBSTITUTE(SUBSTITUTE(SUBSTITUTE(SUBSTITUTE(SUBSTITUTE(SUBSTITUTE(SUBSTITUTE(SUBSTITUTE(SUBSTITUTE(SUBSTITUTE(SUBSTITUTE(LOWER(TRIM(D106)),"ё","е"),"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отк",TRIM(SUBSTITUTE(SUBSTITUTE(SUBSTITUTE(SUBSTITUTE(SUBSTITUTE(SUBSTITUTE(SUBSTITUTE(SUBSTITUTE(SUBSTITUTE(SUBSTITUTE(SUBSTITUTE(LOWER(TRIM(D106)),"ё","е"),"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станка с чпу</v>
      </c>
      <c r="H106" s="12" t="n">
        <f aca="false">IFERROR(INDEX(Соответствие!$B$2:$B$76,MATCH(G106,Соответствие!$A$2:$A$76,0)),"?")</f>
        <v>30</v>
      </c>
      <c r="I106" s="9" t="str">
        <f aca="false">IFERROR(INDEX('Перечень должностей'!$C$2:$C$46,MATCH(H106,'Перечень должностей'!$A$2:$A$46,0)),"")</f>
        <v>п.4.3.1, п.4.3.2, п.4.4, п.5.1, п.5.2, п.15</v>
      </c>
      <c r="J106" s="12" t="n">
        <f aca="false">IFERROR(INDEX('Перечень должностей'!$D$2:$D$46,MATCH(H106,'Перечень должностей'!$A$2:$A$46,0)),12)</f>
        <v>12</v>
      </c>
      <c r="K106" s="17"/>
      <c r="L106" s="17"/>
      <c r="M106" s="16" t="str">
        <f aca="false">IF(K106="","",EDATE(IF(L106&lt;&gt;"",L106,K106),J106))</f>
        <v/>
      </c>
      <c r="N106" s="12" t="str">
        <f aca="false">IFERROR(INDEX('Перечень должностей'!$F$2:$F$46,MATCH(H106,'Перечень должностей'!$A$2:$A$46,0)),"")</f>
        <v>-</v>
      </c>
      <c r="O106" s="17"/>
      <c r="P106" s="16" t="str">
        <f aca="false">IF(O106="","",EDATE(O106,60))</f>
        <v/>
      </c>
      <c r="Q106" s="12" t="str">
        <f aca="false">IF(AND(K106&lt;&gt;"",F106&lt;&gt;"",K106&gt;F106),"ДА","")</f>
        <v/>
      </c>
      <c r="R106" s="9"/>
    </row>
    <row r="107" customFormat="false" ht="26.25" hidden="false" customHeight="true" outlineLevel="0" collapsed="false">
      <c r="A107" s="15" t="n">
        <v>106</v>
      </c>
      <c r="B107" s="12" t="s">
        <v>50</v>
      </c>
      <c r="C107" s="15" t="s">
        <v>560</v>
      </c>
      <c r="D107" s="15" t="s">
        <v>99</v>
      </c>
      <c r="E107" s="15" t="s">
        <v>556</v>
      </c>
      <c r="F107" s="16" t="n">
        <v>45792</v>
      </c>
      <c r="G107" s="5" t="str">
        <f aca="false">IF(TRIM(SUBSTITUTE(SUBSTITUTE(SUBSTITUTE(SUBSTITUTE(SUBSTITUTE(SUBSTITUTE(SUBSTITUTE(SUBSTITUTE(SUBSTITUTE(SUBSTITUTE(SUBSTITUTE(LOWER(TRIM(D107)),"ё","е"),"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категории",""))="инженер",IF(AND(ISNUMBER(SEARCH("техническ",E107)),ISNUMBER(SEARCH("контрол",E107))),"инженер отк",IF(ISNUMBER(SEARCH("диспетч",E107)),"инженер пдо",TRIM(SUBSTITUTE(SUBSTITUTE(SUBSTITUTE(SUBSTITUTE(SUBSTITUTE(SUBSTITUTE(SUBSTITUTE(SUBSTITUTE(SUBSTITUTE(SUBSTITUTE(SUBSTITUTE(LOWER(TRIM(D107)),"ё","е"),"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инженер",IF(ISNUMBER(SEARCH("диспетч",E107)),"ведущий инженер пдо",TRIM(SUBSTITUTE(SUBSTITUTE(SUBSTITUTE(SUBSTITUTE(SUBSTITUTE(SUBSTITUTE(SUBSTITUTE(SUBSTITUTE(SUBSTITUTE(SUBSTITUTE(SUBSTITUTE(LOWER(TRIM(D107)),"ё","е"),"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отк",TRIM(SUBSTITUTE(SUBSTITUTE(SUBSTITUTE(SUBSTITUTE(SUBSTITUTE(SUBSTITUTE(SUBSTITUTE(SUBSTITUTE(SUBSTITUTE(SUBSTITUTE(SUBSTITUTE(LOWER(TRIM(D107)),"ё","е"),"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станка с чпу</v>
      </c>
      <c r="H107" s="12" t="n">
        <f aca="false">IFERROR(INDEX(Соответствие!$B$2:$B$76,MATCH(G107,Соответствие!$A$2:$A$76,0)),"?")</f>
        <v>30</v>
      </c>
      <c r="I107" s="9" t="str">
        <f aca="false">IFERROR(INDEX('Перечень должностей'!$C$2:$C$46,MATCH(H107,'Перечень должностей'!$A$2:$A$46,0)),"")</f>
        <v>п.4.3.1, п.4.3.2, п.4.4, п.5.1, п.5.2, п.15</v>
      </c>
      <c r="J107" s="12" t="n">
        <f aca="false">IFERROR(INDEX('Перечень должностей'!$D$2:$D$46,MATCH(H107,'Перечень должностей'!$A$2:$A$46,0)),12)</f>
        <v>12</v>
      </c>
      <c r="K107" s="17"/>
      <c r="L107" s="17"/>
      <c r="M107" s="16" t="str">
        <f aca="false">IF(K107="","",EDATE(IF(L107&lt;&gt;"",L107,K107),J107))</f>
        <v/>
      </c>
      <c r="N107" s="12" t="str">
        <f aca="false">IFERROR(INDEX('Перечень должностей'!$F$2:$F$46,MATCH(H107,'Перечень должностей'!$A$2:$A$46,0)),"")</f>
        <v>-</v>
      </c>
      <c r="O107" s="17"/>
      <c r="P107" s="16" t="str">
        <f aca="false">IF(O107="","",EDATE(O107,60))</f>
        <v/>
      </c>
      <c r="Q107" s="12" t="str">
        <f aca="false">IF(AND(K107&lt;&gt;"",F107&lt;&gt;"",K107&gt;F107),"ДА","")</f>
        <v/>
      </c>
      <c r="R107" s="9"/>
    </row>
    <row r="108" customFormat="false" ht="26.25" hidden="false" customHeight="true" outlineLevel="0" collapsed="false">
      <c r="A108" s="15" t="n">
        <v>107</v>
      </c>
      <c r="B108" s="12" t="s">
        <v>50</v>
      </c>
      <c r="C108" s="15" t="s">
        <v>561</v>
      </c>
      <c r="D108" s="15" t="s">
        <v>562</v>
      </c>
      <c r="E108" s="15" t="s">
        <v>61</v>
      </c>
      <c r="F108" s="16" t="n">
        <v>45212</v>
      </c>
      <c r="G108" s="5" t="str">
        <f aca="false">IF(TRIM(SUBSTITUTE(SUBSTITUTE(SUBSTITUTE(SUBSTITUTE(SUBSTITUTE(SUBSTITUTE(SUBSTITUTE(SUBSTITUTE(SUBSTITUTE(SUBSTITUTE(SUBSTITUTE(LOWER(TRIM(D108)),"ё","е"),"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категории",""))="инженер",IF(AND(ISNUMBER(SEARCH("техническ",E108)),ISNUMBER(SEARCH("контрол",E108))),"инженер отк",IF(ISNUMBER(SEARCH("диспетч",E108)),"инженер пдо",TRIM(SUBSTITUTE(SUBSTITUTE(SUBSTITUTE(SUBSTITUTE(SUBSTITUTE(SUBSTITUTE(SUBSTITUTE(SUBSTITUTE(SUBSTITUTE(SUBSTITUTE(SUBSTITUTE(LOWER(TRIM(D108)),"ё","е"),"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инженер",IF(ISNUMBER(SEARCH("диспетч",E108)),"ведущий инженер пдо",TRIM(SUBSTITUTE(SUBSTITUTE(SUBSTITUTE(SUBSTITUTE(SUBSTITUTE(SUBSTITUTE(SUBSTITUTE(SUBSTITUTE(SUBSTITUTE(SUBSTITUTE(SUBSTITUTE(LOWER(TRIM(D108)),"ё","е"),"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отк",TRIM(SUBSTITUTE(SUBSTITUTE(SUBSTITUTE(SUBSTITUTE(SUBSTITUTE(SUBSTITUTE(SUBSTITUTE(SUBSTITUTE(SUBSTITUTE(SUBSTITUTE(SUBSTITUTE(LOWER(TRIM(D108)),"ё","е")," -","-"),"- ","-")," 2 разряда","")," 3 разряда","")," 4 разряда","")," 5 разряда","")," 6 разряда","")," 1 категории","")," 2 категории","")," 3 категории","")))))</f>
        <v>фрезеровщик</v>
      </c>
      <c r="H108" s="12" t="n">
        <f aca="false">IFERROR(INDEX(Соответствие!$B$2:$B$76,MATCH(G108,Соответствие!$A$2:$A$76,0)),"?")</f>
        <v>33</v>
      </c>
      <c r="I108" s="9" t="str">
        <f aca="false">IFERROR(INDEX('Перечень должностей'!$C$2:$C$46,MATCH(H108,'Перечень должностей'!$A$2:$A$46,0)),"")</f>
        <v>п.4.3.1, п.4.3.2, п.4.4, п.5.1, п.5.2, п.15</v>
      </c>
      <c r="J108" s="12" t="n">
        <f aca="false">IFERROR(INDEX('Перечень должностей'!$D$2:$D$46,MATCH(H108,'Перечень должностей'!$A$2:$A$46,0)),12)</f>
        <v>12</v>
      </c>
      <c r="K108" s="17"/>
      <c r="L108" s="17"/>
      <c r="M108" s="16" t="str">
        <f aca="false">IF(K108="","",EDATE(IF(L108&lt;&gt;"",L108,K108),J108))</f>
        <v/>
      </c>
      <c r="N108" s="12" t="str">
        <f aca="false">IFERROR(INDEX('Перечень должностей'!$F$2:$F$46,MATCH(H108,'Перечень должностей'!$A$2:$A$46,0)),"")</f>
        <v>-</v>
      </c>
      <c r="O108" s="17"/>
      <c r="P108" s="16" t="str">
        <f aca="false">IF(O108="","",EDATE(O108,60))</f>
        <v/>
      </c>
      <c r="Q108" s="12" t="str">
        <f aca="false">IF(AND(K108&lt;&gt;"",F108&lt;&gt;"",K108&gt;F108),"ДА","")</f>
        <v/>
      </c>
      <c r="R108" s="9"/>
    </row>
    <row r="109" customFormat="false" ht="26.25" hidden="false" customHeight="true" outlineLevel="0" collapsed="false">
      <c r="A109" s="15" t="n">
        <v>108</v>
      </c>
      <c r="B109" s="12" t="s">
        <v>50</v>
      </c>
      <c r="C109" s="15" t="s">
        <v>563</v>
      </c>
      <c r="D109" s="15" t="s">
        <v>60</v>
      </c>
      <c r="E109" s="15" t="s">
        <v>61</v>
      </c>
      <c r="F109" s="16" t="n">
        <v>39615</v>
      </c>
      <c r="G109" s="5" t="str">
        <f aca="false">IF(TRIM(SUBSTITUTE(SUBSTITUTE(SUBSTITUTE(SUBSTITUTE(SUBSTITUTE(SUBSTITUTE(SUBSTITUTE(SUBSTITUTE(SUBSTITUTE(SUBSTITUTE(SUBSTITUTE(LOWER(TRIM(D109)),"ё","е"),"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категории",""))="инженер",IF(AND(ISNUMBER(SEARCH("техническ",E109)),ISNUMBER(SEARCH("контрол",E109))),"инженер отк",IF(ISNUMBER(SEARCH("диспетч",E109)),"инженер пдо",TRIM(SUBSTITUTE(SUBSTITUTE(SUBSTITUTE(SUBSTITUTE(SUBSTITUTE(SUBSTITUTE(SUBSTITUTE(SUBSTITUTE(SUBSTITUTE(SUBSTITUTE(SUBSTITUTE(LOWER(TRIM(D109)),"ё","е"),"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инженер",IF(ISNUMBER(SEARCH("диспетч",E109)),"ведущий инженер пдо",TRIM(SUBSTITUTE(SUBSTITUTE(SUBSTITUTE(SUBSTITUTE(SUBSTITUTE(SUBSTITUTE(SUBSTITUTE(SUBSTITUTE(SUBSTITUTE(SUBSTITUTE(SUBSTITUTE(LOWER(TRIM(D109)),"ё","е"),"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отк",TRIM(SUBSTITUTE(SUBSTITUTE(SUBSTITUTE(SUBSTITUTE(SUBSTITUTE(SUBSTITUTE(SUBSTITUTE(SUBSTITUTE(SUBSTITUTE(SUBSTITUTE(SUBSTITUTE(LOWER(TRIM(D109)),"ё","е")," -","-"),"- ","-")," 2 разряда","")," 3 разряда","")," 4 разряда","")," 5 разряда","")," 6 разряда","")," 1 категории","")," 2 категории","")," 3 категории","")))))</f>
        <v>мастер участка</v>
      </c>
      <c r="H109" s="12" t="n">
        <f aca="false">IFERROR(INDEX(Соответствие!$B$2:$B$76,MATCH(G109,Соответствие!$A$2:$A$76,0)),"?")</f>
        <v>18</v>
      </c>
      <c r="I109" s="9" t="str">
        <f aca="false">IFERROR(INDEX('Перечень должностей'!$C$2:$C$46,MATCH(H109,'Перечень должностей'!$A$2:$A$46,0)),"")</f>
        <v>п.4.4, п.5.1, п.5.2</v>
      </c>
      <c r="J109" s="12" t="n">
        <f aca="false">IFERROR(INDEX('Перечень должностей'!$D$2:$D$46,MATCH(H109,'Перечень должностей'!$A$2:$A$46,0)),12)</f>
        <v>12</v>
      </c>
      <c r="K109" s="17"/>
      <c r="L109" s="17"/>
      <c r="M109" s="16" t="str">
        <f aca="false">IF(K109="","",EDATE(IF(L109&lt;&gt;"",L109,K109),J109))</f>
        <v/>
      </c>
      <c r="N109" s="12" t="str">
        <f aca="false">IFERROR(INDEX('Перечень должностей'!$F$2:$F$46,MATCH(H109,'Перечень должностей'!$A$2:$A$46,0)),"")</f>
        <v>-</v>
      </c>
      <c r="O109" s="17"/>
      <c r="P109" s="16" t="str">
        <f aca="false">IF(O109="","",EDATE(O109,60))</f>
        <v/>
      </c>
      <c r="Q109" s="12" t="str">
        <f aca="false">IF(AND(K109&lt;&gt;"",F109&lt;&gt;"",K109&gt;F109),"ДА","")</f>
        <v/>
      </c>
      <c r="R109" s="9"/>
    </row>
    <row r="110" customFormat="false" ht="26.25" hidden="false" customHeight="true" outlineLevel="0" collapsed="false">
      <c r="A110" s="15" t="n">
        <v>109</v>
      </c>
      <c r="B110" s="12" t="s">
        <v>50</v>
      </c>
      <c r="C110" s="15" t="s">
        <v>564</v>
      </c>
      <c r="D110" s="15" t="s">
        <v>565</v>
      </c>
      <c r="E110" s="15" t="s">
        <v>556</v>
      </c>
      <c r="F110" s="16" t="n">
        <v>45691</v>
      </c>
      <c r="G110" s="5" t="str">
        <f aca="false">IF(TRIM(SUBSTITUTE(SUBSTITUTE(SUBSTITUTE(SUBSTITUTE(SUBSTITUTE(SUBSTITUTE(SUBSTITUTE(SUBSTITUTE(SUBSTITUTE(SUBSTITUTE(SUBSTITUTE(LOWER(TRIM(D110)),"ё","е"),"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категории",""))="инженер",IF(AND(ISNUMBER(SEARCH("техническ",E110)),ISNUMBER(SEARCH("контрол",E110))),"инженер отк",IF(ISNUMBER(SEARCH("диспетч",E110)),"инженер пдо",TRIM(SUBSTITUTE(SUBSTITUTE(SUBSTITUTE(SUBSTITUTE(SUBSTITUTE(SUBSTITUTE(SUBSTITUTE(SUBSTITUTE(SUBSTITUTE(SUBSTITUTE(SUBSTITUTE(LOWER(TRIM(D110)),"ё","е"),"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инженер",IF(ISNUMBER(SEARCH("диспетч",E110)),"ведущий инженер пдо",TRIM(SUBSTITUTE(SUBSTITUTE(SUBSTITUTE(SUBSTITUTE(SUBSTITUTE(SUBSTITUTE(SUBSTITUTE(SUBSTITUTE(SUBSTITUTE(SUBSTITUTE(SUBSTITUTE(LOWER(TRIM(D110)),"ё","е"),"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отк",TRIM(SUBSTITUTE(SUBSTITUTE(SUBSTITUTE(SUBSTITUTE(SUBSTITUTE(SUBSTITUTE(SUBSTITUTE(SUBSTITUTE(SUBSTITUTE(SUBSTITUTE(SUBSTITUTE(LOWER(TRIM(D110)),"ё","е"),"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станка с чпу</v>
      </c>
      <c r="H110" s="12" t="n">
        <f aca="false">IFERROR(INDEX(Соответствие!$B$2:$B$76,MATCH(G110,Соответствие!$A$2:$A$76,0)),"?")</f>
        <v>30</v>
      </c>
      <c r="I110" s="9" t="str">
        <f aca="false">IFERROR(INDEX('Перечень должностей'!$C$2:$C$46,MATCH(H110,'Перечень должностей'!$A$2:$A$46,0)),"")</f>
        <v>п.4.3.1, п.4.3.2, п.4.4, п.5.1, п.5.2, п.15</v>
      </c>
      <c r="J110" s="12" t="n">
        <f aca="false">IFERROR(INDEX('Перечень должностей'!$D$2:$D$46,MATCH(H110,'Перечень должностей'!$A$2:$A$46,0)),12)</f>
        <v>12</v>
      </c>
      <c r="K110" s="17"/>
      <c r="L110" s="17"/>
      <c r="M110" s="16" t="str">
        <f aca="false">IF(K110="","",EDATE(IF(L110&lt;&gt;"",L110,K110),J110))</f>
        <v/>
      </c>
      <c r="N110" s="12" t="str">
        <f aca="false">IFERROR(INDEX('Перечень должностей'!$F$2:$F$46,MATCH(H110,'Перечень должностей'!$A$2:$A$46,0)),"")</f>
        <v>-</v>
      </c>
      <c r="O110" s="17"/>
      <c r="P110" s="16" t="str">
        <f aca="false">IF(O110="","",EDATE(O110,60))</f>
        <v/>
      </c>
      <c r="Q110" s="12" t="str">
        <f aca="false">IF(AND(K110&lt;&gt;"",F110&lt;&gt;"",K110&gt;F110),"ДА","")</f>
        <v/>
      </c>
      <c r="R110" s="9"/>
    </row>
    <row r="111" customFormat="false" ht="23.25" hidden="false" customHeight="true" outlineLevel="0" collapsed="false">
      <c r="A111" s="15" t="n">
        <v>110</v>
      </c>
      <c r="B111" s="12" t="s">
        <v>50</v>
      </c>
      <c r="C111" s="15" t="s">
        <v>566</v>
      </c>
      <c r="D111" s="15" t="s">
        <v>567</v>
      </c>
      <c r="E111" s="15" t="s">
        <v>556</v>
      </c>
      <c r="F111" s="16" t="n">
        <v>45930</v>
      </c>
      <c r="G111" s="5" t="str">
        <f aca="false">IF(TRIM(SUBSTITUTE(SUBSTITUTE(SUBSTITUTE(SUBSTITUTE(SUBSTITUTE(SUBSTITUTE(SUBSTITUTE(SUBSTITUTE(SUBSTITUTE(SUBSTITUTE(SUBSTITUTE(LOWER(TRIM(D111)),"ё","е"),"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категории",""))="инженер",IF(AND(ISNUMBER(SEARCH("техническ",E111)),ISNUMBER(SEARCH("контрол",E111))),"инженер отк",IF(ISNUMBER(SEARCH("диспетч",E111)),"инженер пдо",TRIM(SUBSTITUTE(SUBSTITUTE(SUBSTITUTE(SUBSTITUTE(SUBSTITUTE(SUBSTITUTE(SUBSTITUTE(SUBSTITUTE(SUBSTITUTE(SUBSTITUTE(SUBSTITUTE(LOWER(TRIM(D111)),"ё","е"),"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инженер",IF(ISNUMBER(SEARCH("диспетч",E111)),"ведущий инженер пдо",TRIM(SUBSTITUTE(SUBSTITUTE(SUBSTITUTE(SUBSTITUTE(SUBSTITUTE(SUBSTITUTE(SUBSTITUTE(SUBSTITUTE(SUBSTITUTE(SUBSTITUTE(SUBSTITUTE(LOWER(TRIM(D111)),"ё","е"),"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отк",TRIM(SUBSTITUTE(SUBSTITUTE(SUBSTITUTE(SUBSTITUTE(SUBSTITUTE(SUBSTITUTE(SUBSTITUTE(SUBSTITUTE(SUBSTITUTE(SUBSTITUTE(SUBSTITUTE(LOWER(TRIM(D111)),"ё","е")," -","-"),"- ","-")," 2 разряда","")," 3 разряда","")," 4 разряда","")," 5 разряда","")," 6 разряда","")," 1 категории","")," 2 категории","")," 3 категории","")))))</f>
        <v>токарь</v>
      </c>
      <c r="H111" s="12" t="n">
        <f aca="false">IFERROR(INDEX(Соответствие!$B$2:$B$76,MATCH(G111,Соответствие!$A$2:$A$76,0)),"?")</f>
        <v>34</v>
      </c>
      <c r="I111" s="9" t="str">
        <f aca="false">IFERROR(INDEX('Перечень должностей'!$C$2:$C$46,MATCH(H111,'Перечень должностей'!$A$2:$A$46,0)),"")</f>
        <v>п.4.3.1, п.4.3.2, п.4.4, п.5.1, п.5.2, п.15</v>
      </c>
      <c r="J111" s="12" t="n">
        <f aca="false">IFERROR(INDEX('Перечень должностей'!$D$2:$D$46,MATCH(H111,'Перечень должностей'!$A$2:$A$46,0)),12)</f>
        <v>12</v>
      </c>
      <c r="K111" s="17" t="n">
        <v>45916</v>
      </c>
      <c r="L111" s="17"/>
      <c r="M111" s="16" t="n">
        <f aca="false">IF(K111="","",EDATE(IF(L111&lt;&gt;"",L111,K111),J111))</f>
        <v>46281</v>
      </c>
      <c r="N111" s="12" t="str">
        <f aca="false">IFERROR(INDEX('Перечень должностей'!$F$2:$F$46,MATCH(H111,'Перечень должностей'!$A$2:$A$46,0)),"")</f>
        <v>-</v>
      </c>
      <c r="O111" s="17"/>
      <c r="P111" s="16" t="str">
        <f aca="false">IF(O111="","",EDATE(O111,60))</f>
        <v/>
      </c>
      <c r="Q111" s="12" t="str">
        <f aca="false">IF(AND(K111&lt;&gt;"",F111&lt;&gt;"",K111&gt;F111),"ДА","")</f>
        <v/>
      </c>
      <c r="R111" s="9"/>
    </row>
    <row r="112" customFormat="false" ht="26.25" hidden="false" customHeight="true" outlineLevel="0" collapsed="false">
      <c r="A112" s="15" t="n">
        <v>111</v>
      </c>
      <c r="B112" s="12" t="s">
        <v>50</v>
      </c>
      <c r="C112" s="15" t="s">
        <v>568</v>
      </c>
      <c r="D112" s="15" t="s">
        <v>567</v>
      </c>
      <c r="E112" s="15" t="s">
        <v>556</v>
      </c>
      <c r="F112" s="16" t="n">
        <v>45840</v>
      </c>
      <c r="G112" s="5" t="str">
        <f aca="false">IF(TRIM(SUBSTITUTE(SUBSTITUTE(SUBSTITUTE(SUBSTITUTE(SUBSTITUTE(SUBSTITUTE(SUBSTITUTE(SUBSTITUTE(SUBSTITUTE(SUBSTITUTE(SUBSTITUTE(LOWER(TRIM(D112)),"ё","е"),"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категории",""))="инженер",IF(AND(ISNUMBER(SEARCH("техническ",E112)),ISNUMBER(SEARCH("контрол",E112))),"инженер отк",IF(ISNUMBER(SEARCH("диспетч",E112)),"инженер пдо",TRIM(SUBSTITUTE(SUBSTITUTE(SUBSTITUTE(SUBSTITUTE(SUBSTITUTE(SUBSTITUTE(SUBSTITUTE(SUBSTITUTE(SUBSTITUTE(SUBSTITUTE(SUBSTITUTE(LOWER(TRIM(D112)),"ё","е"),"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инженер",IF(ISNUMBER(SEARCH("диспетч",E112)),"ведущий инженер пдо",TRIM(SUBSTITUTE(SUBSTITUTE(SUBSTITUTE(SUBSTITUTE(SUBSTITUTE(SUBSTITUTE(SUBSTITUTE(SUBSTITUTE(SUBSTITUTE(SUBSTITUTE(SUBSTITUTE(LOWER(TRIM(D112)),"ё","е"),"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отк",TRIM(SUBSTITUTE(SUBSTITUTE(SUBSTITUTE(SUBSTITUTE(SUBSTITUTE(SUBSTITUTE(SUBSTITUTE(SUBSTITUTE(SUBSTITUTE(SUBSTITUTE(SUBSTITUTE(LOWER(TRIM(D112)),"ё","е")," -","-"),"- ","-")," 2 разряда","")," 3 разряда","")," 4 разряда","")," 5 разряда","")," 6 разряда","")," 1 категории","")," 2 категории","")," 3 категории","")))))</f>
        <v>токарь</v>
      </c>
      <c r="H112" s="12" t="n">
        <f aca="false">IFERROR(INDEX(Соответствие!$B$2:$B$76,MATCH(G112,Соответствие!$A$2:$A$76,0)),"?")</f>
        <v>34</v>
      </c>
      <c r="I112" s="9" t="str">
        <f aca="false">IFERROR(INDEX('Перечень должностей'!$C$2:$C$46,MATCH(H112,'Перечень должностей'!$A$2:$A$46,0)),"")</f>
        <v>п.4.3.1, п.4.3.2, п.4.4, п.5.1, п.5.2, п.15</v>
      </c>
      <c r="J112" s="12" t="n">
        <f aca="false">IFERROR(INDEX('Перечень должностей'!$D$2:$D$46,MATCH(H112,'Перечень должностей'!$A$2:$A$46,0)),12)</f>
        <v>12</v>
      </c>
      <c r="K112" s="17" t="n">
        <v>45835</v>
      </c>
      <c r="L112" s="17"/>
      <c r="M112" s="16" t="n">
        <f aca="false">IF(K112="","",EDATE(IF(L112&lt;&gt;"",L112,K112),J112))</f>
        <v>46200</v>
      </c>
      <c r="N112" s="12" t="str">
        <f aca="false">IFERROR(INDEX('Перечень должностей'!$F$2:$F$46,MATCH(H112,'Перечень должностей'!$A$2:$A$46,0)),"")</f>
        <v>-</v>
      </c>
      <c r="O112" s="17"/>
      <c r="P112" s="16" t="str">
        <f aca="false">IF(O112="","",EDATE(O112,60))</f>
        <v/>
      </c>
      <c r="Q112" s="12" t="str">
        <f aca="false">IF(AND(K112&lt;&gt;"",F112&lt;&gt;"",K112&gt;F112),"ДА","")</f>
        <v/>
      </c>
      <c r="R112" s="9"/>
    </row>
    <row r="113" customFormat="false" ht="26.25" hidden="false" customHeight="true" outlineLevel="0" collapsed="false">
      <c r="A113" s="15" t="n">
        <v>112</v>
      </c>
      <c r="B113" s="12" t="s">
        <v>50</v>
      </c>
      <c r="C113" s="15" t="s">
        <v>569</v>
      </c>
      <c r="D113" s="15" t="s">
        <v>570</v>
      </c>
      <c r="E113" s="15" t="s">
        <v>61</v>
      </c>
      <c r="F113" s="16" t="n">
        <v>44692</v>
      </c>
      <c r="G113" s="5" t="str">
        <f aca="false">IF(TRIM(SUBSTITUTE(SUBSTITUTE(SUBSTITUTE(SUBSTITUTE(SUBSTITUTE(SUBSTITUTE(SUBSTITUTE(SUBSTITUTE(SUBSTITUTE(SUBSTITUTE(SUBSTITUTE(LOWER(TRIM(D113)),"ё","е"),"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категории",""))="инженер",IF(AND(ISNUMBER(SEARCH("техническ",E113)),ISNUMBER(SEARCH("контрол",E113))),"инженер отк",IF(ISNUMBER(SEARCH("диспетч",E113)),"инженер пдо",TRIM(SUBSTITUTE(SUBSTITUTE(SUBSTITUTE(SUBSTITUTE(SUBSTITUTE(SUBSTITUTE(SUBSTITUTE(SUBSTITUTE(SUBSTITUTE(SUBSTITUTE(SUBSTITUTE(LOWER(TRIM(D113)),"ё","е"),"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инженер",IF(ISNUMBER(SEARCH("диспетч",E113)),"ведущий инженер пдо",TRIM(SUBSTITUTE(SUBSTITUTE(SUBSTITUTE(SUBSTITUTE(SUBSTITUTE(SUBSTITUTE(SUBSTITUTE(SUBSTITUTE(SUBSTITUTE(SUBSTITUTE(SUBSTITUTE(LOWER(TRIM(D113)),"ё","е"),"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отк",TRIM(SUBSTITUTE(SUBSTITUTE(SUBSTITUTE(SUBSTITUTE(SUBSTITUTE(SUBSTITUTE(SUBSTITUTE(SUBSTITUTE(SUBSTITUTE(SUBSTITUTE(SUBSTITUTE(LOWER(TRIM(D113)),"ё","е")," -","-"),"- ","-")," 2 разряда","")," 3 разряда","")," 4 разряда","")," 5 разряда","")," 6 разряда","")," 1 категории","")," 2 категории","")," 3 категории","")))))</f>
        <v>фрезеровщик</v>
      </c>
      <c r="H113" s="12" t="n">
        <f aca="false">IFERROR(INDEX(Соответствие!$B$2:$B$76,MATCH(G113,Соответствие!$A$2:$A$76,0)),"?")</f>
        <v>33</v>
      </c>
      <c r="I113" s="9" t="str">
        <f aca="false">IFERROR(INDEX('Перечень должностей'!$C$2:$C$46,MATCH(H113,'Перечень должностей'!$A$2:$A$46,0)),"")</f>
        <v>п.4.3.1, п.4.3.2, п.4.4, п.5.1, п.5.2, п.15</v>
      </c>
      <c r="J113" s="12" t="n">
        <f aca="false">IFERROR(INDEX('Перечень должностей'!$D$2:$D$46,MATCH(H113,'Перечень должностей'!$A$2:$A$46,0)),12)</f>
        <v>12</v>
      </c>
      <c r="K113" s="17"/>
      <c r="L113" s="17"/>
      <c r="M113" s="16" t="str">
        <f aca="false">IF(K113="","",EDATE(IF(L113&lt;&gt;"",L113,K113),J113))</f>
        <v/>
      </c>
      <c r="N113" s="12" t="str">
        <f aca="false">IFERROR(INDEX('Перечень должностей'!$F$2:$F$46,MATCH(H113,'Перечень должностей'!$A$2:$A$46,0)),"")</f>
        <v>-</v>
      </c>
      <c r="O113" s="17"/>
      <c r="P113" s="16" t="str">
        <f aca="false">IF(O113="","",EDATE(O113,60))</f>
        <v/>
      </c>
      <c r="Q113" s="12" t="str">
        <f aca="false">IF(AND(K113&lt;&gt;"",F113&lt;&gt;"",K113&gt;F113),"ДА","")</f>
        <v/>
      </c>
      <c r="R113" s="9"/>
    </row>
    <row r="114" customFormat="false" ht="26.25" hidden="false" customHeight="true" outlineLevel="0" collapsed="false">
      <c r="A114" s="15" t="n">
        <v>113</v>
      </c>
      <c r="B114" s="12" t="s">
        <v>50</v>
      </c>
      <c r="C114" s="15" t="s">
        <v>571</v>
      </c>
      <c r="D114" s="15" t="s">
        <v>572</v>
      </c>
      <c r="E114" s="15" t="s">
        <v>191</v>
      </c>
      <c r="F114" s="16" t="n">
        <v>41673</v>
      </c>
      <c r="G114" s="5" t="str">
        <f aca="false">IF(TRIM(SUBSTITUTE(SUBSTITUTE(SUBSTITUTE(SUBSTITUTE(SUBSTITUTE(SUBSTITUTE(SUBSTITUTE(SUBSTITUTE(SUBSTITUTE(SUBSTITUTE(SUBSTITUTE(LOWER(TRIM(D114)),"ё","е"),"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категории",""))="инженер",IF(AND(ISNUMBER(SEARCH("техническ",E114)),ISNUMBER(SEARCH("контрол",E114))),"инженер отк",IF(ISNUMBER(SEARCH("диспетч",E114)),"инженер пдо",TRIM(SUBSTITUTE(SUBSTITUTE(SUBSTITUTE(SUBSTITUTE(SUBSTITUTE(SUBSTITUTE(SUBSTITUTE(SUBSTITUTE(SUBSTITUTE(SUBSTITUTE(SUBSTITUTE(LOWER(TRIM(D114)),"ё","е"),"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инженер",IF(ISNUMBER(SEARCH("диспетч",E114)),"ведущий инженер пдо",TRIM(SUBSTITUTE(SUBSTITUTE(SUBSTITUTE(SUBSTITUTE(SUBSTITUTE(SUBSTITUTE(SUBSTITUTE(SUBSTITUTE(SUBSTITUTE(SUBSTITUTE(SUBSTITUTE(LOWER(TRIM(D114)),"ё","е"),"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отк",TRIM(SUBSTITUTE(SUBSTITUTE(SUBSTITUTE(SUBSTITUTE(SUBSTITUTE(SUBSTITUTE(SUBSTITUTE(SUBSTITUTE(SUBSTITUTE(SUBSTITUTE(SUBSTITUTE(LOWER(TRIM(D114)),"ё","е"),"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114" s="12" t="n">
        <f aca="false">IFERROR(INDEX(Соответствие!$B$2:$B$76,MATCH(G114,Соответствие!$A$2:$A$76,0)),"?")</f>
        <v>32</v>
      </c>
      <c r="I114" s="9" t="str">
        <f aca="false">IFERROR(INDEX('Перечень должностей'!$C$2:$C$46,MATCH(H114,'Перечень должностей'!$A$2:$A$46,0)),"")</f>
        <v>п.4.3.1, п.4.3.2, п.4.4, п.5.1, п.15</v>
      </c>
      <c r="J114" s="12" t="n">
        <f aca="false">IFERROR(INDEX('Перечень должностей'!$D$2:$D$46,MATCH(H114,'Перечень должностей'!$A$2:$A$46,0)),12)</f>
        <v>12</v>
      </c>
      <c r="K114" s="17"/>
      <c r="L114" s="17"/>
      <c r="M114" s="16" t="str">
        <f aca="false">IF(K114="","",EDATE(IF(L114&lt;&gt;"",L114,K114),J114))</f>
        <v/>
      </c>
      <c r="N114" s="12" t="str">
        <f aca="false">IFERROR(INDEX('Перечень должностей'!$F$2:$F$46,MATCH(H114,'Перечень должностей'!$A$2:$A$46,0)),"")</f>
        <v>-</v>
      </c>
      <c r="O114" s="17"/>
      <c r="P114" s="16" t="str">
        <f aca="false">IF(O114="","",EDATE(O114,60))</f>
        <v/>
      </c>
      <c r="Q114" s="12" t="str">
        <f aca="false">IF(AND(K114&lt;&gt;"",F114&lt;&gt;"",K114&gt;F114),"ДА","")</f>
        <v/>
      </c>
      <c r="R114" s="9" t="s">
        <v>573</v>
      </c>
    </row>
    <row r="115" customFormat="false" ht="26.25" hidden="false" customHeight="true" outlineLevel="0" collapsed="false">
      <c r="A115" s="15" t="n">
        <v>114</v>
      </c>
      <c r="B115" s="12" t="s">
        <v>50</v>
      </c>
      <c r="C115" s="15" t="s">
        <v>574</v>
      </c>
      <c r="D115" s="15" t="s">
        <v>572</v>
      </c>
      <c r="E115" s="15" t="s">
        <v>191</v>
      </c>
      <c r="F115" s="16" t="n">
        <v>45643</v>
      </c>
      <c r="G115" s="5" t="str">
        <f aca="false">IF(TRIM(SUBSTITUTE(SUBSTITUTE(SUBSTITUTE(SUBSTITUTE(SUBSTITUTE(SUBSTITUTE(SUBSTITUTE(SUBSTITUTE(SUBSTITUTE(SUBSTITUTE(SUBSTITUTE(LOWER(TRIM(D115)),"ё","е"),"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категории",""))="инженер",IF(AND(ISNUMBER(SEARCH("техническ",E115)),ISNUMBER(SEARCH("контрол",E115))),"инженер отк",IF(ISNUMBER(SEARCH("диспетч",E115)),"инженер пдо",TRIM(SUBSTITUTE(SUBSTITUTE(SUBSTITUTE(SUBSTITUTE(SUBSTITUTE(SUBSTITUTE(SUBSTITUTE(SUBSTITUTE(SUBSTITUTE(SUBSTITUTE(SUBSTITUTE(LOWER(TRIM(D115)),"ё","е"),"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инженер",IF(ISNUMBER(SEARCH("диспетч",E115)),"ведущий инженер пдо",TRIM(SUBSTITUTE(SUBSTITUTE(SUBSTITUTE(SUBSTITUTE(SUBSTITUTE(SUBSTITUTE(SUBSTITUTE(SUBSTITUTE(SUBSTITUTE(SUBSTITUTE(SUBSTITUTE(LOWER(TRIM(D115)),"ё","е"),"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отк",TRIM(SUBSTITUTE(SUBSTITUTE(SUBSTITUTE(SUBSTITUTE(SUBSTITUTE(SUBSTITUTE(SUBSTITUTE(SUBSTITUTE(SUBSTITUTE(SUBSTITUTE(SUBSTITUTE(LOWER(TRIM(D115)),"ё","е"),"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115" s="12" t="n">
        <f aca="false">IFERROR(INDEX(Соответствие!$B$2:$B$76,MATCH(G115,Соответствие!$A$2:$A$76,0)),"?")</f>
        <v>32</v>
      </c>
      <c r="I115" s="9" t="str">
        <f aca="false">IFERROR(INDEX('Перечень должностей'!$C$2:$C$46,MATCH(H115,'Перечень должностей'!$A$2:$A$46,0)),"")</f>
        <v>п.4.3.1, п.4.3.2, п.4.4, п.5.1, п.15</v>
      </c>
      <c r="J115" s="12" t="n">
        <f aca="false">IFERROR(INDEX('Перечень должностей'!$D$2:$D$46,MATCH(H115,'Перечень должностей'!$A$2:$A$46,0)),12)</f>
        <v>12</v>
      </c>
      <c r="K115" s="17"/>
      <c r="L115" s="17"/>
      <c r="M115" s="16" t="str">
        <f aca="false">IF(K115="","",EDATE(IF(L115&lt;&gt;"",L115,K115),J115))</f>
        <v/>
      </c>
      <c r="N115" s="12" t="str">
        <f aca="false">IFERROR(INDEX('Перечень должностей'!$F$2:$F$46,MATCH(H115,'Перечень должностей'!$A$2:$A$46,0)),"")</f>
        <v>-</v>
      </c>
      <c r="O115" s="17"/>
      <c r="P115" s="16" t="str">
        <f aca="false">IF(O115="","",EDATE(O115,60))</f>
        <v/>
      </c>
      <c r="Q115" s="12" t="str">
        <f aca="false">IF(AND(K115&lt;&gt;"",F115&lt;&gt;"",K115&gt;F115),"ДА","")</f>
        <v/>
      </c>
      <c r="R115" s="9" t="s">
        <v>573</v>
      </c>
    </row>
    <row r="116" customFormat="false" ht="23.25" hidden="false" customHeight="true" outlineLevel="0" collapsed="false">
      <c r="A116" s="15" t="n">
        <v>115</v>
      </c>
      <c r="B116" s="12" t="s">
        <v>50</v>
      </c>
      <c r="C116" s="15" t="s">
        <v>575</v>
      </c>
      <c r="D116" s="15" t="s">
        <v>572</v>
      </c>
      <c r="E116" s="15" t="s">
        <v>191</v>
      </c>
      <c r="F116" s="16" t="n">
        <v>45565</v>
      </c>
      <c r="G116" s="5" t="str">
        <f aca="false">IF(TRIM(SUBSTITUTE(SUBSTITUTE(SUBSTITUTE(SUBSTITUTE(SUBSTITUTE(SUBSTITUTE(SUBSTITUTE(SUBSTITUTE(SUBSTITUTE(SUBSTITUTE(SUBSTITUTE(LOWER(TRIM(D116)),"ё","е"),"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категории",""))="инженер",IF(AND(ISNUMBER(SEARCH("техническ",E116)),ISNUMBER(SEARCH("контрол",E116))),"инженер отк",IF(ISNUMBER(SEARCH("диспетч",E116)),"инженер пдо",TRIM(SUBSTITUTE(SUBSTITUTE(SUBSTITUTE(SUBSTITUTE(SUBSTITUTE(SUBSTITUTE(SUBSTITUTE(SUBSTITUTE(SUBSTITUTE(SUBSTITUTE(SUBSTITUTE(LOWER(TRIM(D116)),"ё","е"),"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инженер",IF(ISNUMBER(SEARCH("диспетч",E116)),"ведущий инженер пдо",TRIM(SUBSTITUTE(SUBSTITUTE(SUBSTITUTE(SUBSTITUTE(SUBSTITUTE(SUBSTITUTE(SUBSTITUTE(SUBSTITUTE(SUBSTITUTE(SUBSTITUTE(SUBSTITUTE(LOWER(TRIM(D116)),"ё","е"),"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отк",TRIM(SUBSTITUTE(SUBSTITUTE(SUBSTITUTE(SUBSTITUTE(SUBSTITUTE(SUBSTITUTE(SUBSTITUTE(SUBSTITUTE(SUBSTITUTE(SUBSTITUTE(SUBSTITUTE(LOWER(TRIM(D116)),"ё","е"),"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116" s="12" t="n">
        <f aca="false">IFERROR(INDEX(Соответствие!$B$2:$B$76,MATCH(G116,Соответствие!$A$2:$A$76,0)),"?")</f>
        <v>32</v>
      </c>
      <c r="I116" s="9" t="str">
        <f aca="false">IFERROR(INDEX('Перечень должностей'!$C$2:$C$46,MATCH(H116,'Перечень должностей'!$A$2:$A$46,0)),"")</f>
        <v>п.4.3.1, п.4.3.2, п.4.4, п.5.1, п.15</v>
      </c>
      <c r="J116" s="12" t="n">
        <f aca="false">IFERROR(INDEX('Перечень должностей'!$D$2:$D$46,MATCH(H116,'Перечень должностей'!$A$2:$A$46,0)),12)</f>
        <v>12</v>
      </c>
      <c r="K116" s="17"/>
      <c r="L116" s="17"/>
      <c r="M116" s="16" t="str">
        <f aca="false">IF(K116="","",EDATE(IF(L116&lt;&gt;"",L116,K116),J116))</f>
        <v/>
      </c>
      <c r="N116" s="12" t="str">
        <f aca="false">IFERROR(INDEX('Перечень должностей'!$F$2:$F$46,MATCH(H116,'Перечень должностей'!$A$2:$A$46,0)),"")</f>
        <v>-</v>
      </c>
      <c r="O116" s="17"/>
      <c r="P116" s="16" t="str">
        <f aca="false">IF(O116="","",EDATE(O116,60))</f>
        <v/>
      </c>
      <c r="Q116" s="12" t="str">
        <f aca="false">IF(AND(K116&lt;&gt;"",F116&lt;&gt;"",K116&gt;F116),"ДА","")</f>
        <v/>
      </c>
      <c r="R116" s="9" t="s">
        <v>573</v>
      </c>
    </row>
    <row r="117" customFormat="false" ht="23.25" hidden="false" customHeight="true" outlineLevel="0" collapsed="false">
      <c r="A117" s="15" t="n">
        <v>116</v>
      </c>
      <c r="B117" s="12" t="s">
        <v>50</v>
      </c>
      <c r="C117" s="15" t="s">
        <v>576</v>
      </c>
      <c r="D117" s="15" t="s">
        <v>572</v>
      </c>
      <c r="E117" s="15" t="s">
        <v>191</v>
      </c>
      <c r="F117" s="16" t="n">
        <v>44795</v>
      </c>
      <c r="G117" s="5" t="str">
        <f aca="false">IF(TRIM(SUBSTITUTE(SUBSTITUTE(SUBSTITUTE(SUBSTITUTE(SUBSTITUTE(SUBSTITUTE(SUBSTITUTE(SUBSTITUTE(SUBSTITUTE(SUBSTITUTE(SUBSTITUTE(LOWER(TRIM(D117)),"ё","е"),"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категории",""))="инженер",IF(AND(ISNUMBER(SEARCH("техническ",E117)),ISNUMBER(SEARCH("контрол",E117))),"инженер отк",IF(ISNUMBER(SEARCH("диспетч",E117)),"инженер пдо",TRIM(SUBSTITUTE(SUBSTITUTE(SUBSTITUTE(SUBSTITUTE(SUBSTITUTE(SUBSTITUTE(SUBSTITUTE(SUBSTITUTE(SUBSTITUTE(SUBSTITUTE(SUBSTITUTE(LOWER(TRIM(D117)),"ё","е"),"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инженер",IF(ISNUMBER(SEARCH("диспетч",E117)),"ведущий инженер пдо",TRIM(SUBSTITUTE(SUBSTITUTE(SUBSTITUTE(SUBSTITUTE(SUBSTITUTE(SUBSTITUTE(SUBSTITUTE(SUBSTITUTE(SUBSTITUTE(SUBSTITUTE(SUBSTITUTE(LOWER(TRIM(D117)),"ё","е"),"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отк",TRIM(SUBSTITUTE(SUBSTITUTE(SUBSTITUTE(SUBSTITUTE(SUBSTITUTE(SUBSTITUTE(SUBSTITUTE(SUBSTITUTE(SUBSTITUTE(SUBSTITUTE(SUBSTITUTE(LOWER(TRIM(D117)),"ё","е"),"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117" s="12" t="n">
        <f aca="false">IFERROR(INDEX(Соответствие!$B$2:$B$76,MATCH(G117,Соответствие!$A$2:$A$76,0)),"?")</f>
        <v>32</v>
      </c>
      <c r="I117" s="9" t="str">
        <f aca="false">IFERROR(INDEX('Перечень должностей'!$C$2:$C$46,MATCH(H117,'Перечень должностей'!$A$2:$A$46,0)),"")</f>
        <v>п.4.3.1, п.4.3.2, п.4.4, п.5.1, п.15</v>
      </c>
      <c r="J117" s="12" t="n">
        <f aca="false">IFERROR(INDEX('Перечень должностей'!$D$2:$D$46,MATCH(H117,'Перечень должностей'!$A$2:$A$46,0)),12)</f>
        <v>12</v>
      </c>
      <c r="K117" s="17"/>
      <c r="L117" s="17"/>
      <c r="M117" s="16" t="str">
        <f aca="false">IF(K117="","",EDATE(IF(L117&lt;&gt;"",L117,K117),J117))</f>
        <v/>
      </c>
      <c r="N117" s="12" t="str">
        <f aca="false">IFERROR(INDEX('Перечень должностей'!$F$2:$F$46,MATCH(H117,'Перечень должностей'!$A$2:$A$46,0)),"")</f>
        <v>-</v>
      </c>
      <c r="O117" s="17"/>
      <c r="P117" s="16" t="str">
        <f aca="false">IF(O117="","",EDATE(O117,60))</f>
        <v/>
      </c>
      <c r="Q117" s="12" t="str">
        <f aca="false">IF(AND(K117&lt;&gt;"",F117&lt;&gt;"",K117&gt;F117),"ДА","")</f>
        <v/>
      </c>
      <c r="R117" s="9" t="s">
        <v>573</v>
      </c>
    </row>
    <row r="118" customFormat="false" ht="23.25" hidden="false" customHeight="true" outlineLevel="0" collapsed="false">
      <c r="A118" s="15" t="n">
        <v>117</v>
      </c>
      <c r="B118" s="12" t="s">
        <v>50</v>
      </c>
      <c r="C118" s="15" t="s">
        <v>577</v>
      </c>
      <c r="D118" s="15" t="s">
        <v>572</v>
      </c>
      <c r="E118" s="15" t="s">
        <v>191</v>
      </c>
      <c r="F118" s="16" t="n">
        <v>42429</v>
      </c>
      <c r="G118" s="5" t="str">
        <f aca="false">IF(TRIM(SUBSTITUTE(SUBSTITUTE(SUBSTITUTE(SUBSTITUTE(SUBSTITUTE(SUBSTITUTE(SUBSTITUTE(SUBSTITUTE(SUBSTITUTE(SUBSTITUTE(SUBSTITUTE(LOWER(TRIM(D118)),"ё","е"),"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категории",""))="инженер",IF(AND(ISNUMBER(SEARCH("техническ",E118)),ISNUMBER(SEARCH("контрол",E118))),"инженер отк",IF(ISNUMBER(SEARCH("диспетч",E118)),"инженер пдо",TRIM(SUBSTITUTE(SUBSTITUTE(SUBSTITUTE(SUBSTITUTE(SUBSTITUTE(SUBSTITUTE(SUBSTITUTE(SUBSTITUTE(SUBSTITUTE(SUBSTITUTE(SUBSTITUTE(LOWER(TRIM(D118)),"ё","е"),"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инженер",IF(ISNUMBER(SEARCH("диспетч",E118)),"ведущий инженер пдо",TRIM(SUBSTITUTE(SUBSTITUTE(SUBSTITUTE(SUBSTITUTE(SUBSTITUTE(SUBSTITUTE(SUBSTITUTE(SUBSTITUTE(SUBSTITUTE(SUBSTITUTE(SUBSTITUTE(LOWER(TRIM(D118)),"ё","е"),"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отк",TRIM(SUBSTITUTE(SUBSTITUTE(SUBSTITUTE(SUBSTITUTE(SUBSTITUTE(SUBSTITUTE(SUBSTITUTE(SUBSTITUTE(SUBSTITUTE(SUBSTITUTE(SUBSTITUTE(LOWER(TRIM(D118)),"ё","е"),"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118" s="12" t="n">
        <f aca="false">IFERROR(INDEX(Соответствие!$B$2:$B$76,MATCH(G118,Соответствие!$A$2:$A$76,0)),"?")</f>
        <v>32</v>
      </c>
      <c r="I118" s="9" t="str">
        <f aca="false">IFERROR(INDEX('Перечень должностей'!$C$2:$C$46,MATCH(H118,'Перечень должностей'!$A$2:$A$46,0)),"")</f>
        <v>п.4.3.1, п.4.3.2, п.4.4, п.5.1, п.15</v>
      </c>
      <c r="J118" s="12" t="n">
        <f aca="false">IFERROR(INDEX('Перечень должностей'!$D$2:$D$46,MATCH(H118,'Перечень должностей'!$A$2:$A$46,0)),12)</f>
        <v>12</v>
      </c>
      <c r="K118" s="17"/>
      <c r="L118" s="17"/>
      <c r="M118" s="16" t="str">
        <f aca="false">IF(K118="","",EDATE(IF(L118&lt;&gt;"",L118,K118),J118))</f>
        <v/>
      </c>
      <c r="N118" s="12" t="str">
        <f aca="false">IFERROR(INDEX('Перечень должностей'!$F$2:$F$46,MATCH(H118,'Перечень должностей'!$A$2:$A$46,0)),"")</f>
        <v>-</v>
      </c>
      <c r="O118" s="17"/>
      <c r="P118" s="16" t="str">
        <f aca="false">IF(O118="","",EDATE(O118,60))</f>
        <v/>
      </c>
      <c r="Q118" s="12" t="str">
        <f aca="false">IF(AND(K118&lt;&gt;"",F118&lt;&gt;"",K118&gt;F118),"ДА","")</f>
        <v/>
      </c>
      <c r="R118" s="9" t="s">
        <v>573</v>
      </c>
    </row>
    <row r="119" customFormat="false" ht="23.25" hidden="false" customHeight="true" outlineLevel="0" collapsed="false">
      <c r="A119" s="15" t="n">
        <v>118</v>
      </c>
      <c r="B119" s="12" t="s">
        <v>50</v>
      </c>
      <c r="C119" s="15" t="s">
        <v>578</v>
      </c>
      <c r="D119" s="15" t="s">
        <v>579</v>
      </c>
      <c r="E119" s="15" t="s">
        <v>191</v>
      </c>
      <c r="F119" s="16" t="n">
        <v>45714</v>
      </c>
      <c r="G119" s="5" t="str">
        <f aca="false">IF(TRIM(SUBSTITUTE(SUBSTITUTE(SUBSTITUTE(SUBSTITUTE(SUBSTITUTE(SUBSTITUTE(SUBSTITUTE(SUBSTITUTE(SUBSTITUTE(SUBSTITUTE(SUBSTITUTE(LOWER(TRIM(D119)),"ё","е"),"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категории",""))="инженер",IF(AND(ISNUMBER(SEARCH("техническ",E119)),ISNUMBER(SEARCH("контрол",E119))),"инженер отк",IF(ISNUMBER(SEARCH("диспетч",E119)),"инженер пдо",TRIM(SUBSTITUTE(SUBSTITUTE(SUBSTITUTE(SUBSTITUTE(SUBSTITUTE(SUBSTITUTE(SUBSTITUTE(SUBSTITUTE(SUBSTITUTE(SUBSTITUTE(SUBSTITUTE(LOWER(TRIM(D119)),"ё","е"),"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инженер",IF(ISNUMBER(SEARCH("диспетч",E119)),"ведущий инженер пдо",TRIM(SUBSTITUTE(SUBSTITUTE(SUBSTITUTE(SUBSTITUTE(SUBSTITUTE(SUBSTITUTE(SUBSTITUTE(SUBSTITUTE(SUBSTITUTE(SUBSTITUTE(SUBSTITUTE(LOWER(TRIM(D119)),"ё","е"),"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отк",TRIM(SUBSTITUTE(SUBSTITUTE(SUBSTITUTE(SUBSTITUTE(SUBSTITUTE(SUBSTITUTE(SUBSTITUTE(SUBSTITUTE(SUBSTITUTE(SUBSTITUTE(SUBSTITUTE(LOWER(TRIM(D119)),"ё","е"),"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119" s="12" t="n">
        <f aca="false">IFERROR(INDEX(Соответствие!$B$2:$B$76,MATCH(G119,Соответствие!$A$2:$A$76,0)),"?")</f>
        <v>32</v>
      </c>
      <c r="I119" s="9" t="str">
        <f aca="false">IFERROR(INDEX('Перечень должностей'!$C$2:$C$46,MATCH(H119,'Перечень должностей'!$A$2:$A$46,0)),"")</f>
        <v>п.4.3.1, п.4.3.2, п.4.4, п.5.1, п.15</v>
      </c>
      <c r="J119" s="12" t="n">
        <f aca="false">IFERROR(INDEX('Перечень должностей'!$D$2:$D$46,MATCH(H119,'Перечень должностей'!$A$2:$A$46,0)),12)</f>
        <v>12</v>
      </c>
      <c r="K119" s="17"/>
      <c r="L119" s="17"/>
      <c r="M119" s="16" t="str">
        <f aca="false">IF(K119="","",EDATE(IF(L119&lt;&gt;"",L119,K119),J119))</f>
        <v/>
      </c>
      <c r="N119" s="12" t="str">
        <f aca="false">IFERROR(INDEX('Перечень должностей'!$F$2:$F$46,MATCH(H119,'Перечень должностей'!$A$2:$A$46,0)),"")</f>
        <v>-</v>
      </c>
      <c r="O119" s="17"/>
      <c r="P119" s="16" t="str">
        <f aca="false">IF(O119="","",EDATE(O119,60))</f>
        <v/>
      </c>
      <c r="Q119" s="12" t="str">
        <f aca="false">IF(AND(K119&lt;&gt;"",F119&lt;&gt;"",K119&gt;F119),"ДА","")</f>
        <v/>
      </c>
      <c r="R119" s="9" t="s">
        <v>573</v>
      </c>
    </row>
    <row r="120" customFormat="false" ht="23.25" hidden="false" customHeight="true" outlineLevel="0" collapsed="false">
      <c r="A120" s="15" t="n">
        <v>119</v>
      </c>
      <c r="B120" s="12" t="s">
        <v>50</v>
      </c>
      <c r="C120" s="15" t="s">
        <v>580</v>
      </c>
      <c r="D120" s="15" t="s">
        <v>579</v>
      </c>
      <c r="E120" s="15" t="s">
        <v>191</v>
      </c>
      <c r="F120" s="16" t="n">
        <v>45587</v>
      </c>
      <c r="G120" s="5" t="str">
        <f aca="false">IF(TRIM(SUBSTITUTE(SUBSTITUTE(SUBSTITUTE(SUBSTITUTE(SUBSTITUTE(SUBSTITUTE(SUBSTITUTE(SUBSTITUTE(SUBSTITUTE(SUBSTITUTE(SUBSTITUTE(LOWER(TRIM(D120)),"ё","е"),"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категории",""))="инженер",IF(AND(ISNUMBER(SEARCH("техническ",E120)),ISNUMBER(SEARCH("контрол",E120))),"инженер отк",IF(ISNUMBER(SEARCH("диспетч",E120)),"инженер пдо",TRIM(SUBSTITUTE(SUBSTITUTE(SUBSTITUTE(SUBSTITUTE(SUBSTITUTE(SUBSTITUTE(SUBSTITUTE(SUBSTITUTE(SUBSTITUTE(SUBSTITUTE(SUBSTITUTE(LOWER(TRIM(D120)),"ё","е"),"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инженер",IF(ISNUMBER(SEARCH("диспетч",E120)),"ведущий инженер пдо",TRIM(SUBSTITUTE(SUBSTITUTE(SUBSTITUTE(SUBSTITUTE(SUBSTITUTE(SUBSTITUTE(SUBSTITUTE(SUBSTITUTE(SUBSTITUTE(SUBSTITUTE(SUBSTITUTE(LOWER(TRIM(D120)),"ё","е"),"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отк",TRIM(SUBSTITUTE(SUBSTITUTE(SUBSTITUTE(SUBSTITUTE(SUBSTITUTE(SUBSTITUTE(SUBSTITUTE(SUBSTITUTE(SUBSTITUTE(SUBSTITUTE(SUBSTITUTE(LOWER(TRIM(D120)),"ё","е"),"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120" s="12" t="n">
        <f aca="false">IFERROR(INDEX(Соответствие!$B$2:$B$76,MATCH(G120,Соответствие!$A$2:$A$76,0)),"?")</f>
        <v>32</v>
      </c>
      <c r="I120" s="9" t="str">
        <f aca="false">IFERROR(INDEX('Перечень должностей'!$C$2:$C$46,MATCH(H120,'Перечень должностей'!$A$2:$A$46,0)),"")</f>
        <v>п.4.3.1, п.4.3.2, п.4.4, п.5.1, п.15</v>
      </c>
      <c r="J120" s="12" t="n">
        <f aca="false">IFERROR(INDEX('Перечень должностей'!$D$2:$D$46,MATCH(H120,'Перечень должностей'!$A$2:$A$46,0)),12)</f>
        <v>12</v>
      </c>
      <c r="K120" s="17"/>
      <c r="L120" s="17"/>
      <c r="M120" s="16" t="str">
        <f aca="false">IF(K120="","",EDATE(IF(L120&lt;&gt;"",L120,K120),J120))</f>
        <v/>
      </c>
      <c r="N120" s="12" t="str">
        <f aca="false">IFERROR(INDEX('Перечень должностей'!$F$2:$F$46,MATCH(H120,'Перечень должностей'!$A$2:$A$46,0)),"")</f>
        <v>-</v>
      </c>
      <c r="O120" s="17"/>
      <c r="P120" s="16" t="str">
        <f aca="false">IF(O120="","",EDATE(O120,60))</f>
        <v/>
      </c>
      <c r="Q120" s="12" t="str">
        <f aca="false">IF(AND(K120&lt;&gt;"",F120&lt;&gt;"",K120&gt;F120),"ДА","")</f>
        <v/>
      </c>
      <c r="R120" s="9" t="s">
        <v>573</v>
      </c>
    </row>
    <row r="121" customFormat="false" ht="23.25" hidden="false" customHeight="true" outlineLevel="0" collapsed="false">
      <c r="A121" s="15" t="n">
        <v>120</v>
      </c>
      <c r="B121" s="12" t="s">
        <v>50</v>
      </c>
      <c r="C121" s="15" t="s">
        <v>581</v>
      </c>
      <c r="D121" s="15" t="s">
        <v>579</v>
      </c>
      <c r="E121" s="15" t="s">
        <v>191</v>
      </c>
      <c r="F121" s="16" t="n">
        <v>37438</v>
      </c>
      <c r="G121" s="5" t="str">
        <f aca="false">IF(TRIM(SUBSTITUTE(SUBSTITUTE(SUBSTITUTE(SUBSTITUTE(SUBSTITUTE(SUBSTITUTE(SUBSTITUTE(SUBSTITUTE(SUBSTITUTE(SUBSTITUTE(SUBSTITUTE(LOWER(TRIM(D121)),"ё","е"),"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категории",""))="инженер",IF(AND(ISNUMBER(SEARCH("техническ",E121)),ISNUMBER(SEARCH("контрол",E121))),"инженер отк",IF(ISNUMBER(SEARCH("диспетч",E121)),"инженер пдо",TRIM(SUBSTITUTE(SUBSTITUTE(SUBSTITUTE(SUBSTITUTE(SUBSTITUTE(SUBSTITUTE(SUBSTITUTE(SUBSTITUTE(SUBSTITUTE(SUBSTITUTE(SUBSTITUTE(LOWER(TRIM(D121)),"ё","е"),"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инженер",IF(ISNUMBER(SEARCH("диспетч",E121)),"ведущий инженер пдо",TRIM(SUBSTITUTE(SUBSTITUTE(SUBSTITUTE(SUBSTITUTE(SUBSTITUTE(SUBSTITUTE(SUBSTITUTE(SUBSTITUTE(SUBSTITUTE(SUBSTITUTE(SUBSTITUTE(LOWER(TRIM(D121)),"ё","е"),"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отк",TRIM(SUBSTITUTE(SUBSTITUTE(SUBSTITUTE(SUBSTITUTE(SUBSTITUTE(SUBSTITUTE(SUBSTITUTE(SUBSTITUTE(SUBSTITUTE(SUBSTITUTE(SUBSTITUTE(LOWER(TRIM(D121)),"ё","е"),"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121" s="12" t="n">
        <f aca="false">IFERROR(INDEX(Соответствие!$B$2:$B$76,MATCH(G121,Соответствие!$A$2:$A$76,0)),"?")</f>
        <v>32</v>
      </c>
      <c r="I121" s="9" t="str">
        <f aca="false">IFERROR(INDEX('Перечень должностей'!$C$2:$C$46,MATCH(H121,'Перечень должностей'!$A$2:$A$46,0)),"")</f>
        <v>п.4.3.1, п.4.3.2, п.4.4, п.5.1, п.15</v>
      </c>
      <c r="J121" s="12" t="n">
        <f aca="false">IFERROR(INDEX('Перечень должностей'!$D$2:$D$46,MATCH(H121,'Перечень должностей'!$A$2:$A$46,0)),12)</f>
        <v>12</v>
      </c>
      <c r="K121" s="17"/>
      <c r="L121" s="17"/>
      <c r="M121" s="16" t="str">
        <f aca="false">IF(K121="","",EDATE(IF(L121&lt;&gt;"",L121,K121),J121))</f>
        <v/>
      </c>
      <c r="N121" s="12" t="str">
        <f aca="false">IFERROR(INDEX('Перечень должностей'!$F$2:$F$46,MATCH(H121,'Перечень должностей'!$A$2:$A$46,0)),"")</f>
        <v>-</v>
      </c>
      <c r="O121" s="17"/>
      <c r="P121" s="16" t="str">
        <f aca="false">IF(O121="","",EDATE(O121,60))</f>
        <v/>
      </c>
      <c r="Q121" s="12" t="str">
        <f aca="false">IF(AND(K121&lt;&gt;"",F121&lt;&gt;"",K121&gt;F121),"ДА","")</f>
        <v/>
      </c>
      <c r="R121" s="9" t="s">
        <v>573</v>
      </c>
    </row>
    <row r="122" customFormat="false" ht="23.25" hidden="false" customHeight="true" outlineLevel="0" collapsed="false">
      <c r="A122" s="15" t="n">
        <v>121</v>
      </c>
      <c r="B122" s="12" t="s">
        <v>50</v>
      </c>
      <c r="C122" s="15" t="s">
        <v>582</v>
      </c>
      <c r="D122" s="15" t="s">
        <v>353</v>
      </c>
      <c r="E122" s="15" t="s">
        <v>556</v>
      </c>
      <c r="F122" s="16" t="n">
        <v>45362</v>
      </c>
      <c r="G122" s="5" t="str">
        <f aca="false">IF(TRIM(SUBSTITUTE(SUBSTITUTE(SUBSTITUTE(SUBSTITUTE(SUBSTITUTE(SUBSTITUTE(SUBSTITUTE(SUBSTITUTE(SUBSTITUTE(SUBSTITUTE(SUBSTITUTE(LOWER(TRIM(D122)),"ё","е"),"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категории",""))="инженер",IF(AND(ISNUMBER(SEARCH("техническ",E122)),ISNUMBER(SEARCH("контрол",E122))),"инженер отк",IF(ISNUMBER(SEARCH("диспетч",E122)),"инженер пдо",TRIM(SUBSTITUTE(SUBSTITUTE(SUBSTITUTE(SUBSTITUTE(SUBSTITUTE(SUBSTITUTE(SUBSTITUTE(SUBSTITUTE(SUBSTITUTE(SUBSTITUTE(SUBSTITUTE(LOWER(TRIM(D122)),"ё","е"),"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инженер",IF(ISNUMBER(SEARCH("диспетч",E122)),"ведущий инженер пдо",TRIM(SUBSTITUTE(SUBSTITUTE(SUBSTITUTE(SUBSTITUTE(SUBSTITUTE(SUBSTITUTE(SUBSTITUTE(SUBSTITUTE(SUBSTITUTE(SUBSTITUTE(SUBSTITUTE(LOWER(TRIM(D122)),"ё","е"),"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отк",TRIM(SUBSTITUTE(SUBSTITUTE(SUBSTITUTE(SUBSTITUTE(SUBSTITUTE(SUBSTITUTE(SUBSTITUTE(SUBSTITUTE(SUBSTITUTE(SUBSTITUTE(SUBSTITUTE(LOWER(TRIM(D122)),"ё","е")," -","-"),"- ","-")," 2 разряда","")," 3 разряда","")," 4 разряда","")," 5 разряда","")," 6 разряда","")," 1 категории","")," 2 категории","")," 3 категории","")))))</f>
        <v>оператор-наладчик станков с чпу</v>
      </c>
      <c r="H122" s="12" t="n">
        <f aca="false">IFERROR(INDEX(Соответствие!$B$2:$B$76,MATCH(G122,Соответствие!$A$2:$A$76,0)),"?")</f>
        <v>25</v>
      </c>
      <c r="I122" s="9" t="str">
        <f aca="false">IFERROR(INDEX('Перечень должностей'!$C$2:$C$46,MATCH(H122,'Перечень должностей'!$A$2:$A$46,0)),"")</f>
        <v>п.4.3.1, п.4.3.2, п.4.4, п.5.1, п.5.2, п.15</v>
      </c>
      <c r="J122" s="12" t="n">
        <f aca="false">IFERROR(INDEX('Перечень должностей'!$D$2:$D$46,MATCH(H122,'Перечень должностей'!$A$2:$A$46,0)),12)</f>
        <v>12</v>
      </c>
      <c r="K122" s="17"/>
      <c r="L122" s="17"/>
      <c r="M122" s="16" t="str">
        <f aca="false">IF(K122="","",EDATE(IF(L122&lt;&gt;"",L122,K122),J122))</f>
        <v/>
      </c>
      <c r="N122" s="12" t="str">
        <f aca="false">IFERROR(INDEX('Перечень должностей'!$F$2:$F$46,MATCH(H122,'Перечень должностей'!$A$2:$A$46,0)),"")</f>
        <v>-</v>
      </c>
      <c r="O122" s="17"/>
      <c r="P122" s="16" t="str">
        <f aca="false">IF(O122="","",EDATE(O122,60))</f>
        <v/>
      </c>
      <c r="Q122" s="12" t="str">
        <f aca="false">IF(AND(K122&lt;&gt;"",F122&lt;&gt;"",K122&gt;F122),"ДА","")</f>
        <v/>
      </c>
      <c r="R122" s="9"/>
    </row>
    <row r="123" customFormat="false" ht="23.25" hidden="false" customHeight="true" outlineLevel="0" collapsed="false">
      <c r="A123" s="15" t="n">
        <v>122</v>
      </c>
      <c r="B123" s="12" t="s">
        <v>50</v>
      </c>
      <c r="C123" s="15" t="s">
        <v>583</v>
      </c>
      <c r="D123" s="15" t="s">
        <v>353</v>
      </c>
      <c r="E123" s="15" t="s">
        <v>556</v>
      </c>
      <c r="F123" s="16" t="n">
        <v>45917</v>
      </c>
      <c r="G123" s="5" t="str">
        <f aca="false">IF(TRIM(SUBSTITUTE(SUBSTITUTE(SUBSTITUTE(SUBSTITUTE(SUBSTITUTE(SUBSTITUTE(SUBSTITUTE(SUBSTITUTE(SUBSTITUTE(SUBSTITUTE(SUBSTITUTE(LOWER(TRIM(D123)),"ё","е"),"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категории",""))="инженер",IF(AND(ISNUMBER(SEARCH("техническ",E123)),ISNUMBER(SEARCH("контрол",E123))),"инженер отк",IF(ISNUMBER(SEARCH("диспетч",E123)),"инженер пдо",TRIM(SUBSTITUTE(SUBSTITUTE(SUBSTITUTE(SUBSTITUTE(SUBSTITUTE(SUBSTITUTE(SUBSTITUTE(SUBSTITUTE(SUBSTITUTE(SUBSTITUTE(SUBSTITUTE(LOWER(TRIM(D123)),"ё","е"),"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инженер",IF(ISNUMBER(SEARCH("диспетч",E123)),"ведущий инженер пдо",TRIM(SUBSTITUTE(SUBSTITUTE(SUBSTITUTE(SUBSTITUTE(SUBSTITUTE(SUBSTITUTE(SUBSTITUTE(SUBSTITUTE(SUBSTITUTE(SUBSTITUTE(SUBSTITUTE(LOWER(TRIM(D123)),"ё","е"),"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отк",TRIM(SUBSTITUTE(SUBSTITUTE(SUBSTITUTE(SUBSTITUTE(SUBSTITUTE(SUBSTITUTE(SUBSTITUTE(SUBSTITUTE(SUBSTITUTE(SUBSTITUTE(SUBSTITUTE(LOWER(TRIM(D123)),"ё","е")," -","-"),"- ","-")," 2 разряда","")," 3 разряда","")," 4 разряда","")," 5 разряда","")," 6 разряда","")," 1 категории","")," 2 категории","")," 3 категории","")))))</f>
        <v>оператор-наладчик станков с чпу</v>
      </c>
      <c r="H123" s="12" t="n">
        <f aca="false">IFERROR(INDEX(Соответствие!$B$2:$B$76,MATCH(G123,Соответствие!$A$2:$A$76,0)),"?")</f>
        <v>25</v>
      </c>
      <c r="I123" s="9" t="str">
        <f aca="false">IFERROR(INDEX('Перечень должностей'!$C$2:$C$46,MATCH(H123,'Перечень должностей'!$A$2:$A$46,0)),"")</f>
        <v>п.4.3.1, п.4.3.2, п.4.4, п.5.1, п.5.2, п.15</v>
      </c>
      <c r="J123" s="12" t="n">
        <f aca="false">IFERROR(INDEX('Перечень должностей'!$D$2:$D$46,MATCH(H123,'Перечень должностей'!$A$2:$A$46,0)),12)</f>
        <v>12</v>
      </c>
      <c r="K123" s="17"/>
      <c r="L123" s="17"/>
      <c r="M123" s="16" t="str">
        <f aca="false">IF(K123="","",EDATE(IF(L123&lt;&gt;"",L123,K123),J123))</f>
        <v/>
      </c>
      <c r="N123" s="12" t="str">
        <f aca="false">IFERROR(INDEX('Перечень должностей'!$F$2:$F$46,MATCH(H123,'Перечень должностей'!$A$2:$A$46,0)),"")</f>
        <v>-</v>
      </c>
      <c r="O123" s="17"/>
      <c r="P123" s="16" t="str">
        <f aca="false">IF(O123="","",EDATE(O123,60))</f>
        <v/>
      </c>
      <c r="Q123" s="12" t="str">
        <f aca="false">IF(AND(K123&lt;&gt;"",F123&lt;&gt;"",K123&gt;F123),"ДА","")</f>
        <v/>
      </c>
      <c r="R123" s="9"/>
    </row>
    <row r="124" customFormat="false" ht="26.25" hidden="false" customHeight="true" outlineLevel="0" collapsed="false">
      <c r="A124" s="15" t="n">
        <v>123</v>
      </c>
      <c r="B124" s="12" t="s">
        <v>50</v>
      </c>
      <c r="C124" s="15" t="s">
        <v>584</v>
      </c>
      <c r="D124" s="15" t="s">
        <v>353</v>
      </c>
      <c r="E124" s="15" t="s">
        <v>556</v>
      </c>
      <c r="F124" s="16" t="n">
        <v>45922</v>
      </c>
      <c r="G124" s="5" t="str">
        <f aca="false">IF(TRIM(SUBSTITUTE(SUBSTITUTE(SUBSTITUTE(SUBSTITUTE(SUBSTITUTE(SUBSTITUTE(SUBSTITUTE(SUBSTITUTE(SUBSTITUTE(SUBSTITUTE(SUBSTITUTE(LOWER(TRIM(D124)),"ё","е"),"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категории",""))="инженер",IF(AND(ISNUMBER(SEARCH("техническ",E124)),ISNUMBER(SEARCH("контрол",E124))),"инженер отк",IF(ISNUMBER(SEARCH("диспетч",E124)),"инженер пдо",TRIM(SUBSTITUTE(SUBSTITUTE(SUBSTITUTE(SUBSTITUTE(SUBSTITUTE(SUBSTITUTE(SUBSTITUTE(SUBSTITUTE(SUBSTITUTE(SUBSTITUTE(SUBSTITUTE(LOWER(TRIM(D124)),"ё","е"),"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инженер",IF(ISNUMBER(SEARCH("диспетч",E124)),"ведущий инженер пдо",TRIM(SUBSTITUTE(SUBSTITUTE(SUBSTITUTE(SUBSTITUTE(SUBSTITUTE(SUBSTITUTE(SUBSTITUTE(SUBSTITUTE(SUBSTITUTE(SUBSTITUTE(SUBSTITUTE(LOWER(TRIM(D124)),"ё","е"),"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отк",TRIM(SUBSTITUTE(SUBSTITUTE(SUBSTITUTE(SUBSTITUTE(SUBSTITUTE(SUBSTITUTE(SUBSTITUTE(SUBSTITUTE(SUBSTITUTE(SUBSTITUTE(SUBSTITUTE(LOWER(TRIM(D124)),"ё","е")," -","-"),"- ","-")," 2 разряда","")," 3 разряда","")," 4 разряда","")," 5 разряда","")," 6 разряда","")," 1 категории","")," 2 категории","")," 3 категории","")))))</f>
        <v>оператор-наладчик станков с чпу</v>
      </c>
      <c r="H124" s="12" t="n">
        <f aca="false">IFERROR(INDEX(Соответствие!$B$2:$B$76,MATCH(G124,Соответствие!$A$2:$A$76,0)),"?")</f>
        <v>25</v>
      </c>
      <c r="I124" s="9" t="str">
        <f aca="false">IFERROR(INDEX('Перечень должностей'!$C$2:$C$46,MATCH(H124,'Перечень должностей'!$A$2:$A$46,0)),"")</f>
        <v>п.4.3.1, п.4.3.2, п.4.4, п.5.1, п.5.2, п.15</v>
      </c>
      <c r="J124" s="12" t="n">
        <f aca="false">IFERROR(INDEX('Перечень должностей'!$D$2:$D$46,MATCH(H124,'Перечень должностей'!$A$2:$A$46,0)),12)</f>
        <v>12</v>
      </c>
      <c r="K124" s="17"/>
      <c r="L124" s="17"/>
      <c r="M124" s="16" t="str">
        <f aca="false">IF(K124="","",EDATE(IF(L124&lt;&gt;"",L124,K124),J124))</f>
        <v/>
      </c>
      <c r="N124" s="12" t="str">
        <f aca="false">IFERROR(INDEX('Перечень должностей'!$F$2:$F$46,MATCH(H124,'Перечень должностей'!$A$2:$A$46,0)),"")</f>
        <v>-</v>
      </c>
      <c r="O124" s="17"/>
      <c r="P124" s="16" t="str">
        <f aca="false">IF(O124="","",EDATE(O124,60))</f>
        <v/>
      </c>
      <c r="Q124" s="12" t="str">
        <f aca="false">IF(AND(K124&lt;&gt;"",F124&lt;&gt;"",K124&gt;F124),"ДА","")</f>
        <v/>
      </c>
      <c r="R124" s="9"/>
    </row>
    <row r="125" customFormat="false" ht="26.25" hidden="false" customHeight="true" outlineLevel="0" collapsed="false">
      <c r="A125" s="15" t="n">
        <v>124</v>
      </c>
      <c r="B125" s="12" t="s">
        <v>50</v>
      </c>
      <c r="C125" s="15" t="s">
        <v>585</v>
      </c>
      <c r="D125" s="15" t="s">
        <v>353</v>
      </c>
      <c r="E125" s="15" t="s">
        <v>556</v>
      </c>
      <c r="F125" s="16" t="n">
        <v>45454</v>
      </c>
      <c r="G125" s="5" t="str">
        <f aca="false">IF(TRIM(SUBSTITUTE(SUBSTITUTE(SUBSTITUTE(SUBSTITUTE(SUBSTITUTE(SUBSTITUTE(SUBSTITUTE(SUBSTITUTE(SUBSTITUTE(SUBSTITUTE(SUBSTITUTE(LOWER(TRIM(D125)),"ё","е"),"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категории",""))="инженер",IF(AND(ISNUMBER(SEARCH("техническ",E125)),ISNUMBER(SEARCH("контрол",E125))),"инженер отк",IF(ISNUMBER(SEARCH("диспетч",E125)),"инженер пдо",TRIM(SUBSTITUTE(SUBSTITUTE(SUBSTITUTE(SUBSTITUTE(SUBSTITUTE(SUBSTITUTE(SUBSTITUTE(SUBSTITUTE(SUBSTITUTE(SUBSTITUTE(SUBSTITUTE(LOWER(TRIM(D125)),"ё","е"),"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инженер",IF(ISNUMBER(SEARCH("диспетч",E125)),"ведущий инженер пдо",TRIM(SUBSTITUTE(SUBSTITUTE(SUBSTITUTE(SUBSTITUTE(SUBSTITUTE(SUBSTITUTE(SUBSTITUTE(SUBSTITUTE(SUBSTITUTE(SUBSTITUTE(SUBSTITUTE(LOWER(TRIM(D125)),"ё","е"),"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отк",TRIM(SUBSTITUTE(SUBSTITUTE(SUBSTITUTE(SUBSTITUTE(SUBSTITUTE(SUBSTITUTE(SUBSTITUTE(SUBSTITUTE(SUBSTITUTE(SUBSTITUTE(SUBSTITUTE(LOWER(TRIM(D125)),"ё","е")," -","-"),"- ","-")," 2 разряда","")," 3 разряда","")," 4 разряда","")," 5 разряда","")," 6 разряда","")," 1 категории","")," 2 категории","")," 3 категории","")))))</f>
        <v>оператор-наладчик станков с чпу</v>
      </c>
      <c r="H125" s="12" t="n">
        <f aca="false">IFERROR(INDEX(Соответствие!$B$2:$B$76,MATCH(G125,Соответствие!$A$2:$A$76,0)),"?")</f>
        <v>25</v>
      </c>
      <c r="I125" s="9" t="str">
        <f aca="false">IFERROR(INDEX('Перечень должностей'!$C$2:$C$46,MATCH(H125,'Перечень должностей'!$A$2:$A$46,0)),"")</f>
        <v>п.4.3.1, п.4.3.2, п.4.4, п.5.1, п.5.2, п.15</v>
      </c>
      <c r="J125" s="12" t="n">
        <f aca="false">IFERROR(INDEX('Перечень должностей'!$D$2:$D$46,MATCH(H125,'Перечень должностей'!$A$2:$A$46,0)),12)</f>
        <v>12</v>
      </c>
      <c r="K125" s="17"/>
      <c r="L125" s="17"/>
      <c r="M125" s="16" t="str">
        <f aca="false">IF(K125="","",EDATE(IF(L125&lt;&gt;"",L125,K125),J125))</f>
        <v/>
      </c>
      <c r="N125" s="12" t="str">
        <f aca="false">IFERROR(INDEX('Перечень должностей'!$F$2:$F$46,MATCH(H125,'Перечень должностей'!$A$2:$A$46,0)),"")</f>
        <v>-</v>
      </c>
      <c r="O125" s="17"/>
      <c r="P125" s="16" t="str">
        <f aca="false">IF(O125="","",EDATE(O125,60))</f>
        <v/>
      </c>
      <c r="Q125" s="12" t="str">
        <f aca="false">IF(AND(K125&lt;&gt;"",F125&lt;&gt;"",K125&gt;F125),"ДА","")</f>
        <v/>
      </c>
      <c r="R125" s="9"/>
    </row>
    <row r="126" customFormat="false" ht="26.25" hidden="false" customHeight="true" outlineLevel="0" collapsed="false">
      <c r="A126" s="15" t="n">
        <v>125</v>
      </c>
      <c r="B126" s="12" t="s">
        <v>50</v>
      </c>
      <c r="C126" s="15" t="s">
        <v>586</v>
      </c>
      <c r="D126" s="15" t="s">
        <v>587</v>
      </c>
      <c r="E126" s="15" t="s">
        <v>191</v>
      </c>
      <c r="F126" s="16" t="n">
        <v>45974</v>
      </c>
      <c r="G126" s="5" t="str">
        <f aca="false">IF(TRIM(SUBSTITUTE(SUBSTITUTE(SUBSTITUTE(SUBSTITUTE(SUBSTITUTE(SUBSTITUTE(SUBSTITUTE(SUBSTITUTE(SUBSTITUTE(SUBSTITUTE(SUBSTITUTE(LOWER(TRIM(D126)),"ё","е"),"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категории",""))="инженер",IF(AND(ISNUMBER(SEARCH("техническ",E126)),ISNUMBER(SEARCH("контрол",E126))),"инженер отк",IF(ISNUMBER(SEARCH("диспетч",E126)),"инженер пдо",TRIM(SUBSTITUTE(SUBSTITUTE(SUBSTITUTE(SUBSTITUTE(SUBSTITUTE(SUBSTITUTE(SUBSTITUTE(SUBSTITUTE(SUBSTITUTE(SUBSTITUTE(SUBSTITUTE(LOWER(TRIM(D126)),"ё","е"),"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инженер",IF(ISNUMBER(SEARCH("диспетч",E126)),"ведущий инженер пдо",TRIM(SUBSTITUTE(SUBSTITUTE(SUBSTITUTE(SUBSTITUTE(SUBSTITUTE(SUBSTITUTE(SUBSTITUTE(SUBSTITUTE(SUBSTITUTE(SUBSTITUTE(SUBSTITUTE(LOWER(TRIM(D126)),"ё","е"),"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отк",TRIM(SUBSTITUTE(SUBSTITUTE(SUBSTITUTE(SUBSTITUTE(SUBSTITUTE(SUBSTITUTE(SUBSTITUTE(SUBSTITUTE(SUBSTITUTE(SUBSTITUTE(SUBSTITUTE(LOWER(TRIM(D126)),"ё","е"),"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126" s="12" t="n">
        <f aca="false">IFERROR(INDEX(Соответствие!$B$2:$B$76,MATCH(G126,Соответствие!$A$2:$A$76,0)),"?")</f>
        <v>32</v>
      </c>
      <c r="I126" s="9" t="str">
        <f aca="false">IFERROR(INDEX('Перечень должностей'!$C$2:$C$46,MATCH(H126,'Перечень должностей'!$A$2:$A$46,0)),"")</f>
        <v>п.4.3.1, п.4.3.2, п.4.4, п.5.1, п.15</v>
      </c>
      <c r="J126" s="12" t="n">
        <f aca="false">IFERROR(INDEX('Перечень должностей'!$D$2:$D$46,MATCH(H126,'Перечень должностей'!$A$2:$A$46,0)),12)</f>
        <v>12</v>
      </c>
      <c r="K126" s="17"/>
      <c r="L126" s="17"/>
      <c r="M126" s="16" t="str">
        <f aca="false">IF(K126="","",EDATE(IF(L126&lt;&gt;"",L126,K126),J126))</f>
        <v/>
      </c>
      <c r="N126" s="12" t="str">
        <f aca="false">IFERROR(INDEX('Перечень должностей'!$F$2:$F$46,MATCH(H126,'Перечень должностей'!$A$2:$A$46,0)),"")</f>
        <v>-</v>
      </c>
      <c r="O126" s="17"/>
      <c r="P126" s="16" t="str">
        <f aca="false">IF(O126="","",EDATE(O126,60))</f>
        <v/>
      </c>
      <c r="Q126" s="12" t="str">
        <f aca="false">IF(AND(K126&lt;&gt;"",F126&lt;&gt;"",K126&gt;F126),"ДА","")</f>
        <v/>
      </c>
      <c r="R126" s="9" t="s">
        <v>573</v>
      </c>
    </row>
    <row r="127" customFormat="false" ht="26.25" hidden="false" customHeight="true" outlineLevel="0" collapsed="false">
      <c r="A127" s="15" t="n">
        <v>126</v>
      </c>
      <c r="B127" s="12" t="s">
        <v>50</v>
      </c>
      <c r="C127" s="15" t="s">
        <v>588</v>
      </c>
      <c r="D127" s="15" t="s">
        <v>587</v>
      </c>
      <c r="E127" s="15" t="s">
        <v>191</v>
      </c>
      <c r="F127" s="16" t="n">
        <v>45958</v>
      </c>
      <c r="G127" s="5" t="str">
        <f aca="false">IF(TRIM(SUBSTITUTE(SUBSTITUTE(SUBSTITUTE(SUBSTITUTE(SUBSTITUTE(SUBSTITUTE(SUBSTITUTE(SUBSTITUTE(SUBSTITUTE(SUBSTITUTE(SUBSTITUTE(LOWER(TRIM(D127)),"ё","е"),"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категории",""))="инженер",IF(AND(ISNUMBER(SEARCH("техническ",E127)),ISNUMBER(SEARCH("контрол",E127))),"инженер отк",IF(ISNUMBER(SEARCH("диспетч",E127)),"инженер пдо",TRIM(SUBSTITUTE(SUBSTITUTE(SUBSTITUTE(SUBSTITUTE(SUBSTITUTE(SUBSTITUTE(SUBSTITUTE(SUBSTITUTE(SUBSTITUTE(SUBSTITUTE(SUBSTITUTE(LOWER(TRIM(D127)),"ё","е"),"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инженер",IF(ISNUMBER(SEARCH("диспетч",E127)),"ведущий инженер пдо",TRIM(SUBSTITUTE(SUBSTITUTE(SUBSTITUTE(SUBSTITUTE(SUBSTITUTE(SUBSTITUTE(SUBSTITUTE(SUBSTITUTE(SUBSTITUTE(SUBSTITUTE(SUBSTITUTE(LOWER(TRIM(D127)),"ё","е"),"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отк",TRIM(SUBSTITUTE(SUBSTITUTE(SUBSTITUTE(SUBSTITUTE(SUBSTITUTE(SUBSTITUTE(SUBSTITUTE(SUBSTITUTE(SUBSTITUTE(SUBSTITUTE(SUBSTITUTE(LOWER(TRIM(D127)),"ё","е"),"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127" s="12" t="n">
        <f aca="false">IFERROR(INDEX(Соответствие!$B$2:$B$76,MATCH(G127,Соответствие!$A$2:$A$76,0)),"?")</f>
        <v>32</v>
      </c>
      <c r="I127" s="9" t="str">
        <f aca="false">IFERROR(INDEX('Перечень должностей'!$C$2:$C$46,MATCH(H127,'Перечень должностей'!$A$2:$A$46,0)),"")</f>
        <v>п.4.3.1, п.4.3.2, п.4.4, п.5.1, п.15</v>
      </c>
      <c r="J127" s="12" t="n">
        <f aca="false">IFERROR(INDEX('Перечень должностей'!$D$2:$D$46,MATCH(H127,'Перечень должностей'!$A$2:$A$46,0)),12)</f>
        <v>12</v>
      </c>
      <c r="K127" s="17"/>
      <c r="L127" s="17"/>
      <c r="M127" s="16" t="str">
        <f aca="false">IF(K127="","",EDATE(IF(L127&lt;&gt;"",L127,K127),J127))</f>
        <v/>
      </c>
      <c r="N127" s="12" t="str">
        <f aca="false">IFERROR(INDEX('Перечень должностей'!$F$2:$F$46,MATCH(H127,'Перечень должностей'!$A$2:$A$46,0)),"")</f>
        <v>-</v>
      </c>
      <c r="O127" s="17"/>
      <c r="P127" s="16" t="str">
        <f aca="false">IF(O127="","",EDATE(O127,60))</f>
        <v/>
      </c>
      <c r="Q127" s="12" t="str">
        <f aca="false">IF(AND(K127&lt;&gt;"",F127&lt;&gt;"",K127&gt;F127),"ДА","")</f>
        <v/>
      </c>
      <c r="R127" s="9" t="s">
        <v>573</v>
      </c>
    </row>
    <row r="128" customFormat="false" ht="23.25" hidden="false" customHeight="true" outlineLevel="0" collapsed="false">
      <c r="A128" s="15" t="n">
        <v>127</v>
      </c>
      <c r="B128" s="12" t="s">
        <v>50</v>
      </c>
      <c r="C128" s="15" t="s">
        <v>589</v>
      </c>
      <c r="D128" s="15" t="s">
        <v>587</v>
      </c>
      <c r="E128" s="15" t="s">
        <v>191</v>
      </c>
      <c r="F128" s="16" t="n">
        <v>45833</v>
      </c>
      <c r="G128" s="5" t="str">
        <f aca="false">IF(TRIM(SUBSTITUTE(SUBSTITUTE(SUBSTITUTE(SUBSTITUTE(SUBSTITUTE(SUBSTITUTE(SUBSTITUTE(SUBSTITUTE(SUBSTITUTE(SUBSTITUTE(SUBSTITUTE(LOWER(TRIM(D128)),"ё","е"),"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категории",""))="инженер",IF(AND(ISNUMBER(SEARCH("техническ",E128)),ISNUMBER(SEARCH("контрол",E128))),"инженер отк",IF(ISNUMBER(SEARCH("диспетч",E128)),"инженер пдо",TRIM(SUBSTITUTE(SUBSTITUTE(SUBSTITUTE(SUBSTITUTE(SUBSTITUTE(SUBSTITUTE(SUBSTITUTE(SUBSTITUTE(SUBSTITUTE(SUBSTITUTE(SUBSTITUTE(LOWER(TRIM(D128)),"ё","е"),"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инженер",IF(ISNUMBER(SEARCH("диспетч",E128)),"ведущий инженер пдо",TRIM(SUBSTITUTE(SUBSTITUTE(SUBSTITUTE(SUBSTITUTE(SUBSTITUTE(SUBSTITUTE(SUBSTITUTE(SUBSTITUTE(SUBSTITUTE(SUBSTITUTE(SUBSTITUTE(LOWER(TRIM(D128)),"ё","е"),"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отк",TRIM(SUBSTITUTE(SUBSTITUTE(SUBSTITUTE(SUBSTITUTE(SUBSTITUTE(SUBSTITUTE(SUBSTITUTE(SUBSTITUTE(SUBSTITUTE(SUBSTITUTE(SUBSTITUTE(LOWER(TRIM(D128)),"ё","е"),"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128" s="12" t="n">
        <f aca="false">IFERROR(INDEX(Соответствие!$B$2:$B$76,MATCH(G128,Соответствие!$A$2:$A$76,0)),"?")</f>
        <v>32</v>
      </c>
      <c r="I128" s="9" t="str">
        <f aca="false">IFERROR(INDEX('Перечень должностей'!$C$2:$C$46,MATCH(H128,'Перечень должностей'!$A$2:$A$46,0)),"")</f>
        <v>п.4.3.1, п.4.3.2, п.4.4, п.5.1, п.15</v>
      </c>
      <c r="J128" s="12" t="n">
        <f aca="false">IFERROR(INDEX('Перечень должностей'!$D$2:$D$46,MATCH(H128,'Перечень должностей'!$A$2:$A$46,0)),12)</f>
        <v>12</v>
      </c>
      <c r="K128" s="17"/>
      <c r="L128" s="17"/>
      <c r="M128" s="16" t="str">
        <f aca="false">IF(K128="","",EDATE(IF(L128&lt;&gt;"",L128,K128),J128))</f>
        <v/>
      </c>
      <c r="N128" s="12" t="str">
        <f aca="false">IFERROR(INDEX('Перечень должностей'!$F$2:$F$46,MATCH(H128,'Перечень должностей'!$A$2:$A$46,0)),"")</f>
        <v>-</v>
      </c>
      <c r="O128" s="17"/>
      <c r="P128" s="16" t="str">
        <f aca="false">IF(O128="","",EDATE(O128,60))</f>
        <v/>
      </c>
      <c r="Q128" s="12" t="str">
        <f aca="false">IF(AND(K128&lt;&gt;"",F128&lt;&gt;"",K128&gt;F128),"ДА","")</f>
        <v/>
      </c>
      <c r="R128" s="9" t="s">
        <v>573</v>
      </c>
    </row>
    <row r="129" customFormat="false" ht="23.25" hidden="false" customHeight="true" outlineLevel="0" collapsed="false">
      <c r="A129" s="15" t="n">
        <v>128</v>
      </c>
      <c r="B129" s="12" t="s">
        <v>50</v>
      </c>
      <c r="C129" s="15" t="s">
        <v>590</v>
      </c>
      <c r="D129" s="15" t="s">
        <v>587</v>
      </c>
      <c r="E129" s="15" t="s">
        <v>191</v>
      </c>
      <c r="F129" s="16" t="n">
        <v>45714</v>
      </c>
      <c r="G129" s="5" t="str">
        <f aca="false">IF(TRIM(SUBSTITUTE(SUBSTITUTE(SUBSTITUTE(SUBSTITUTE(SUBSTITUTE(SUBSTITUTE(SUBSTITUTE(SUBSTITUTE(SUBSTITUTE(SUBSTITUTE(SUBSTITUTE(LOWER(TRIM(D129)),"ё","е"),"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категории",""))="инженер",IF(AND(ISNUMBER(SEARCH("техническ",E129)),ISNUMBER(SEARCH("контрол",E129))),"инженер отк",IF(ISNUMBER(SEARCH("диспетч",E129)),"инженер пдо",TRIM(SUBSTITUTE(SUBSTITUTE(SUBSTITUTE(SUBSTITUTE(SUBSTITUTE(SUBSTITUTE(SUBSTITUTE(SUBSTITUTE(SUBSTITUTE(SUBSTITUTE(SUBSTITUTE(LOWER(TRIM(D129)),"ё","е"),"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инженер",IF(ISNUMBER(SEARCH("диспетч",E129)),"ведущий инженер пдо",TRIM(SUBSTITUTE(SUBSTITUTE(SUBSTITUTE(SUBSTITUTE(SUBSTITUTE(SUBSTITUTE(SUBSTITUTE(SUBSTITUTE(SUBSTITUTE(SUBSTITUTE(SUBSTITUTE(LOWER(TRIM(D129)),"ё","е"),"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отк",TRIM(SUBSTITUTE(SUBSTITUTE(SUBSTITUTE(SUBSTITUTE(SUBSTITUTE(SUBSTITUTE(SUBSTITUTE(SUBSTITUTE(SUBSTITUTE(SUBSTITUTE(SUBSTITUTE(LOWER(TRIM(D129)),"ё","е"),"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129" s="12" t="n">
        <f aca="false">IFERROR(INDEX(Соответствие!$B$2:$B$76,MATCH(G129,Соответствие!$A$2:$A$76,0)),"?")</f>
        <v>32</v>
      </c>
      <c r="I129" s="9" t="str">
        <f aca="false">IFERROR(INDEX('Перечень должностей'!$C$2:$C$46,MATCH(H129,'Перечень должностей'!$A$2:$A$46,0)),"")</f>
        <v>п.4.3.1, п.4.3.2, п.4.4, п.5.1, п.15</v>
      </c>
      <c r="J129" s="12" t="n">
        <f aca="false">IFERROR(INDEX('Перечень должностей'!$D$2:$D$46,MATCH(H129,'Перечень должностей'!$A$2:$A$46,0)),12)</f>
        <v>12</v>
      </c>
      <c r="K129" s="17"/>
      <c r="L129" s="17"/>
      <c r="M129" s="16" t="str">
        <f aca="false">IF(K129="","",EDATE(IF(L129&lt;&gt;"",L129,K129),J129))</f>
        <v/>
      </c>
      <c r="N129" s="12" t="str">
        <f aca="false">IFERROR(INDEX('Перечень должностей'!$F$2:$F$46,MATCH(H129,'Перечень должностей'!$A$2:$A$46,0)),"")</f>
        <v>-</v>
      </c>
      <c r="O129" s="17"/>
      <c r="P129" s="16" t="str">
        <f aca="false">IF(O129="","",EDATE(O129,60))</f>
        <v/>
      </c>
      <c r="Q129" s="12" t="str">
        <f aca="false">IF(AND(K129&lt;&gt;"",F129&lt;&gt;"",K129&gt;F129),"ДА","")</f>
        <v/>
      </c>
      <c r="R129" s="9" t="s">
        <v>573</v>
      </c>
    </row>
    <row r="130" customFormat="false" ht="14.25" hidden="false" customHeight="true" outlineLevel="0" collapsed="false">
      <c r="A130" s="15" t="n">
        <v>129</v>
      </c>
      <c r="B130" s="12" t="s">
        <v>50</v>
      </c>
      <c r="C130" s="15" t="s">
        <v>591</v>
      </c>
      <c r="D130" s="15" t="s">
        <v>60</v>
      </c>
      <c r="E130" s="15" t="s">
        <v>592</v>
      </c>
      <c r="F130" s="16" t="n">
        <v>46132</v>
      </c>
      <c r="G130" s="5" t="str">
        <f aca="false">IF(TRIM(SUBSTITUTE(SUBSTITUTE(SUBSTITUTE(SUBSTITUTE(SUBSTITUTE(SUBSTITUTE(SUBSTITUTE(SUBSTITUTE(SUBSTITUTE(SUBSTITUTE(SUBSTITUTE(LOWER(TRIM(D130)),"ё","е"),"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категории",""))="инженер",IF(AND(ISNUMBER(SEARCH("техническ",E130)),ISNUMBER(SEARCH("контрол",E130))),"инженер отк",IF(ISNUMBER(SEARCH("диспетч",E130)),"инженер пдо",TRIM(SUBSTITUTE(SUBSTITUTE(SUBSTITUTE(SUBSTITUTE(SUBSTITUTE(SUBSTITUTE(SUBSTITUTE(SUBSTITUTE(SUBSTITUTE(SUBSTITUTE(SUBSTITUTE(LOWER(TRIM(D130)),"ё","е"),"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инженер",IF(ISNUMBER(SEARCH("диспетч",E130)),"ведущий инженер пдо",TRIM(SUBSTITUTE(SUBSTITUTE(SUBSTITUTE(SUBSTITUTE(SUBSTITUTE(SUBSTITUTE(SUBSTITUTE(SUBSTITUTE(SUBSTITUTE(SUBSTITUTE(SUBSTITUTE(LOWER(TRIM(D130)),"ё","е"),"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отк",TRIM(SUBSTITUTE(SUBSTITUTE(SUBSTITUTE(SUBSTITUTE(SUBSTITUTE(SUBSTITUTE(SUBSTITUTE(SUBSTITUTE(SUBSTITUTE(SUBSTITUTE(SUBSTITUTE(LOWER(TRIM(D130)),"ё","е")," -","-"),"- ","-")," 2 разряда","")," 3 разряда","")," 4 разряда","")," 5 разряда","")," 6 разряда","")," 1 категории","")," 2 категории","")," 3 категории","")))))</f>
        <v>мастер участка</v>
      </c>
      <c r="H130" s="12" t="n">
        <f aca="false">IFERROR(INDEX(Соответствие!$B$2:$B$76,MATCH(G130,Соответствие!$A$2:$A$76,0)),"?")</f>
        <v>18</v>
      </c>
      <c r="I130" s="9" t="str">
        <f aca="false">IFERROR(INDEX('Перечень должностей'!$C$2:$C$46,MATCH(H130,'Перечень должностей'!$A$2:$A$46,0)),"")</f>
        <v>п.4.4, п.5.1, п.5.2</v>
      </c>
      <c r="J130" s="12" t="n">
        <f aca="false">IFERROR(INDEX('Перечень должностей'!$D$2:$D$46,MATCH(H130,'Перечень должностей'!$A$2:$A$46,0)),12)</f>
        <v>12</v>
      </c>
      <c r="K130" s="17" t="n">
        <v>46108</v>
      </c>
      <c r="L130" s="17"/>
      <c r="M130" s="16" t="n">
        <f aca="false">IF(K130="","",EDATE(IF(L130&lt;&gt;"",L130,K130),J130))</f>
        <v>46473</v>
      </c>
      <c r="N130" s="12" t="str">
        <f aca="false">IFERROR(INDEX('Перечень должностей'!$F$2:$F$46,MATCH(H130,'Перечень должностей'!$A$2:$A$46,0)),"")</f>
        <v>-</v>
      </c>
      <c r="O130" s="17"/>
      <c r="P130" s="16" t="str">
        <f aca="false">IF(O130="","",EDATE(O130,60))</f>
        <v/>
      </c>
      <c r="Q130" s="12" t="str">
        <f aca="false">IF(AND(K130&lt;&gt;"",F130&lt;&gt;"",K130&gt;F130),"ДА","")</f>
        <v/>
      </c>
      <c r="R130" s="9"/>
    </row>
    <row r="131" customFormat="false" ht="45.75" hidden="false" customHeight="true" outlineLevel="0" collapsed="false">
      <c r="A131" s="15" t="n">
        <v>130</v>
      </c>
      <c r="B131" s="12" t="s">
        <v>50</v>
      </c>
      <c r="C131" s="15" t="s">
        <v>108</v>
      </c>
      <c r="D131" s="15" t="s">
        <v>445</v>
      </c>
      <c r="E131" s="15" t="s">
        <v>592</v>
      </c>
      <c r="F131" s="16" t="n">
        <v>45846</v>
      </c>
      <c r="G131" s="5" t="str">
        <f aca="false">IF(TRIM(SUBSTITUTE(SUBSTITUTE(SUBSTITUTE(SUBSTITUTE(SUBSTITUTE(SUBSTITUTE(SUBSTITUTE(SUBSTITUTE(SUBSTITUTE(SUBSTITUTE(SUBSTITUTE(LOWER(TRIM(D131)),"ё","е"),"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категории",""))="инженер",IF(AND(ISNUMBER(SEARCH("техническ",E131)),ISNUMBER(SEARCH("контрол",E131))),"инженер отк",IF(ISNUMBER(SEARCH("диспетч",E131)),"инженер пдо",TRIM(SUBSTITUTE(SUBSTITUTE(SUBSTITUTE(SUBSTITUTE(SUBSTITUTE(SUBSTITUTE(SUBSTITUTE(SUBSTITUTE(SUBSTITUTE(SUBSTITUTE(SUBSTITUTE(LOWER(TRIM(D131)),"ё","е"),"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инженер",IF(ISNUMBER(SEARCH("диспетч",E131)),"ведущий инженер пдо",TRIM(SUBSTITUTE(SUBSTITUTE(SUBSTITUTE(SUBSTITUTE(SUBSTITUTE(SUBSTITUTE(SUBSTITUTE(SUBSTITUTE(SUBSTITUTE(SUBSTITUTE(SUBSTITUTE(LOWER(TRIM(D131)),"ё","е"),"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отк",TRIM(SUBSTITUTE(SUBSTITUTE(SUBSTITUTE(SUBSTITUTE(SUBSTITUTE(SUBSTITUTE(SUBSTITUTE(SUBSTITUTE(SUBSTITUTE(SUBSTITUTE(SUBSTITUTE(LOWER(TRIM(D131)),"ё","е"),"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131" s="12" t="n">
        <f aca="false">IFERROR(INDEX(Соответствие!$B$2:$B$76,MATCH(G131,Соответствие!$A$2:$A$76,0)),"?")</f>
        <v>20</v>
      </c>
      <c r="I131" s="9" t="str">
        <f aca="false">IFERROR(INDEX('Перечень должностей'!$C$2:$C$46,MATCH(H131,'Перечень должностей'!$A$2:$A$46,0)),"")</f>
        <v>п.4.3.1, п.4.3.2, п.4.4, п.4.9, п.5.1, п.5.2, п.6.2, п.9</v>
      </c>
      <c r="J131" s="12" t="n">
        <f aca="false">IFERROR(INDEX('Перечень должностей'!$D$2:$D$46,MATCH(H131,'Перечень должностей'!$A$2:$A$46,0)),12)</f>
        <v>12</v>
      </c>
      <c r="K131" s="17" t="n">
        <v>45840</v>
      </c>
      <c r="L131" s="17"/>
      <c r="M131" s="16" t="n">
        <f aca="false">IF(K131="","",EDATE(IF(L131&lt;&gt;"",L131,K131),J131))</f>
        <v>46205</v>
      </c>
      <c r="N131" s="12" t="str">
        <f aca="false">IFERROR(INDEX('Перечень должностей'!$F$2:$F$46,MATCH(H131,'Перечень должностей'!$A$2:$A$46,0)),"")</f>
        <v>Проверить</v>
      </c>
      <c r="O131" s="17"/>
      <c r="P131" s="16" t="str">
        <f aca="false">IF(O131="","",EDATE(O131,60))</f>
        <v/>
      </c>
      <c r="Q131" s="12" t="str">
        <f aca="false">IF(AND(K131&lt;&gt;"",F131&lt;&gt;"",K131&gt;F131),"ДА","")</f>
        <v/>
      </c>
      <c r="R131" s="18" t="s">
        <v>109</v>
      </c>
    </row>
    <row r="132" customFormat="false" ht="45.75" hidden="false" customHeight="true" outlineLevel="0" collapsed="false">
      <c r="A132" s="15" t="n">
        <v>131</v>
      </c>
      <c r="B132" s="12" t="s">
        <v>50</v>
      </c>
      <c r="C132" s="15" t="s">
        <v>110</v>
      </c>
      <c r="D132" s="15" t="s">
        <v>445</v>
      </c>
      <c r="E132" s="15" t="s">
        <v>592</v>
      </c>
      <c r="F132" s="16" t="n">
        <v>45958</v>
      </c>
      <c r="G132" s="5" t="str">
        <f aca="false">IF(TRIM(SUBSTITUTE(SUBSTITUTE(SUBSTITUTE(SUBSTITUTE(SUBSTITUTE(SUBSTITUTE(SUBSTITUTE(SUBSTITUTE(SUBSTITUTE(SUBSTITUTE(SUBSTITUTE(LOWER(TRIM(D132)),"ё","е"),"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категории",""))="инженер",IF(AND(ISNUMBER(SEARCH("техническ",E132)),ISNUMBER(SEARCH("контрол",E132))),"инженер отк",IF(ISNUMBER(SEARCH("диспетч",E132)),"инженер пдо",TRIM(SUBSTITUTE(SUBSTITUTE(SUBSTITUTE(SUBSTITUTE(SUBSTITUTE(SUBSTITUTE(SUBSTITUTE(SUBSTITUTE(SUBSTITUTE(SUBSTITUTE(SUBSTITUTE(LOWER(TRIM(D132)),"ё","е"),"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инженер",IF(ISNUMBER(SEARCH("диспетч",E132)),"ведущий инженер пдо",TRIM(SUBSTITUTE(SUBSTITUTE(SUBSTITUTE(SUBSTITUTE(SUBSTITUTE(SUBSTITUTE(SUBSTITUTE(SUBSTITUTE(SUBSTITUTE(SUBSTITUTE(SUBSTITUTE(LOWER(TRIM(D132)),"ё","е"),"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отк",TRIM(SUBSTITUTE(SUBSTITUTE(SUBSTITUTE(SUBSTITUTE(SUBSTITUTE(SUBSTITUTE(SUBSTITUTE(SUBSTITUTE(SUBSTITUTE(SUBSTITUTE(SUBSTITUTE(LOWER(TRIM(D132)),"ё","е"),"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132" s="12" t="n">
        <f aca="false">IFERROR(INDEX(Соответствие!$B$2:$B$76,MATCH(G132,Соответствие!$A$2:$A$76,0)),"?")</f>
        <v>20</v>
      </c>
      <c r="I132" s="9" t="str">
        <f aca="false">IFERROR(INDEX('Перечень должностей'!$C$2:$C$46,MATCH(H132,'Перечень должностей'!$A$2:$A$46,0)),"")</f>
        <v>п.4.3.1, п.4.3.2, п.4.4, п.4.9, п.5.1, п.5.2, п.6.2, п.9</v>
      </c>
      <c r="J132" s="12" t="n">
        <f aca="false">IFERROR(INDEX('Перечень должностей'!$D$2:$D$46,MATCH(H132,'Перечень должностей'!$A$2:$A$46,0)),12)</f>
        <v>12</v>
      </c>
      <c r="K132" s="17"/>
      <c r="L132" s="17"/>
      <c r="M132" s="16" t="str">
        <f aca="false">IF(K132="","",EDATE(IF(L132&lt;&gt;"",L132,K132),J132))</f>
        <v/>
      </c>
      <c r="N132" s="12" t="str">
        <f aca="false">IFERROR(INDEX('Перечень должностей'!$F$2:$F$46,MATCH(H132,'Перечень должностей'!$A$2:$A$46,0)),"")</f>
        <v>Проверить</v>
      </c>
      <c r="O132" s="17"/>
      <c r="P132" s="16" t="str">
        <f aca="false">IF(O132="","",EDATE(O132,60))</f>
        <v/>
      </c>
      <c r="Q132" s="12" t="str">
        <f aca="false">IF(AND(K132&lt;&gt;"",F132&lt;&gt;"",K132&gt;F132),"ДА","")</f>
        <v/>
      </c>
      <c r="R132" s="18" t="s">
        <v>109</v>
      </c>
    </row>
    <row r="133" customFormat="false" ht="39" hidden="false" customHeight="true" outlineLevel="0" collapsed="false">
      <c r="A133" s="15" t="n">
        <v>132</v>
      </c>
      <c r="B133" s="12" t="s">
        <v>50</v>
      </c>
      <c r="C133" s="15" t="s">
        <v>111</v>
      </c>
      <c r="D133" s="15" t="s">
        <v>445</v>
      </c>
      <c r="E133" s="15" t="s">
        <v>593</v>
      </c>
      <c r="F133" s="16" t="n">
        <v>43313</v>
      </c>
      <c r="G133" s="5" t="str">
        <f aca="false">IF(TRIM(SUBSTITUTE(SUBSTITUTE(SUBSTITUTE(SUBSTITUTE(SUBSTITUTE(SUBSTITUTE(SUBSTITUTE(SUBSTITUTE(SUBSTITUTE(SUBSTITUTE(SUBSTITUTE(LOWER(TRIM(D133)),"ё","е"),"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категории",""))="инженер",IF(AND(ISNUMBER(SEARCH("техническ",E133)),ISNUMBER(SEARCH("контрол",E133))),"инженер отк",IF(ISNUMBER(SEARCH("диспетч",E133)),"инженер пдо",TRIM(SUBSTITUTE(SUBSTITUTE(SUBSTITUTE(SUBSTITUTE(SUBSTITUTE(SUBSTITUTE(SUBSTITUTE(SUBSTITUTE(SUBSTITUTE(SUBSTITUTE(SUBSTITUTE(LOWER(TRIM(D133)),"ё","е"),"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инженер",IF(ISNUMBER(SEARCH("диспетч",E133)),"ведущий инженер пдо",TRIM(SUBSTITUTE(SUBSTITUTE(SUBSTITUTE(SUBSTITUTE(SUBSTITUTE(SUBSTITUTE(SUBSTITUTE(SUBSTITUTE(SUBSTITUTE(SUBSTITUTE(SUBSTITUTE(LOWER(TRIM(D133)),"ё","е"),"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отк",TRIM(SUBSTITUTE(SUBSTITUTE(SUBSTITUTE(SUBSTITUTE(SUBSTITUTE(SUBSTITUTE(SUBSTITUTE(SUBSTITUTE(SUBSTITUTE(SUBSTITUTE(SUBSTITUTE(LOWER(TRIM(D133)),"ё","е"),"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133" s="12" t="n">
        <f aca="false">IFERROR(INDEX(Соответствие!$B$2:$B$76,MATCH(G133,Соответствие!$A$2:$A$76,0)),"?")</f>
        <v>20</v>
      </c>
      <c r="I133" s="9" t="str">
        <f aca="false">IFERROR(INDEX('Перечень должностей'!$C$2:$C$46,MATCH(H133,'Перечень должностей'!$A$2:$A$46,0)),"")</f>
        <v>п.4.3.1, п.4.3.2, п.4.4, п.4.9, п.5.1, п.5.2, п.6.2, п.9</v>
      </c>
      <c r="J133" s="12" t="n">
        <f aca="false">IFERROR(INDEX('Перечень должностей'!$D$2:$D$46,MATCH(H133,'Перечень должностей'!$A$2:$A$46,0)),12)</f>
        <v>12</v>
      </c>
      <c r="K133" s="17"/>
      <c r="L133" s="17"/>
      <c r="M133" s="16" t="str">
        <f aca="false">IF(K133="","",EDATE(IF(L133&lt;&gt;"",L133,K133),J133))</f>
        <v/>
      </c>
      <c r="N133" s="12" t="str">
        <f aca="false">IFERROR(INDEX('Перечень должностей'!$F$2:$F$46,MATCH(H133,'Перечень должностей'!$A$2:$A$46,0)),"")</f>
        <v>Проверить</v>
      </c>
      <c r="O133" s="17"/>
      <c r="P133" s="16" t="str">
        <f aca="false">IF(O133="","",EDATE(O133,60))</f>
        <v/>
      </c>
      <c r="Q133" s="12" t="str">
        <f aca="false">IF(AND(K133&lt;&gt;"",F133&lt;&gt;"",K133&gt;F133),"ДА","")</f>
        <v/>
      </c>
      <c r="R133" s="18" t="s">
        <v>109</v>
      </c>
    </row>
    <row r="134" customFormat="false" ht="39" hidden="false" customHeight="true" outlineLevel="0" collapsed="false">
      <c r="A134" s="15" t="n">
        <v>133</v>
      </c>
      <c r="B134" s="12" t="s">
        <v>50</v>
      </c>
      <c r="C134" s="15" t="s">
        <v>112</v>
      </c>
      <c r="D134" s="15" t="s">
        <v>445</v>
      </c>
      <c r="E134" s="15" t="s">
        <v>593</v>
      </c>
      <c r="F134" s="16" t="n">
        <v>42289</v>
      </c>
      <c r="G134" s="5" t="str">
        <f aca="false">IF(TRIM(SUBSTITUTE(SUBSTITUTE(SUBSTITUTE(SUBSTITUTE(SUBSTITUTE(SUBSTITUTE(SUBSTITUTE(SUBSTITUTE(SUBSTITUTE(SUBSTITUTE(SUBSTITUTE(LOWER(TRIM(D134)),"ё","е"),"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категории",""))="инженер",IF(AND(ISNUMBER(SEARCH("техническ",E134)),ISNUMBER(SEARCH("контрол",E134))),"инженер отк",IF(ISNUMBER(SEARCH("диспетч",E134)),"инженер пдо",TRIM(SUBSTITUTE(SUBSTITUTE(SUBSTITUTE(SUBSTITUTE(SUBSTITUTE(SUBSTITUTE(SUBSTITUTE(SUBSTITUTE(SUBSTITUTE(SUBSTITUTE(SUBSTITUTE(LOWER(TRIM(D134)),"ё","е"),"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инженер",IF(ISNUMBER(SEARCH("диспетч",E134)),"ведущий инженер пдо",TRIM(SUBSTITUTE(SUBSTITUTE(SUBSTITUTE(SUBSTITUTE(SUBSTITUTE(SUBSTITUTE(SUBSTITUTE(SUBSTITUTE(SUBSTITUTE(SUBSTITUTE(SUBSTITUTE(LOWER(TRIM(D134)),"ё","е"),"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отк",TRIM(SUBSTITUTE(SUBSTITUTE(SUBSTITUTE(SUBSTITUTE(SUBSTITUTE(SUBSTITUTE(SUBSTITUTE(SUBSTITUTE(SUBSTITUTE(SUBSTITUTE(SUBSTITUTE(LOWER(TRIM(D134)),"ё","е"),"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134" s="12" t="n">
        <f aca="false">IFERROR(INDEX(Соответствие!$B$2:$B$76,MATCH(G134,Соответствие!$A$2:$A$76,0)),"?")</f>
        <v>20</v>
      </c>
      <c r="I134" s="9" t="str">
        <f aca="false">IFERROR(INDEX('Перечень должностей'!$C$2:$C$46,MATCH(H134,'Перечень должностей'!$A$2:$A$46,0)),"")</f>
        <v>п.4.3.1, п.4.3.2, п.4.4, п.4.9, п.5.1, п.5.2, п.6.2, п.9</v>
      </c>
      <c r="J134" s="12" t="n">
        <f aca="false">IFERROR(INDEX('Перечень должностей'!$D$2:$D$46,MATCH(H134,'Перечень должностей'!$A$2:$A$46,0)),12)</f>
        <v>12</v>
      </c>
      <c r="K134" s="17"/>
      <c r="L134" s="17"/>
      <c r="M134" s="16" t="str">
        <f aca="false">IF(K134="","",EDATE(IF(L134&lt;&gt;"",L134,K134),J134))</f>
        <v/>
      </c>
      <c r="N134" s="12" t="str">
        <f aca="false">IFERROR(INDEX('Перечень должностей'!$F$2:$F$46,MATCH(H134,'Перечень должностей'!$A$2:$A$46,0)),"")</f>
        <v>Проверить</v>
      </c>
      <c r="O134" s="17"/>
      <c r="P134" s="16" t="str">
        <f aca="false">IF(O134="","",EDATE(O134,60))</f>
        <v/>
      </c>
      <c r="Q134" s="12" t="str">
        <f aca="false">IF(AND(K134&lt;&gt;"",F134&lt;&gt;"",K134&gt;F134),"ДА","")</f>
        <v/>
      </c>
      <c r="R134" s="18" t="s">
        <v>109</v>
      </c>
    </row>
    <row r="135" customFormat="false" ht="39" hidden="false" customHeight="true" outlineLevel="0" collapsed="false">
      <c r="A135" s="15" t="n">
        <v>134</v>
      </c>
      <c r="B135" s="12" t="s">
        <v>50</v>
      </c>
      <c r="C135" s="15" t="s">
        <v>113</v>
      </c>
      <c r="D135" s="15" t="s">
        <v>594</v>
      </c>
      <c r="E135" s="15" t="s">
        <v>49</v>
      </c>
      <c r="F135" s="16" t="n">
        <v>39419</v>
      </c>
      <c r="G135" s="5" t="str">
        <f aca="false">IF(TRIM(SUBSTITUTE(SUBSTITUTE(SUBSTITUTE(SUBSTITUTE(SUBSTITUTE(SUBSTITUTE(SUBSTITUTE(SUBSTITUTE(SUBSTITUTE(SUBSTITUTE(SUBSTITUTE(LOWER(TRIM(D135)),"ё","е"),"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категории",""))="инженер",IF(AND(ISNUMBER(SEARCH("техническ",E135)),ISNUMBER(SEARCH("контрол",E135))),"инженер отк",IF(ISNUMBER(SEARCH("диспетч",E135)),"инженер пдо",TRIM(SUBSTITUTE(SUBSTITUTE(SUBSTITUTE(SUBSTITUTE(SUBSTITUTE(SUBSTITUTE(SUBSTITUTE(SUBSTITUTE(SUBSTITUTE(SUBSTITUTE(SUBSTITUTE(LOWER(TRIM(D135)),"ё","е"),"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инженер",IF(ISNUMBER(SEARCH("диспетч",E135)),"ведущий инженер пдо",TRIM(SUBSTITUTE(SUBSTITUTE(SUBSTITUTE(SUBSTITUTE(SUBSTITUTE(SUBSTITUTE(SUBSTITUTE(SUBSTITUTE(SUBSTITUTE(SUBSTITUTE(SUBSTITUTE(LOWER(TRIM(D135)),"ё","е"),"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отк",TRIM(SUBSTITUTE(SUBSTITUTE(SUBSTITUTE(SUBSTITUTE(SUBSTITUTE(SUBSTITUTE(SUBSTITUTE(SUBSTITUTE(SUBSTITUTE(SUBSTITUTE(SUBSTITUTE(LOWER(TRIM(D135)),"ё","е"),"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35" s="12" t="n">
        <f aca="false">IFERROR(INDEX(Соответствие!$B$2:$B$76,MATCH(G135,Соответствие!$A$2:$A$76,0)),"?")</f>
        <v>21</v>
      </c>
      <c r="I135" s="9" t="str">
        <f aca="false">IFERROR(INDEX('Перечень должностей'!$C$2:$C$46,MATCH(H135,'Перечень должностей'!$A$2:$A$46,0)),"")</f>
        <v>п.1.49.2, п.1.49.14, п.4.3.1, п.4.3.2, п.4.4, п.5.1, п.15</v>
      </c>
      <c r="J135" s="12" t="n">
        <f aca="false">IFERROR(INDEX('Перечень должностей'!$D$2:$D$46,MATCH(H135,'Перечень должностей'!$A$2:$A$46,0)),12)</f>
        <v>12</v>
      </c>
      <c r="K135" s="17"/>
      <c r="L135" s="17"/>
      <c r="M135" s="16" t="str">
        <f aca="false">IF(K135="","",EDATE(IF(L135&lt;&gt;"",L135,K135),J135))</f>
        <v/>
      </c>
      <c r="N135" s="12" t="str">
        <f aca="false">IFERROR(INDEX('Перечень должностей'!$F$2:$F$46,MATCH(H135,'Перечень должностей'!$A$2:$A$46,0)),"")</f>
        <v>-</v>
      </c>
      <c r="O135" s="17"/>
      <c r="P135" s="16" t="str">
        <f aca="false">IF(O135="","",EDATE(O135,60))</f>
        <v/>
      </c>
      <c r="Q135" s="12" t="str">
        <f aca="false">IF(AND(K135&lt;&gt;"",F135&lt;&gt;"",K135&gt;F135),"ДА","")</f>
        <v/>
      </c>
      <c r="R135" s="18" t="s">
        <v>114</v>
      </c>
    </row>
    <row r="136" customFormat="false" ht="39" hidden="false" customHeight="true" outlineLevel="0" collapsed="false">
      <c r="A136" s="15" t="n">
        <v>135</v>
      </c>
      <c r="B136" s="12" t="s">
        <v>50</v>
      </c>
      <c r="C136" s="15" t="s">
        <v>115</v>
      </c>
      <c r="D136" s="15" t="s">
        <v>594</v>
      </c>
      <c r="E136" s="15" t="s">
        <v>49</v>
      </c>
      <c r="F136" s="16" t="n">
        <v>39753</v>
      </c>
      <c r="G136" s="5" t="str">
        <f aca="false">IF(TRIM(SUBSTITUTE(SUBSTITUTE(SUBSTITUTE(SUBSTITUTE(SUBSTITUTE(SUBSTITUTE(SUBSTITUTE(SUBSTITUTE(SUBSTITUTE(SUBSTITUTE(SUBSTITUTE(LOWER(TRIM(D136)),"ё","е"),"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категории",""))="инженер",IF(AND(ISNUMBER(SEARCH("техническ",E136)),ISNUMBER(SEARCH("контрол",E136))),"инженер отк",IF(ISNUMBER(SEARCH("диспетч",E136)),"инженер пдо",TRIM(SUBSTITUTE(SUBSTITUTE(SUBSTITUTE(SUBSTITUTE(SUBSTITUTE(SUBSTITUTE(SUBSTITUTE(SUBSTITUTE(SUBSTITUTE(SUBSTITUTE(SUBSTITUTE(LOWER(TRIM(D136)),"ё","е"),"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инженер",IF(ISNUMBER(SEARCH("диспетч",E136)),"ведущий инженер пдо",TRIM(SUBSTITUTE(SUBSTITUTE(SUBSTITUTE(SUBSTITUTE(SUBSTITUTE(SUBSTITUTE(SUBSTITUTE(SUBSTITUTE(SUBSTITUTE(SUBSTITUTE(SUBSTITUTE(LOWER(TRIM(D136)),"ё","е"),"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отк",TRIM(SUBSTITUTE(SUBSTITUTE(SUBSTITUTE(SUBSTITUTE(SUBSTITUTE(SUBSTITUTE(SUBSTITUTE(SUBSTITUTE(SUBSTITUTE(SUBSTITUTE(SUBSTITUTE(LOWER(TRIM(D136)),"ё","е"),"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36" s="12" t="n">
        <f aca="false">IFERROR(INDEX(Соответствие!$B$2:$B$76,MATCH(G136,Соответствие!$A$2:$A$76,0)),"?")</f>
        <v>21</v>
      </c>
      <c r="I136" s="9" t="str">
        <f aca="false">IFERROR(INDEX('Перечень должностей'!$C$2:$C$46,MATCH(H136,'Перечень должностей'!$A$2:$A$46,0)),"")</f>
        <v>п.1.49.2, п.1.49.14, п.4.3.1, п.4.3.2, п.4.4, п.5.1, п.15</v>
      </c>
      <c r="J136" s="12" t="n">
        <f aca="false">IFERROR(INDEX('Перечень должностей'!$D$2:$D$46,MATCH(H136,'Перечень должностей'!$A$2:$A$46,0)),12)</f>
        <v>12</v>
      </c>
      <c r="K136" s="17"/>
      <c r="L136" s="17"/>
      <c r="M136" s="16" t="str">
        <f aca="false">IF(K136="","",EDATE(IF(L136&lt;&gt;"",L136,K136),J136))</f>
        <v/>
      </c>
      <c r="N136" s="12" t="str">
        <f aca="false">IFERROR(INDEX('Перечень должностей'!$F$2:$F$46,MATCH(H136,'Перечень должностей'!$A$2:$A$46,0)),"")</f>
        <v>-</v>
      </c>
      <c r="O136" s="17"/>
      <c r="P136" s="16" t="str">
        <f aca="false">IF(O136="","",EDATE(O136,60))</f>
        <v/>
      </c>
      <c r="Q136" s="12" t="str">
        <f aca="false">IF(AND(K136&lt;&gt;"",F136&lt;&gt;"",K136&gt;F136),"ДА","")</f>
        <v/>
      </c>
      <c r="R136" s="18" t="s">
        <v>114</v>
      </c>
    </row>
    <row r="137" customFormat="false" ht="26.25" hidden="false" customHeight="true" outlineLevel="0" collapsed="false">
      <c r="A137" s="15" t="n">
        <v>136</v>
      </c>
      <c r="B137" s="12" t="s">
        <v>50</v>
      </c>
      <c r="C137" s="15" t="s">
        <v>116</v>
      </c>
      <c r="D137" s="15" t="s">
        <v>594</v>
      </c>
      <c r="E137" s="15" t="s">
        <v>182</v>
      </c>
      <c r="F137" s="16" t="n">
        <v>43276</v>
      </c>
      <c r="G137" s="5" t="str">
        <f aca="false">IF(TRIM(SUBSTITUTE(SUBSTITUTE(SUBSTITUTE(SUBSTITUTE(SUBSTITUTE(SUBSTITUTE(SUBSTITUTE(SUBSTITUTE(SUBSTITUTE(SUBSTITUTE(SUBSTITUTE(LOWER(TRIM(D137)),"ё","е"),"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категории",""))="инженер",IF(AND(ISNUMBER(SEARCH("техническ",E137)),ISNUMBER(SEARCH("контрол",E137))),"инженер отк",IF(ISNUMBER(SEARCH("диспетч",E137)),"инженер пдо",TRIM(SUBSTITUTE(SUBSTITUTE(SUBSTITUTE(SUBSTITUTE(SUBSTITUTE(SUBSTITUTE(SUBSTITUTE(SUBSTITUTE(SUBSTITUTE(SUBSTITUTE(SUBSTITUTE(LOWER(TRIM(D137)),"ё","е"),"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инженер",IF(ISNUMBER(SEARCH("диспетч",E137)),"ведущий инженер пдо",TRIM(SUBSTITUTE(SUBSTITUTE(SUBSTITUTE(SUBSTITUTE(SUBSTITUTE(SUBSTITUTE(SUBSTITUTE(SUBSTITUTE(SUBSTITUTE(SUBSTITUTE(SUBSTITUTE(LOWER(TRIM(D137)),"ё","е"),"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отк",TRIM(SUBSTITUTE(SUBSTITUTE(SUBSTITUTE(SUBSTITUTE(SUBSTITUTE(SUBSTITUTE(SUBSTITUTE(SUBSTITUTE(SUBSTITUTE(SUBSTITUTE(SUBSTITUTE(LOWER(TRIM(D137)),"ё","е"),"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37" s="12" t="n">
        <f aca="false">IFERROR(INDEX(Соответствие!$B$2:$B$76,MATCH(G137,Соответствие!$A$2:$A$76,0)),"?")</f>
        <v>21</v>
      </c>
      <c r="I137" s="9" t="str">
        <f aca="false">IFERROR(INDEX('Перечень должностей'!$C$2:$C$46,MATCH(H137,'Перечень должностей'!$A$2:$A$46,0)),"")</f>
        <v>п.1.49.2, п.1.49.14, п.4.3.1, п.4.3.2, п.4.4, п.5.1, п.15</v>
      </c>
      <c r="J137" s="12" t="n">
        <f aca="false">IFERROR(INDEX('Перечень должностей'!$D$2:$D$46,MATCH(H137,'Перечень должностей'!$A$2:$A$46,0)),12)</f>
        <v>12</v>
      </c>
      <c r="K137" s="17"/>
      <c r="L137" s="17"/>
      <c r="M137" s="16" t="str">
        <f aca="false">IF(K137="","",EDATE(IF(L137&lt;&gt;"",L137,K137),J137))</f>
        <v/>
      </c>
      <c r="N137" s="12" t="str">
        <f aca="false">IFERROR(INDEX('Перечень должностей'!$F$2:$F$46,MATCH(H137,'Перечень должностей'!$A$2:$A$46,0)),"")</f>
        <v>-</v>
      </c>
      <c r="O137" s="17"/>
      <c r="P137" s="16" t="str">
        <f aca="false">IF(O137="","",EDATE(O137,60))</f>
        <v/>
      </c>
      <c r="Q137" s="12" t="str">
        <f aca="false">IF(AND(K137&lt;&gt;"",F137&lt;&gt;"",K137&gt;F137),"ДА","")</f>
        <v/>
      </c>
      <c r="R137" s="18" t="s">
        <v>114</v>
      </c>
    </row>
    <row r="138" customFormat="false" ht="26.25" hidden="false" customHeight="true" outlineLevel="0" collapsed="false">
      <c r="A138" s="15" t="n">
        <v>137</v>
      </c>
      <c r="B138" s="12" t="s">
        <v>50</v>
      </c>
      <c r="C138" s="15" t="s">
        <v>117</v>
      </c>
      <c r="D138" s="15" t="s">
        <v>53</v>
      </c>
      <c r="E138" s="15" t="s">
        <v>49</v>
      </c>
      <c r="F138" s="16" t="n">
        <v>41381</v>
      </c>
      <c r="G138" s="5" t="str">
        <f aca="false">IF(TRIM(SUBSTITUTE(SUBSTITUTE(SUBSTITUTE(SUBSTITUTE(SUBSTITUTE(SUBSTITUTE(SUBSTITUTE(SUBSTITUTE(SUBSTITUTE(SUBSTITUTE(SUBSTITUTE(LOWER(TRIM(D138)),"ё","е"),"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категории",""))="инженер",IF(AND(ISNUMBER(SEARCH("техническ",E138)),ISNUMBER(SEARCH("контрол",E138))),"инженер отк",IF(ISNUMBER(SEARCH("диспетч",E138)),"инженер пдо",TRIM(SUBSTITUTE(SUBSTITUTE(SUBSTITUTE(SUBSTITUTE(SUBSTITUTE(SUBSTITUTE(SUBSTITUTE(SUBSTITUTE(SUBSTITUTE(SUBSTITUTE(SUBSTITUTE(LOWER(TRIM(D138)),"ё","е"),"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инженер",IF(ISNUMBER(SEARCH("диспетч",E138)),"ведущий инженер пдо",TRIM(SUBSTITUTE(SUBSTITUTE(SUBSTITUTE(SUBSTITUTE(SUBSTITUTE(SUBSTITUTE(SUBSTITUTE(SUBSTITUTE(SUBSTITUTE(SUBSTITUTE(SUBSTITUTE(LOWER(TRIM(D138)),"ё","е"),"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отк",TRIM(SUBSTITUTE(SUBSTITUTE(SUBSTITUTE(SUBSTITUTE(SUBSTITUTE(SUBSTITUTE(SUBSTITUTE(SUBSTITUTE(SUBSTITUTE(SUBSTITUTE(SUBSTITUTE(LOWER(TRIM(D138)),"ё","е"),"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38" s="12" t="n">
        <f aca="false">IFERROR(INDEX(Соответствие!$B$2:$B$76,MATCH(G138,Соответствие!$A$2:$A$76,0)),"?")</f>
        <v>21</v>
      </c>
      <c r="I138" s="9" t="str">
        <f aca="false">IFERROR(INDEX('Перечень должностей'!$C$2:$C$46,MATCH(H138,'Перечень должностей'!$A$2:$A$46,0)),"")</f>
        <v>п.1.49.2, п.1.49.14, п.4.3.1, п.4.3.2, п.4.4, п.5.1, п.15</v>
      </c>
      <c r="J138" s="12" t="n">
        <f aca="false">IFERROR(INDEX('Перечень должностей'!$D$2:$D$46,MATCH(H138,'Перечень должностей'!$A$2:$A$46,0)),12)</f>
        <v>12</v>
      </c>
      <c r="K138" s="17"/>
      <c r="L138" s="17"/>
      <c r="M138" s="16" t="str">
        <f aca="false">IF(K138="","",EDATE(IF(L138&lt;&gt;"",L138,K138),J138))</f>
        <v/>
      </c>
      <c r="N138" s="12" t="str">
        <f aca="false">IFERROR(INDEX('Перечень должностей'!$F$2:$F$46,MATCH(H138,'Перечень должностей'!$A$2:$A$46,0)),"")</f>
        <v>-</v>
      </c>
      <c r="O138" s="17"/>
      <c r="P138" s="16" t="str">
        <f aca="false">IF(O138="","",EDATE(O138,60))</f>
        <v/>
      </c>
      <c r="Q138" s="12" t="str">
        <f aca="false">IF(AND(K138&lt;&gt;"",F138&lt;&gt;"",K138&gt;F138),"ДА","")</f>
        <v/>
      </c>
      <c r="R138" s="18" t="s">
        <v>118</v>
      </c>
    </row>
    <row r="139" customFormat="false" ht="26.25" hidden="false" customHeight="true" outlineLevel="0" collapsed="false">
      <c r="A139" s="15" t="n">
        <v>138</v>
      </c>
      <c r="B139" s="12" t="s">
        <v>50</v>
      </c>
      <c r="C139" s="15" t="s">
        <v>595</v>
      </c>
      <c r="D139" s="15" t="s">
        <v>596</v>
      </c>
      <c r="E139" s="15" t="s">
        <v>182</v>
      </c>
      <c r="F139" s="16" t="n">
        <v>45616</v>
      </c>
      <c r="G139" s="5" t="str">
        <f aca="false">IF(TRIM(SUBSTITUTE(SUBSTITUTE(SUBSTITUTE(SUBSTITUTE(SUBSTITUTE(SUBSTITUTE(SUBSTITUTE(SUBSTITUTE(SUBSTITUTE(SUBSTITUTE(SUBSTITUTE(LOWER(TRIM(D139)),"ё","е"),"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категории",""))="инженер",IF(AND(ISNUMBER(SEARCH("техническ",E139)),ISNUMBER(SEARCH("контрол",E139))),"инженер отк",IF(ISNUMBER(SEARCH("диспетч",E139)),"инженер пдо",TRIM(SUBSTITUTE(SUBSTITUTE(SUBSTITUTE(SUBSTITUTE(SUBSTITUTE(SUBSTITUTE(SUBSTITUTE(SUBSTITUTE(SUBSTITUTE(SUBSTITUTE(SUBSTITUTE(LOWER(TRIM(D139)),"ё","е"),"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инженер",IF(ISNUMBER(SEARCH("диспетч",E139)),"ведущий инженер пдо",TRIM(SUBSTITUTE(SUBSTITUTE(SUBSTITUTE(SUBSTITUTE(SUBSTITUTE(SUBSTITUTE(SUBSTITUTE(SUBSTITUTE(SUBSTITUTE(SUBSTITUTE(SUBSTITUTE(LOWER(TRIM(D139)),"ё","е"),"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отк",TRIM(SUBSTITUTE(SUBSTITUTE(SUBSTITUTE(SUBSTITUTE(SUBSTITUTE(SUBSTITUTE(SUBSTITUTE(SUBSTITUTE(SUBSTITUTE(SUBSTITUTE(SUBSTITUTE(LOWER(TRIM(D139)),"ё","е")," -","-"),"- ","-")," 2 разряда","")," 3 разряда","")," 4 разряда","")," 5 разряда","")," 6 разряда","")," 1 категории","")," 2 категории","")," 3 категории","")))))</f>
        <v>столяр</v>
      </c>
      <c r="H139" s="12" t="n">
        <f aca="false">IFERROR(INDEX(Соответствие!$B$2:$B$76,MATCH(G139,Соответствие!$A$2:$A$76,0)),"?")</f>
        <v>21</v>
      </c>
      <c r="I139" s="9" t="str">
        <f aca="false">IFERROR(INDEX('Перечень должностей'!$C$2:$C$46,MATCH(H139,'Перечень должностей'!$A$2:$A$46,0)),"")</f>
        <v>п.1.49.2, п.1.49.14, п.4.3.1, п.4.3.2, п.4.4, п.5.1, п.15</v>
      </c>
      <c r="J139" s="12" t="n">
        <f aca="false">IFERROR(INDEX('Перечень должностей'!$D$2:$D$46,MATCH(H139,'Перечень должностей'!$A$2:$A$46,0)),12)</f>
        <v>12</v>
      </c>
      <c r="K139" s="17"/>
      <c r="L139" s="17"/>
      <c r="M139" s="16" t="str">
        <f aca="false">IF(K139="","",EDATE(IF(L139&lt;&gt;"",L139,K139),J139))</f>
        <v/>
      </c>
      <c r="N139" s="12" t="str">
        <f aca="false">IFERROR(INDEX('Перечень должностей'!$F$2:$F$46,MATCH(H139,'Перечень должностей'!$A$2:$A$46,0)),"")</f>
        <v>-</v>
      </c>
      <c r="O139" s="17"/>
      <c r="P139" s="16" t="str">
        <f aca="false">IF(O139="","",EDATE(O139,60))</f>
        <v/>
      </c>
      <c r="Q139" s="12" t="str">
        <f aca="false">IF(AND(K139&lt;&gt;"",F139&lt;&gt;"",K139&gt;F139),"ДА","")</f>
        <v/>
      </c>
      <c r="R139" s="9"/>
    </row>
    <row r="140" customFormat="false" ht="26.25" hidden="false" customHeight="true" outlineLevel="0" collapsed="false">
      <c r="A140" s="15" t="n">
        <v>139</v>
      </c>
      <c r="B140" s="12" t="s">
        <v>50</v>
      </c>
      <c r="C140" s="15" t="s">
        <v>119</v>
      </c>
      <c r="D140" s="15" t="s">
        <v>53</v>
      </c>
      <c r="E140" s="15" t="s">
        <v>182</v>
      </c>
      <c r="F140" s="16" t="n">
        <v>46149</v>
      </c>
      <c r="G140" s="5" t="str">
        <f aca="false">IF(TRIM(SUBSTITUTE(SUBSTITUTE(SUBSTITUTE(SUBSTITUTE(SUBSTITUTE(SUBSTITUTE(SUBSTITUTE(SUBSTITUTE(SUBSTITUTE(SUBSTITUTE(SUBSTITUTE(LOWER(TRIM(D140)),"ё","е"),"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категории",""))="инженер",IF(AND(ISNUMBER(SEARCH("техническ",E140)),ISNUMBER(SEARCH("контрол",E140))),"инженер отк",IF(ISNUMBER(SEARCH("диспетч",E140)),"инженер пдо",TRIM(SUBSTITUTE(SUBSTITUTE(SUBSTITUTE(SUBSTITUTE(SUBSTITUTE(SUBSTITUTE(SUBSTITUTE(SUBSTITUTE(SUBSTITUTE(SUBSTITUTE(SUBSTITUTE(LOWER(TRIM(D140)),"ё","е"),"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инженер",IF(ISNUMBER(SEARCH("диспетч",E140)),"ведущий инженер пдо",TRIM(SUBSTITUTE(SUBSTITUTE(SUBSTITUTE(SUBSTITUTE(SUBSTITUTE(SUBSTITUTE(SUBSTITUTE(SUBSTITUTE(SUBSTITUTE(SUBSTITUTE(SUBSTITUTE(LOWER(TRIM(D140)),"ё","е"),"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отк",TRIM(SUBSTITUTE(SUBSTITUTE(SUBSTITUTE(SUBSTITUTE(SUBSTITUTE(SUBSTITUTE(SUBSTITUTE(SUBSTITUTE(SUBSTITUTE(SUBSTITUTE(SUBSTITUTE(LOWER(TRIM(D140)),"ё","е"),"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40" s="12" t="n">
        <f aca="false">IFERROR(INDEX(Соответствие!$B$2:$B$76,MATCH(G140,Соответствие!$A$2:$A$76,0)),"?")</f>
        <v>21</v>
      </c>
      <c r="I140" s="9" t="str">
        <f aca="false">IFERROR(INDEX('Перечень должностей'!$C$2:$C$46,MATCH(H140,'Перечень должностей'!$A$2:$A$46,0)),"")</f>
        <v>п.1.49.2, п.1.49.14, п.4.3.1, п.4.3.2, п.4.4, п.5.1, п.15</v>
      </c>
      <c r="J140" s="12" t="n">
        <f aca="false">IFERROR(INDEX('Перечень должностей'!$D$2:$D$46,MATCH(H140,'Перечень должностей'!$A$2:$A$46,0)),12)</f>
        <v>12</v>
      </c>
      <c r="K140" s="17"/>
      <c r="L140" s="17"/>
      <c r="M140" s="16" t="str">
        <f aca="false">IF(K140="","",EDATE(IF(L140&lt;&gt;"",L140,K140),J140))</f>
        <v/>
      </c>
      <c r="N140" s="12" t="str">
        <f aca="false">IFERROR(INDEX('Перечень должностей'!$F$2:$F$46,MATCH(H140,'Перечень должностей'!$A$2:$A$46,0)),"")</f>
        <v>-</v>
      </c>
      <c r="O140" s="17"/>
      <c r="P140" s="16" t="str">
        <f aca="false">IF(O140="","",EDATE(O140,60))</f>
        <v/>
      </c>
      <c r="Q140" s="12" t="str">
        <f aca="false">IF(AND(K140&lt;&gt;"",F140&lt;&gt;"",K140&gt;F140),"ДА","")</f>
        <v/>
      </c>
      <c r="R140" s="18" t="s">
        <v>118</v>
      </c>
    </row>
    <row r="141" customFormat="false" ht="26.25" hidden="false" customHeight="true" outlineLevel="0" collapsed="false">
      <c r="A141" s="15" t="n">
        <v>140</v>
      </c>
      <c r="B141" s="12" t="s">
        <v>50</v>
      </c>
      <c r="C141" s="15" t="s">
        <v>597</v>
      </c>
      <c r="D141" s="15" t="s">
        <v>64</v>
      </c>
      <c r="E141" s="15" t="s">
        <v>49</v>
      </c>
      <c r="F141" s="16" t="n">
        <v>43678</v>
      </c>
      <c r="G141" s="5" t="str">
        <f aca="false">IF(TRIM(SUBSTITUTE(SUBSTITUTE(SUBSTITUTE(SUBSTITUTE(SUBSTITUTE(SUBSTITUTE(SUBSTITUTE(SUBSTITUTE(SUBSTITUTE(SUBSTITUTE(SUBSTITUTE(LOWER(TRIM(D141)),"ё","е"),"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категории",""))="инженер",IF(AND(ISNUMBER(SEARCH("техническ",E141)),ISNUMBER(SEARCH("контрол",E141))),"инженер отк",IF(ISNUMBER(SEARCH("диспетч",E141)),"инженер пдо",TRIM(SUBSTITUTE(SUBSTITUTE(SUBSTITUTE(SUBSTITUTE(SUBSTITUTE(SUBSTITUTE(SUBSTITUTE(SUBSTITUTE(SUBSTITUTE(SUBSTITUTE(SUBSTITUTE(LOWER(TRIM(D141)),"ё","е"),"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инженер",IF(ISNUMBER(SEARCH("диспетч",E141)),"ведущий инженер пдо",TRIM(SUBSTITUTE(SUBSTITUTE(SUBSTITUTE(SUBSTITUTE(SUBSTITUTE(SUBSTITUTE(SUBSTITUTE(SUBSTITUTE(SUBSTITUTE(SUBSTITUTE(SUBSTITUTE(LOWER(TRIM(D141)),"ё","е"),"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отк",TRIM(SUBSTITUTE(SUBSTITUTE(SUBSTITUTE(SUBSTITUTE(SUBSTITUTE(SUBSTITUTE(SUBSTITUTE(SUBSTITUTE(SUBSTITUTE(SUBSTITUTE(SUBSTITUTE(LOWER(TRIM(D141)),"ё","е"),"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станков с чпу</v>
      </c>
      <c r="H141" s="12" t="n">
        <f aca="false">IFERROR(INDEX(Соответствие!$B$2:$B$76,MATCH(G141,Соответствие!$A$2:$A$76,0)),"?")</f>
        <v>30</v>
      </c>
      <c r="I141" s="9" t="str">
        <f aca="false">IFERROR(INDEX('Перечень должностей'!$C$2:$C$46,MATCH(H141,'Перечень должностей'!$A$2:$A$46,0)),"")</f>
        <v>п.4.3.1, п.4.3.2, п.4.4, п.5.1, п.5.2, п.15</v>
      </c>
      <c r="J141" s="12" t="n">
        <f aca="false">IFERROR(INDEX('Перечень должностей'!$D$2:$D$46,MATCH(H141,'Перечень должностей'!$A$2:$A$46,0)),12)</f>
        <v>12</v>
      </c>
      <c r="K141" s="17"/>
      <c r="L141" s="17"/>
      <c r="M141" s="16" t="str">
        <f aca="false">IF(K141="","",EDATE(IF(L141&lt;&gt;"",L141,K141),J141))</f>
        <v/>
      </c>
      <c r="N141" s="12" t="str">
        <f aca="false">IFERROR(INDEX('Перечень должностей'!$F$2:$F$46,MATCH(H141,'Перечень должностей'!$A$2:$A$46,0)),"")</f>
        <v>-</v>
      </c>
      <c r="O141" s="17"/>
      <c r="P141" s="16" t="str">
        <f aca="false">IF(O141="","",EDATE(O141,60))</f>
        <v/>
      </c>
      <c r="Q141" s="12" t="str">
        <f aca="false">IF(AND(K141&lt;&gt;"",F141&lt;&gt;"",K141&gt;F141),"ДА","")</f>
        <v/>
      </c>
      <c r="R141" s="9" t="s">
        <v>598</v>
      </c>
    </row>
    <row r="142" customFormat="false" ht="26.25" hidden="false" customHeight="true" outlineLevel="0" collapsed="false">
      <c r="A142" s="15" t="n">
        <v>141</v>
      </c>
      <c r="B142" s="12" t="s">
        <v>50</v>
      </c>
      <c r="C142" s="15" t="s">
        <v>599</v>
      </c>
      <c r="D142" s="15" t="s">
        <v>60</v>
      </c>
      <c r="E142" s="15" t="s">
        <v>182</v>
      </c>
      <c r="F142" s="16" t="n">
        <v>45768</v>
      </c>
      <c r="G142" s="5" t="str">
        <f aca="false">IF(TRIM(SUBSTITUTE(SUBSTITUTE(SUBSTITUTE(SUBSTITUTE(SUBSTITUTE(SUBSTITUTE(SUBSTITUTE(SUBSTITUTE(SUBSTITUTE(SUBSTITUTE(SUBSTITUTE(LOWER(TRIM(D142)),"ё","е"),"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категории",""))="инженер",IF(AND(ISNUMBER(SEARCH("техническ",E142)),ISNUMBER(SEARCH("контрол",E142))),"инженер отк",IF(ISNUMBER(SEARCH("диспетч",E142)),"инженер пдо",TRIM(SUBSTITUTE(SUBSTITUTE(SUBSTITUTE(SUBSTITUTE(SUBSTITUTE(SUBSTITUTE(SUBSTITUTE(SUBSTITUTE(SUBSTITUTE(SUBSTITUTE(SUBSTITUTE(LOWER(TRIM(D142)),"ё","е"),"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инженер",IF(ISNUMBER(SEARCH("диспетч",E142)),"ведущий инженер пдо",TRIM(SUBSTITUTE(SUBSTITUTE(SUBSTITUTE(SUBSTITUTE(SUBSTITUTE(SUBSTITUTE(SUBSTITUTE(SUBSTITUTE(SUBSTITUTE(SUBSTITUTE(SUBSTITUTE(LOWER(TRIM(D142)),"ё","е"),"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отк",TRIM(SUBSTITUTE(SUBSTITUTE(SUBSTITUTE(SUBSTITUTE(SUBSTITUTE(SUBSTITUTE(SUBSTITUTE(SUBSTITUTE(SUBSTITUTE(SUBSTITUTE(SUBSTITUTE(LOWER(TRIM(D142)),"ё","е")," -","-"),"- ","-")," 2 разряда","")," 3 разряда","")," 4 разряда","")," 5 разряда","")," 6 разряда","")," 1 категории","")," 2 категории","")," 3 категории","")))))</f>
        <v>мастер участка</v>
      </c>
      <c r="H142" s="12" t="n">
        <f aca="false">IFERROR(INDEX(Соответствие!$B$2:$B$76,MATCH(G142,Соответствие!$A$2:$A$76,0)),"?")</f>
        <v>18</v>
      </c>
      <c r="I142" s="9" t="str">
        <f aca="false">IFERROR(INDEX('Перечень должностей'!$C$2:$C$46,MATCH(H142,'Перечень должностей'!$A$2:$A$46,0)),"")</f>
        <v>п.4.4, п.5.1, п.5.2</v>
      </c>
      <c r="J142" s="12" t="n">
        <f aca="false">IFERROR(INDEX('Перечень должностей'!$D$2:$D$46,MATCH(H142,'Перечень должностей'!$A$2:$A$46,0)),12)</f>
        <v>12</v>
      </c>
      <c r="K142" s="17"/>
      <c r="L142" s="17"/>
      <c r="M142" s="16" t="str">
        <f aca="false">IF(K142="","",EDATE(IF(L142&lt;&gt;"",L142,K142),J142))</f>
        <v/>
      </c>
      <c r="N142" s="12" t="str">
        <f aca="false">IFERROR(INDEX('Перечень должностей'!$F$2:$F$46,MATCH(H142,'Перечень должностей'!$A$2:$A$46,0)),"")</f>
        <v>-</v>
      </c>
      <c r="O142" s="17"/>
      <c r="P142" s="16" t="str">
        <f aca="false">IF(O142="","",EDATE(O142,60))</f>
        <v/>
      </c>
      <c r="Q142" s="12" t="str">
        <f aca="false">IF(AND(K142&lt;&gt;"",F142&lt;&gt;"",K142&gt;F142),"ДА","")</f>
        <v/>
      </c>
      <c r="R142" s="9"/>
    </row>
    <row r="143" customFormat="false" ht="26.25" hidden="false" customHeight="true" outlineLevel="0" collapsed="false">
      <c r="A143" s="15" t="n">
        <v>142</v>
      </c>
      <c r="B143" s="12" t="s">
        <v>50</v>
      </c>
      <c r="C143" s="15" t="s">
        <v>600</v>
      </c>
      <c r="D143" s="15" t="s">
        <v>60</v>
      </c>
      <c r="E143" s="15" t="s">
        <v>182</v>
      </c>
      <c r="F143" s="16" t="n">
        <v>39359</v>
      </c>
      <c r="G143" s="5" t="str">
        <f aca="false">IF(TRIM(SUBSTITUTE(SUBSTITUTE(SUBSTITUTE(SUBSTITUTE(SUBSTITUTE(SUBSTITUTE(SUBSTITUTE(SUBSTITUTE(SUBSTITUTE(SUBSTITUTE(SUBSTITUTE(LOWER(TRIM(D143)),"ё","е"),"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категории",""))="инженер",IF(AND(ISNUMBER(SEARCH("техническ",E143)),ISNUMBER(SEARCH("контрол",E143))),"инженер отк",IF(ISNUMBER(SEARCH("диспетч",E143)),"инженер пдо",TRIM(SUBSTITUTE(SUBSTITUTE(SUBSTITUTE(SUBSTITUTE(SUBSTITUTE(SUBSTITUTE(SUBSTITUTE(SUBSTITUTE(SUBSTITUTE(SUBSTITUTE(SUBSTITUTE(LOWER(TRIM(D143)),"ё","е"),"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инженер",IF(ISNUMBER(SEARCH("диспетч",E143)),"ведущий инженер пдо",TRIM(SUBSTITUTE(SUBSTITUTE(SUBSTITUTE(SUBSTITUTE(SUBSTITUTE(SUBSTITUTE(SUBSTITUTE(SUBSTITUTE(SUBSTITUTE(SUBSTITUTE(SUBSTITUTE(LOWER(TRIM(D143)),"ё","е"),"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отк",TRIM(SUBSTITUTE(SUBSTITUTE(SUBSTITUTE(SUBSTITUTE(SUBSTITUTE(SUBSTITUTE(SUBSTITUTE(SUBSTITUTE(SUBSTITUTE(SUBSTITUTE(SUBSTITUTE(LOWER(TRIM(D143)),"ё","е")," -","-"),"- ","-")," 2 разряда","")," 3 разряда","")," 4 разряда","")," 5 разряда","")," 6 разряда","")," 1 категории","")," 2 категории","")," 3 категории","")))))</f>
        <v>мастер участка</v>
      </c>
      <c r="H143" s="12" t="n">
        <f aca="false">IFERROR(INDEX(Соответствие!$B$2:$B$76,MATCH(G143,Соответствие!$A$2:$A$76,0)),"?")</f>
        <v>18</v>
      </c>
      <c r="I143" s="9" t="str">
        <f aca="false">IFERROR(INDEX('Перечень должностей'!$C$2:$C$46,MATCH(H143,'Перечень должностей'!$A$2:$A$46,0)),"")</f>
        <v>п.4.4, п.5.1, п.5.2</v>
      </c>
      <c r="J143" s="12" t="n">
        <f aca="false">IFERROR(INDEX('Перечень должностей'!$D$2:$D$46,MATCH(H143,'Перечень должностей'!$A$2:$A$46,0)),12)</f>
        <v>12</v>
      </c>
      <c r="K143" s="17"/>
      <c r="L143" s="17"/>
      <c r="M143" s="16" t="str">
        <f aca="false">IF(K143="","",EDATE(IF(L143&lt;&gt;"",L143,K143),J143))</f>
        <v/>
      </c>
      <c r="N143" s="12" t="str">
        <f aca="false">IFERROR(INDEX('Перечень должностей'!$F$2:$F$46,MATCH(H143,'Перечень должностей'!$A$2:$A$46,0)),"")</f>
        <v>-</v>
      </c>
      <c r="O143" s="17"/>
      <c r="P143" s="16" t="str">
        <f aca="false">IF(O143="","",EDATE(O143,60))</f>
        <v/>
      </c>
      <c r="Q143" s="12" t="str">
        <f aca="false">IF(AND(K143&lt;&gt;"",F143&lt;&gt;"",K143&gt;F143),"ДА","")</f>
        <v/>
      </c>
      <c r="R143" s="9"/>
    </row>
    <row r="144" customFormat="false" ht="34.5" hidden="false" customHeight="true" outlineLevel="0" collapsed="false">
      <c r="A144" s="15" t="n">
        <v>143</v>
      </c>
      <c r="B144" s="12" t="s">
        <v>50</v>
      </c>
      <c r="C144" s="15" t="s">
        <v>601</v>
      </c>
      <c r="D144" s="15" t="s">
        <v>602</v>
      </c>
      <c r="E144" s="15" t="s">
        <v>49</v>
      </c>
      <c r="F144" s="16" t="n">
        <v>40148</v>
      </c>
      <c r="G144" s="5" t="str">
        <f aca="false">IF(TRIM(SUBSTITUTE(SUBSTITUTE(SUBSTITUTE(SUBSTITUTE(SUBSTITUTE(SUBSTITUTE(SUBSTITUTE(SUBSTITUTE(SUBSTITUTE(SUBSTITUTE(SUBSTITUTE(LOWER(TRIM(D144)),"ё","е"),"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категории",""))="инженер",IF(AND(ISNUMBER(SEARCH("техническ",E144)),ISNUMBER(SEARCH("контрол",E144))),"инженер отк",IF(ISNUMBER(SEARCH("диспетч",E144)),"инженер пдо",TRIM(SUBSTITUTE(SUBSTITUTE(SUBSTITUTE(SUBSTITUTE(SUBSTITUTE(SUBSTITUTE(SUBSTITUTE(SUBSTITUTE(SUBSTITUTE(SUBSTITUTE(SUBSTITUTE(LOWER(TRIM(D144)),"ё","е"),"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инженер",IF(ISNUMBER(SEARCH("диспетч",E144)),"ведущий инженер пдо",TRIM(SUBSTITUTE(SUBSTITUTE(SUBSTITUTE(SUBSTITUTE(SUBSTITUTE(SUBSTITUTE(SUBSTITUTE(SUBSTITUTE(SUBSTITUTE(SUBSTITUTE(SUBSTITUTE(LOWER(TRIM(D144)),"ё","е"),"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отк",TRIM(SUBSTITUTE(SUBSTITUTE(SUBSTITUTE(SUBSTITUTE(SUBSTITUTE(SUBSTITUTE(SUBSTITUTE(SUBSTITUTE(SUBSTITUTE(SUBSTITUTE(SUBSTITUTE(LOWER(TRIM(D144)),"ё","е"),"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станков с чпу</v>
      </c>
      <c r="H144" s="12" t="n">
        <f aca="false">IFERROR(INDEX(Соответствие!$B$2:$B$76,MATCH(G144,Соответствие!$A$2:$A$76,0)),"?")</f>
        <v>30</v>
      </c>
      <c r="I144" s="9" t="str">
        <f aca="false">IFERROR(INDEX('Перечень должностей'!$C$2:$C$46,MATCH(H144,'Перечень должностей'!$A$2:$A$46,0)),"")</f>
        <v>п.4.3.1, п.4.3.2, п.4.4, п.5.1, п.5.2, п.15</v>
      </c>
      <c r="J144" s="12" t="n">
        <f aca="false">IFERROR(INDEX('Перечень должностей'!$D$2:$D$46,MATCH(H144,'Перечень должностей'!$A$2:$A$46,0)),12)</f>
        <v>12</v>
      </c>
      <c r="K144" s="17"/>
      <c r="L144" s="17"/>
      <c r="M144" s="16" t="str">
        <f aca="false">IF(K144="","",EDATE(IF(L144&lt;&gt;"",L144,K144),J144))</f>
        <v/>
      </c>
      <c r="N144" s="12" t="str">
        <f aca="false">IFERROR(INDEX('Перечень должностей'!$F$2:$F$46,MATCH(H144,'Перечень должностей'!$A$2:$A$46,0)),"")</f>
        <v>-</v>
      </c>
      <c r="O144" s="17"/>
      <c r="P144" s="16" t="str">
        <f aca="false">IF(O144="","",EDATE(O144,60))</f>
        <v/>
      </c>
      <c r="Q144" s="12" t="str">
        <f aca="false">IF(AND(K144&lt;&gt;"",F144&lt;&gt;"",K144&gt;F144),"ДА","")</f>
        <v/>
      </c>
      <c r="R144" s="9" t="s">
        <v>603</v>
      </c>
    </row>
    <row r="145" customFormat="false" ht="45.75" hidden="false" customHeight="true" outlineLevel="0" collapsed="false">
      <c r="A145" s="15" t="n">
        <v>144</v>
      </c>
      <c r="B145" s="12" t="s">
        <v>50</v>
      </c>
      <c r="C145" s="15" t="s">
        <v>120</v>
      </c>
      <c r="D145" s="15" t="s">
        <v>604</v>
      </c>
      <c r="E145" s="15" t="s">
        <v>49</v>
      </c>
      <c r="F145" s="16" t="n">
        <v>44655</v>
      </c>
      <c r="G145" s="5" t="str">
        <f aca="false">IF(TRIM(SUBSTITUTE(SUBSTITUTE(SUBSTITUTE(SUBSTITUTE(SUBSTITUTE(SUBSTITUTE(SUBSTITUTE(SUBSTITUTE(SUBSTITUTE(SUBSTITUTE(SUBSTITUTE(LOWER(TRIM(D145)),"ё","е"),"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категории",""))="инженер",IF(AND(ISNUMBER(SEARCH("техническ",E145)),ISNUMBER(SEARCH("контрол",E145))),"инженер отк",IF(ISNUMBER(SEARCH("диспетч",E145)),"инженер пдо",TRIM(SUBSTITUTE(SUBSTITUTE(SUBSTITUTE(SUBSTITUTE(SUBSTITUTE(SUBSTITUTE(SUBSTITUTE(SUBSTITUTE(SUBSTITUTE(SUBSTITUTE(SUBSTITUTE(LOWER(TRIM(D145)),"ё","е"),"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инженер",IF(ISNUMBER(SEARCH("диспетч",E145)),"ведущий инженер пдо",TRIM(SUBSTITUTE(SUBSTITUTE(SUBSTITUTE(SUBSTITUTE(SUBSTITUTE(SUBSTITUTE(SUBSTITUTE(SUBSTITUTE(SUBSTITUTE(SUBSTITUTE(SUBSTITUTE(LOWER(TRIM(D145)),"ё","е"),"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отк",TRIM(SUBSTITUTE(SUBSTITUTE(SUBSTITUTE(SUBSTITUTE(SUBSTITUTE(SUBSTITUTE(SUBSTITUTE(SUBSTITUTE(SUBSTITUTE(SUBSTITUTE(SUBSTITUTE(LOWER(TRIM(D145)),"ё","е"),"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45" s="12" t="n">
        <f aca="false">IFERROR(INDEX(Соответствие!$B$2:$B$76,MATCH(G145,Соответствие!$A$2:$A$76,0)),"?")</f>
        <v>21</v>
      </c>
      <c r="I145" s="9" t="str">
        <f aca="false">IFERROR(INDEX('Перечень должностей'!$C$2:$C$46,MATCH(H145,'Перечень должностей'!$A$2:$A$46,0)),"")</f>
        <v>п.1.49.2, п.1.49.14, п.4.3.1, п.4.3.2, п.4.4, п.5.1, п.15</v>
      </c>
      <c r="J145" s="12" t="n">
        <f aca="false">IFERROR(INDEX('Перечень должностей'!$D$2:$D$46,MATCH(H145,'Перечень должностей'!$A$2:$A$46,0)),12)</f>
        <v>12</v>
      </c>
      <c r="K145" s="17"/>
      <c r="L145" s="17"/>
      <c r="M145" s="16" t="str">
        <f aca="false">IF(K145="","",EDATE(IF(L145&lt;&gt;"",L145,K145),J145))</f>
        <v/>
      </c>
      <c r="N145" s="12" t="str">
        <f aca="false">IFERROR(INDEX('Перечень должностей'!$F$2:$F$46,MATCH(H145,'Перечень должностей'!$A$2:$A$46,0)),"")</f>
        <v>-</v>
      </c>
      <c r="O145" s="17"/>
      <c r="P145" s="16" t="str">
        <f aca="false">IF(O145="","",EDATE(O145,60))</f>
        <v/>
      </c>
      <c r="Q145" s="12" t="str">
        <f aca="false">IF(AND(K145&lt;&gt;"",F145&lt;&gt;"",K145&gt;F145),"ДА","")</f>
        <v/>
      </c>
      <c r="R145" s="18" t="s">
        <v>121</v>
      </c>
    </row>
    <row r="146" customFormat="false" ht="26.25" hidden="false" customHeight="true" outlineLevel="0" collapsed="false">
      <c r="A146" s="15" t="n">
        <v>145</v>
      </c>
      <c r="B146" s="12" t="s">
        <v>50</v>
      </c>
      <c r="C146" s="15" t="s">
        <v>122</v>
      </c>
      <c r="D146" s="15" t="s">
        <v>604</v>
      </c>
      <c r="E146" s="15" t="s">
        <v>182</v>
      </c>
      <c r="F146" s="16" t="n">
        <v>42494</v>
      </c>
      <c r="G146" s="5" t="str">
        <f aca="false">IF(TRIM(SUBSTITUTE(SUBSTITUTE(SUBSTITUTE(SUBSTITUTE(SUBSTITUTE(SUBSTITUTE(SUBSTITUTE(SUBSTITUTE(SUBSTITUTE(SUBSTITUTE(SUBSTITUTE(LOWER(TRIM(D146)),"ё","е"),"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категории",""))="инженер",IF(AND(ISNUMBER(SEARCH("техническ",E146)),ISNUMBER(SEARCH("контрол",E146))),"инженер отк",IF(ISNUMBER(SEARCH("диспетч",E146)),"инженер пдо",TRIM(SUBSTITUTE(SUBSTITUTE(SUBSTITUTE(SUBSTITUTE(SUBSTITUTE(SUBSTITUTE(SUBSTITUTE(SUBSTITUTE(SUBSTITUTE(SUBSTITUTE(SUBSTITUTE(LOWER(TRIM(D146)),"ё","е"),"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инженер",IF(ISNUMBER(SEARCH("диспетч",E146)),"ведущий инженер пдо",TRIM(SUBSTITUTE(SUBSTITUTE(SUBSTITUTE(SUBSTITUTE(SUBSTITUTE(SUBSTITUTE(SUBSTITUTE(SUBSTITUTE(SUBSTITUTE(SUBSTITUTE(SUBSTITUTE(LOWER(TRIM(D146)),"ё","е"),"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отк",TRIM(SUBSTITUTE(SUBSTITUTE(SUBSTITUTE(SUBSTITUTE(SUBSTITUTE(SUBSTITUTE(SUBSTITUTE(SUBSTITUTE(SUBSTITUTE(SUBSTITUTE(SUBSTITUTE(LOWER(TRIM(D146)),"ё","е"),"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46" s="12" t="n">
        <f aca="false">IFERROR(INDEX(Соответствие!$B$2:$B$76,MATCH(G146,Соответствие!$A$2:$A$76,0)),"?")</f>
        <v>21</v>
      </c>
      <c r="I146" s="9" t="str">
        <f aca="false">IFERROR(INDEX('Перечень должностей'!$C$2:$C$46,MATCH(H146,'Перечень должностей'!$A$2:$A$46,0)),"")</f>
        <v>п.1.49.2, п.1.49.14, п.4.3.1, п.4.3.2, п.4.4, п.5.1, п.15</v>
      </c>
      <c r="J146" s="12" t="n">
        <f aca="false">IFERROR(INDEX('Перечень должностей'!$D$2:$D$46,MATCH(H146,'Перечень должностей'!$A$2:$A$46,0)),12)</f>
        <v>12</v>
      </c>
      <c r="K146" s="17"/>
      <c r="L146" s="17"/>
      <c r="M146" s="16" t="str">
        <f aca="false">IF(K146="","",EDATE(IF(L146&lt;&gt;"",L146,K146),J146))</f>
        <v/>
      </c>
      <c r="N146" s="12" t="str">
        <f aca="false">IFERROR(INDEX('Перечень должностей'!$F$2:$F$46,MATCH(H146,'Перечень должностей'!$A$2:$A$46,0)),"")</f>
        <v>-</v>
      </c>
      <c r="O146" s="17"/>
      <c r="P146" s="16" t="str">
        <f aca="false">IF(O146="","",EDATE(O146,60))</f>
        <v/>
      </c>
      <c r="Q146" s="12" t="str">
        <f aca="false">IF(AND(K146&lt;&gt;"",F146&lt;&gt;"",K146&gt;F146),"ДА","")</f>
        <v/>
      </c>
      <c r="R146" s="18" t="s">
        <v>121</v>
      </c>
    </row>
    <row r="147" customFormat="false" ht="26.25" hidden="false" customHeight="true" outlineLevel="0" collapsed="false">
      <c r="A147" s="15" t="n">
        <v>146</v>
      </c>
      <c r="B147" s="12" t="s">
        <v>50</v>
      </c>
      <c r="C147" s="15" t="s">
        <v>123</v>
      </c>
      <c r="D147" s="15" t="s">
        <v>604</v>
      </c>
      <c r="E147" s="15" t="s">
        <v>49</v>
      </c>
      <c r="F147" s="16" t="n">
        <v>38363</v>
      </c>
      <c r="G147" s="5" t="str">
        <f aca="false">IF(TRIM(SUBSTITUTE(SUBSTITUTE(SUBSTITUTE(SUBSTITUTE(SUBSTITUTE(SUBSTITUTE(SUBSTITUTE(SUBSTITUTE(SUBSTITUTE(SUBSTITUTE(SUBSTITUTE(LOWER(TRIM(D147)),"ё","е"),"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категории",""))="инженер",IF(AND(ISNUMBER(SEARCH("техническ",E147)),ISNUMBER(SEARCH("контрол",E147))),"инженер отк",IF(ISNUMBER(SEARCH("диспетч",E147)),"инженер пдо",TRIM(SUBSTITUTE(SUBSTITUTE(SUBSTITUTE(SUBSTITUTE(SUBSTITUTE(SUBSTITUTE(SUBSTITUTE(SUBSTITUTE(SUBSTITUTE(SUBSTITUTE(SUBSTITUTE(LOWER(TRIM(D147)),"ё","е"),"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инженер",IF(ISNUMBER(SEARCH("диспетч",E147)),"ведущий инженер пдо",TRIM(SUBSTITUTE(SUBSTITUTE(SUBSTITUTE(SUBSTITUTE(SUBSTITUTE(SUBSTITUTE(SUBSTITUTE(SUBSTITUTE(SUBSTITUTE(SUBSTITUTE(SUBSTITUTE(LOWER(TRIM(D147)),"ё","е"),"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отк",TRIM(SUBSTITUTE(SUBSTITUTE(SUBSTITUTE(SUBSTITUTE(SUBSTITUTE(SUBSTITUTE(SUBSTITUTE(SUBSTITUTE(SUBSTITUTE(SUBSTITUTE(SUBSTITUTE(LOWER(TRIM(D147)),"ё","е"),"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47" s="12" t="n">
        <f aca="false">IFERROR(INDEX(Соответствие!$B$2:$B$76,MATCH(G147,Соответствие!$A$2:$A$76,0)),"?")</f>
        <v>21</v>
      </c>
      <c r="I147" s="9" t="str">
        <f aca="false">IFERROR(INDEX('Перечень должностей'!$C$2:$C$46,MATCH(H147,'Перечень должностей'!$A$2:$A$46,0)),"")</f>
        <v>п.1.49.2, п.1.49.14, п.4.3.1, п.4.3.2, п.4.4, п.5.1, п.15</v>
      </c>
      <c r="J147" s="12" t="n">
        <f aca="false">IFERROR(INDEX('Перечень должностей'!$D$2:$D$46,MATCH(H147,'Перечень должностей'!$A$2:$A$46,0)),12)</f>
        <v>12</v>
      </c>
      <c r="K147" s="17"/>
      <c r="L147" s="17"/>
      <c r="M147" s="16" t="str">
        <f aca="false">IF(K147="","",EDATE(IF(L147&lt;&gt;"",L147,K147),J147))</f>
        <v/>
      </c>
      <c r="N147" s="12" t="str">
        <f aca="false">IFERROR(INDEX('Перечень должностей'!$F$2:$F$46,MATCH(H147,'Перечень должностей'!$A$2:$A$46,0)),"")</f>
        <v>-</v>
      </c>
      <c r="O147" s="17"/>
      <c r="P147" s="16" t="str">
        <f aca="false">IF(O147="","",EDATE(O147,60))</f>
        <v/>
      </c>
      <c r="Q147" s="12" t="str">
        <f aca="false">IF(AND(K147&lt;&gt;"",F147&lt;&gt;"",K147&gt;F147),"ДА","")</f>
        <v/>
      </c>
      <c r="R147" s="18" t="s">
        <v>121</v>
      </c>
    </row>
    <row r="148" customFormat="false" ht="26.25" hidden="false" customHeight="true" outlineLevel="0" collapsed="false">
      <c r="A148" s="15" t="n">
        <v>147</v>
      </c>
      <c r="B148" s="12" t="s">
        <v>50</v>
      </c>
      <c r="C148" s="15" t="s">
        <v>124</v>
      </c>
      <c r="D148" s="15" t="s">
        <v>604</v>
      </c>
      <c r="E148" s="15" t="s">
        <v>182</v>
      </c>
      <c r="F148" s="16" t="n">
        <v>45159</v>
      </c>
      <c r="G148" s="5" t="str">
        <f aca="false">IF(TRIM(SUBSTITUTE(SUBSTITUTE(SUBSTITUTE(SUBSTITUTE(SUBSTITUTE(SUBSTITUTE(SUBSTITUTE(SUBSTITUTE(SUBSTITUTE(SUBSTITUTE(SUBSTITUTE(LOWER(TRIM(D148)),"ё","е"),"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категории",""))="инженер",IF(AND(ISNUMBER(SEARCH("техническ",E148)),ISNUMBER(SEARCH("контрол",E148))),"инженер отк",IF(ISNUMBER(SEARCH("диспетч",E148)),"инженер пдо",TRIM(SUBSTITUTE(SUBSTITUTE(SUBSTITUTE(SUBSTITUTE(SUBSTITUTE(SUBSTITUTE(SUBSTITUTE(SUBSTITUTE(SUBSTITUTE(SUBSTITUTE(SUBSTITUTE(LOWER(TRIM(D148)),"ё","е"),"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инженер",IF(ISNUMBER(SEARCH("диспетч",E148)),"ведущий инженер пдо",TRIM(SUBSTITUTE(SUBSTITUTE(SUBSTITUTE(SUBSTITUTE(SUBSTITUTE(SUBSTITUTE(SUBSTITUTE(SUBSTITUTE(SUBSTITUTE(SUBSTITUTE(SUBSTITUTE(LOWER(TRIM(D148)),"ё","е"),"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отк",TRIM(SUBSTITUTE(SUBSTITUTE(SUBSTITUTE(SUBSTITUTE(SUBSTITUTE(SUBSTITUTE(SUBSTITUTE(SUBSTITUTE(SUBSTITUTE(SUBSTITUTE(SUBSTITUTE(LOWER(TRIM(D148)),"ё","е"),"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48" s="12" t="n">
        <f aca="false">IFERROR(INDEX(Соответствие!$B$2:$B$76,MATCH(G148,Соответствие!$A$2:$A$76,0)),"?")</f>
        <v>21</v>
      </c>
      <c r="I148" s="9" t="str">
        <f aca="false">IFERROR(INDEX('Перечень должностей'!$C$2:$C$46,MATCH(H148,'Перечень должностей'!$A$2:$A$46,0)),"")</f>
        <v>п.1.49.2, п.1.49.14, п.4.3.1, п.4.3.2, п.4.4, п.5.1, п.15</v>
      </c>
      <c r="J148" s="12" t="n">
        <f aca="false">IFERROR(INDEX('Перечень должностей'!$D$2:$D$46,MATCH(H148,'Перечень должностей'!$A$2:$A$46,0)),12)</f>
        <v>12</v>
      </c>
      <c r="K148" s="17"/>
      <c r="L148" s="17"/>
      <c r="M148" s="16" t="str">
        <f aca="false">IF(K148="","",EDATE(IF(L148&lt;&gt;"",L148,K148),J148))</f>
        <v/>
      </c>
      <c r="N148" s="12" t="str">
        <f aca="false">IFERROR(INDEX('Перечень должностей'!$F$2:$F$46,MATCH(H148,'Перечень должностей'!$A$2:$A$46,0)),"")</f>
        <v>-</v>
      </c>
      <c r="O148" s="17"/>
      <c r="P148" s="16" t="str">
        <f aca="false">IF(O148="","",EDATE(O148,60))</f>
        <v/>
      </c>
      <c r="Q148" s="12" t="str">
        <f aca="false">IF(AND(K148&lt;&gt;"",F148&lt;&gt;"",K148&gt;F148),"ДА","")</f>
        <v/>
      </c>
      <c r="R148" s="18" t="s">
        <v>121</v>
      </c>
    </row>
    <row r="149" customFormat="false" ht="26.25" hidden="false" customHeight="true" outlineLevel="0" collapsed="false">
      <c r="A149" s="15" t="n">
        <v>148</v>
      </c>
      <c r="B149" s="12" t="s">
        <v>50</v>
      </c>
      <c r="C149" s="15" t="s">
        <v>125</v>
      </c>
      <c r="D149" s="15" t="s">
        <v>604</v>
      </c>
      <c r="E149" s="15" t="s">
        <v>49</v>
      </c>
      <c r="F149" s="16" t="n">
        <v>39356</v>
      </c>
      <c r="G149" s="5" t="str">
        <f aca="false">IF(TRIM(SUBSTITUTE(SUBSTITUTE(SUBSTITUTE(SUBSTITUTE(SUBSTITUTE(SUBSTITUTE(SUBSTITUTE(SUBSTITUTE(SUBSTITUTE(SUBSTITUTE(SUBSTITUTE(LOWER(TRIM(D149)),"ё","е"),"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категории",""))="инженер",IF(AND(ISNUMBER(SEARCH("техническ",E149)),ISNUMBER(SEARCH("контрол",E149))),"инженер отк",IF(ISNUMBER(SEARCH("диспетч",E149)),"инженер пдо",TRIM(SUBSTITUTE(SUBSTITUTE(SUBSTITUTE(SUBSTITUTE(SUBSTITUTE(SUBSTITUTE(SUBSTITUTE(SUBSTITUTE(SUBSTITUTE(SUBSTITUTE(SUBSTITUTE(LOWER(TRIM(D149)),"ё","е"),"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инженер",IF(ISNUMBER(SEARCH("диспетч",E149)),"ведущий инженер пдо",TRIM(SUBSTITUTE(SUBSTITUTE(SUBSTITUTE(SUBSTITUTE(SUBSTITUTE(SUBSTITUTE(SUBSTITUTE(SUBSTITUTE(SUBSTITUTE(SUBSTITUTE(SUBSTITUTE(LOWER(TRIM(D149)),"ё","е"),"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отк",TRIM(SUBSTITUTE(SUBSTITUTE(SUBSTITUTE(SUBSTITUTE(SUBSTITUTE(SUBSTITUTE(SUBSTITUTE(SUBSTITUTE(SUBSTITUTE(SUBSTITUTE(SUBSTITUTE(LOWER(TRIM(D149)),"ё","е"),"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49" s="12" t="n">
        <f aca="false">IFERROR(INDEX(Соответствие!$B$2:$B$76,MATCH(G149,Соответствие!$A$2:$A$76,0)),"?")</f>
        <v>21</v>
      </c>
      <c r="I149" s="9" t="str">
        <f aca="false">IFERROR(INDEX('Перечень должностей'!$C$2:$C$46,MATCH(H149,'Перечень должностей'!$A$2:$A$46,0)),"")</f>
        <v>п.1.49.2, п.1.49.14, п.4.3.1, п.4.3.2, п.4.4, п.5.1, п.15</v>
      </c>
      <c r="J149" s="12" t="n">
        <f aca="false">IFERROR(INDEX('Перечень должностей'!$D$2:$D$46,MATCH(H149,'Перечень должностей'!$A$2:$A$46,0)),12)</f>
        <v>12</v>
      </c>
      <c r="K149" s="17"/>
      <c r="L149" s="17"/>
      <c r="M149" s="16" t="str">
        <f aca="false">IF(K149="","",EDATE(IF(L149&lt;&gt;"",L149,K149),J149))</f>
        <v/>
      </c>
      <c r="N149" s="12" t="str">
        <f aca="false">IFERROR(INDEX('Перечень должностей'!$F$2:$F$46,MATCH(H149,'Перечень должностей'!$A$2:$A$46,0)),"")</f>
        <v>-</v>
      </c>
      <c r="O149" s="17"/>
      <c r="P149" s="16" t="str">
        <f aca="false">IF(O149="","",EDATE(O149,60))</f>
        <v/>
      </c>
      <c r="Q149" s="12" t="str">
        <f aca="false">IF(AND(K149&lt;&gt;"",F149&lt;&gt;"",K149&gt;F149),"ДА","")</f>
        <v/>
      </c>
      <c r="R149" s="18" t="s">
        <v>121</v>
      </c>
    </row>
    <row r="150" customFormat="false" ht="26.25" hidden="false" customHeight="true" outlineLevel="0" collapsed="false">
      <c r="A150" s="15" t="n">
        <v>149</v>
      </c>
      <c r="B150" s="12" t="s">
        <v>50</v>
      </c>
      <c r="C150" s="15" t="s">
        <v>126</v>
      </c>
      <c r="D150" s="15" t="s">
        <v>604</v>
      </c>
      <c r="E150" s="15" t="s">
        <v>49</v>
      </c>
      <c r="F150" s="16" t="n">
        <v>38810</v>
      </c>
      <c r="G150" s="5" t="str">
        <f aca="false">IF(TRIM(SUBSTITUTE(SUBSTITUTE(SUBSTITUTE(SUBSTITUTE(SUBSTITUTE(SUBSTITUTE(SUBSTITUTE(SUBSTITUTE(SUBSTITUTE(SUBSTITUTE(SUBSTITUTE(LOWER(TRIM(D150)),"ё","е"),"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категории",""))="инженер",IF(AND(ISNUMBER(SEARCH("техническ",E150)),ISNUMBER(SEARCH("контрол",E150))),"инженер отк",IF(ISNUMBER(SEARCH("диспетч",E150)),"инженер пдо",TRIM(SUBSTITUTE(SUBSTITUTE(SUBSTITUTE(SUBSTITUTE(SUBSTITUTE(SUBSTITUTE(SUBSTITUTE(SUBSTITUTE(SUBSTITUTE(SUBSTITUTE(SUBSTITUTE(LOWER(TRIM(D150)),"ё","е"),"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инженер",IF(ISNUMBER(SEARCH("диспетч",E150)),"ведущий инженер пдо",TRIM(SUBSTITUTE(SUBSTITUTE(SUBSTITUTE(SUBSTITUTE(SUBSTITUTE(SUBSTITUTE(SUBSTITUTE(SUBSTITUTE(SUBSTITUTE(SUBSTITUTE(SUBSTITUTE(LOWER(TRIM(D150)),"ё","е"),"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отк",TRIM(SUBSTITUTE(SUBSTITUTE(SUBSTITUTE(SUBSTITUTE(SUBSTITUTE(SUBSTITUTE(SUBSTITUTE(SUBSTITUTE(SUBSTITUTE(SUBSTITUTE(SUBSTITUTE(LOWER(TRIM(D150)),"ё","е"),"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50" s="12" t="n">
        <f aca="false">IFERROR(INDEX(Соответствие!$B$2:$B$76,MATCH(G150,Соответствие!$A$2:$A$76,0)),"?")</f>
        <v>21</v>
      </c>
      <c r="I150" s="9" t="str">
        <f aca="false">IFERROR(INDEX('Перечень должностей'!$C$2:$C$46,MATCH(H150,'Перечень должностей'!$A$2:$A$46,0)),"")</f>
        <v>п.1.49.2, п.1.49.14, п.4.3.1, п.4.3.2, п.4.4, п.5.1, п.15</v>
      </c>
      <c r="J150" s="12" t="n">
        <f aca="false">IFERROR(INDEX('Перечень должностей'!$D$2:$D$46,MATCH(H150,'Перечень должностей'!$A$2:$A$46,0)),12)</f>
        <v>12</v>
      </c>
      <c r="K150" s="17"/>
      <c r="L150" s="17"/>
      <c r="M150" s="16" t="str">
        <f aca="false">IF(K150="","",EDATE(IF(L150&lt;&gt;"",L150,K150),J150))</f>
        <v/>
      </c>
      <c r="N150" s="12" t="str">
        <f aca="false">IFERROR(INDEX('Перечень должностей'!$F$2:$F$46,MATCH(H150,'Перечень должностей'!$A$2:$A$46,0)),"")</f>
        <v>-</v>
      </c>
      <c r="O150" s="17"/>
      <c r="P150" s="16" t="str">
        <f aca="false">IF(O150="","",EDATE(O150,60))</f>
        <v/>
      </c>
      <c r="Q150" s="12" t="str">
        <f aca="false">IF(AND(K150&lt;&gt;"",F150&lt;&gt;"",K150&gt;F150),"ДА","")</f>
        <v/>
      </c>
      <c r="R150" s="18" t="s">
        <v>121</v>
      </c>
    </row>
    <row r="151" customFormat="false" ht="26.25" hidden="false" customHeight="true" outlineLevel="0" collapsed="false">
      <c r="A151" s="15" t="n">
        <v>150</v>
      </c>
      <c r="B151" s="12" t="s">
        <v>50</v>
      </c>
      <c r="C151" s="15" t="s">
        <v>127</v>
      </c>
      <c r="D151" s="15" t="s">
        <v>604</v>
      </c>
      <c r="E151" s="15" t="s">
        <v>49</v>
      </c>
      <c r="F151" s="16" t="n">
        <v>38728</v>
      </c>
      <c r="G151" s="5" t="str">
        <f aca="false">IF(TRIM(SUBSTITUTE(SUBSTITUTE(SUBSTITUTE(SUBSTITUTE(SUBSTITUTE(SUBSTITUTE(SUBSTITUTE(SUBSTITUTE(SUBSTITUTE(SUBSTITUTE(SUBSTITUTE(LOWER(TRIM(D151)),"ё","е"),"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категории",""))="инженер",IF(AND(ISNUMBER(SEARCH("техническ",E151)),ISNUMBER(SEARCH("контрол",E151))),"инженер отк",IF(ISNUMBER(SEARCH("диспетч",E151)),"инженер пдо",TRIM(SUBSTITUTE(SUBSTITUTE(SUBSTITUTE(SUBSTITUTE(SUBSTITUTE(SUBSTITUTE(SUBSTITUTE(SUBSTITUTE(SUBSTITUTE(SUBSTITUTE(SUBSTITUTE(LOWER(TRIM(D151)),"ё","е"),"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инженер",IF(ISNUMBER(SEARCH("диспетч",E151)),"ведущий инженер пдо",TRIM(SUBSTITUTE(SUBSTITUTE(SUBSTITUTE(SUBSTITUTE(SUBSTITUTE(SUBSTITUTE(SUBSTITUTE(SUBSTITUTE(SUBSTITUTE(SUBSTITUTE(SUBSTITUTE(LOWER(TRIM(D151)),"ё","е"),"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отк",TRIM(SUBSTITUTE(SUBSTITUTE(SUBSTITUTE(SUBSTITUTE(SUBSTITUTE(SUBSTITUTE(SUBSTITUTE(SUBSTITUTE(SUBSTITUTE(SUBSTITUTE(SUBSTITUTE(LOWER(TRIM(D151)),"ё","е"),"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51" s="12" t="n">
        <f aca="false">IFERROR(INDEX(Соответствие!$B$2:$B$76,MATCH(G151,Соответствие!$A$2:$A$76,0)),"?")</f>
        <v>21</v>
      </c>
      <c r="I151" s="9" t="str">
        <f aca="false">IFERROR(INDEX('Перечень должностей'!$C$2:$C$46,MATCH(H151,'Перечень должностей'!$A$2:$A$46,0)),"")</f>
        <v>п.1.49.2, п.1.49.14, п.4.3.1, п.4.3.2, п.4.4, п.5.1, п.15</v>
      </c>
      <c r="J151" s="12" t="n">
        <f aca="false">IFERROR(INDEX('Перечень должностей'!$D$2:$D$46,MATCH(H151,'Перечень должностей'!$A$2:$A$46,0)),12)</f>
        <v>12</v>
      </c>
      <c r="K151" s="17"/>
      <c r="L151" s="17"/>
      <c r="M151" s="16" t="str">
        <f aca="false">IF(K151="","",EDATE(IF(L151&lt;&gt;"",L151,K151),J151))</f>
        <v/>
      </c>
      <c r="N151" s="12" t="str">
        <f aca="false">IFERROR(INDEX('Перечень должностей'!$F$2:$F$46,MATCH(H151,'Перечень должностей'!$A$2:$A$46,0)),"")</f>
        <v>-</v>
      </c>
      <c r="O151" s="17"/>
      <c r="P151" s="16" t="str">
        <f aca="false">IF(O151="","",EDATE(O151,60))</f>
        <v/>
      </c>
      <c r="Q151" s="12" t="str">
        <f aca="false">IF(AND(K151&lt;&gt;"",F151&lt;&gt;"",K151&gt;F151),"ДА","")</f>
        <v/>
      </c>
      <c r="R151" s="18" t="s">
        <v>121</v>
      </c>
    </row>
    <row r="152" customFormat="false" ht="26.25" hidden="false" customHeight="true" outlineLevel="0" collapsed="false">
      <c r="A152" s="15" t="n">
        <v>151</v>
      </c>
      <c r="B152" s="12" t="s">
        <v>50</v>
      </c>
      <c r="C152" s="15" t="s">
        <v>128</v>
      </c>
      <c r="D152" s="15" t="s">
        <v>604</v>
      </c>
      <c r="E152" s="15" t="s">
        <v>49</v>
      </c>
      <c r="F152" s="16" t="n">
        <v>38810</v>
      </c>
      <c r="G152" s="5" t="str">
        <f aca="false">IF(TRIM(SUBSTITUTE(SUBSTITUTE(SUBSTITUTE(SUBSTITUTE(SUBSTITUTE(SUBSTITUTE(SUBSTITUTE(SUBSTITUTE(SUBSTITUTE(SUBSTITUTE(SUBSTITUTE(LOWER(TRIM(D152)),"ё","е"),"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категории",""))="инженер",IF(AND(ISNUMBER(SEARCH("техническ",E152)),ISNUMBER(SEARCH("контрол",E152))),"инженер отк",IF(ISNUMBER(SEARCH("диспетч",E152)),"инженер пдо",TRIM(SUBSTITUTE(SUBSTITUTE(SUBSTITUTE(SUBSTITUTE(SUBSTITUTE(SUBSTITUTE(SUBSTITUTE(SUBSTITUTE(SUBSTITUTE(SUBSTITUTE(SUBSTITUTE(LOWER(TRIM(D152)),"ё","е"),"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инженер",IF(ISNUMBER(SEARCH("диспетч",E152)),"ведущий инженер пдо",TRIM(SUBSTITUTE(SUBSTITUTE(SUBSTITUTE(SUBSTITUTE(SUBSTITUTE(SUBSTITUTE(SUBSTITUTE(SUBSTITUTE(SUBSTITUTE(SUBSTITUTE(SUBSTITUTE(LOWER(TRIM(D152)),"ё","е"),"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отк",TRIM(SUBSTITUTE(SUBSTITUTE(SUBSTITUTE(SUBSTITUTE(SUBSTITUTE(SUBSTITUTE(SUBSTITUTE(SUBSTITUTE(SUBSTITUTE(SUBSTITUTE(SUBSTITUTE(LOWER(TRIM(D152)),"ё","е"),"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52" s="12" t="n">
        <f aca="false">IFERROR(INDEX(Соответствие!$B$2:$B$76,MATCH(G152,Соответствие!$A$2:$A$76,0)),"?")</f>
        <v>21</v>
      </c>
      <c r="I152" s="9" t="str">
        <f aca="false">IFERROR(INDEX('Перечень должностей'!$C$2:$C$46,MATCH(H152,'Перечень должностей'!$A$2:$A$46,0)),"")</f>
        <v>п.1.49.2, п.1.49.14, п.4.3.1, п.4.3.2, п.4.4, п.5.1, п.15</v>
      </c>
      <c r="J152" s="12" t="n">
        <f aca="false">IFERROR(INDEX('Перечень должностей'!$D$2:$D$46,MATCH(H152,'Перечень должностей'!$A$2:$A$46,0)),12)</f>
        <v>12</v>
      </c>
      <c r="K152" s="17"/>
      <c r="L152" s="17"/>
      <c r="M152" s="16" t="str">
        <f aca="false">IF(K152="","",EDATE(IF(L152&lt;&gt;"",L152,K152),J152))</f>
        <v/>
      </c>
      <c r="N152" s="12" t="str">
        <f aca="false">IFERROR(INDEX('Перечень должностей'!$F$2:$F$46,MATCH(H152,'Перечень должностей'!$A$2:$A$46,0)),"")</f>
        <v>-</v>
      </c>
      <c r="O152" s="17"/>
      <c r="P152" s="16" t="str">
        <f aca="false">IF(O152="","",EDATE(O152,60))</f>
        <v/>
      </c>
      <c r="Q152" s="12" t="str">
        <f aca="false">IF(AND(K152&lt;&gt;"",F152&lt;&gt;"",K152&gt;F152),"ДА","")</f>
        <v/>
      </c>
      <c r="R152" s="18" t="s">
        <v>121</v>
      </c>
    </row>
    <row r="153" customFormat="false" ht="26.25" hidden="false" customHeight="true" outlineLevel="0" collapsed="false">
      <c r="A153" s="15" t="n">
        <v>152</v>
      </c>
      <c r="B153" s="12" t="s">
        <v>50</v>
      </c>
      <c r="C153" s="15" t="s">
        <v>129</v>
      </c>
      <c r="D153" s="15" t="s">
        <v>605</v>
      </c>
      <c r="E153" s="15" t="s">
        <v>49</v>
      </c>
      <c r="F153" s="16" t="n">
        <v>45688</v>
      </c>
      <c r="G153" s="5" t="str">
        <f aca="false">IF(TRIM(SUBSTITUTE(SUBSTITUTE(SUBSTITUTE(SUBSTITUTE(SUBSTITUTE(SUBSTITUTE(SUBSTITUTE(SUBSTITUTE(SUBSTITUTE(SUBSTITUTE(SUBSTITUTE(LOWER(TRIM(D153)),"ё","е"),"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категории",""))="инженер",IF(AND(ISNUMBER(SEARCH("техническ",E153)),ISNUMBER(SEARCH("контрол",E153))),"инженер отк",IF(ISNUMBER(SEARCH("диспетч",E153)),"инженер пдо",TRIM(SUBSTITUTE(SUBSTITUTE(SUBSTITUTE(SUBSTITUTE(SUBSTITUTE(SUBSTITUTE(SUBSTITUTE(SUBSTITUTE(SUBSTITUTE(SUBSTITUTE(SUBSTITUTE(LOWER(TRIM(D153)),"ё","е"),"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инженер",IF(ISNUMBER(SEARCH("диспетч",E153)),"ведущий инженер пдо",TRIM(SUBSTITUTE(SUBSTITUTE(SUBSTITUTE(SUBSTITUTE(SUBSTITUTE(SUBSTITUTE(SUBSTITUTE(SUBSTITUTE(SUBSTITUTE(SUBSTITUTE(SUBSTITUTE(LOWER(TRIM(D153)),"ё","е"),"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отк",TRIM(SUBSTITUTE(SUBSTITUTE(SUBSTITUTE(SUBSTITUTE(SUBSTITUTE(SUBSTITUTE(SUBSTITUTE(SUBSTITUTE(SUBSTITUTE(SUBSTITUTE(SUBSTITUTE(LOWER(TRIM(D153)),"ё","е"),"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53" s="12" t="n">
        <f aca="false">IFERROR(INDEX(Соответствие!$B$2:$B$76,MATCH(G153,Соответствие!$A$2:$A$76,0)),"?")</f>
        <v>21</v>
      </c>
      <c r="I153" s="9" t="str">
        <f aca="false">IFERROR(INDEX('Перечень должностей'!$C$2:$C$46,MATCH(H153,'Перечень должностей'!$A$2:$A$46,0)),"")</f>
        <v>п.1.49.2, п.1.49.14, п.4.3.1, п.4.3.2, п.4.4, п.5.1, п.15</v>
      </c>
      <c r="J153" s="12" t="n">
        <f aca="false">IFERROR(INDEX('Перечень должностей'!$D$2:$D$46,MATCH(H153,'Перечень должностей'!$A$2:$A$46,0)),12)</f>
        <v>12</v>
      </c>
      <c r="K153" s="17"/>
      <c r="L153" s="17"/>
      <c r="M153" s="16" t="str">
        <f aca="false">IF(K153="","",EDATE(IF(L153&lt;&gt;"",L153,K153),J153))</f>
        <v/>
      </c>
      <c r="N153" s="12" t="str">
        <f aca="false">IFERROR(INDEX('Перечень должностей'!$F$2:$F$46,MATCH(H153,'Перечень должностей'!$A$2:$A$46,0)),"")</f>
        <v>-</v>
      </c>
      <c r="O153" s="17"/>
      <c r="P153" s="16" t="str">
        <f aca="false">IF(O153="","",EDATE(O153,60))</f>
        <v/>
      </c>
      <c r="Q153" s="12" t="str">
        <f aca="false">IF(AND(K153&lt;&gt;"",F153&lt;&gt;"",K153&gt;F153),"ДА","")</f>
        <v/>
      </c>
      <c r="R153" s="18" t="s">
        <v>130</v>
      </c>
    </row>
    <row r="154" customFormat="false" ht="26.25" hidden="false" customHeight="true" outlineLevel="0" collapsed="false">
      <c r="A154" s="15" t="n">
        <v>153</v>
      </c>
      <c r="B154" s="12" t="s">
        <v>50</v>
      </c>
      <c r="C154" s="15" t="s">
        <v>131</v>
      </c>
      <c r="D154" s="15" t="s">
        <v>605</v>
      </c>
      <c r="E154" s="15" t="s">
        <v>49</v>
      </c>
      <c r="F154" s="16" t="n">
        <v>45832</v>
      </c>
      <c r="G154" s="5" t="str">
        <f aca="false">IF(TRIM(SUBSTITUTE(SUBSTITUTE(SUBSTITUTE(SUBSTITUTE(SUBSTITUTE(SUBSTITUTE(SUBSTITUTE(SUBSTITUTE(SUBSTITUTE(SUBSTITUTE(SUBSTITUTE(LOWER(TRIM(D154)),"ё","е"),"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категории",""))="инженер",IF(AND(ISNUMBER(SEARCH("техническ",E154)),ISNUMBER(SEARCH("контрол",E154))),"инженер отк",IF(ISNUMBER(SEARCH("диспетч",E154)),"инженер пдо",TRIM(SUBSTITUTE(SUBSTITUTE(SUBSTITUTE(SUBSTITUTE(SUBSTITUTE(SUBSTITUTE(SUBSTITUTE(SUBSTITUTE(SUBSTITUTE(SUBSTITUTE(SUBSTITUTE(LOWER(TRIM(D154)),"ё","е"),"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инженер",IF(ISNUMBER(SEARCH("диспетч",E154)),"ведущий инженер пдо",TRIM(SUBSTITUTE(SUBSTITUTE(SUBSTITUTE(SUBSTITUTE(SUBSTITUTE(SUBSTITUTE(SUBSTITUTE(SUBSTITUTE(SUBSTITUTE(SUBSTITUTE(SUBSTITUTE(LOWER(TRIM(D154)),"ё","е"),"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отк",TRIM(SUBSTITUTE(SUBSTITUTE(SUBSTITUTE(SUBSTITUTE(SUBSTITUTE(SUBSTITUTE(SUBSTITUTE(SUBSTITUTE(SUBSTITUTE(SUBSTITUTE(SUBSTITUTE(LOWER(TRIM(D154)),"ё","е"),"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54" s="12" t="n">
        <f aca="false">IFERROR(INDEX(Соответствие!$B$2:$B$76,MATCH(G154,Соответствие!$A$2:$A$76,0)),"?")</f>
        <v>21</v>
      </c>
      <c r="I154" s="9" t="str">
        <f aca="false">IFERROR(INDEX('Перечень должностей'!$C$2:$C$46,MATCH(H154,'Перечень должностей'!$A$2:$A$46,0)),"")</f>
        <v>п.1.49.2, п.1.49.14, п.4.3.1, п.4.3.2, п.4.4, п.5.1, п.15</v>
      </c>
      <c r="J154" s="12" t="n">
        <f aca="false">IFERROR(INDEX('Перечень должностей'!$D$2:$D$46,MATCH(H154,'Перечень должностей'!$A$2:$A$46,0)),12)</f>
        <v>12</v>
      </c>
      <c r="K154" s="17"/>
      <c r="L154" s="17"/>
      <c r="M154" s="16" t="str">
        <f aca="false">IF(K154="","",EDATE(IF(L154&lt;&gt;"",L154,K154),J154))</f>
        <v/>
      </c>
      <c r="N154" s="12" t="str">
        <f aca="false">IFERROR(INDEX('Перечень должностей'!$F$2:$F$46,MATCH(H154,'Перечень должностей'!$A$2:$A$46,0)),"")</f>
        <v>-</v>
      </c>
      <c r="O154" s="17"/>
      <c r="P154" s="16" t="str">
        <f aca="false">IF(O154="","",EDATE(O154,60))</f>
        <v/>
      </c>
      <c r="Q154" s="12" t="str">
        <f aca="false">IF(AND(K154&lt;&gt;"",F154&lt;&gt;"",K154&gt;F154),"ДА","")</f>
        <v/>
      </c>
      <c r="R154" s="18" t="s">
        <v>130</v>
      </c>
    </row>
    <row r="155" customFormat="false" ht="26.25" hidden="false" customHeight="true" outlineLevel="0" collapsed="false">
      <c r="A155" s="15" t="n">
        <v>154</v>
      </c>
      <c r="B155" s="12" t="s">
        <v>50</v>
      </c>
      <c r="C155" s="15" t="s">
        <v>132</v>
      </c>
      <c r="D155" s="15" t="s">
        <v>605</v>
      </c>
      <c r="E155" s="15" t="s">
        <v>49</v>
      </c>
      <c r="F155" s="16" t="n">
        <v>40926</v>
      </c>
      <c r="G155" s="5" t="str">
        <f aca="false">IF(TRIM(SUBSTITUTE(SUBSTITUTE(SUBSTITUTE(SUBSTITUTE(SUBSTITUTE(SUBSTITUTE(SUBSTITUTE(SUBSTITUTE(SUBSTITUTE(SUBSTITUTE(SUBSTITUTE(LOWER(TRIM(D155)),"ё","е"),"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категории",""))="инженер",IF(AND(ISNUMBER(SEARCH("техническ",E155)),ISNUMBER(SEARCH("контрол",E155))),"инженер отк",IF(ISNUMBER(SEARCH("диспетч",E155)),"инженер пдо",TRIM(SUBSTITUTE(SUBSTITUTE(SUBSTITUTE(SUBSTITUTE(SUBSTITUTE(SUBSTITUTE(SUBSTITUTE(SUBSTITUTE(SUBSTITUTE(SUBSTITUTE(SUBSTITUTE(LOWER(TRIM(D155)),"ё","е"),"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инженер",IF(ISNUMBER(SEARCH("диспетч",E155)),"ведущий инженер пдо",TRIM(SUBSTITUTE(SUBSTITUTE(SUBSTITUTE(SUBSTITUTE(SUBSTITUTE(SUBSTITUTE(SUBSTITUTE(SUBSTITUTE(SUBSTITUTE(SUBSTITUTE(SUBSTITUTE(LOWER(TRIM(D155)),"ё","е"),"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отк",TRIM(SUBSTITUTE(SUBSTITUTE(SUBSTITUTE(SUBSTITUTE(SUBSTITUTE(SUBSTITUTE(SUBSTITUTE(SUBSTITUTE(SUBSTITUTE(SUBSTITUTE(SUBSTITUTE(LOWER(TRIM(D155)),"ё","е"),"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55" s="12" t="n">
        <f aca="false">IFERROR(INDEX(Соответствие!$B$2:$B$76,MATCH(G155,Соответствие!$A$2:$A$76,0)),"?")</f>
        <v>21</v>
      </c>
      <c r="I155" s="9" t="str">
        <f aca="false">IFERROR(INDEX('Перечень должностей'!$C$2:$C$46,MATCH(H155,'Перечень должностей'!$A$2:$A$46,0)),"")</f>
        <v>п.1.49.2, п.1.49.14, п.4.3.1, п.4.3.2, п.4.4, п.5.1, п.15</v>
      </c>
      <c r="J155" s="12" t="n">
        <f aca="false">IFERROR(INDEX('Перечень должностей'!$D$2:$D$46,MATCH(H155,'Перечень должностей'!$A$2:$A$46,0)),12)</f>
        <v>12</v>
      </c>
      <c r="K155" s="17"/>
      <c r="L155" s="17"/>
      <c r="M155" s="16" t="str">
        <f aca="false">IF(K155="","",EDATE(IF(L155&lt;&gt;"",L155,K155),J155))</f>
        <v/>
      </c>
      <c r="N155" s="12" t="str">
        <f aca="false">IFERROR(INDEX('Перечень должностей'!$F$2:$F$46,MATCH(H155,'Перечень должностей'!$A$2:$A$46,0)),"")</f>
        <v>-</v>
      </c>
      <c r="O155" s="17"/>
      <c r="P155" s="16" t="str">
        <f aca="false">IF(O155="","",EDATE(O155,60))</f>
        <v/>
      </c>
      <c r="Q155" s="12" t="str">
        <f aca="false">IF(AND(K155&lt;&gt;"",F155&lt;&gt;"",K155&gt;F155),"ДА","")</f>
        <v/>
      </c>
      <c r="R155" s="18" t="s">
        <v>130</v>
      </c>
    </row>
    <row r="156" customFormat="false" ht="26.25" hidden="false" customHeight="true" outlineLevel="0" collapsed="false">
      <c r="A156" s="15" t="n">
        <v>155</v>
      </c>
      <c r="B156" s="12" t="s">
        <v>50</v>
      </c>
      <c r="C156" s="15" t="s">
        <v>133</v>
      </c>
      <c r="D156" s="15" t="s">
        <v>605</v>
      </c>
      <c r="E156" s="15" t="s">
        <v>182</v>
      </c>
      <c r="F156" s="16" t="n">
        <v>42570</v>
      </c>
      <c r="G156" s="5" t="str">
        <f aca="false">IF(TRIM(SUBSTITUTE(SUBSTITUTE(SUBSTITUTE(SUBSTITUTE(SUBSTITUTE(SUBSTITUTE(SUBSTITUTE(SUBSTITUTE(SUBSTITUTE(SUBSTITUTE(SUBSTITUTE(LOWER(TRIM(D156)),"ё","е"),"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категории",""))="инженер",IF(AND(ISNUMBER(SEARCH("техническ",E156)),ISNUMBER(SEARCH("контрол",E156))),"инженер отк",IF(ISNUMBER(SEARCH("диспетч",E156)),"инженер пдо",TRIM(SUBSTITUTE(SUBSTITUTE(SUBSTITUTE(SUBSTITUTE(SUBSTITUTE(SUBSTITUTE(SUBSTITUTE(SUBSTITUTE(SUBSTITUTE(SUBSTITUTE(SUBSTITUTE(LOWER(TRIM(D156)),"ё","е"),"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инженер",IF(ISNUMBER(SEARCH("диспетч",E156)),"ведущий инженер пдо",TRIM(SUBSTITUTE(SUBSTITUTE(SUBSTITUTE(SUBSTITUTE(SUBSTITUTE(SUBSTITUTE(SUBSTITUTE(SUBSTITUTE(SUBSTITUTE(SUBSTITUTE(SUBSTITUTE(LOWER(TRIM(D156)),"ё","е"),"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отк",TRIM(SUBSTITUTE(SUBSTITUTE(SUBSTITUTE(SUBSTITUTE(SUBSTITUTE(SUBSTITUTE(SUBSTITUTE(SUBSTITUTE(SUBSTITUTE(SUBSTITUTE(SUBSTITUTE(LOWER(TRIM(D156)),"ё","е"),"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56" s="12" t="n">
        <f aca="false">IFERROR(INDEX(Соответствие!$B$2:$B$76,MATCH(G156,Соответствие!$A$2:$A$76,0)),"?")</f>
        <v>21</v>
      </c>
      <c r="I156" s="9" t="str">
        <f aca="false">IFERROR(INDEX('Перечень должностей'!$C$2:$C$46,MATCH(H156,'Перечень должностей'!$A$2:$A$46,0)),"")</f>
        <v>п.1.49.2, п.1.49.14, п.4.3.1, п.4.3.2, п.4.4, п.5.1, п.15</v>
      </c>
      <c r="J156" s="12" t="n">
        <f aca="false">IFERROR(INDEX('Перечень должностей'!$D$2:$D$46,MATCH(H156,'Перечень должностей'!$A$2:$A$46,0)),12)</f>
        <v>12</v>
      </c>
      <c r="K156" s="17"/>
      <c r="L156" s="17"/>
      <c r="M156" s="16" t="str">
        <f aca="false">IF(K156="","",EDATE(IF(L156&lt;&gt;"",L156,K156),J156))</f>
        <v/>
      </c>
      <c r="N156" s="12" t="str">
        <f aca="false">IFERROR(INDEX('Перечень должностей'!$F$2:$F$46,MATCH(H156,'Перечень должностей'!$A$2:$A$46,0)),"")</f>
        <v>-</v>
      </c>
      <c r="O156" s="17"/>
      <c r="P156" s="16" t="str">
        <f aca="false">IF(O156="","",EDATE(O156,60))</f>
        <v/>
      </c>
      <c r="Q156" s="12" t="str">
        <f aca="false">IF(AND(K156&lt;&gt;"",F156&lt;&gt;"",K156&gt;F156),"ДА","")</f>
        <v/>
      </c>
      <c r="R156" s="18" t="s">
        <v>130</v>
      </c>
    </row>
    <row r="157" customFormat="false" ht="26.25" hidden="false" customHeight="true" outlineLevel="0" collapsed="false">
      <c r="A157" s="15" t="n">
        <v>156</v>
      </c>
      <c r="B157" s="12" t="s">
        <v>50</v>
      </c>
      <c r="C157" s="15" t="s">
        <v>134</v>
      </c>
      <c r="D157" s="15" t="s">
        <v>605</v>
      </c>
      <c r="E157" s="15" t="s">
        <v>49</v>
      </c>
      <c r="F157" s="16" t="n">
        <v>43046</v>
      </c>
      <c r="G157" s="5" t="str">
        <f aca="false">IF(TRIM(SUBSTITUTE(SUBSTITUTE(SUBSTITUTE(SUBSTITUTE(SUBSTITUTE(SUBSTITUTE(SUBSTITUTE(SUBSTITUTE(SUBSTITUTE(SUBSTITUTE(SUBSTITUTE(LOWER(TRIM(D157)),"ё","е"),"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категории",""))="инженер",IF(AND(ISNUMBER(SEARCH("техническ",E157)),ISNUMBER(SEARCH("контрол",E157))),"инженер отк",IF(ISNUMBER(SEARCH("диспетч",E157)),"инженер пдо",TRIM(SUBSTITUTE(SUBSTITUTE(SUBSTITUTE(SUBSTITUTE(SUBSTITUTE(SUBSTITUTE(SUBSTITUTE(SUBSTITUTE(SUBSTITUTE(SUBSTITUTE(SUBSTITUTE(LOWER(TRIM(D157)),"ё","е"),"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инженер",IF(ISNUMBER(SEARCH("диспетч",E157)),"ведущий инженер пдо",TRIM(SUBSTITUTE(SUBSTITUTE(SUBSTITUTE(SUBSTITUTE(SUBSTITUTE(SUBSTITUTE(SUBSTITUTE(SUBSTITUTE(SUBSTITUTE(SUBSTITUTE(SUBSTITUTE(LOWER(TRIM(D157)),"ё","е"),"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отк",TRIM(SUBSTITUTE(SUBSTITUTE(SUBSTITUTE(SUBSTITUTE(SUBSTITUTE(SUBSTITUTE(SUBSTITUTE(SUBSTITUTE(SUBSTITUTE(SUBSTITUTE(SUBSTITUTE(LOWER(TRIM(D157)),"ё","е"),"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57" s="12" t="n">
        <f aca="false">IFERROR(INDEX(Соответствие!$B$2:$B$76,MATCH(G157,Соответствие!$A$2:$A$76,0)),"?")</f>
        <v>21</v>
      </c>
      <c r="I157" s="9" t="str">
        <f aca="false">IFERROR(INDEX('Перечень должностей'!$C$2:$C$46,MATCH(H157,'Перечень должностей'!$A$2:$A$46,0)),"")</f>
        <v>п.1.49.2, п.1.49.14, п.4.3.1, п.4.3.2, п.4.4, п.5.1, п.15</v>
      </c>
      <c r="J157" s="12" t="n">
        <f aca="false">IFERROR(INDEX('Перечень должностей'!$D$2:$D$46,MATCH(H157,'Перечень должностей'!$A$2:$A$46,0)),12)</f>
        <v>12</v>
      </c>
      <c r="K157" s="17"/>
      <c r="L157" s="17"/>
      <c r="M157" s="16" t="str">
        <f aca="false">IF(K157="","",EDATE(IF(L157&lt;&gt;"",L157,K157),J157))</f>
        <v/>
      </c>
      <c r="N157" s="12" t="str">
        <f aca="false">IFERROR(INDEX('Перечень должностей'!$F$2:$F$46,MATCH(H157,'Перечень должностей'!$A$2:$A$46,0)),"")</f>
        <v>-</v>
      </c>
      <c r="O157" s="17"/>
      <c r="P157" s="16" t="str">
        <f aca="false">IF(O157="","",EDATE(O157,60))</f>
        <v/>
      </c>
      <c r="Q157" s="12" t="str">
        <f aca="false">IF(AND(K157&lt;&gt;"",F157&lt;&gt;"",K157&gt;F157),"ДА","")</f>
        <v/>
      </c>
      <c r="R157" s="18" t="s">
        <v>130</v>
      </c>
    </row>
    <row r="158" customFormat="false" ht="26.25" hidden="false" customHeight="true" outlineLevel="0" collapsed="false">
      <c r="A158" s="15" t="n">
        <v>157</v>
      </c>
      <c r="B158" s="12" t="s">
        <v>50</v>
      </c>
      <c r="C158" s="15" t="s">
        <v>135</v>
      </c>
      <c r="D158" s="15" t="s">
        <v>605</v>
      </c>
      <c r="E158" s="15" t="s">
        <v>182</v>
      </c>
      <c r="F158" s="16" t="n">
        <v>46106</v>
      </c>
      <c r="G158" s="5" t="str">
        <f aca="false">IF(TRIM(SUBSTITUTE(SUBSTITUTE(SUBSTITUTE(SUBSTITUTE(SUBSTITUTE(SUBSTITUTE(SUBSTITUTE(SUBSTITUTE(SUBSTITUTE(SUBSTITUTE(SUBSTITUTE(LOWER(TRIM(D158)),"ё","е"),"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категории",""))="инженер",IF(AND(ISNUMBER(SEARCH("техническ",E158)),ISNUMBER(SEARCH("контрол",E158))),"инженер отк",IF(ISNUMBER(SEARCH("диспетч",E158)),"инженер пдо",TRIM(SUBSTITUTE(SUBSTITUTE(SUBSTITUTE(SUBSTITUTE(SUBSTITUTE(SUBSTITUTE(SUBSTITUTE(SUBSTITUTE(SUBSTITUTE(SUBSTITUTE(SUBSTITUTE(LOWER(TRIM(D158)),"ё","е"),"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инженер",IF(ISNUMBER(SEARCH("диспетч",E158)),"ведущий инженер пдо",TRIM(SUBSTITUTE(SUBSTITUTE(SUBSTITUTE(SUBSTITUTE(SUBSTITUTE(SUBSTITUTE(SUBSTITUTE(SUBSTITUTE(SUBSTITUTE(SUBSTITUTE(SUBSTITUTE(LOWER(TRIM(D158)),"ё","е"),"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отк",TRIM(SUBSTITUTE(SUBSTITUTE(SUBSTITUTE(SUBSTITUTE(SUBSTITUTE(SUBSTITUTE(SUBSTITUTE(SUBSTITUTE(SUBSTITUTE(SUBSTITUTE(SUBSTITUTE(LOWER(TRIM(D158)),"ё","е"),"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58" s="12" t="n">
        <f aca="false">IFERROR(INDEX(Соответствие!$B$2:$B$76,MATCH(G158,Соответствие!$A$2:$A$76,0)),"?")</f>
        <v>21</v>
      </c>
      <c r="I158" s="9" t="str">
        <f aca="false">IFERROR(INDEX('Перечень должностей'!$C$2:$C$46,MATCH(H158,'Перечень должностей'!$A$2:$A$46,0)),"")</f>
        <v>п.1.49.2, п.1.49.14, п.4.3.1, п.4.3.2, п.4.4, п.5.1, п.15</v>
      </c>
      <c r="J158" s="12" t="n">
        <f aca="false">IFERROR(INDEX('Перечень должностей'!$D$2:$D$46,MATCH(H158,'Перечень должностей'!$A$2:$A$46,0)),12)</f>
        <v>12</v>
      </c>
      <c r="K158" s="17"/>
      <c r="L158" s="17"/>
      <c r="M158" s="16" t="str">
        <f aca="false">IF(K158="","",EDATE(IF(L158&lt;&gt;"",L158,K158),J158))</f>
        <v/>
      </c>
      <c r="N158" s="12" t="str">
        <f aca="false">IFERROR(INDEX('Перечень должностей'!$F$2:$F$46,MATCH(H158,'Перечень должностей'!$A$2:$A$46,0)),"")</f>
        <v>-</v>
      </c>
      <c r="O158" s="17"/>
      <c r="P158" s="16" t="str">
        <f aca="false">IF(O158="","",EDATE(O158,60))</f>
        <v/>
      </c>
      <c r="Q158" s="12" t="str">
        <f aca="false">IF(AND(K158&lt;&gt;"",F158&lt;&gt;"",K158&gt;F158),"ДА","")</f>
        <v/>
      </c>
      <c r="R158" s="18" t="s">
        <v>130</v>
      </c>
    </row>
    <row r="159" customFormat="false" ht="26.25" hidden="false" customHeight="true" outlineLevel="0" collapsed="false">
      <c r="A159" s="15" t="n">
        <v>158</v>
      </c>
      <c r="B159" s="12" t="s">
        <v>50</v>
      </c>
      <c r="C159" s="15" t="s">
        <v>136</v>
      </c>
      <c r="D159" s="15" t="s">
        <v>606</v>
      </c>
      <c r="E159" s="15" t="s">
        <v>182</v>
      </c>
      <c r="F159" s="16" t="n">
        <v>42614</v>
      </c>
      <c r="G159" s="5" t="str">
        <f aca="false">IF(TRIM(SUBSTITUTE(SUBSTITUTE(SUBSTITUTE(SUBSTITUTE(SUBSTITUTE(SUBSTITUTE(SUBSTITUTE(SUBSTITUTE(SUBSTITUTE(SUBSTITUTE(SUBSTITUTE(LOWER(TRIM(D159)),"ё","е"),"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категории",""))="инженер",IF(AND(ISNUMBER(SEARCH("техническ",E159)),ISNUMBER(SEARCH("контрол",E159))),"инженер отк",IF(ISNUMBER(SEARCH("диспетч",E159)),"инженер пдо",TRIM(SUBSTITUTE(SUBSTITUTE(SUBSTITUTE(SUBSTITUTE(SUBSTITUTE(SUBSTITUTE(SUBSTITUTE(SUBSTITUTE(SUBSTITUTE(SUBSTITUTE(SUBSTITUTE(LOWER(TRIM(D159)),"ё","е"),"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инженер",IF(ISNUMBER(SEARCH("диспетч",E159)),"ведущий инженер пдо",TRIM(SUBSTITUTE(SUBSTITUTE(SUBSTITUTE(SUBSTITUTE(SUBSTITUTE(SUBSTITUTE(SUBSTITUTE(SUBSTITUTE(SUBSTITUTE(SUBSTITUTE(SUBSTITUTE(LOWER(TRIM(D159)),"ё","е"),"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отк",TRIM(SUBSTITUTE(SUBSTITUTE(SUBSTITUTE(SUBSTITUTE(SUBSTITUTE(SUBSTITUTE(SUBSTITUTE(SUBSTITUTE(SUBSTITUTE(SUBSTITUTE(SUBSTITUTE(LOWER(TRIM(D159)),"ё","е")," -","-"),"- ","-")," 2 разряда","")," 3 разряда","")," 4 разряда","")," 5 разряда","")," 6 разряда","")," 1 категории","")," 2 категории","")," 3 категории","")))))</f>
        <v>бригадир</v>
      </c>
      <c r="H159" s="12" t="n">
        <f aca="false">IFERROR(INDEX(Соответствие!$B$2:$B$76,MATCH(G159,Соответствие!$A$2:$A$76,0)),"?")</f>
        <v>18</v>
      </c>
      <c r="I159" s="9" t="str">
        <f aca="false">IFERROR(INDEX('Перечень должностей'!$C$2:$C$46,MATCH(H159,'Перечень должностей'!$A$2:$A$46,0)),"")</f>
        <v>п.4.4, п.5.1, п.5.2</v>
      </c>
      <c r="J159" s="12" t="n">
        <f aca="false">IFERROR(INDEX('Перечень должностей'!$D$2:$D$46,MATCH(H159,'Перечень должностей'!$A$2:$A$46,0)),12)</f>
        <v>12</v>
      </c>
      <c r="K159" s="17"/>
      <c r="L159" s="17"/>
      <c r="M159" s="16" t="str">
        <f aca="false">IF(K159="","",EDATE(IF(L159&lt;&gt;"",L159,K159),J159))</f>
        <v/>
      </c>
      <c r="N159" s="12" t="str">
        <f aca="false">IFERROR(INDEX('Перечень должностей'!$F$2:$F$46,MATCH(H159,'Перечень должностей'!$A$2:$A$46,0)),"")</f>
        <v>-</v>
      </c>
      <c r="O159" s="17"/>
      <c r="P159" s="16" t="str">
        <f aca="false">IF(O159="","",EDATE(O159,60))</f>
        <v/>
      </c>
      <c r="Q159" s="12" t="str">
        <f aca="false">IF(AND(K159&lt;&gt;"",F159&lt;&gt;"",K159&gt;F159),"ДА","")</f>
        <v/>
      </c>
      <c r="R159" s="18" t="s">
        <v>137</v>
      </c>
    </row>
    <row r="160" customFormat="false" ht="26.25" hidden="false" customHeight="true" outlineLevel="0" collapsed="false">
      <c r="A160" s="15" t="n">
        <v>159</v>
      </c>
      <c r="B160" s="12" t="s">
        <v>50</v>
      </c>
      <c r="C160" s="15" t="s">
        <v>138</v>
      </c>
      <c r="D160" s="15" t="s">
        <v>605</v>
      </c>
      <c r="E160" s="15" t="s">
        <v>49</v>
      </c>
      <c r="F160" s="16" t="n">
        <v>45688</v>
      </c>
      <c r="G160" s="5" t="str">
        <f aca="false">IF(TRIM(SUBSTITUTE(SUBSTITUTE(SUBSTITUTE(SUBSTITUTE(SUBSTITUTE(SUBSTITUTE(SUBSTITUTE(SUBSTITUTE(SUBSTITUTE(SUBSTITUTE(SUBSTITUTE(LOWER(TRIM(D160)),"ё","е"),"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категории",""))="инженер",IF(AND(ISNUMBER(SEARCH("техническ",E160)),ISNUMBER(SEARCH("контрол",E160))),"инженер отк",IF(ISNUMBER(SEARCH("диспетч",E160)),"инженер пдо",TRIM(SUBSTITUTE(SUBSTITUTE(SUBSTITUTE(SUBSTITUTE(SUBSTITUTE(SUBSTITUTE(SUBSTITUTE(SUBSTITUTE(SUBSTITUTE(SUBSTITUTE(SUBSTITUTE(LOWER(TRIM(D160)),"ё","е"),"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инженер",IF(ISNUMBER(SEARCH("диспетч",E160)),"ведущий инженер пдо",TRIM(SUBSTITUTE(SUBSTITUTE(SUBSTITUTE(SUBSTITUTE(SUBSTITUTE(SUBSTITUTE(SUBSTITUTE(SUBSTITUTE(SUBSTITUTE(SUBSTITUTE(SUBSTITUTE(LOWER(TRIM(D160)),"ё","е"),"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отк",TRIM(SUBSTITUTE(SUBSTITUTE(SUBSTITUTE(SUBSTITUTE(SUBSTITUTE(SUBSTITUTE(SUBSTITUTE(SUBSTITUTE(SUBSTITUTE(SUBSTITUTE(SUBSTITUTE(LOWER(TRIM(D160)),"ё","е"),"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60" s="12" t="n">
        <f aca="false">IFERROR(INDEX(Соответствие!$B$2:$B$76,MATCH(G160,Соответствие!$A$2:$A$76,0)),"?")</f>
        <v>21</v>
      </c>
      <c r="I160" s="9" t="str">
        <f aca="false">IFERROR(INDEX('Перечень должностей'!$C$2:$C$46,MATCH(H160,'Перечень должностей'!$A$2:$A$46,0)),"")</f>
        <v>п.1.49.2, п.1.49.14, п.4.3.1, п.4.3.2, п.4.4, п.5.1, п.15</v>
      </c>
      <c r="J160" s="12" t="n">
        <f aca="false">IFERROR(INDEX('Перечень должностей'!$D$2:$D$46,MATCH(H160,'Перечень должностей'!$A$2:$A$46,0)),12)</f>
        <v>12</v>
      </c>
      <c r="K160" s="17"/>
      <c r="L160" s="17"/>
      <c r="M160" s="16" t="str">
        <f aca="false">IF(K160="","",EDATE(IF(L160&lt;&gt;"",L160,K160),J160))</f>
        <v/>
      </c>
      <c r="N160" s="12" t="str">
        <f aca="false">IFERROR(INDEX('Перечень должностей'!$F$2:$F$46,MATCH(H160,'Перечень должностей'!$A$2:$A$46,0)),"")</f>
        <v>-</v>
      </c>
      <c r="O160" s="17"/>
      <c r="P160" s="16" t="str">
        <f aca="false">IF(O160="","",EDATE(O160,60))</f>
        <v/>
      </c>
      <c r="Q160" s="12" t="str">
        <f aca="false">IF(AND(K160&lt;&gt;"",F160&lt;&gt;"",K160&gt;F160),"ДА","")</f>
        <v/>
      </c>
      <c r="R160" s="18" t="s">
        <v>130</v>
      </c>
    </row>
    <row r="161" customFormat="false" ht="26.25" hidden="false" customHeight="true" outlineLevel="0" collapsed="false">
      <c r="A161" s="15" t="n">
        <v>160</v>
      </c>
      <c r="B161" s="12" t="s">
        <v>50</v>
      </c>
      <c r="C161" s="15" t="s">
        <v>607</v>
      </c>
      <c r="D161" s="15" t="s">
        <v>608</v>
      </c>
      <c r="E161" s="15" t="s">
        <v>49</v>
      </c>
      <c r="F161" s="16" t="n">
        <v>42461</v>
      </c>
      <c r="G161" s="5" t="str">
        <f aca="false">IF(TRIM(SUBSTITUTE(SUBSTITUTE(SUBSTITUTE(SUBSTITUTE(SUBSTITUTE(SUBSTITUTE(SUBSTITUTE(SUBSTITUTE(SUBSTITUTE(SUBSTITUTE(SUBSTITUTE(LOWER(TRIM(D161)),"ё","е"),"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категории",""))="инженер",IF(AND(ISNUMBER(SEARCH("техническ",E161)),ISNUMBER(SEARCH("контрол",E161))),"инженер отк",IF(ISNUMBER(SEARCH("диспетч",E161)),"инженер пдо",TRIM(SUBSTITUTE(SUBSTITUTE(SUBSTITUTE(SUBSTITUTE(SUBSTITUTE(SUBSTITUTE(SUBSTITUTE(SUBSTITUTE(SUBSTITUTE(SUBSTITUTE(SUBSTITUTE(LOWER(TRIM(D161)),"ё","е"),"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инженер",IF(ISNUMBER(SEARCH("диспетч",E161)),"ведущий инженер пдо",TRIM(SUBSTITUTE(SUBSTITUTE(SUBSTITUTE(SUBSTITUTE(SUBSTITUTE(SUBSTITUTE(SUBSTITUTE(SUBSTITUTE(SUBSTITUTE(SUBSTITUTE(SUBSTITUTE(LOWER(TRIM(D161)),"ё","е"),"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отк",TRIM(SUBSTITUTE(SUBSTITUTE(SUBSTITUTE(SUBSTITUTE(SUBSTITUTE(SUBSTITUTE(SUBSTITUTE(SUBSTITUTE(SUBSTITUTE(SUBSTITUTE(SUBSTITUTE(LOWER(TRIM(D161)),"ё","е")," -","-"),"- ","-")," 2 разряда","")," 3 разряда","")," 4 разряда","")," 5 разряда","")," 6 разряда","")," 1 категории","")," 2 категории","")," 3 категории","")))))</f>
        <v>сборщик стеклопластиковых изделий</v>
      </c>
      <c r="H161" s="12" t="n">
        <f aca="false">IFERROR(INDEX(Соответствие!$B$2:$B$76,MATCH(G161,Соответствие!$A$2:$A$76,0)),"?")</f>
        <v>26</v>
      </c>
      <c r="I161" s="9" t="str">
        <f aca="false">IFERROR(INDEX('Перечень должностей'!$C$2:$C$46,MATCH(H161,'Перечень должностей'!$A$2:$A$46,0)),"")</f>
        <v>п.1.37.1, п.3.1.8.3, п.4.3.1, п.4.4, п.5.1, п.15</v>
      </c>
      <c r="J161" s="12" t="n">
        <f aca="false">IFERROR(INDEX('Перечень должностей'!$D$2:$D$46,MATCH(H161,'Перечень должностей'!$A$2:$A$46,0)),12)</f>
        <v>12</v>
      </c>
      <c r="K161" s="17"/>
      <c r="L161" s="17"/>
      <c r="M161" s="16" t="str">
        <f aca="false">IF(K161="","",EDATE(IF(L161&lt;&gt;"",L161,K161),J161))</f>
        <v/>
      </c>
      <c r="N161" s="12" t="str">
        <f aca="false">IFERROR(INDEX('Перечень должностей'!$F$2:$F$46,MATCH(H161,'Перечень должностей'!$A$2:$A$46,0)),"")</f>
        <v>Нет</v>
      </c>
      <c r="O161" s="17"/>
      <c r="P161" s="16" t="str">
        <f aca="false">IF(O161="","",EDATE(O161,60))</f>
        <v/>
      </c>
      <c r="Q161" s="12" t="str">
        <f aca="false">IF(AND(K161&lt;&gt;"",F161&lt;&gt;"",K161&gt;F161),"ДА","")</f>
        <v/>
      </c>
      <c r="R161" s="9"/>
    </row>
    <row r="162" customFormat="false" ht="26.25" hidden="false" customHeight="true" outlineLevel="0" collapsed="false">
      <c r="A162" s="15" t="n">
        <v>161</v>
      </c>
      <c r="B162" s="12" t="s">
        <v>50</v>
      </c>
      <c r="C162" s="15" t="s">
        <v>139</v>
      </c>
      <c r="D162" s="15" t="s">
        <v>606</v>
      </c>
      <c r="E162" s="15" t="s">
        <v>182</v>
      </c>
      <c r="F162" s="16" t="n">
        <v>43132</v>
      </c>
      <c r="G162" s="5" t="str">
        <f aca="false">IF(TRIM(SUBSTITUTE(SUBSTITUTE(SUBSTITUTE(SUBSTITUTE(SUBSTITUTE(SUBSTITUTE(SUBSTITUTE(SUBSTITUTE(SUBSTITUTE(SUBSTITUTE(SUBSTITUTE(LOWER(TRIM(D162)),"ё","е"),"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категории",""))="инженер",IF(AND(ISNUMBER(SEARCH("техническ",E162)),ISNUMBER(SEARCH("контрол",E162))),"инженер отк",IF(ISNUMBER(SEARCH("диспетч",E162)),"инженер пдо",TRIM(SUBSTITUTE(SUBSTITUTE(SUBSTITUTE(SUBSTITUTE(SUBSTITUTE(SUBSTITUTE(SUBSTITUTE(SUBSTITUTE(SUBSTITUTE(SUBSTITUTE(SUBSTITUTE(LOWER(TRIM(D162)),"ё","е"),"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инженер",IF(ISNUMBER(SEARCH("диспетч",E162)),"ведущий инженер пдо",TRIM(SUBSTITUTE(SUBSTITUTE(SUBSTITUTE(SUBSTITUTE(SUBSTITUTE(SUBSTITUTE(SUBSTITUTE(SUBSTITUTE(SUBSTITUTE(SUBSTITUTE(SUBSTITUTE(LOWER(TRIM(D162)),"ё","е"),"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отк",TRIM(SUBSTITUTE(SUBSTITUTE(SUBSTITUTE(SUBSTITUTE(SUBSTITUTE(SUBSTITUTE(SUBSTITUTE(SUBSTITUTE(SUBSTITUTE(SUBSTITUTE(SUBSTITUTE(LOWER(TRIM(D162)),"ё","е")," -","-"),"- ","-")," 2 разряда","")," 3 разряда","")," 4 разряда","")," 5 разряда","")," 6 разряда","")," 1 категории","")," 2 категории","")," 3 категории","")))))</f>
        <v>бригадир</v>
      </c>
      <c r="H162" s="12" t="n">
        <f aca="false">IFERROR(INDEX(Соответствие!$B$2:$B$76,MATCH(G162,Соответствие!$A$2:$A$76,0)),"?")</f>
        <v>18</v>
      </c>
      <c r="I162" s="9" t="str">
        <f aca="false">IFERROR(INDEX('Перечень должностей'!$C$2:$C$46,MATCH(H162,'Перечень должностей'!$A$2:$A$46,0)),"")</f>
        <v>п.4.4, п.5.1, п.5.2</v>
      </c>
      <c r="J162" s="12" t="n">
        <f aca="false">IFERROR(INDEX('Перечень должностей'!$D$2:$D$46,MATCH(H162,'Перечень должностей'!$A$2:$A$46,0)),12)</f>
        <v>12</v>
      </c>
      <c r="K162" s="17"/>
      <c r="L162" s="17"/>
      <c r="M162" s="16" t="str">
        <f aca="false">IF(K162="","",EDATE(IF(L162&lt;&gt;"",L162,K162),J162))</f>
        <v/>
      </c>
      <c r="N162" s="12" t="str">
        <f aca="false">IFERROR(INDEX('Перечень должностей'!$F$2:$F$46,MATCH(H162,'Перечень должностей'!$A$2:$A$46,0)),"")</f>
        <v>-</v>
      </c>
      <c r="O162" s="17"/>
      <c r="P162" s="16" t="str">
        <f aca="false">IF(O162="","",EDATE(O162,60))</f>
        <v/>
      </c>
      <c r="Q162" s="12" t="str">
        <f aca="false">IF(AND(K162&lt;&gt;"",F162&lt;&gt;"",K162&gt;F162),"ДА","")</f>
        <v/>
      </c>
      <c r="R162" s="18" t="s">
        <v>140</v>
      </c>
    </row>
    <row r="163" customFormat="false" ht="26.25" hidden="false" customHeight="true" outlineLevel="0" collapsed="false">
      <c r="A163" s="15" t="n">
        <v>162</v>
      </c>
      <c r="B163" s="12" t="s">
        <v>50</v>
      </c>
      <c r="C163" s="15" t="s">
        <v>609</v>
      </c>
      <c r="D163" s="15" t="s">
        <v>48</v>
      </c>
      <c r="E163" s="15" t="s">
        <v>182</v>
      </c>
      <c r="F163" s="16" t="n">
        <v>46237</v>
      </c>
      <c r="G163" s="5" t="str">
        <f aca="false">IF(TRIM(SUBSTITUTE(SUBSTITUTE(SUBSTITUTE(SUBSTITUTE(SUBSTITUTE(SUBSTITUTE(SUBSTITUTE(SUBSTITUTE(SUBSTITUTE(SUBSTITUTE(SUBSTITUTE(LOWER(TRIM(D163)),"ё","е"),"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категории",""))="инженер",IF(AND(ISNUMBER(SEARCH("техническ",E163)),ISNUMBER(SEARCH("контрол",E163))),"инженер отк",IF(ISNUMBER(SEARCH("диспетч",E163)),"инженер пдо",TRIM(SUBSTITUTE(SUBSTITUTE(SUBSTITUTE(SUBSTITUTE(SUBSTITUTE(SUBSTITUTE(SUBSTITUTE(SUBSTITUTE(SUBSTITUTE(SUBSTITUTE(SUBSTITUTE(LOWER(TRIM(D163)),"ё","е"),"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инженер",IF(ISNUMBER(SEARCH("диспетч",E163)),"ведущий инженер пдо",TRIM(SUBSTITUTE(SUBSTITUTE(SUBSTITUTE(SUBSTITUTE(SUBSTITUTE(SUBSTITUTE(SUBSTITUTE(SUBSTITUTE(SUBSTITUTE(SUBSTITUTE(SUBSTITUTE(LOWER(TRIM(D163)),"ё","е"),"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отк",TRIM(SUBSTITUTE(SUBSTITUTE(SUBSTITUTE(SUBSTITUTE(SUBSTITUTE(SUBSTITUTE(SUBSTITUTE(SUBSTITUTE(SUBSTITUTE(SUBSTITUTE(SUBSTITUTE(LOWER(TRIM(D163)),"ё","е")," -","-"),"- ","-")," 2 разряда","")," 3 разряда","")," 4 разряда","")," 5 разряда","")," 6 разряда","")," 1 категории","")," 2 категории","")," 3 категории","")))))</f>
        <v>сборщик стеклопластиковых изделий</v>
      </c>
      <c r="H163" s="12" t="n">
        <f aca="false">IFERROR(INDEX(Соответствие!$B$2:$B$76,MATCH(G163,Соответствие!$A$2:$A$76,0)),"?")</f>
        <v>26</v>
      </c>
      <c r="I163" s="9" t="str">
        <f aca="false">IFERROR(INDEX('Перечень должностей'!$C$2:$C$46,MATCH(H163,'Перечень должностей'!$A$2:$A$46,0)),"")</f>
        <v>п.1.37.1, п.3.1.8.3, п.4.3.1, п.4.4, п.5.1, п.15</v>
      </c>
      <c r="J163" s="12" t="n">
        <f aca="false">IFERROR(INDEX('Перечень должностей'!$D$2:$D$46,MATCH(H163,'Перечень должностей'!$A$2:$A$46,0)),12)</f>
        <v>12</v>
      </c>
      <c r="K163" s="17"/>
      <c r="L163" s="17"/>
      <c r="M163" s="16" t="str">
        <f aca="false">IF(K163="","",EDATE(IF(L163&lt;&gt;"",L163,K163),J163))</f>
        <v/>
      </c>
      <c r="N163" s="12" t="str">
        <f aca="false">IFERROR(INDEX('Перечень должностей'!$F$2:$F$46,MATCH(H163,'Перечень должностей'!$A$2:$A$46,0)),"")</f>
        <v>Нет</v>
      </c>
      <c r="O163" s="17"/>
      <c r="P163" s="16" t="str">
        <f aca="false">IF(O163="","",EDATE(O163,60))</f>
        <v/>
      </c>
      <c r="Q163" s="12" t="str">
        <f aca="false">IF(AND(K163&lt;&gt;"",F163&lt;&gt;"",K163&gt;F163),"ДА","")</f>
        <v/>
      </c>
      <c r="R163" s="9"/>
    </row>
    <row r="164" customFormat="false" ht="26.25" hidden="false" customHeight="true" outlineLevel="0" collapsed="false">
      <c r="A164" s="15" t="n">
        <v>163</v>
      </c>
      <c r="B164" s="12" t="s">
        <v>50</v>
      </c>
      <c r="C164" s="15" t="s">
        <v>610</v>
      </c>
      <c r="D164" s="15" t="s">
        <v>48</v>
      </c>
      <c r="E164" s="15" t="s">
        <v>49</v>
      </c>
      <c r="F164" s="16" t="n">
        <v>45812</v>
      </c>
      <c r="G164" s="5" t="str">
        <f aca="false">IF(TRIM(SUBSTITUTE(SUBSTITUTE(SUBSTITUTE(SUBSTITUTE(SUBSTITUTE(SUBSTITUTE(SUBSTITUTE(SUBSTITUTE(SUBSTITUTE(SUBSTITUTE(SUBSTITUTE(LOWER(TRIM(D164)),"ё","е"),"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категории",""))="инженер",IF(AND(ISNUMBER(SEARCH("техническ",E164)),ISNUMBER(SEARCH("контрол",E164))),"инженер отк",IF(ISNUMBER(SEARCH("диспетч",E164)),"инженер пдо",TRIM(SUBSTITUTE(SUBSTITUTE(SUBSTITUTE(SUBSTITUTE(SUBSTITUTE(SUBSTITUTE(SUBSTITUTE(SUBSTITUTE(SUBSTITUTE(SUBSTITUTE(SUBSTITUTE(LOWER(TRIM(D164)),"ё","е"),"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инженер",IF(ISNUMBER(SEARCH("диспетч",E164)),"ведущий инженер пдо",TRIM(SUBSTITUTE(SUBSTITUTE(SUBSTITUTE(SUBSTITUTE(SUBSTITUTE(SUBSTITUTE(SUBSTITUTE(SUBSTITUTE(SUBSTITUTE(SUBSTITUTE(SUBSTITUTE(LOWER(TRIM(D164)),"ё","е"),"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отк",TRIM(SUBSTITUTE(SUBSTITUTE(SUBSTITUTE(SUBSTITUTE(SUBSTITUTE(SUBSTITUTE(SUBSTITUTE(SUBSTITUTE(SUBSTITUTE(SUBSTITUTE(SUBSTITUTE(LOWER(TRIM(D164)),"ё","е")," -","-"),"- ","-")," 2 разряда","")," 3 разряда","")," 4 разряда","")," 5 разряда","")," 6 разряда","")," 1 категории","")," 2 категории","")," 3 категории","")))))</f>
        <v>сборщик стеклопластиковых изделий</v>
      </c>
      <c r="H164" s="12" t="n">
        <f aca="false">IFERROR(INDEX(Соответствие!$B$2:$B$76,MATCH(G164,Соответствие!$A$2:$A$76,0)),"?")</f>
        <v>26</v>
      </c>
      <c r="I164" s="9" t="str">
        <f aca="false">IFERROR(INDEX('Перечень должностей'!$C$2:$C$46,MATCH(H164,'Перечень должностей'!$A$2:$A$46,0)),"")</f>
        <v>п.1.37.1, п.3.1.8.3, п.4.3.1, п.4.4, п.5.1, п.15</v>
      </c>
      <c r="J164" s="12" t="n">
        <f aca="false">IFERROR(INDEX('Перечень должностей'!$D$2:$D$46,MATCH(H164,'Перечень должностей'!$A$2:$A$46,0)),12)</f>
        <v>12</v>
      </c>
      <c r="K164" s="17" t="n">
        <v>45803</v>
      </c>
      <c r="L164" s="17"/>
      <c r="M164" s="16" t="n">
        <f aca="false">IF(K164="","",EDATE(IF(L164&lt;&gt;"",L164,K164),J164))</f>
        <v>46168</v>
      </c>
      <c r="N164" s="12" t="str">
        <f aca="false">IFERROR(INDEX('Перечень должностей'!$F$2:$F$46,MATCH(H164,'Перечень должностей'!$A$2:$A$46,0)),"")</f>
        <v>Нет</v>
      </c>
      <c r="O164" s="17"/>
      <c r="P164" s="16" t="str">
        <f aca="false">IF(O164="","",EDATE(O164,60))</f>
        <v/>
      </c>
      <c r="Q164" s="12" t="str">
        <f aca="false">IF(AND(K164&lt;&gt;"",F164&lt;&gt;"",K164&gt;F164),"ДА","")</f>
        <v/>
      </c>
      <c r="R164" s="9"/>
    </row>
    <row r="165" customFormat="false" ht="26.25" hidden="false" customHeight="true" outlineLevel="0" collapsed="false">
      <c r="A165" s="15" t="n">
        <v>164</v>
      </c>
      <c r="B165" s="12" t="s">
        <v>50</v>
      </c>
      <c r="C165" s="15" t="s">
        <v>611</v>
      </c>
      <c r="D165" s="15" t="s">
        <v>612</v>
      </c>
      <c r="E165" s="15" t="s">
        <v>49</v>
      </c>
      <c r="F165" s="16" t="n">
        <v>45593</v>
      </c>
      <c r="G165" s="5" t="str">
        <f aca="false">IF(TRIM(SUBSTITUTE(SUBSTITUTE(SUBSTITUTE(SUBSTITUTE(SUBSTITUTE(SUBSTITUTE(SUBSTITUTE(SUBSTITUTE(SUBSTITUTE(SUBSTITUTE(SUBSTITUTE(LOWER(TRIM(D165)),"ё","е"),"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категории",""))="инженер",IF(AND(ISNUMBER(SEARCH("техническ",E165)),ISNUMBER(SEARCH("контрол",E165))),"инженер отк",IF(ISNUMBER(SEARCH("диспетч",E165)),"инженер пдо",TRIM(SUBSTITUTE(SUBSTITUTE(SUBSTITUTE(SUBSTITUTE(SUBSTITUTE(SUBSTITUTE(SUBSTITUTE(SUBSTITUTE(SUBSTITUTE(SUBSTITUTE(SUBSTITUTE(LOWER(TRIM(D165)),"ё","е"),"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инженер",IF(ISNUMBER(SEARCH("диспетч",E165)),"ведущий инженер пдо",TRIM(SUBSTITUTE(SUBSTITUTE(SUBSTITUTE(SUBSTITUTE(SUBSTITUTE(SUBSTITUTE(SUBSTITUTE(SUBSTITUTE(SUBSTITUTE(SUBSTITUTE(SUBSTITUTE(LOWER(TRIM(D165)),"ё","е"),"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отк",TRIM(SUBSTITUTE(SUBSTITUTE(SUBSTITUTE(SUBSTITUTE(SUBSTITUTE(SUBSTITUTE(SUBSTITUTE(SUBSTITUTE(SUBSTITUTE(SUBSTITUTE(SUBSTITUTE(LOWER(TRIM(D165)),"ё","е")," -","-"),"- ","-")," 2 разряда","")," 3 разряда","")," 4 разряда","")," 5 разряда","")," 6 разряда","")," 1 категории","")," 2 категории","")," 3 категории","")))))</f>
        <v>сборщик стеклопластиковых изделий</v>
      </c>
      <c r="H165" s="12" t="n">
        <f aca="false">IFERROR(INDEX(Соответствие!$B$2:$B$76,MATCH(G165,Соответствие!$A$2:$A$76,0)),"?")</f>
        <v>26</v>
      </c>
      <c r="I165" s="9" t="str">
        <f aca="false">IFERROR(INDEX('Перечень должностей'!$C$2:$C$46,MATCH(H165,'Перечень должностей'!$A$2:$A$46,0)),"")</f>
        <v>п.1.37.1, п.3.1.8.3, п.4.3.1, п.4.4, п.5.1, п.15</v>
      </c>
      <c r="J165" s="12" t="n">
        <f aca="false">IFERROR(INDEX('Перечень должностей'!$D$2:$D$46,MATCH(H165,'Перечень должностей'!$A$2:$A$46,0)),12)</f>
        <v>12</v>
      </c>
      <c r="K165" s="17"/>
      <c r="L165" s="17"/>
      <c r="M165" s="16" t="str">
        <f aca="false">IF(K165="","",EDATE(IF(L165&lt;&gt;"",L165,K165),J165))</f>
        <v/>
      </c>
      <c r="N165" s="12" t="str">
        <f aca="false">IFERROR(INDEX('Перечень должностей'!$F$2:$F$46,MATCH(H165,'Перечень должностей'!$A$2:$A$46,0)),"")</f>
        <v>Нет</v>
      </c>
      <c r="O165" s="17"/>
      <c r="P165" s="16" t="str">
        <f aca="false">IF(O165="","",EDATE(O165,60))</f>
        <v/>
      </c>
      <c r="Q165" s="12" t="str">
        <f aca="false">IF(AND(K165&lt;&gt;"",F165&lt;&gt;"",K165&gt;F165),"ДА","")</f>
        <v/>
      </c>
      <c r="R165" s="9"/>
    </row>
    <row r="166" customFormat="false" ht="26.25" hidden="false" customHeight="true" outlineLevel="0" collapsed="false">
      <c r="A166" s="15" t="n">
        <v>165</v>
      </c>
      <c r="B166" s="12" t="s">
        <v>50</v>
      </c>
      <c r="C166" s="15" t="s">
        <v>613</v>
      </c>
      <c r="D166" s="15" t="s">
        <v>612</v>
      </c>
      <c r="E166" s="15" t="s">
        <v>49</v>
      </c>
      <c r="F166" s="16" t="n">
        <v>44636</v>
      </c>
      <c r="G166" s="5" t="str">
        <f aca="false">IF(TRIM(SUBSTITUTE(SUBSTITUTE(SUBSTITUTE(SUBSTITUTE(SUBSTITUTE(SUBSTITUTE(SUBSTITUTE(SUBSTITUTE(SUBSTITUTE(SUBSTITUTE(SUBSTITUTE(LOWER(TRIM(D166)),"ё","е"),"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категории",""))="инженер",IF(AND(ISNUMBER(SEARCH("техническ",E166)),ISNUMBER(SEARCH("контрол",E166))),"инженер отк",IF(ISNUMBER(SEARCH("диспетч",E166)),"инженер пдо",TRIM(SUBSTITUTE(SUBSTITUTE(SUBSTITUTE(SUBSTITUTE(SUBSTITUTE(SUBSTITUTE(SUBSTITUTE(SUBSTITUTE(SUBSTITUTE(SUBSTITUTE(SUBSTITUTE(LOWER(TRIM(D166)),"ё","е"),"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инженер",IF(ISNUMBER(SEARCH("диспетч",E166)),"ведущий инженер пдо",TRIM(SUBSTITUTE(SUBSTITUTE(SUBSTITUTE(SUBSTITUTE(SUBSTITUTE(SUBSTITUTE(SUBSTITUTE(SUBSTITUTE(SUBSTITUTE(SUBSTITUTE(SUBSTITUTE(LOWER(TRIM(D166)),"ё","е"),"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отк",TRIM(SUBSTITUTE(SUBSTITUTE(SUBSTITUTE(SUBSTITUTE(SUBSTITUTE(SUBSTITUTE(SUBSTITUTE(SUBSTITUTE(SUBSTITUTE(SUBSTITUTE(SUBSTITUTE(LOWER(TRIM(D166)),"ё","е")," -","-"),"- ","-")," 2 разряда","")," 3 разряда","")," 4 разряда","")," 5 разряда","")," 6 разряда","")," 1 категории","")," 2 категории","")," 3 категории","")))))</f>
        <v>сборщик стеклопластиковых изделий</v>
      </c>
      <c r="H166" s="12" t="n">
        <f aca="false">IFERROR(INDEX(Соответствие!$B$2:$B$76,MATCH(G166,Соответствие!$A$2:$A$76,0)),"?")</f>
        <v>26</v>
      </c>
      <c r="I166" s="9" t="str">
        <f aca="false">IFERROR(INDEX('Перечень должностей'!$C$2:$C$46,MATCH(H166,'Перечень должностей'!$A$2:$A$46,0)),"")</f>
        <v>п.1.37.1, п.3.1.8.3, п.4.3.1, п.4.4, п.5.1, п.15</v>
      </c>
      <c r="J166" s="12" t="n">
        <f aca="false">IFERROR(INDEX('Перечень должностей'!$D$2:$D$46,MATCH(H166,'Перечень должностей'!$A$2:$A$46,0)),12)</f>
        <v>12</v>
      </c>
      <c r="K166" s="17"/>
      <c r="L166" s="17"/>
      <c r="M166" s="16" t="str">
        <f aca="false">IF(K166="","",EDATE(IF(L166&lt;&gt;"",L166,K166),J166))</f>
        <v/>
      </c>
      <c r="N166" s="12" t="str">
        <f aca="false">IFERROR(INDEX('Перечень должностей'!$F$2:$F$46,MATCH(H166,'Перечень должностей'!$A$2:$A$46,0)),"")</f>
        <v>Нет</v>
      </c>
      <c r="O166" s="17"/>
      <c r="P166" s="16" t="str">
        <f aca="false">IF(O166="","",EDATE(O166,60))</f>
        <v/>
      </c>
      <c r="Q166" s="12" t="str">
        <f aca="false">IF(AND(K166&lt;&gt;"",F166&lt;&gt;"",K166&gt;F166),"ДА","")</f>
        <v/>
      </c>
      <c r="R166" s="9"/>
    </row>
    <row r="167" customFormat="false" ht="26.25" hidden="false" customHeight="true" outlineLevel="0" collapsed="false">
      <c r="A167" s="15" t="n">
        <v>166</v>
      </c>
      <c r="B167" s="12" t="s">
        <v>50</v>
      </c>
      <c r="C167" s="15" t="s">
        <v>614</v>
      </c>
      <c r="D167" s="15" t="s">
        <v>615</v>
      </c>
      <c r="E167" s="15" t="s">
        <v>49</v>
      </c>
      <c r="F167" s="16" t="n">
        <v>41295</v>
      </c>
      <c r="G167" s="5" t="str">
        <f aca="false">IF(TRIM(SUBSTITUTE(SUBSTITUTE(SUBSTITUTE(SUBSTITUTE(SUBSTITUTE(SUBSTITUTE(SUBSTITUTE(SUBSTITUTE(SUBSTITUTE(SUBSTITUTE(SUBSTITUTE(LOWER(TRIM(D167)),"ё","е"),"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категории",""))="инженер",IF(AND(ISNUMBER(SEARCH("техническ",E167)),ISNUMBER(SEARCH("контрол",E167))),"инженер отк",IF(ISNUMBER(SEARCH("диспетч",E167)),"инженер пдо",TRIM(SUBSTITUTE(SUBSTITUTE(SUBSTITUTE(SUBSTITUTE(SUBSTITUTE(SUBSTITUTE(SUBSTITUTE(SUBSTITUTE(SUBSTITUTE(SUBSTITUTE(SUBSTITUTE(LOWER(TRIM(D167)),"ё","е"),"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инженер",IF(ISNUMBER(SEARCH("диспетч",E167)),"ведущий инженер пдо",TRIM(SUBSTITUTE(SUBSTITUTE(SUBSTITUTE(SUBSTITUTE(SUBSTITUTE(SUBSTITUTE(SUBSTITUTE(SUBSTITUTE(SUBSTITUTE(SUBSTITUTE(SUBSTITUTE(LOWER(TRIM(D167)),"ё","е"),"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отк",TRIM(SUBSTITUTE(SUBSTITUTE(SUBSTITUTE(SUBSTITUTE(SUBSTITUTE(SUBSTITUTE(SUBSTITUTE(SUBSTITUTE(SUBSTITUTE(SUBSTITUTE(SUBSTITUTE(LOWER(TRIM(D167)),"ё","е")," -","-"),"- ","-")," 2 разряда","")," 3 разряда","")," 4 разряда","")," 5 разряда","")," 6 разряда","")," 1 категории","")," 2 категории","")," 3 категории","")))))</f>
        <v>облицовщик деталей мебели</v>
      </c>
      <c r="H167" s="12" t="n">
        <f aca="false">IFERROR(INDEX(Соответствие!$B$2:$B$76,MATCH(G167,Соответствие!$A$2:$A$76,0)),"?")</f>
        <v>23</v>
      </c>
      <c r="I167" s="9" t="str">
        <f aca="false">IFERROR(INDEX('Перечень должностей'!$C$2:$C$46,MATCH(H167,'Перечень должностей'!$A$2:$A$46,0)),"")</f>
        <v>п.1.49.2, п.1.49.14, п.4.3.1, п.4.3.2, п.4.4, п.5.1, п.15</v>
      </c>
      <c r="J167" s="12" t="n">
        <f aca="false">IFERROR(INDEX('Перечень должностей'!$D$2:$D$46,MATCH(H167,'Перечень должностей'!$A$2:$A$46,0)),12)</f>
        <v>12</v>
      </c>
      <c r="K167" s="17"/>
      <c r="L167" s="17"/>
      <c r="M167" s="16" t="str">
        <f aca="false">IF(K167="","",EDATE(IF(L167&lt;&gt;"",L167,K167),J167))</f>
        <v/>
      </c>
      <c r="N167" s="12" t="str">
        <f aca="false">IFERROR(INDEX('Перечень должностей'!$F$2:$F$46,MATCH(H167,'Перечень должностей'!$A$2:$A$46,0)),"")</f>
        <v>-</v>
      </c>
      <c r="O167" s="17"/>
      <c r="P167" s="16" t="str">
        <f aca="false">IF(O167="","",EDATE(O167,60))</f>
        <v/>
      </c>
      <c r="Q167" s="12" t="str">
        <f aca="false">IF(AND(K167&lt;&gt;"",F167&lt;&gt;"",K167&gt;F167),"ДА","")</f>
        <v/>
      </c>
      <c r="R167" s="9"/>
    </row>
    <row r="168" customFormat="false" ht="26.25" hidden="false" customHeight="true" outlineLevel="0" collapsed="false">
      <c r="A168" s="15" t="n">
        <v>167</v>
      </c>
      <c r="B168" s="12" t="s">
        <v>50</v>
      </c>
      <c r="C168" s="15" t="s">
        <v>616</v>
      </c>
      <c r="D168" s="15" t="s">
        <v>615</v>
      </c>
      <c r="E168" s="15" t="s">
        <v>182</v>
      </c>
      <c r="F168" s="16" t="n">
        <v>45623</v>
      </c>
      <c r="G168" s="5" t="str">
        <f aca="false">IF(TRIM(SUBSTITUTE(SUBSTITUTE(SUBSTITUTE(SUBSTITUTE(SUBSTITUTE(SUBSTITUTE(SUBSTITUTE(SUBSTITUTE(SUBSTITUTE(SUBSTITUTE(SUBSTITUTE(LOWER(TRIM(D168)),"ё","е"),"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категории",""))="инженер",IF(AND(ISNUMBER(SEARCH("техническ",E168)),ISNUMBER(SEARCH("контрол",E168))),"инженер отк",IF(ISNUMBER(SEARCH("диспетч",E168)),"инженер пдо",TRIM(SUBSTITUTE(SUBSTITUTE(SUBSTITUTE(SUBSTITUTE(SUBSTITUTE(SUBSTITUTE(SUBSTITUTE(SUBSTITUTE(SUBSTITUTE(SUBSTITUTE(SUBSTITUTE(LOWER(TRIM(D168)),"ё","е"),"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инженер",IF(ISNUMBER(SEARCH("диспетч",E168)),"ведущий инженер пдо",TRIM(SUBSTITUTE(SUBSTITUTE(SUBSTITUTE(SUBSTITUTE(SUBSTITUTE(SUBSTITUTE(SUBSTITUTE(SUBSTITUTE(SUBSTITUTE(SUBSTITUTE(SUBSTITUTE(LOWER(TRIM(D168)),"ё","е"),"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отк",TRIM(SUBSTITUTE(SUBSTITUTE(SUBSTITUTE(SUBSTITUTE(SUBSTITUTE(SUBSTITUTE(SUBSTITUTE(SUBSTITUTE(SUBSTITUTE(SUBSTITUTE(SUBSTITUTE(LOWER(TRIM(D168)),"ё","е")," -","-"),"- ","-")," 2 разряда","")," 3 разряда","")," 4 разряда","")," 5 разряда","")," 6 разряда","")," 1 категории","")," 2 категории","")," 3 категории","")))))</f>
        <v>облицовщик деталей мебели</v>
      </c>
      <c r="H168" s="12" t="n">
        <f aca="false">IFERROR(INDEX(Соответствие!$B$2:$B$76,MATCH(G168,Соответствие!$A$2:$A$76,0)),"?")</f>
        <v>23</v>
      </c>
      <c r="I168" s="9" t="str">
        <f aca="false">IFERROR(INDEX('Перечень должностей'!$C$2:$C$46,MATCH(H168,'Перечень должностей'!$A$2:$A$46,0)),"")</f>
        <v>п.1.49.2, п.1.49.14, п.4.3.1, п.4.3.2, п.4.4, п.5.1, п.15</v>
      </c>
      <c r="J168" s="12" t="n">
        <f aca="false">IFERROR(INDEX('Перечень должностей'!$D$2:$D$46,MATCH(H168,'Перечень должностей'!$A$2:$A$46,0)),12)</f>
        <v>12</v>
      </c>
      <c r="K168" s="17"/>
      <c r="L168" s="17"/>
      <c r="M168" s="16" t="str">
        <f aca="false">IF(K168="","",EDATE(IF(L168&lt;&gt;"",L168,K168),J168))</f>
        <v/>
      </c>
      <c r="N168" s="12" t="str">
        <f aca="false">IFERROR(INDEX('Перечень должностей'!$F$2:$F$46,MATCH(H168,'Перечень должностей'!$A$2:$A$46,0)),"")</f>
        <v>-</v>
      </c>
      <c r="O168" s="17"/>
      <c r="P168" s="16" t="str">
        <f aca="false">IF(O168="","",EDATE(O168,60))</f>
        <v/>
      </c>
      <c r="Q168" s="12" t="str">
        <f aca="false">IF(AND(K168&lt;&gt;"",F168&lt;&gt;"",K168&gt;F168),"ДА","")</f>
        <v/>
      </c>
      <c r="R168" s="9"/>
    </row>
    <row r="169" customFormat="false" ht="26.25" hidden="false" customHeight="true" outlineLevel="0" collapsed="false">
      <c r="A169" s="15" t="n">
        <v>168</v>
      </c>
      <c r="B169" s="12" t="s">
        <v>50</v>
      </c>
      <c r="C169" s="15" t="s">
        <v>141</v>
      </c>
      <c r="D169" s="15" t="s">
        <v>188</v>
      </c>
      <c r="E169" s="15" t="s">
        <v>49</v>
      </c>
      <c r="F169" s="16" t="n">
        <v>41061</v>
      </c>
      <c r="G169" s="5" t="str">
        <f aca="false">IF(TRIM(SUBSTITUTE(SUBSTITUTE(SUBSTITUTE(SUBSTITUTE(SUBSTITUTE(SUBSTITUTE(SUBSTITUTE(SUBSTITUTE(SUBSTITUTE(SUBSTITUTE(SUBSTITUTE(LOWER(TRIM(D169)),"ё","е"),"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категории",""))="инженер",IF(AND(ISNUMBER(SEARCH("техническ",E169)),ISNUMBER(SEARCH("контрол",E169))),"инженер отк",IF(ISNUMBER(SEARCH("диспетч",E169)),"инженер пдо",TRIM(SUBSTITUTE(SUBSTITUTE(SUBSTITUTE(SUBSTITUTE(SUBSTITUTE(SUBSTITUTE(SUBSTITUTE(SUBSTITUTE(SUBSTITUTE(SUBSTITUTE(SUBSTITUTE(LOWER(TRIM(D169)),"ё","е"),"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инженер",IF(ISNUMBER(SEARCH("диспетч",E169)),"ведущий инженер пдо",TRIM(SUBSTITUTE(SUBSTITUTE(SUBSTITUTE(SUBSTITUTE(SUBSTITUTE(SUBSTITUTE(SUBSTITUTE(SUBSTITUTE(SUBSTITUTE(SUBSTITUTE(SUBSTITUTE(LOWER(TRIM(D169)),"ё","е"),"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отк",TRIM(SUBSTITUTE(SUBSTITUTE(SUBSTITUTE(SUBSTITUTE(SUBSTITUTE(SUBSTITUTE(SUBSTITUTE(SUBSTITUTE(SUBSTITUTE(SUBSTITUTE(SUBSTITUTE(LOWER(TRIM(D169)),"ё","е")," -","-"),"- ","-")," 2 разряда","")," 3 разряда","")," 4 разряда","")," 5 разряда","")," 6 разряда","")," 1 категории","")," 2 категории","")," 3 категории","")))))</f>
        <v>инженер-программист станков с чпу</v>
      </c>
      <c r="H169" s="12" t="str">
        <f aca="false">IFERROR(INDEX(Соответствие!$B$2:$B$76,MATCH(G169,Соответствие!$A$2:$A$76,0)),"?")</f>
        <v>?</v>
      </c>
      <c r="I169" s="9" t="str">
        <f aca="false">IFERROR(INDEX('Перечень должностей'!$C$2:$C$46,MATCH(H169,'Перечень должностей'!$A$2:$A$46,0)),"")</f>
        <v>п.4.3.1, п.4.4, п.4.7, п.4.8, п.5.1, п.6.1</v>
      </c>
      <c r="J169" s="12" t="n">
        <f aca="false">IFERROR(INDEX('Перечень должностей'!$D$2:$D$46,MATCH(H169,'Перечень должностей'!$A$2:$A$46,0)),12)</f>
        <v>12</v>
      </c>
      <c r="K169" s="17"/>
      <c r="L169" s="17"/>
      <c r="M169" s="16" t="str">
        <f aca="false">IF(K169="","",EDATE(IF(L169&lt;&gt;"",L169,K169),J169))</f>
        <v/>
      </c>
      <c r="N169" s="12" t="str">
        <f aca="false">IFERROR(INDEX('Перечень должностей'!$F$2:$F$46,MATCH(H169,'Перечень должностей'!$A$2:$A$46,0)),"")</f>
        <v>-</v>
      </c>
      <c r="O169" s="17"/>
      <c r="P169" s="16" t="str">
        <f aca="false">IF(O169="","",EDATE(O169,60))</f>
        <v/>
      </c>
      <c r="Q169" s="12" t="str">
        <f aca="false">IF(AND(K169&lt;&gt;"",F169&lt;&gt;"",K169&gt;F169),"ДА","")</f>
        <v/>
      </c>
      <c r="R169" s="18" t="s">
        <v>142</v>
      </c>
    </row>
    <row r="170" customFormat="false" ht="26.25" hidden="false" customHeight="true" outlineLevel="0" collapsed="false">
      <c r="A170" s="15" t="n">
        <v>169</v>
      </c>
      <c r="B170" s="12" t="s">
        <v>50</v>
      </c>
      <c r="C170" s="15" t="s">
        <v>617</v>
      </c>
      <c r="D170" s="15" t="s">
        <v>353</v>
      </c>
      <c r="E170" s="15" t="s">
        <v>49</v>
      </c>
      <c r="F170" s="16" t="n">
        <v>45125</v>
      </c>
      <c r="G170" s="5" t="str">
        <f aca="false">IF(TRIM(SUBSTITUTE(SUBSTITUTE(SUBSTITUTE(SUBSTITUTE(SUBSTITUTE(SUBSTITUTE(SUBSTITUTE(SUBSTITUTE(SUBSTITUTE(SUBSTITUTE(SUBSTITUTE(LOWER(TRIM(D170)),"ё","е"),"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категории",""))="инженер",IF(AND(ISNUMBER(SEARCH("техническ",E170)),ISNUMBER(SEARCH("контрол",E170))),"инженер отк",IF(ISNUMBER(SEARCH("диспетч",E170)),"инженер пдо",TRIM(SUBSTITUTE(SUBSTITUTE(SUBSTITUTE(SUBSTITUTE(SUBSTITUTE(SUBSTITUTE(SUBSTITUTE(SUBSTITUTE(SUBSTITUTE(SUBSTITUTE(SUBSTITUTE(LOWER(TRIM(D170)),"ё","е"),"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инженер",IF(ISNUMBER(SEARCH("диспетч",E170)),"ведущий инженер пдо",TRIM(SUBSTITUTE(SUBSTITUTE(SUBSTITUTE(SUBSTITUTE(SUBSTITUTE(SUBSTITUTE(SUBSTITUTE(SUBSTITUTE(SUBSTITUTE(SUBSTITUTE(SUBSTITUTE(LOWER(TRIM(D170)),"ё","е"),"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отк",TRIM(SUBSTITUTE(SUBSTITUTE(SUBSTITUTE(SUBSTITUTE(SUBSTITUTE(SUBSTITUTE(SUBSTITUTE(SUBSTITUTE(SUBSTITUTE(SUBSTITUTE(SUBSTITUTE(LOWER(TRIM(D170)),"ё","е")," -","-"),"- ","-")," 2 разряда","")," 3 разряда","")," 4 разряда","")," 5 разряда","")," 6 разряда","")," 1 категории","")," 2 категории","")," 3 категории","")))))</f>
        <v>оператор-наладчик станков с чпу</v>
      </c>
      <c r="H170" s="12" t="n">
        <f aca="false">IFERROR(INDEX(Соответствие!$B$2:$B$76,MATCH(G170,Соответствие!$A$2:$A$76,0)),"?")</f>
        <v>25</v>
      </c>
      <c r="I170" s="9" t="str">
        <f aca="false">IFERROR(INDEX('Перечень должностей'!$C$2:$C$46,MATCH(H170,'Перечень должностей'!$A$2:$A$46,0)),"")</f>
        <v>п.4.3.1, п.4.3.2, п.4.4, п.5.1, п.5.2, п.15</v>
      </c>
      <c r="J170" s="12" t="n">
        <f aca="false">IFERROR(INDEX('Перечень должностей'!$D$2:$D$46,MATCH(H170,'Перечень должностей'!$A$2:$A$46,0)),12)</f>
        <v>12</v>
      </c>
      <c r="K170" s="17"/>
      <c r="L170" s="17"/>
      <c r="M170" s="16" t="str">
        <f aca="false">IF(K170="","",EDATE(IF(L170&lt;&gt;"",L170,K170),J170))</f>
        <v/>
      </c>
      <c r="N170" s="12" t="str">
        <f aca="false">IFERROR(INDEX('Перечень должностей'!$F$2:$F$46,MATCH(H170,'Перечень должностей'!$A$2:$A$46,0)),"")</f>
        <v>-</v>
      </c>
      <c r="O170" s="17"/>
      <c r="P170" s="16" t="str">
        <f aca="false">IF(O170="","",EDATE(O170,60))</f>
        <v/>
      </c>
      <c r="Q170" s="12" t="str">
        <f aca="false">IF(AND(K170&lt;&gt;"",F170&lt;&gt;"",K170&gt;F170),"ДА","")</f>
        <v/>
      </c>
      <c r="R170" s="9"/>
    </row>
    <row r="171" customFormat="false" ht="26.25" hidden="false" customHeight="true" outlineLevel="0" collapsed="false">
      <c r="A171" s="15" t="n">
        <v>170</v>
      </c>
      <c r="B171" s="12" t="s">
        <v>50</v>
      </c>
      <c r="C171" s="15" t="s">
        <v>618</v>
      </c>
      <c r="D171" s="15" t="s">
        <v>619</v>
      </c>
      <c r="E171" s="15" t="s">
        <v>182</v>
      </c>
      <c r="F171" s="16" t="n">
        <v>45999</v>
      </c>
      <c r="G171" s="5" t="str">
        <f aca="false">IF(TRIM(SUBSTITUTE(SUBSTITUTE(SUBSTITUTE(SUBSTITUTE(SUBSTITUTE(SUBSTITUTE(SUBSTITUTE(SUBSTITUTE(SUBSTITUTE(SUBSTITUTE(SUBSTITUTE(LOWER(TRIM(D171)),"ё","е"),"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категории",""))="инженер",IF(AND(ISNUMBER(SEARCH("техническ",E171)),ISNUMBER(SEARCH("контрол",E171))),"инженер отк",IF(ISNUMBER(SEARCH("диспетч",E171)),"инженер пдо",TRIM(SUBSTITUTE(SUBSTITUTE(SUBSTITUTE(SUBSTITUTE(SUBSTITUTE(SUBSTITUTE(SUBSTITUTE(SUBSTITUTE(SUBSTITUTE(SUBSTITUTE(SUBSTITUTE(LOWER(TRIM(D171)),"ё","е"),"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инженер",IF(ISNUMBER(SEARCH("диспетч",E171)),"ведущий инженер пдо",TRIM(SUBSTITUTE(SUBSTITUTE(SUBSTITUTE(SUBSTITUTE(SUBSTITUTE(SUBSTITUTE(SUBSTITUTE(SUBSTITUTE(SUBSTITUTE(SUBSTITUTE(SUBSTITUTE(LOWER(TRIM(D171)),"ё","е"),"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отк",TRIM(SUBSTITUTE(SUBSTITUTE(SUBSTITUTE(SUBSTITUTE(SUBSTITUTE(SUBSTITUTE(SUBSTITUTE(SUBSTITUTE(SUBSTITUTE(SUBSTITUTE(SUBSTITUTE(LOWER(TRIM(D171)),"ё","е")," -","-"),"- ","-")," 2 разряда","")," 3 разряда","")," 4 разряда","")," 5 разряда","")," 6 разряда","")," 1 категории","")," 2 категории","")," 3 категории","")))))</f>
        <v>сборщик стеклопластиковых изделий</v>
      </c>
      <c r="H171" s="12" t="n">
        <f aca="false">IFERROR(INDEX(Соответствие!$B$2:$B$76,MATCH(G171,Соответствие!$A$2:$A$76,0)),"?")</f>
        <v>26</v>
      </c>
      <c r="I171" s="9" t="str">
        <f aca="false">IFERROR(INDEX('Перечень должностей'!$C$2:$C$46,MATCH(H171,'Перечень должностей'!$A$2:$A$46,0)),"")</f>
        <v>п.1.37.1, п.3.1.8.3, п.4.3.1, п.4.4, п.5.1, п.15</v>
      </c>
      <c r="J171" s="12" t="n">
        <f aca="false">IFERROR(INDEX('Перечень должностей'!$D$2:$D$46,MATCH(H171,'Перечень должностей'!$A$2:$A$46,0)),12)</f>
        <v>12</v>
      </c>
      <c r="K171" s="17"/>
      <c r="L171" s="17"/>
      <c r="M171" s="16" t="str">
        <f aca="false">IF(K171="","",EDATE(IF(L171&lt;&gt;"",L171,K171),J171))</f>
        <v/>
      </c>
      <c r="N171" s="12" t="str">
        <f aca="false">IFERROR(INDEX('Перечень должностей'!$F$2:$F$46,MATCH(H171,'Перечень должностей'!$A$2:$A$46,0)),"")</f>
        <v>Нет</v>
      </c>
      <c r="O171" s="17"/>
      <c r="P171" s="16" t="str">
        <f aca="false">IF(O171="","",EDATE(O171,60))</f>
        <v/>
      </c>
      <c r="Q171" s="12" t="str">
        <f aca="false">IF(AND(K171&lt;&gt;"",F171&lt;&gt;"",K171&gt;F171),"ДА","")</f>
        <v/>
      </c>
      <c r="R171" s="9"/>
    </row>
    <row r="172" customFormat="false" ht="26.25" hidden="false" customHeight="true" outlineLevel="0" collapsed="false">
      <c r="A172" s="15" t="n">
        <v>171</v>
      </c>
      <c r="B172" s="12" t="s">
        <v>50</v>
      </c>
      <c r="C172" s="15" t="s">
        <v>143</v>
      </c>
      <c r="D172" s="15" t="s">
        <v>620</v>
      </c>
      <c r="E172" s="15" t="s">
        <v>182</v>
      </c>
      <c r="F172" s="16" t="n">
        <v>45719</v>
      </c>
      <c r="G172" s="5" t="str">
        <f aca="false">IF(TRIM(SUBSTITUTE(SUBSTITUTE(SUBSTITUTE(SUBSTITUTE(SUBSTITUTE(SUBSTITUTE(SUBSTITUTE(SUBSTITUTE(SUBSTITUTE(SUBSTITUTE(SUBSTITUTE(LOWER(TRIM(D172)),"ё","е"),"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категории",""))="инженер",IF(AND(ISNUMBER(SEARCH("техническ",E172)),ISNUMBER(SEARCH("контрол",E172))),"инженер отк",IF(ISNUMBER(SEARCH("диспетч",E172)),"инженер пдо",TRIM(SUBSTITUTE(SUBSTITUTE(SUBSTITUTE(SUBSTITUTE(SUBSTITUTE(SUBSTITUTE(SUBSTITUTE(SUBSTITUTE(SUBSTITUTE(SUBSTITUTE(SUBSTITUTE(LOWER(TRIM(D172)),"ё","е"),"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инженер",IF(ISNUMBER(SEARCH("диспетч",E172)),"ведущий инженер пдо",TRIM(SUBSTITUTE(SUBSTITUTE(SUBSTITUTE(SUBSTITUTE(SUBSTITUTE(SUBSTITUTE(SUBSTITUTE(SUBSTITUTE(SUBSTITUTE(SUBSTITUTE(SUBSTITUTE(LOWER(TRIM(D172)),"ё","е"),"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отк",TRIM(SUBSTITUTE(SUBSTITUTE(SUBSTITUTE(SUBSTITUTE(SUBSTITUTE(SUBSTITUTE(SUBSTITUTE(SUBSTITUTE(SUBSTITUTE(SUBSTITUTE(SUBSTITUTE(LOWER(TRIM(D172)),"ё","е")," -","-"),"- ","-")," 2 разряда","")," 3 разряда","")," 4 разряда","")," 5 разряда","")," 6 разряда","")," 1 категории","")," 2 категории","")," 3 категории","")))))</f>
        <v>облицовщик деталей мебели</v>
      </c>
      <c r="H172" s="12" t="n">
        <f aca="false">IFERROR(INDEX(Соответствие!$B$2:$B$76,MATCH(G172,Соответствие!$A$2:$A$76,0)),"?")</f>
        <v>23</v>
      </c>
      <c r="I172" s="9" t="str">
        <f aca="false">IFERROR(INDEX('Перечень должностей'!$C$2:$C$46,MATCH(H172,'Перечень должностей'!$A$2:$A$46,0)),"")</f>
        <v>п.1.49.2, п.1.49.14, п.4.3.1, п.4.3.2, п.4.4, п.5.1, п.15</v>
      </c>
      <c r="J172" s="12" t="n">
        <f aca="false">IFERROR(INDEX('Перечень должностей'!$D$2:$D$46,MATCH(H172,'Перечень должностей'!$A$2:$A$46,0)),12)</f>
        <v>12</v>
      </c>
      <c r="K172" s="17"/>
      <c r="L172" s="17"/>
      <c r="M172" s="16" t="str">
        <f aca="false">IF(K172="","",EDATE(IF(L172&lt;&gt;"",L172,K172),J172))</f>
        <v/>
      </c>
      <c r="N172" s="12" t="str">
        <f aca="false">IFERROR(INDEX('Перечень должностей'!$F$2:$F$46,MATCH(H172,'Перечень должностей'!$A$2:$A$46,0)),"")</f>
        <v>-</v>
      </c>
      <c r="O172" s="17"/>
      <c r="P172" s="16" t="str">
        <f aca="false">IF(O172="","",EDATE(O172,60))</f>
        <v/>
      </c>
      <c r="Q172" s="12" t="str">
        <f aca="false">IF(AND(K172&lt;&gt;"",F172&lt;&gt;"",K172&gt;F172),"ДА","")</f>
        <v/>
      </c>
      <c r="R172" s="18" t="s">
        <v>144</v>
      </c>
    </row>
    <row r="173" customFormat="false" ht="26.25" hidden="false" customHeight="true" outlineLevel="0" collapsed="false">
      <c r="A173" s="15" t="n">
        <v>172</v>
      </c>
      <c r="B173" s="12" t="s">
        <v>50</v>
      </c>
      <c r="C173" s="15" t="s">
        <v>621</v>
      </c>
      <c r="D173" s="15" t="s">
        <v>619</v>
      </c>
      <c r="E173" s="15" t="s">
        <v>49</v>
      </c>
      <c r="F173" s="16" t="n">
        <v>46036</v>
      </c>
      <c r="G173" s="5" t="str">
        <f aca="false">IF(TRIM(SUBSTITUTE(SUBSTITUTE(SUBSTITUTE(SUBSTITUTE(SUBSTITUTE(SUBSTITUTE(SUBSTITUTE(SUBSTITUTE(SUBSTITUTE(SUBSTITUTE(SUBSTITUTE(LOWER(TRIM(D173)),"ё","е"),"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категории",""))="инженер",IF(AND(ISNUMBER(SEARCH("техническ",E173)),ISNUMBER(SEARCH("контрол",E173))),"инженер отк",IF(ISNUMBER(SEARCH("диспетч",E173)),"инженер пдо",TRIM(SUBSTITUTE(SUBSTITUTE(SUBSTITUTE(SUBSTITUTE(SUBSTITUTE(SUBSTITUTE(SUBSTITUTE(SUBSTITUTE(SUBSTITUTE(SUBSTITUTE(SUBSTITUTE(LOWER(TRIM(D173)),"ё","е"),"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инженер",IF(ISNUMBER(SEARCH("диспетч",E173)),"ведущий инженер пдо",TRIM(SUBSTITUTE(SUBSTITUTE(SUBSTITUTE(SUBSTITUTE(SUBSTITUTE(SUBSTITUTE(SUBSTITUTE(SUBSTITUTE(SUBSTITUTE(SUBSTITUTE(SUBSTITUTE(LOWER(TRIM(D173)),"ё","е"),"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отк",TRIM(SUBSTITUTE(SUBSTITUTE(SUBSTITUTE(SUBSTITUTE(SUBSTITUTE(SUBSTITUTE(SUBSTITUTE(SUBSTITUTE(SUBSTITUTE(SUBSTITUTE(SUBSTITUTE(LOWER(TRIM(D173)),"ё","е")," -","-"),"- ","-")," 2 разряда","")," 3 разряда","")," 4 разряда","")," 5 разряда","")," 6 разряда","")," 1 категории","")," 2 категории","")," 3 категории","")))))</f>
        <v>сборщик стеклопластиковых изделий</v>
      </c>
      <c r="H173" s="12" t="n">
        <f aca="false">IFERROR(INDEX(Соответствие!$B$2:$B$76,MATCH(G173,Соответствие!$A$2:$A$76,0)),"?")</f>
        <v>26</v>
      </c>
      <c r="I173" s="9" t="str">
        <f aca="false">IFERROR(INDEX('Перечень должностей'!$C$2:$C$46,MATCH(H173,'Перечень должностей'!$A$2:$A$46,0)),"")</f>
        <v>п.1.37.1, п.3.1.8.3, п.4.3.1, п.4.4, п.5.1, п.15</v>
      </c>
      <c r="J173" s="12" t="n">
        <f aca="false">IFERROR(INDEX('Перечень должностей'!$D$2:$D$46,MATCH(H173,'Перечень должностей'!$A$2:$A$46,0)),12)</f>
        <v>12</v>
      </c>
      <c r="K173" s="17"/>
      <c r="L173" s="17"/>
      <c r="M173" s="16" t="str">
        <f aca="false">IF(K173="","",EDATE(IF(L173&lt;&gt;"",L173,K173),J173))</f>
        <v/>
      </c>
      <c r="N173" s="12" t="str">
        <f aca="false">IFERROR(INDEX('Перечень должностей'!$F$2:$F$46,MATCH(H173,'Перечень должностей'!$A$2:$A$46,0)),"")</f>
        <v>Нет</v>
      </c>
      <c r="O173" s="17"/>
      <c r="P173" s="16" t="str">
        <f aca="false">IF(O173="","",EDATE(O173,60))</f>
        <v/>
      </c>
      <c r="Q173" s="12" t="str">
        <f aca="false">IF(AND(K173&lt;&gt;"",F173&lt;&gt;"",K173&gt;F173),"ДА","")</f>
        <v/>
      </c>
      <c r="R173" s="9"/>
    </row>
    <row r="174" customFormat="false" ht="26.25" hidden="false" customHeight="true" outlineLevel="0" collapsed="false">
      <c r="A174" s="15" t="n">
        <v>173</v>
      </c>
      <c r="B174" s="12" t="s">
        <v>50</v>
      </c>
      <c r="C174" s="15" t="s">
        <v>622</v>
      </c>
      <c r="D174" s="15" t="s">
        <v>619</v>
      </c>
      <c r="E174" s="15" t="s">
        <v>49</v>
      </c>
      <c r="F174" s="16" t="n">
        <v>46051</v>
      </c>
      <c r="G174" s="5" t="str">
        <f aca="false">IF(TRIM(SUBSTITUTE(SUBSTITUTE(SUBSTITUTE(SUBSTITUTE(SUBSTITUTE(SUBSTITUTE(SUBSTITUTE(SUBSTITUTE(SUBSTITUTE(SUBSTITUTE(SUBSTITUTE(LOWER(TRIM(D174)),"ё","е"),"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категории",""))="инженер",IF(AND(ISNUMBER(SEARCH("техническ",E174)),ISNUMBER(SEARCH("контрол",E174))),"инженер отк",IF(ISNUMBER(SEARCH("диспетч",E174)),"инженер пдо",TRIM(SUBSTITUTE(SUBSTITUTE(SUBSTITUTE(SUBSTITUTE(SUBSTITUTE(SUBSTITUTE(SUBSTITUTE(SUBSTITUTE(SUBSTITUTE(SUBSTITUTE(SUBSTITUTE(LOWER(TRIM(D174)),"ё","е"),"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инженер",IF(ISNUMBER(SEARCH("диспетч",E174)),"ведущий инженер пдо",TRIM(SUBSTITUTE(SUBSTITUTE(SUBSTITUTE(SUBSTITUTE(SUBSTITUTE(SUBSTITUTE(SUBSTITUTE(SUBSTITUTE(SUBSTITUTE(SUBSTITUTE(SUBSTITUTE(LOWER(TRIM(D174)),"ё","е"),"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отк",TRIM(SUBSTITUTE(SUBSTITUTE(SUBSTITUTE(SUBSTITUTE(SUBSTITUTE(SUBSTITUTE(SUBSTITUTE(SUBSTITUTE(SUBSTITUTE(SUBSTITUTE(SUBSTITUTE(LOWER(TRIM(D174)),"ё","е")," -","-"),"- ","-")," 2 разряда","")," 3 разряда","")," 4 разряда","")," 5 разряда","")," 6 разряда","")," 1 категории","")," 2 категории","")," 3 категории","")))))</f>
        <v>сборщик стеклопластиковых изделий</v>
      </c>
      <c r="H174" s="12" t="n">
        <f aca="false">IFERROR(INDEX(Соответствие!$B$2:$B$76,MATCH(G174,Соответствие!$A$2:$A$76,0)),"?")</f>
        <v>26</v>
      </c>
      <c r="I174" s="9" t="str">
        <f aca="false">IFERROR(INDEX('Перечень должностей'!$C$2:$C$46,MATCH(H174,'Перечень должностей'!$A$2:$A$46,0)),"")</f>
        <v>п.1.37.1, п.3.1.8.3, п.4.3.1, п.4.4, п.5.1, п.15</v>
      </c>
      <c r="J174" s="12" t="n">
        <f aca="false">IFERROR(INDEX('Перечень должностей'!$D$2:$D$46,MATCH(H174,'Перечень должностей'!$A$2:$A$46,0)),12)</f>
        <v>12</v>
      </c>
      <c r="K174" s="17"/>
      <c r="L174" s="17"/>
      <c r="M174" s="16" t="str">
        <f aca="false">IF(K174="","",EDATE(IF(L174&lt;&gt;"",L174,K174),J174))</f>
        <v/>
      </c>
      <c r="N174" s="12" t="str">
        <f aca="false">IFERROR(INDEX('Перечень должностей'!$F$2:$F$46,MATCH(H174,'Перечень должностей'!$A$2:$A$46,0)),"")</f>
        <v>Нет</v>
      </c>
      <c r="O174" s="17"/>
      <c r="P174" s="16" t="str">
        <f aca="false">IF(O174="","",EDATE(O174,60))</f>
        <v/>
      </c>
      <c r="Q174" s="12" t="str">
        <f aca="false">IF(AND(K174&lt;&gt;"",F174&lt;&gt;"",K174&gt;F174),"ДА","")</f>
        <v/>
      </c>
      <c r="R174" s="9"/>
    </row>
    <row r="175" customFormat="false" ht="26.25" hidden="false" customHeight="true" outlineLevel="0" collapsed="false">
      <c r="A175" s="15" t="n">
        <v>174</v>
      </c>
      <c r="B175" s="12" t="s">
        <v>50</v>
      </c>
      <c r="C175" s="15" t="s">
        <v>145</v>
      </c>
      <c r="D175" s="15" t="s">
        <v>623</v>
      </c>
      <c r="E175" s="15" t="s">
        <v>182</v>
      </c>
      <c r="F175" s="16" t="n">
        <v>46181</v>
      </c>
      <c r="G175" s="5" t="str">
        <f aca="false">IF(TRIM(SUBSTITUTE(SUBSTITUTE(SUBSTITUTE(SUBSTITUTE(SUBSTITUTE(SUBSTITUTE(SUBSTITUTE(SUBSTITUTE(SUBSTITUTE(SUBSTITUTE(SUBSTITUTE(LOWER(TRIM(D175)),"ё","е"),"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категории",""))="инженер",IF(AND(ISNUMBER(SEARCH("техническ",E175)),ISNUMBER(SEARCH("контрол",E175))),"инженер отк",IF(ISNUMBER(SEARCH("диспетч",E175)),"инженер пдо",TRIM(SUBSTITUTE(SUBSTITUTE(SUBSTITUTE(SUBSTITUTE(SUBSTITUTE(SUBSTITUTE(SUBSTITUTE(SUBSTITUTE(SUBSTITUTE(SUBSTITUTE(SUBSTITUTE(LOWER(TRIM(D175)),"ё","е"),"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инженер",IF(ISNUMBER(SEARCH("диспетч",E175)),"ведущий инженер пдо",TRIM(SUBSTITUTE(SUBSTITUTE(SUBSTITUTE(SUBSTITUTE(SUBSTITUTE(SUBSTITUTE(SUBSTITUTE(SUBSTITUTE(SUBSTITUTE(SUBSTITUTE(SUBSTITUTE(LOWER(TRIM(D175)),"ё","е"),"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отк",TRIM(SUBSTITUTE(SUBSTITUTE(SUBSTITUTE(SUBSTITUTE(SUBSTITUTE(SUBSTITUTE(SUBSTITUTE(SUBSTITUTE(SUBSTITUTE(SUBSTITUTE(SUBSTITUTE(LOWER(TRIM(D175)),"ё","е"),"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175" s="12" t="n">
        <f aca="false">IFERROR(INDEX(Соответствие!$B$2:$B$76,MATCH(G175,Соответствие!$A$2:$A$76,0)),"?")</f>
        <v>21</v>
      </c>
      <c r="I175" s="9" t="str">
        <f aca="false">IFERROR(INDEX('Перечень должностей'!$C$2:$C$46,MATCH(H175,'Перечень должностей'!$A$2:$A$46,0)),"")</f>
        <v>п.1.49.2, п.1.49.14, п.4.3.1, п.4.3.2, п.4.4, п.5.1, п.15</v>
      </c>
      <c r="J175" s="12" t="n">
        <f aca="false">IFERROR(INDEX('Перечень должностей'!$D$2:$D$46,MATCH(H175,'Перечень должностей'!$A$2:$A$46,0)),12)</f>
        <v>12</v>
      </c>
      <c r="K175" s="17" t="n">
        <v>46171</v>
      </c>
      <c r="L175" s="17"/>
      <c r="M175" s="16" t="n">
        <f aca="false">IF(K175="","",EDATE(IF(L175&lt;&gt;"",L175,K175),J175))</f>
        <v>46536</v>
      </c>
      <c r="N175" s="12" t="str">
        <f aca="false">IFERROR(INDEX('Перечень должностей'!$F$2:$F$46,MATCH(H175,'Перечень должностей'!$A$2:$A$46,0)),"")</f>
        <v>-</v>
      </c>
      <c r="O175" s="17"/>
      <c r="P175" s="16" t="str">
        <f aca="false">IF(O175="","",EDATE(O175,60))</f>
        <v/>
      </c>
      <c r="Q175" s="12" t="str">
        <f aca="false">IF(AND(K175&lt;&gt;"",F175&lt;&gt;"",K175&gt;F175),"ДА","")</f>
        <v/>
      </c>
      <c r="R175" s="18" t="s">
        <v>146</v>
      </c>
    </row>
    <row r="176" customFormat="false" ht="26.25" hidden="false" customHeight="true" outlineLevel="0" collapsed="false">
      <c r="A176" s="15" t="n">
        <v>175</v>
      </c>
      <c r="B176" s="12" t="s">
        <v>50</v>
      </c>
      <c r="C176" s="15" t="s">
        <v>624</v>
      </c>
      <c r="D176" s="15" t="s">
        <v>60</v>
      </c>
      <c r="E176" s="15" t="s">
        <v>187</v>
      </c>
      <c r="F176" s="16" t="n">
        <v>39734</v>
      </c>
      <c r="G176" s="5" t="str">
        <f aca="false">IF(TRIM(SUBSTITUTE(SUBSTITUTE(SUBSTITUTE(SUBSTITUTE(SUBSTITUTE(SUBSTITUTE(SUBSTITUTE(SUBSTITUTE(SUBSTITUTE(SUBSTITUTE(SUBSTITUTE(LOWER(TRIM(D176)),"ё","е"),"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категории",""))="инженер",IF(AND(ISNUMBER(SEARCH("техническ",E176)),ISNUMBER(SEARCH("контрол",E176))),"инженер отк",IF(ISNUMBER(SEARCH("диспетч",E176)),"инженер пдо",TRIM(SUBSTITUTE(SUBSTITUTE(SUBSTITUTE(SUBSTITUTE(SUBSTITUTE(SUBSTITUTE(SUBSTITUTE(SUBSTITUTE(SUBSTITUTE(SUBSTITUTE(SUBSTITUTE(LOWER(TRIM(D176)),"ё","е"),"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инженер",IF(ISNUMBER(SEARCH("диспетч",E176)),"ведущий инженер пдо",TRIM(SUBSTITUTE(SUBSTITUTE(SUBSTITUTE(SUBSTITUTE(SUBSTITUTE(SUBSTITUTE(SUBSTITUTE(SUBSTITUTE(SUBSTITUTE(SUBSTITUTE(SUBSTITUTE(LOWER(TRIM(D176)),"ё","е"),"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отк",TRIM(SUBSTITUTE(SUBSTITUTE(SUBSTITUTE(SUBSTITUTE(SUBSTITUTE(SUBSTITUTE(SUBSTITUTE(SUBSTITUTE(SUBSTITUTE(SUBSTITUTE(SUBSTITUTE(LOWER(TRIM(D176)),"ё","е")," -","-"),"- ","-")," 2 разряда","")," 3 разряда","")," 4 разряда","")," 5 разряда","")," 6 разряда","")," 1 категории","")," 2 категории","")," 3 категории","")))))</f>
        <v>мастер участка</v>
      </c>
      <c r="H176" s="12" t="n">
        <f aca="false">IFERROR(INDEX(Соответствие!$B$2:$B$76,MATCH(G176,Соответствие!$A$2:$A$76,0)),"?")</f>
        <v>18</v>
      </c>
      <c r="I176" s="9" t="str">
        <f aca="false">IFERROR(INDEX('Перечень должностей'!$C$2:$C$46,MATCH(H176,'Перечень должностей'!$A$2:$A$46,0)),"")</f>
        <v>п.4.4, п.5.1, п.5.2</v>
      </c>
      <c r="J176" s="12" t="n">
        <f aca="false">IFERROR(INDEX('Перечень должностей'!$D$2:$D$46,MATCH(H176,'Перечень должностей'!$A$2:$A$46,0)),12)</f>
        <v>12</v>
      </c>
      <c r="K176" s="17"/>
      <c r="L176" s="17"/>
      <c r="M176" s="16" t="str">
        <f aca="false">IF(K176="","",EDATE(IF(L176&lt;&gt;"",L176,K176),J176))</f>
        <v/>
      </c>
      <c r="N176" s="12" t="str">
        <f aca="false">IFERROR(INDEX('Перечень должностей'!$F$2:$F$46,MATCH(H176,'Перечень должностей'!$A$2:$A$46,0)),"")</f>
        <v>-</v>
      </c>
      <c r="O176" s="17"/>
      <c r="P176" s="16" t="str">
        <f aca="false">IF(O176="","",EDATE(O176,60))</f>
        <v/>
      </c>
      <c r="Q176" s="12" t="str">
        <f aca="false">IF(AND(K176&lt;&gt;"",F176&lt;&gt;"",K176&gt;F176),"ДА","")</f>
        <v/>
      </c>
      <c r="R176" s="9"/>
    </row>
    <row r="177" customFormat="false" ht="26.25" hidden="false" customHeight="true" outlineLevel="0" collapsed="false">
      <c r="A177" s="15" t="n">
        <v>176</v>
      </c>
      <c r="B177" s="12" t="s">
        <v>50</v>
      </c>
      <c r="C177" s="15" t="s">
        <v>147</v>
      </c>
      <c r="D177" s="15" t="s">
        <v>606</v>
      </c>
      <c r="E177" s="15" t="s">
        <v>187</v>
      </c>
      <c r="F177" s="16" t="n">
        <v>42443</v>
      </c>
      <c r="G177" s="5" t="str">
        <f aca="false">IF(TRIM(SUBSTITUTE(SUBSTITUTE(SUBSTITUTE(SUBSTITUTE(SUBSTITUTE(SUBSTITUTE(SUBSTITUTE(SUBSTITUTE(SUBSTITUTE(SUBSTITUTE(SUBSTITUTE(LOWER(TRIM(D177)),"ё","е"),"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категории",""))="инженер",IF(AND(ISNUMBER(SEARCH("техническ",E177)),ISNUMBER(SEARCH("контрол",E177))),"инженер отк",IF(ISNUMBER(SEARCH("диспетч",E177)),"инженер пдо",TRIM(SUBSTITUTE(SUBSTITUTE(SUBSTITUTE(SUBSTITUTE(SUBSTITUTE(SUBSTITUTE(SUBSTITUTE(SUBSTITUTE(SUBSTITUTE(SUBSTITUTE(SUBSTITUTE(LOWER(TRIM(D177)),"ё","е"),"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инженер",IF(ISNUMBER(SEARCH("диспетч",E177)),"ведущий инженер пдо",TRIM(SUBSTITUTE(SUBSTITUTE(SUBSTITUTE(SUBSTITUTE(SUBSTITUTE(SUBSTITUTE(SUBSTITUTE(SUBSTITUTE(SUBSTITUTE(SUBSTITUTE(SUBSTITUTE(LOWER(TRIM(D177)),"ё","е"),"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отк",TRIM(SUBSTITUTE(SUBSTITUTE(SUBSTITUTE(SUBSTITUTE(SUBSTITUTE(SUBSTITUTE(SUBSTITUTE(SUBSTITUTE(SUBSTITUTE(SUBSTITUTE(SUBSTITUTE(LOWER(TRIM(D177)),"ё","е")," -","-"),"- ","-")," 2 разряда","")," 3 разряда","")," 4 разряда","")," 5 разряда","")," 6 разряда","")," 1 категории","")," 2 категории","")," 3 категории","")))))</f>
        <v>бригадир</v>
      </c>
      <c r="H177" s="12" t="n">
        <f aca="false">IFERROR(INDEX(Соответствие!$B$2:$B$76,MATCH(G177,Соответствие!$A$2:$A$76,0)),"?")</f>
        <v>18</v>
      </c>
      <c r="I177" s="9" t="str">
        <f aca="false">IFERROR(INDEX('Перечень должностей'!$C$2:$C$46,MATCH(H177,'Перечень должностей'!$A$2:$A$46,0)),"")</f>
        <v>п.4.4, п.5.1, п.5.2</v>
      </c>
      <c r="J177" s="12" t="n">
        <f aca="false">IFERROR(INDEX('Перечень должностей'!$D$2:$D$46,MATCH(H177,'Перечень должностей'!$A$2:$A$46,0)),12)</f>
        <v>12</v>
      </c>
      <c r="K177" s="17"/>
      <c r="L177" s="17"/>
      <c r="M177" s="16" t="str">
        <f aca="false">IF(K177="","",EDATE(IF(L177&lt;&gt;"",L177,K177),J177))</f>
        <v/>
      </c>
      <c r="N177" s="12" t="str">
        <f aca="false">IFERROR(INDEX('Перечень должностей'!$F$2:$F$46,MATCH(H177,'Перечень должностей'!$A$2:$A$46,0)),"")</f>
        <v>-</v>
      </c>
      <c r="O177" s="17"/>
      <c r="P177" s="16" t="str">
        <f aca="false">IF(O177="","",EDATE(O177,60))</f>
        <v/>
      </c>
      <c r="Q177" s="12" t="str">
        <f aca="false">IF(AND(K177&lt;&gt;"",F177&lt;&gt;"",K177&gt;F177),"ДА","")</f>
        <v/>
      </c>
      <c r="R177" s="18" t="s">
        <v>148</v>
      </c>
    </row>
    <row r="178" customFormat="false" ht="34.5" hidden="false" customHeight="true" outlineLevel="0" collapsed="false">
      <c r="A178" s="15" t="n">
        <v>177</v>
      </c>
      <c r="B178" s="12" t="s">
        <v>50</v>
      </c>
      <c r="C178" s="15" t="s">
        <v>149</v>
      </c>
      <c r="D178" s="15" t="s">
        <v>606</v>
      </c>
      <c r="E178" s="15" t="s">
        <v>187</v>
      </c>
      <c r="F178" s="16" t="n">
        <v>42382</v>
      </c>
      <c r="G178" s="5" t="str">
        <f aca="false">IF(TRIM(SUBSTITUTE(SUBSTITUTE(SUBSTITUTE(SUBSTITUTE(SUBSTITUTE(SUBSTITUTE(SUBSTITUTE(SUBSTITUTE(SUBSTITUTE(SUBSTITUTE(SUBSTITUTE(LOWER(TRIM(D178)),"ё","е"),"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категории",""))="инженер",IF(AND(ISNUMBER(SEARCH("техническ",E178)),ISNUMBER(SEARCH("контрол",E178))),"инженер отк",IF(ISNUMBER(SEARCH("диспетч",E178)),"инженер пдо",TRIM(SUBSTITUTE(SUBSTITUTE(SUBSTITUTE(SUBSTITUTE(SUBSTITUTE(SUBSTITUTE(SUBSTITUTE(SUBSTITUTE(SUBSTITUTE(SUBSTITUTE(SUBSTITUTE(LOWER(TRIM(D178)),"ё","е"),"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инженер",IF(ISNUMBER(SEARCH("диспетч",E178)),"ведущий инженер пдо",TRIM(SUBSTITUTE(SUBSTITUTE(SUBSTITUTE(SUBSTITUTE(SUBSTITUTE(SUBSTITUTE(SUBSTITUTE(SUBSTITUTE(SUBSTITUTE(SUBSTITUTE(SUBSTITUTE(LOWER(TRIM(D178)),"ё","е"),"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отк",TRIM(SUBSTITUTE(SUBSTITUTE(SUBSTITUTE(SUBSTITUTE(SUBSTITUTE(SUBSTITUTE(SUBSTITUTE(SUBSTITUTE(SUBSTITUTE(SUBSTITUTE(SUBSTITUTE(LOWER(TRIM(D178)),"ё","е")," -","-"),"- ","-")," 2 разряда","")," 3 разряда","")," 4 разряда","")," 5 разряда","")," 6 разряда","")," 1 категории","")," 2 категории","")," 3 категории","")))))</f>
        <v>бригадир</v>
      </c>
      <c r="H178" s="12" t="n">
        <f aca="false">IFERROR(INDEX(Соответствие!$B$2:$B$76,MATCH(G178,Соответствие!$A$2:$A$76,0)),"?")</f>
        <v>18</v>
      </c>
      <c r="I178" s="9" t="str">
        <f aca="false">IFERROR(INDEX('Перечень должностей'!$C$2:$C$46,MATCH(H178,'Перечень должностей'!$A$2:$A$46,0)),"")</f>
        <v>п.4.4, п.5.1, п.5.2</v>
      </c>
      <c r="J178" s="12" t="n">
        <f aca="false">IFERROR(INDEX('Перечень должностей'!$D$2:$D$46,MATCH(H178,'Перечень должностей'!$A$2:$A$46,0)),12)</f>
        <v>12</v>
      </c>
      <c r="K178" s="17"/>
      <c r="L178" s="17"/>
      <c r="M178" s="16" t="str">
        <f aca="false">IF(K178="","",EDATE(IF(L178&lt;&gt;"",L178,K178),J178))</f>
        <v/>
      </c>
      <c r="N178" s="12" t="str">
        <f aca="false">IFERROR(INDEX('Перечень должностей'!$F$2:$F$46,MATCH(H178,'Перечень должностей'!$A$2:$A$46,0)),"")</f>
        <v>-</v>
      </c>
      <c r="O178" s="17"/>
      <c r="P178" s="16" t="str">
        <f aca="false">IF(O178="","",EDATE(O178,60))</f>
        <v/>
      </c>
      <c r="Q178" s="12" t="str">
        <f aca="false">IF(AND(K178&lt;&gt;"",F178&lt;&gt;"",K178&gt;F178),"ДА","")</f>
        <v/>
      </c>
      <c r="R178" s="18" t="s">
        <v>148</v>
      </c>
    </row>
    <row r="179" customFormat="false" ht="39" hidden="false" customHeight="true" outlineLevel="0" collapsed="false">
      <c r="A179" s="15" t="n">
        <v>178</v>
      </c>
      <c r="B179" s="12" t="s">
        <v>50</v>
      </c>
      <c r="C179" s="15" t="s">
        <v>150</v>
      </c>
      <c r="D179" s="15" t="s">
        <v>625</v>
      </c>
      <c r="E179" s="15" t="s">
        <v>57</v>
      </c>
      <c r="F179" s="16" t="n">
        <v>37683</v>
      </c>
      <c r="G179" s="5" t="str">
        <f aca="false">IF(TRIM(SUBSTITUTE(SUBSTITUTE(SUBSTITUTE(SUBSTITUTE(SUBSTITUTE(SUBSTITUTE(SUBSTITUTE(SUBSTITUTE(SUBSTITUTE(SUBSTITUTE(SUBSTITUTE(LOWER(TRIM(D179)),"ё","е"),"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категории",""))="инженер",IF(AND(ISNUMBER(SEARCH("техническ",E179)),ISNUMBER(SEARCH("контрол",E179))),"инженер отк",IF(ISNUMBER(SEARCH("диспетч",E179)),"инженер пдо",TRIM(SUBSTITUTE(SUBSTITUTE(SUBSTITUTE(SUBSTITUTE(SUBSTITUTE(SUBSTITUTE(SUBSTITUTE(SUBSTITUTE(SUBSTITUTE(SUBSTITUTE(SUBSTITUTE(LOWER(TRIM(D179)),"ё","е"),"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инженер",IF(ISNUMBER(SEARCH("диспетч",E179)),"ведущий инженер пдо",TRIM(SUBSTITUTE(SUBSTITUTE(SUBSTITUTE(SUBSTITUTE(SUBSTITUTE(SUBSTITUTE(SUBSTITUTE(SUBSTITUTE(SUBSTITUTE(SUBSTITUTE(SUBSTITUTE(LOWER(TRIM(D179)),"ё","е"),"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отк",TRIM(SUBSTITUTE(SUBSTITUTE(SUBSTITUTE(SUBSTITUTE(SUBSTITUTE(SUBSTITUTE(SUBSTITUTE(SUBSTITUTE(SUBSTITUTE(SUBSTITUTE(SUBSTITUTE(LOWER(TRIM(D179)),"ё","е")," -","-"),"- ","-")," 2 разряда","")," 3 разряда","")," 4 разряда","")," 5 разряда","")," 6 разряда","")," 1 категории","")," 2 категории","")," 3 категории","")))))</f>
        <v>облицовщик деталей мебели</v>
      </c>
      <c r="H179" s="12" t="n">
        <f aca="false">IFERROR(INDEX(Соответствие!$B$2:$B$76,MATCH(G179,Соответствие!$A$2:$A$76,0)),"?")</f>
        <v>23</v>
      </c>
      <c r="I179" s="9" t="str">
        <f aca="false">IFERROR(INDEX('Перечень должностей'!$C$2:$C$46,MATCH(H179,'Перечень должностей'!$A$2:$A$46,0)),"")</f>
        <v>п.1.49.2, п.1.49.14, п.4.3.1, п.4.3.2, п.4.4, п.5.1, п.15</v>
      </c>
      <c r="J179" s="12" t="n">
        <f aca="false">IFERROR(INDEX('Перечень должностей'!$D$2:$D$46,MATCH(H179,'Перечень должностей'!$A$2:$A$46,0)),12)</f>
        <v>12</v>
      </c>
      <c r="K179" s="17"/>
      <c r="L179" s="17"/>
      <c r="M179" s="16" t="str">
        <f aca="false">IF(K179="","",EDATE(IF(L179&lt;&gt;"",L179,K179),J179))</f>
        <v/>
      </c>
      <c r="N179" s="12" t="str">
        <f aca="false">IFERROR(INDEX('Перечень должностей'!$F$2:$F$46,MATCH(H179,'Перечень должностей'!$A$2:$A$46,0)),"")</f>
        <v>-</v>
      </c>
      <c r="O179" s="17"/>
      <c r="P179" s="16" t="str">
        <f aca="false">IF(O179="","",EDATE(O179,60))</f>
        <v/>
      </c>
      <c r="Q179" s="12" t="str">
        <f aca="false">IF(AND(K179&lt;&gt;"",F179&lt;&gt;"",K179&gt;F179),"ДА","")</f>
        <v/>
      </c>
      <c r="R179" s="18" t="s">
        <v>151</v>
      </c>
    </row>
    <row r="180" customFormat="false" ht="39" hidden="false" customHeight="true" outlineLevel="0" collapsed="false">
      <c r="A180" s="15" t="n">
        <v>179</v>
      </c>
      <c r="B180" s="12" t="s">
        <v>50</v>
      </c>
      <c r="C180" s="15" t="s">
        <v>152</v>
      </c>
      <c r="D180" s="15" t="s">
        <v>625</v>
      </c>
      <c r="E180" s="15" t="s">
        <v>187</v>
      </c>
      <c r="F180" s="16" t="n">
        <v>39824</v>
      </c>
      <c r="G180" s="5" t="str">
        <f aca="false">IF(TRIM(SUBSTITUTE(SUBSTITUTE(SUBSTITUTE(SUBSTITUTE(SUBSTITUTE(SUBSTITUTE(SUBSTITUTE(SUBSTITUTE(SUBSTITUTE(SUBSTITUTE(SUBSTITUTE(LOWER(TRIM(D180)),"ё","е"),"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категории",""))="инженер",IF(AND(ISNUMBER(SEARCH("техническ",E180)),ISNUMBER(SEARCH("контрол",E180))),"инженер отк",IF(ISNUMBER(SEARCH("диспетч",E180)),"инженер пдо",TRIM(SUBSTITUTE(SUBSTITUTE(SUBSTITUTE(SUBSTITUTE(SUBSTITUTE(SUBSTITUTE(SUBSTITUTE(SUBSTITUTE(SUBSTITUTE(SUBSTITUTE(SUBSTITUTE(LOWER(TRIM(D180)),"ё","е"),"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инженер",IF(ISNUMBER(SEARCH("диспетч",E180)),"ведущий инженер пдо",TRIM(SUBSTITUTE(SUBSTITUTE(SUBSTITUTE(SUBSTITUTE(SUBSTITUTE(SUBSTITUTE(SUBSTITUTE(SUBSTITUTE(SUBSTITUTE(SUBSTITUTE(SUBSTITUTE(LOWER(TRIM(D180)),"ё","е"),"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отк",TRIM(SUBSTITUTE(SUBSTITUTE(SUBSTITUTE(SUBSTITUTE(SUBSTITUTE(SUBSTITUTE(SUBSTITUTE(SUBSTITUTE(SUBSTITUTE(SUBSTITUTE(SUBSTITUTE(LOWER(TRIM(D180)),"ё","е")," -","-"),"- ","-")," 2 разряда","")," 3 разряда","")," 4 разряда","")," 5 разряда","")," 6 разряда","")," 1 категории","")," 2 категории","")," 3 категории","")))))</f>
        <v>облицовщик деталей мебели</v>
      </c>
      <c r="H180" s="12" t="n">
        <f aca="false">IFERROR(INDEX(Соответствие!$B$2:$B$76,MATCH(G180,Соответствие!$A$2:$A$76,0)),"?")</f>
        <v>23</v>
      </c>
      <c r="I180" s="9" t="str">
        <f aca="false">IFERROR(INDEX('Перечень должностей'!$C$2:$C$46,MATCH(H180,'Перечень должностей'!$A$2:$A$46,0)),"")</f>
        <v>п.1.49.2, п.1.49.14, п.4.3.1, п.4.3.2, п.4.4, п.5.1, п.15</v>
      </c>
      <c r="J180" s="12" t="n">
        <f aca="false">IFERROR(INDEX('Перечень должностей'!$D$2:$D$46,MATCH(H180,'Перечень должностей'!$A$2:$A$46,0)),12)</f>
        <v>12</v>
      </c>
      <c r="K180" s="17"/>
      <c r="L180" s="17"/>
      <c r="M180" s="16" t="str">
        <f aca="false">IF(K180="","",EDATE(IF(L180&lt;&gt;"",L180,K180),J180))</f>
        <v/>
      </c>
      <c r="N180" s="12" t="str">
        <f aca="false">IFERROR(INDEX('Перечень должностей'!$F$2:$F$46,MATCH(H180,'Перечень должностей'!$A$2:$A$46,0)),"")</f>
        <v>-</v>
      </c>
      <c r="O180" s="17"/>
      <c r="P180" s="16" t="str">
        <f aca="false">IF(O180="","",EDATE(O180,60))</f>
        <v/>
      </c>
      <c r="Q180" s="12" t="str">
        <f aca="false">IF(AND(K180&lt;&gt;"",F180&lt;&gt;"",K180&gt;F180),"ДА","")</f>
        <v/>
      </c>
      <c r="R180" s="18" t="s">
        <v>151</v>
      </c>
    </row>
    <row r="181" customFormat="false" ht="39" hidden="false" customHeight="true" outlineLevel="0" collapsed="false">
      <c r="A181" s="15" t="n">
        <v>180</v>
      </c>
      <c r="B181" s="12" t="s">
        <v>50</v>
      </c>
      <c r="C181" s="15" t="s">
        <v>153</v>
      </c>
      <c r="D181" s="15" t="s">
        <v>626</v>
      </c>
      <c r="E181" s="15" t="s">
        <v>187</v>
      </c>
      <c r="F181" s="16" t="n">
        <v>42495</v>
      </c>
      <c r="G181" s="5" t="str">
        <f aca="false">IF(TRIM(SUBSTITUTE(SUBSTITUTE(SUBSTITUTE(SUBSTITUTE(SUBSTITUTE(SUBSTITUTE(SUBSTITUTE(SUBSTITUTE(SUBSTITUTE(SUBSTITUTE(SUBSTITUTE(LOWER(TRIM(D181)),"ё","е"),"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категории",""))="инженер",IF(AND(ISNUMBER(SEARCH("техническ",E181)),ISNUMBER(SEARCH("контрол",E181))),"инженер отк",IF(ISNUMBER(SEARCH("диспетч",E181)),"инженер пдо",TRIM(SUBSTITUTE(SUBSTITUTE(SUBSTITUTE(SUBSTITUTE(SUBSTITUTE(SUBSTITUTE(SUBSTITUTE(SUBSTITUTE(SUBSTITUTE(SUBSTITUTE(SUBSTITUTE(LOWER(TRIM(D181)),"ё","е"),"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инженер",IF(ISNUMBER(SEARCH("диспетч",E181)),"ведущий инженер пдо",TRIM(SUBSTITUTE(SUBSTITUTE(SUBSTITUTE(SUBSTITUTE(SUBSTITUTE(SUBSTITUTE(SUBSTITUTE(SUBSTITUTE(SUBSTITUTE(SUBSTITUTE(SUBSTITUTE(LOWER(TRIM(D181)),"ё","е"),"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отк",TRIM(SUBSTITUTE(SUBSTITUTE(SUBSTITUTE(SUBSTITUTE(SUBSTITUTE(SUBSTITUTE(SUBSTITUTE(SUBSTITUTE(SUBSTITUTE(SUBSTITUTE(SUBSTITUTE(LOWER(TRIM(D181)),"ё","е")," -","-"),"- ","-")," 2 разряда","")," 3 разряда","")," 4 разряда","")," 5 разряда","")," 6 разряда","")," 1 категории","")," 2 категории","")," 3 категории","")))))</f>
        <v>техник</v>
      </c>
      <c r="H181" s="12" t="n">
        <f aca="false">IFERROR(INDEX(Соответствие!$B$2:$B$76,MATCH(G181,Соответствие!$A$2:$A$76,0)),"?")</f>
        <v>36</v>
      </c>
      <c r="I181" s="9" t="str">
        <f aca="false">IFERROR(INDEX('Перечень должностей'!$C$2:$C$46,MATCH(H181,'Перечень должностей'!$A$2:$A$46,0)),"")</f>
        <v>п.1.14.2, п.1.36, п.1.37.1, п.1.45.1, п.1.45.2, п.1.50, п.4.3.1, п.4.4, п.5.1, п.17</v>
      </c>
      <c r="J181" s="12" t="n">
        <f aca="false">IFERROR(INDEX('Перечень должностей'!$D$2:$D$46,MATCH(H181,'Перечень должностей'!$A$2:$A$46,0)),12)</f>
        <v>12</v>
      </c>
      <c r="K181" s="17"/>
      <c r="L181" s="17"/>
      <c r="M181" s="16" t="str">
        <f aca="false">IF(K181="","",EDATE(IF(L181&lt;&gt;"",L181,K181),J181))</f>
        <v/>
      </c>
      <c r="N181" s="12" t="str">
        <f aca="false">IFERROR(INDEX('Перечень должностей'!$F$2:$F$46,MATCH(H181,'Перечень должностей'!$A$2:$A$46,0)),"")</f>
        <v>-</v>
      </c>
      <c r="O181" s="17"/>
      <c r="P181" s="16" t="str">
        <f aca="false">IF(O181="","",EDATE(O181,60))</f>
        <v/>
      </c>
      <c r="Q181" s="12" t="str">
        <f aca="false">IF(AND(K181&lt;&gt;"",F181&lt;&gt;"",K181&gt;F181),"ДА","")</f>
        <v/>
      </c>
      <c r="R181" s="18" t="s">
        <v>154</v>
      </c>
    </row>
    <row r="182" customFormat="false" ht="39" hidden="false" customHeight="true" outlineLevel="0" collapsed="false">
      <c r="A182" s="15" t="n">
        <v>181</v>
      </c>
      <c r="B182" s="12" t="s">
        <v>50</v>
      </c>
      <c r="C182" s="15" t="s">
        <v>627</v>
      </c>
      <c r="D182" s="15" t="s">
        <v>628</v>
      </c>
      <c r="E182" s="15" t="s">
        <v>187</v>
      </c>
      <c r="F182" s="16" t="n">
        <v>45428</v>
      </c>
      <c r="G182" s="5" t="str">
        <f aca="false">IF(TRIM(SUBSTITUTE(SUBSTITUTE(SUBSTITUTE(SUBSTITUTE(SUBSTITUTE(SUBSTITUTE(SUBSTITUTE(SUBSTITUTE(SUBSTITUTE(SUBSTITUTE(SUBSTITUTE(LOWER(TRIM(D182)),"ё","е"),"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категории",""))="инженер",IF(AND(ISNUMBER(SEARCH("техническ",E182)),ISNUMBER(SEARCH("контрол",E182))),"инженер отк",IF(ISNUMBER(SEARCH("диспетч",E182)),"инженер пдо",TRIM(SUBSTITUTE(SUBSTITUTE(SUBSTITUTE(SUBSTITUTE(SUBSTITUTE(SUBSTITUTE(SUBSTITUTE(SUBSTITUTE(SUBSTITUTE(SUBSTITUTE(SUBSTITUTE(LOWER(TRIM(D182)),"ё","е"),"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инженер",IF(ISNUMBER(SEARCH("диспетч",E182)),"ведущий инженер пдо",TRIM(SUBSTITUTE(SUBSTITUTE(SUBSTITUTE(SUBSTITUTE(SUBSTITUTE(SUBSTITUTE(SUBSTITUTE(SUBSTITUTE(SUBSTITUTE(SUBSTITUTE(SUBSTITUTE(LOWER(TRIM(D182)),"ё","е"),"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отк",TRIM(SUBSTITUTE(SUBSTITUTE(SUBSTITUTE(SUBSTITUTE(SUBSTITUTE(SUBSTITUTE(SUBSTITUTE(SUBSTITUTE(SUBSTITUTE(SUBSTITUTE(SUBSTITUTE(LOWER(TRIM(D182)),"ё","е")," -","-"),"- ","-")," 2 разряда","")," 3 разряда","")," 4 разряда","")," 5 разряда","")," 6 разряда","")," 1 категории","")," 2 категории","")," 3 категории","")))))</f>
        <v>маляр</v>
      </c>
      <c r="H182" s="12" t="n">
        <f aca="false">IFERROR(INDEX(Соответствие!$B$2:$B$76,MATCH(G182,Соответствие!$A$2:$A$76,0)),"?")</f>
        <v>36</v>
      </c>
      <c r="I182" s="9" t="str">
        <f aca="false">IFERROR(INDEX('Перечень должностей'!$C$2:$C$46,MATCH(H182,'Перечень должностей'!$A$2:$A$46,0)),"")</f>
        <v>п.1.14.2, п.1.36, п.1.37.1, п.1.45.1, п.1.45.2, п.1.50, п.4.3.1, п.4.4, п.5.1, п.17</v>
      </c>
      <c r="J182" s="12" t="n">
        <f aca="false">IFERROR(INDEX('Перечень должностей'!$D$2:$D$46,MATCH(H182,'Перечень должностей'!$A$2:$A$46,0)),12)</f>
        <v>12</v>
      </c>
      <c r="K182" s="17"/>
      <c r="L182" s="17"/>
      <c r="M182" s="16" t="str">
        <f aca="false">IF(K182="","",EDATE(IF(L182&lt;&gt;"",L182,K182),J182))</f>
        <v/>
      </c>
      <c r="N182" s="12" t="str">
        <f aca="false">IFERROR(INDEX('Перечень должностей'!$F$2:$F$46,MATCH(H182,'Перечень должностей'!$A$2:$A$46,0)),"")</f>
        <v>-</v>
      </c>
      <c r="O182" s="17"/>
      <c r="P182" s="16" t="str">
        <f aca="false">IF(O182="","",EDATE(O182,60))</f>
        <v/>
      </c>
      <c r="Q182" s="12" t="str">
        <f aca="false">IF(AND(K182&lt;&gt;"",F182&lt;&gt;"",K182&gt;F182),"ДА","")</f>
        <v/>
      </c>
      <c r="R182" s="9"/>
    </row>
    <row r="183" customFormat="false" ht="39" hidden="false" customHeight="true" outlineLevel="0" collapsed="false">
      <c r="A183" s="15" t="n">
        <v>182</v>
      </c>
      <c r="B183" s="12" t="s">
        <v>50</v>
      </c>
      <c r="C183" s="15" t="s">
        <v>155</v>
      </c>
      <c r="D183" s="15" t="s">
        <v>615</v>
      </c>
      <c r="E183" s="15" t="s">
        <v>57</v>
      </c>
      <c r="F183" s="16" t="n">
        <v>44706</v>
      </c>
      <c r="G183" s="5" t="str">
        <f aca="false">IF(TRIM(SUBSTITUTE(SUBSTITUTE(SUBSTITUTE(SUBSTITUTE(SUBSTITUTE(SUBSTITUTE(SUBSTITUTE(SUBSTITUTE(SUBSTITUTE(SUBSTITUTE(SUBSTITUTE(LOWER(TRIM(D183)),"ё","е"),"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категории",""))="инженер",IF(AND(ISNUMBER(SEARCH("техническ",E183)),ISNUMBER(SEARCH("контрол",E183))),"инженер отк",IF(ISNUMBER(SEARCH("диспетч",E183)),"инженер пдо",TRIM(SUBSTITUTE(SUBSTITUTE(SUBSTITUTE(SUBSTITUTE(SUBSTITUTE(SUBSTITUTE(SUBSTITUTE(SUBSTITUTE(SUBSTITUTE(SUBSTITUTE(SUBSTITUTE(LOWER(TRIM(D183)),"ё","е"),"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инженер",IF(ISNUMBER(SEARCH("диспетч",E183)),"ведущий инженер пдо",TRIM(SUBSTITUTE(SUBSTITUTE(SUBSTITUTE(SUBSTITUTE(SUBSTITUTE(SUBSTITUTE(SUBSTITUTE(SUBSTITUTE(SUBSTITUTE(SUBSTITUTE(SUBSTITUTE(LOWER(TRIM(D183)),"ё","е"),"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отк",TRIM(SUBSTITUTE(SUBSTITUTE(SUBSTITUTE(SUBSTITUTE(SUBSTITUTE(SUBSTITUTE(SUBSTITUTE(SUBSTITUTE(SUBSTITUTE(SUBSTITUTE(SUBSTITUTE(LOWER(TRIM(D183)),"ё","е")," -","-"),"- ","-")," 2 разряда","")," 3 разряда","")," 4 разряда","")," 5 разряда","")," 6 разряда","")," 1 категории","")," 2 категории","")," 3 категории","")))))</f>
        <v>облицовщик деталей мебели</v>
      </c>
      <c r="H183" s="12" t="n">
        <f aca="false">IFERROR(INDEX(Соответствие!$B$2:$B$76,MATCH(G183,Соответствие!$A$2:$A$76,0)),"?")</f>
        <v>23</v>
      </c>
      <c r="I183" s="9" t="str">
        <f aca="false">IFERROR(INDEX('Перечень должностей'!$C$2:$C$46,MATCH(H183,'Перечень должностей'!$A$2:$A$46,0)),"")</f>
        <v>п.1.49.2, п.1.49.14, п.4.3.1, п.4.3.2, п.4.4, п.5.1, п.15</v>
      </c>
      <c r="J183" s="12" t="n">
        <f aca="false">IFERROR(INDEX('Перечень должностей'!$D$2:$D$46,MATCH(H183,'Перечень должностей'!$A$2:$A$46,0)),12)</f>
        <v>12</v>
      </c>
      <c r="K183" s="17"/>
      <c r="L183" s="17"/>
      <c r="M183" s="16" t="str">
        <f aca="false">IF(K183="","",EDATE(IF(L183&lt;&gt;"",L183,K183),J183))</f>
        <v/>
      </c>
      <c r="N183" s="12" t="str">
        <f aca="false">IFERROR(INDEX('Перечень должностей'!$F$2:$F$46,MATCH(H183,'Перечень должностей'!$A$2:$A$46,0)),"")</f>
        <v>-</v>
      </c>
      <c r="O183" s="17"/>
      <c r="P183" s="16" t="str">
        <f aca="false">IF(O183="","",EDATE(O183,60))</f>
        <v/>
      </c>
      <c r="Q183" s="12" t="str">
        <f aca="false">IF(AND(K183&lt;&gt;"",F183&lt;&gt;"",K183&gt;F183),"ДА","")</f>
        <v/>
      </c>
      <c r="R183" s="18" t="s">
        <v>156</v>
      </c>
    </row>
    <row r="184" customFormat="false" ht="39" hidden="false" customHeight="true" outlineLevel="0" collapsed="false">
      <c r="A184" s="15" t="n">
        <v>183</v>
      </c>
      <c r="B184" s="12" t="s">
        <v>50</v>
      </c>
      <c r="C184" s="15" t="s">
        <v>629</v>
      </c>
      <c r="D184" s="15" t="s">
        <v>630</v>
      </c>
      <c r="E184" s="15" t="s">
        <v>57</v>
      </c>
      <c r="F184" s="16" t="n">
        <v>45952</v>
      </c>
      <c r="G184" s="5" t="str">
        <f aca="false">IF(TRIM(SUBSTITUTE(SUBSTITUTE(SUBSTITUTE(SUBSTITUTE(SUBSTITUTE(SUBSTITUTE(SUBSTITUTE(SUBSTITUTE(SUBSTITUTE(SUBSTITUTE(SUBSTITUTE(LOWER(TRIM(D184)),"ё","е"),"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категории",""))="инженер",IF(AND(ISNUMBER(SEARCH("техническ",E184)),ISNUMBER(SEARCH("контрол",E184))),"инженер отк",IF(ISNUMBER(SEARCH("диспетч",E184)),"инженер пдо",TRIM(SUBSTITUTE(SUBSTITUTE(SUBSTITUTE(SUBSTITUTE(SUBSTITUTE(SUBSTITUTE(SUBSTITUTE(SUBSTITUTE(SUBSTITUTE(SUBSTITUTE(SUBSTITUTE(LOWER(TRIM(D184)),"ё","е"),"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инженер",IF(ISNUMBER(SEARCH("диспетч",E184)),"ведущий инженер пдо",TRIM(SUBSTITUTE(SUBSTITUTE(SUBSTITUTE(SUBSTITUTE(SUBSTITUTE(SUBSTITUTE(SUBSTITUTE(SUBSTITUTE(SUBSTITUTE(SUBSTITUTE(SUBSTITUTE(LOWER(TRIM(D184)),"ё","е"),"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отк",TRIM(SUBSTITUTE(SUBSTITUTE(SUBSTITUTE(SUBSTITUTE(SUBSTITUTE(SUBSTITUTE(SUBSTITUTE(SUBSTITUTE(SUBSTITUTE(SUBSTITUTE(SUBSTITUTE(LOWER(TRIM(D184)),"ё","е")," -","-"),"- ","-")," 2 разряда","")," 3 разряда","")," 4 разряда","")," 5 разряда","")," 6 разряда","")," 1 категории","")," 2 категории","")," 3 категории","")))))</f>
        <v>маляр</v>
      </c>
      <c r="H184" s="12" t="n">
        <f aca="false">IFERROR(INDEX(Соответствие!$B$2:$B$76,MATCH(G184,Соответствие!$A$2:$A$76,0)),"?")</f>
        <v>36</v>
      </c>
      <c r="I184" s="9" t="str">
        <f aca="false">IFERROR(INDEX('Перечень должностей'!$C$2:$C$46,MATCH(H184,'Перечень должностей'!$A$2:$A$46,0)),"")</f>
        <v>п.1.14.2, п.1.36, п.1.37.1, п.1.45.1, п.1.45.2, п.1.50, п.4.3.1, п.4.4, п.5.1, п.17</v>
      </c>
      <c r="J184" s="12" t="n">
        <f aca="false">IFERROR(INDEX('Перечень должностей'!$D$2:$D$46,MATCH(H184,'Перечень должностей'!$A$2:$A$46,0)),12)</f>
        <v>12</v>
      </c>
      <c r="K184" s="17" t="n">
        <v>45945</v>
      </c>
      <c r="L184" s="17"/>
      <c r="M184" s="16" t="n">
        <f aca="false">IF(K184="","",EDATE(IF(L184&lt;&gt;"",L184,K184),J184))</f>
        <v>46310</v>
      </c>
      <c r="N184" s="12" t="str">
        <f aca="false">IFERROR(INDEX('Перечень должностей'!$F$2:$F$46,MATCH(H184,'Перечень должностей'!$A$2:$A$46,0)),"")</f>
        <v>-</v>
      </c>
      <c r="O184" s="17"/>
      <c r="P184" s="16" t="str">
        <f aca="false">IF(O184="","",EDATE(O184,60))</f>
        <v/>
      </c>
      <c r="Q184" s="12" t="str">
        <f aca="false">IF(AND(K184&lt;&gt;"",F184&lt;&gt;"",K184&gt;F184),"ДА","")</f>
        <v/>
      </c>
      <c r="R184" s="9"/>
    </row>
    <row r="185" customFormat="false" ht="39" hidden="false" customHeight="true" outlineLevel="0" collapsed="false">
      <c r="A185" s="15" t="n">
        <v>184</v>
      </c>
      <c r="B185" s="12" t="s">
        <v>50</v>
      </c>
      <c r="C185" s="15" t="s">
        <v>631</v>
      </c>
      <c r="D185" s="15" t="s">
        <v>630</v>
      </c>
      <c r="E185" s="15" t="s">
        <v>57</v>
      </c>
      <c r="F185" s="16" t="n">
        <v>45831</v>
      </c>
      <c r="G185" s="5" t="str">
        <f aca="false">IF(TRIM(SUBSTITUTE(SUBSTITUTE(SUBSTITUTE(SUBSTITUTE(SUBSTITUTE(SUBSTITUTE(SUBSTITUTE(SUBSTITUTE(SUBSTITUTE(SUBSTITUTE(SUBSTITUTE(LOWER(TRIM(D185)),"ё","е"),"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категории",""))="инженер",IF(AND(ISNUMBER(SEARCH("техническ",E185)),ISNUMBER(SEARCH("контрол",E185))),"инженер отк",IF(ISNUMBER(SEARCH("диспетч",E185)),"инженер пдо",TRIM(SUBSTITUTE(SUBSTITUTE(SUBSTITUTE(SUBSTITUTE(SUBSTITUTE(SUBSTITUTE(SUBSTITUTE(SUBSTITUTE(SUBSTITUTE(SUBSTITUTE(SUBSTITUTE(LOWER(TRIM(D185)),"ё","е"),"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инженер",IF(ISNUMBER(SEARCH("диспетч",E185)),"ведущий инженер пдо",TRIM(SUBSTITUTE(SUBSTITUTE(SUBSTITUTE(SUBSTITUTE(SUBSTITUTE(SUBSTITUTE(SUBSTITUTE(SUBSTITUTE(SUBSTITUTE(SUBSTITUTE(SUBSTITUTE(LOWER(TRIM(D185)),"ё","е"),"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отк",TRIM(SUBSTITUTE(SUBSTITUTE(SUBSTITUTE(SUBSTITUTE(SUBSTITUTE(SUBSTITUTE(SUBSTITUTE(SUBSTITUTE(SUBSTITUTE(SUBSTITUTE(SUBSTITUTE(LOWER(TRIM(D185)),"ё","е")," -","-"),"- ","-")," 2 разряда","")," 3 разряда","")," 4 разряда","")," 5 разряда","")," 6 разряда","")," 1 категории","")," 2 категории","")," 3 категории","")))))</f>
        <v>маляр</v>
      </c>
      <c r="H185" s="12" t="n">
        <f aca="false">IFERROR(INDEX(Соответствие!$B$2:$B$76,MATCH(G185,Соответствие!$A$2:$A$76,0)),"?")</f>
        <v>36</v>
      </c>
      <c r="I185" s="9" t="str">
        <f aca="false">IFERROR(INDEX('Перечень должностей'!$C$2:$C$46,MATCH(H185,'Перечень должностей'!$A$2:$A$46,0)),"")</f>
        <v>п.1.14.2, п.1.36, п.1.37.1, п.1.45.1, п.1.45.2, п.1.50, п.4.3.1, п.4.4, п.5.1, п.17</v>
      </c>
      <c r="J185" s="12" t="n">
        <f aca="false">IFERROR(INDEX('Перечень должностей'!$D$2:$D$46,MATCH(H185,'Перечень должностей'!$A$2:$A$46,0)),12)</f>
        <v>12</v>
      </c>
      <c r="K185" s="17"/>
      <c r="L185" s="17"/>
      <c r="M185" s="16" t="str">
        <f aca="false">IF(K185="","",EDATE(IF(L185&lt;&gt;"",L185,K185),J185))</f>
        <v/>
      </c>
      <c r="N185" s="12" t="str">
        <f aca="false">IFERROR(INDEX('Перечень должностей'!$F$2:$F$46,MATCH(H185,'Перечень должностей'!$A$2:$A$46,0)),"")</f>
        <v>-</v>
      </c>
      <c r="O185" s="17"/>
      <c r="P185" s="16" t="str">
        <f aca="false">IF(O185="","",EDATE(O185,60))</f>
        <v/>
      </c>
      <c r="Q185" s="12" t="str">
        <f aca="false">IF(AND(K185&lt;&gt;"",F185&lt;&gt;"",K185&gt;F185),"ДА","")</f>
        <v/>
      </c>
      <c r="R185" s="9"/>
    </row>
    <row r="186" customFormat="false" ht="39" hidden="false" customHeight="true" outlineLevel="0" collapsed="false">
      <c r="A186" s="15" t="n">
        <v>185</v>
      </c>
      <c r="B186" s="12" t="s">
        <v>50</v>
      </c>
      <c r="C186" s="15" t="s">
        <v>157</v>
      </c>
      <c r="D186" s="15" t="s">
        <v>632</v>
      </c>
      <c r="E186" s="15" t="s">
        <v>187</v>
      </c>
      <c r="F186" s="16" t="n">
        <v>46080</v>
      </c>
      <c r="G186" s="5" t="str">
        <f aca="false">IF(TRIM(SUBSTITUTE(SUBSTITUTE(SUBSTITUTE(SUBSTITUTE(SUBSTITUTE(SUBSTITUTE(SUBSTITUTE(SUBSTITUTE(SUBSTITUTE(SUBSTITUTE(SUBSTITUTE(LOWER(TRIM(D186)),"ё","е"),"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категории",""))="инженер",IF(AND(ISNUMBER(SEARCH("техническ",E186)),ISNUMBER(SEARCH("контрол",E186))),"инженер отк",IF(ISNUMBER(SEARCH("диспетч",E186)),"инженер пдо",TRIM(SUBSTITUTE(SUBSTITUTE(SUBSTITUTE(SUBSTITUTE(SUBSTITUTE(SUBSTITUTE(SUBSTITUTE(SUBSTITUTE(SUBSTITUTE(SUBSTITUTE(SUBSTITUTE(LOWER(TRIM(D186)),"ё","е"),"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инженер",IF(ISNUMBER(SEARCH("диспетч",E186)),"ведущий инженер пдо",TRIM(SUBSTITUTE(SUBSTITUTE(SUBSTITUTE(SUBSTITUTE(SUBSTITUTE(SUBSTITUTE(SUBSTITUTE(SUBSTITUTE(SUBSTITUTE(SUBSTITUTE(SUBSTITUTE(LOWER(TRIM(D186)),"ё","е"),"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отк",TRIM(SUBSTITUTE(SUBSTITUTE(SUBSTITUTE(SUBSTITUTE(SUBSTITUTE(SUBSTITUTE(SUBSTITUTE(SUBSTITUTE(SUBSTITUTE(SUBSTITUTE(SUBSTITUTE(LOWER(TRIM(D186)),"ё","е")," -","-"),"- ","-")," 2 разряда","")," 3 разряда","")," 4 разряда","")," 5 разряда","")," 6 разряда","")," 1 категории","")," 2 категории","")," 3 категории","")))))</f>
        <v>техник</v>
      </c>
      <c r="H186" s="12" t="n">
        <f aca="false">IFERROR(INDEX(Соответствие!$B$2:$B$76,MATCH(G186,Соответствие!$A$2:$A$76,0)),"?")</f>
        <v>36</v>
      </c>
      <c r="I186" s="9" t="str">
        <f aca="false">IFERROR(INDEX('Перечень должностей'!$C$2:$C$46,MATCH(H186,'Перечень должностей'!$A$2:$A$46,0)),"")</f>
        <v>п.1.14.2, п.1.36, п.1.37.1, п.1.45.1, п.1.45.2, п.1.50, п.4.3.1, п.4.4, п.5.1, п.17</v>
      </c>
      <c r="J186" s="12" t="n">
        <f aca="false">IFERROR(INDEX('Перечень должностей'!$D$2:$D$46,MATCH(H186,'Перечень должностей'!$A$2:$A$46,0)),12)</f>
        <v>12</v>
      </c>
      <c r="K186" s="17"/>
      <c r="L186" s="17"/>
      <c r="M186" s="16" t="str">
        <f aca="false">IF(K186="","",EDATE(IF(L186&lt;&gt;"",L186,K186),J186))</f>
        <v/>
      </c>
      <c r="N186" s="12" t="str">
        <f aca="false">IFERROR(INDEX('Перечень должностей'!$F$2:$F$46,MATCH(H186,'Перечень должностей'!$A$2:$A$46,0)),"")</f>
        <v>-</v>
      </c>
      <c r="O186" s="17"/>
      <c r="P186" s="16" t="str">
        <f aca="false">IF(O186="","",EDATE(O186,60))</f>
        <v/>
      </c>
      <c r="Q186" s="12" t="str">
        <f aca="false">IF(AND(K186&lt;&gt;"",F186&lt;&gt;"",K186&gt;F186),"ДА","")</f>
        <v/>
      </c>
      <c r="R186" s="18" t="s">
        <v>158</v>
      </c>
    </row>
    <row r="187" customFormat="false" ht="39" hidden="false" customHeight="true" outlineLevel="0" collapsed="false">
      <c r="A187" s="15" t="n">
        <v>186</v>
      </c>
      <c r="B187" s="12" t="s">
        <v>50</v>
      </c>
      <c r="C187" s="15" t="s">
        <v>159</v>
      </c>
      <c r="D187" s="15" t="s">
        <v>626</v>
      </c>
      <c r="E187" s="15" t="s">
        <v>57</v>
      </c>
      <c r="F187" s="16" t="n">
        <v>40819</v>
      </c>
      <c r="G187" s="5" t="str">
        <f aca="false">IF(TRIM(SUBSTITUTE(SUBSTITUTE(SUBSTITUTE(SUBSTITUTE(SUBSTITUTE(SUBSTITUTE(SUBSTITUTE(SUBSTITUTE(SUBSTITUTE(SUBSTITUTE(SUBSTITUTE(LOWER(TRIM(D187)),"ё","е"),"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категории",""))="инженер",IF(AND(ISNUMBER(SEARCH("техническ",E187)),ISNUMBER(SEARCH("контрол",E187))),"инженер отк",IF(ISNUMBER(SEARCH("диспетч",E187)),"инженер пдо",TRIM(SUBSTITUTE(SUBSTITUTE(SUBSTITUTE(SUBSTITUTE(SUBSTITUTE(SUBSTITUTE(SUBSTITUTE(SUBSTITUTE(SUBSTITUTE(SUBSTITUTE(SUBSTITUTE(LOWER(TRIM(D187)),"ё","е"),"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инженер",IF(ISNUMBER(SEARCH("диспетч",E187)),"ведущий инженер пдо",TRIM(SUBSTITUTE(SUBSTITUTE(SUBSTITUTE(SUBSTITUTE(SUBSTITUTE(SUBSTITUTE(SUBSTITUTE(SUBSTITUTE(SUBSTITUTE(SUBSTITUTE(SUBSTITUTE(LOWER(TRIM(D187)),"ё","е"),"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отк",TRIM(SUBSTITUTE(SUBSTITUTE(SUBSTITUTE(SUBSTITUTE(SUBSTITUTE(SUBSTITUTE(SUBSTITUTE(SUBSTITUTE(SUBSTITUTE(SUBSTITUTE(SUBSTITUTE(LOWER(TRIM(D187)),"ё","е")," -","-"),"- ","-")," 2 разряда","")," 3 разряда","")," 4 разряда","")," 5 разряда","")," 6 разряда","")," 1 категории","")," 2 категории","")," 3 категории","")))))</f>
        <v>техник</v>
      </c>
      <c r="H187" s="12" t="n">
        <f aca="false">IFERROR(INDEX(Соответствие!$B$2:$B$76,MATCH(G187,Соответствие!$A$2:$A$76,0)),"?")</f>
        <v>36</v>
      </c>
      <c r="I187" s="9" t="str">
        <f aca="false">IFERROR(INDEX('Перечень должностей'!$C$2:$C$46,MATCH(H187,'Перечень должностей'!$A$2:$A$46,0)),"")</f>
        <v>п.1.14.2, п.1.36, п.1.37.1, п.1.45.1, п.1.45.2, п.1.50, п.4.3.1, п.4.4, п.5.1, п.17</v>
      </c>
      <c r="J187" s="12" t="n">
        <f aca="false">IFERROR(INDEX('Перечень должностей'!$D$2:$D$46,MATCH(H187,'Перечень должностей'!$A$2:$A$46,0)),12)</f>
        <v>12</v>
      </c>
      <c r="K187" s="17"/>
      <c r="L187" s="17"/>
      <c r="M187" s="16" t="str">
        <f aca="false">IF(K187="","",EDATE(IF(L187&lt;&gt;"",L187,K187),J187))</f>
        <v/>
      </c>
      <c r="N187" s="12" t="str">
        <f aca="false">IFERROR(INDEX('Перечень должностей'!$F$2:$F$46,MATCH(H187,'Перечень должностей'!$A$2:$A$46,0)),"")</f>
        <v>-</v>
      </c>
      <c r="O187" s="17"/>
      <c r="P187" s="16" t="str">
        <f aca="false">IF(O187="","",EDATE(O187,60))</f>
        <v/>
      </c>
      <c r="Q187" s="12" t="str">
        <f aca="false">IF(AND(K187&lt;&gt;"",F187&lt;&gt;"",K187&gt;F187),"ДА","")</f>
        <v/>
      </c>
      <c r="R187" s="18" t="s">
        <v>160</v>
      </c>
    </row>
    <row r="188" customFormat="false" ht="39" hidden="false" customHeight="true" outlineLevel="0" collapsed="false">
      <c r="A188" s="15" t="n">
        <v>187</v>
      </c>
      <c r="B188" s="12" t="s">
        <v>50</v>
      </c>
      <c r="C188" s="15" t="s">
        <v>161</v>
      </c>
      <c r="D188" s="15" t="s">
        <v>626</v>
      </c>
      <c r="E188" s="15" t="s">
        <v>57</v>
      </c>
      <c r="F188" s="16" t="n">
        <v>39420</v>
      </c>
      <c r="G188" s="5" t="str">
        <f aca="false">IF(TRIM(SUBSTITUTE(SUBSTITUTE(SUBSTITUTE(SUBSTITUTE(SUBSTITUTE(SUBSTITUTE(SUBSTITUTE(SUBSTITUTE(SUBSTITUTE(SUBSTITUTE(SUBSTITUTE(LOWER(TRIM(D188)),"ё","е"),"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категории",""))="инженер",IF(AND(ISNUMBER(SEARCH("техническ",E188)),ISNUMBER(SEARCH("контрол",E188))),"инженер отк",IF(ISNUMBER(SEARCH("диспетч",E188)),"инженер пдо",TRIM(SUBSTITUTE(SUBSTITUTE(SUBSTITUTE(SUBSTITUTE(SUBSTITUTE(SUBSTITUTE(SUBSTITUTE(SUBSTITUTE(SUBSTITUTE(SUBSTITUTE(SUBSTITUTE(LOWER(TRIM(D188)),"ё","е"),"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инженер",IF(ISNUMBER(SEARCH("диспетч",E188)),"ведущий инженер пдо",TRIM(SUBSTITUTE(SUBSTITUTE(SUBSTITUTE(SUBSTITUTE(SUBSTITUTE(SUBSTITUTE(SUBSTITUTE(SUBSTITUTE(SUBSTITUTE(SUBSTITUTE(SUBSTITUTE(LOWER(TRIM(D188)),"ё","е"),"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отк",TRIM(SUBSTITUTE(SUBSTITUTE(SUBSTITUTE(SUBSTITUTE(SUBSTITUTE(SUBSTITUTE(SUBSTITUTE(SUBSTITUTE(SUBSTITUTE(SUBSTITUTE(SUBSTITUTE(LOWER(TRIM(D188)),"ё","е")," -","-"),"- ","-")," 2 разряда","")," 3 разряда","")," 4 разряда","")," 5 разряда","")," 6 разряда","")," 1 категории","")," 2 категории","")," 3 категории","")))))</f>
        <v>техник</v>
      </c>
      <c r="H188" s="12" t="n">
        <f aca="false">IFERROR(INDEX(Соответствие!$B$2:$B$76,MATCH(G188,Соответствие!$A$2:$A$76,0)),"?")</f>
        <v>36</v>
      </c>
      <c r="I188" s="9" t="str">
        <f aca="false">IFERROR(INDEX('Перечень должностей'!$C$2:$C$46,MATCH(H188,'Перечень должностей'!$A$2:$A$46,0)),"")</f>
        <v>п.1.14.2, п.1.36, п.1.37.1, п.1.45.1, п.1.45.2, п.1.50, п.4.3.1, п.4.4, п.5.1, п.17</v>
      </c>
      <c r="J188" s="12" t="n">
        <f aca="false">IFERROR(INDEX('Перечень должностей'!$D$2:$D$46,MATCH(H188,'Перечень должностей'!$A$2:$A$46,0)),12)</f>
        <v>12</v>
      </c>
      <c r="K188" s="17"/>
      <c r="L188" s="17"/>
      <c r="M188" s="16" t="str">
        <f aca="false">IF(K188="","",EDATE(IF(L188&lt;&gt;"",L188,K188),J188))</f>
        <v/>
      </c>
      <c r="N188" s="12" t="str">
        <f aca="false">IFERROR(INDEX('Перечень должностей'!$F$2:$F$46,MATCH(H188,'Перечень должностей'!$A$2:$A$46,0)),"")</f>
        <v>-</v>
      </c>
      <c r="O188" s="17"/>
      <c r="P188" s="16" t="str">
        <f aca="false">IF(O188="","",EDATE(O188,60))</f>
        <v/>
      </c>
      <c r="Q188" s="12" t="str">
        <f aca="false">IF(AND(K188&lt;&gt;"",F188&lt;&gt;"",K188&gt;F188),"ДА","")</f>
        <v/>
      </c>
      <c r="R188" s="18" t="s">
        <v>160</v>
      </c>
    </row>
    <row r="189" customFormat="false" ht="39" hidden="false" customHeight="true" outlineLevel="0" collapsed="false">
      <c r="A189" s="15" t="n">
        <v>188</v>
      </c>
      <c r="B189" s="12" t="s">
        <v>50</v>
      </c>
      <c r="C189" s="15" t="s">
        <v>162</v>
      </c>
      <c r="D189" s="15" t="s">
        <v>626</v>
      </c>
      <c r="E189" s="15" t="s">
        <v>57</v>
      </c>
      <c r="F189" s="16" t="n">
        <v>44482</v>
      </c>
      <c r="G189" s="5" t="str">
        <f aca="false">IF(TRIM(SUBSTITUTE(SUBSTITUTE(SUBSTITUTE(SUBSTITUTE(SUBSTITUTE(SUBSTITUTE(SUBSTITUTE(SUBSTITUTE(SUBSTITUTE(SUBSTITUTE(SUBSTITUTE(LOWER(TRIM(D189)),"ё","е"),"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категории",""))="инженер",IF(AND(ISNUMBER(SEARCH("техническ",E189)),ISNUMBER(SEARCH("контрол",E189))),"инженер отк",IF(ISNUMBER(SEARCH("диспетч",E189)),"инженер пдо",TRIM(SUBSTITUTE(SUBSTITUTE(SUBSTITUTE(SUBSTITUTE(SUBSTITUTE(SUBSTITUTE(SUBSTITUTE(SUBSTITUTE(SUBSTITUTE(SUBSTITUTE(SUBSTITUTE(LOWER(TRIM(D189)),"ё","е"),"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инженер",IF(ISNUMBER(SEARCH("диспетч",E189)),"ведущий инженер пдо",TRIM(SUBSTITUTE(SUBSTITUTE(SUBSTITUTE(SUBSTITUTE(SUBSTITUTE(SUBSTITUTE(SUBSTITUTE(SUBSTITUTE(SUBSTITUTE(SUBSTITUTE(SUBSTITUTE(LOWER(TRIM(D189)),"ё","е"),"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отк",TRIM(SUBSTITUTE(SUBSTITUTE(SUBSTITUTE(SUBSTITUTE(SUBSTITUTE(SUBSTITUTE(SUBSTITUTE(SUBSTITUTE(SUBSTITUTE(SUBSTITUTE(SUBSTITUTE(LOWER(TRIM(D189)),"ё","е")," -","-"),"- ","-")," 2 разряда","")," 3 разряда","")," 4 разряда","")," 5 разряда","")," 6 разряда","")," 1 категории","")," 2 категории","")," 3 категории","")))))</f>
        <v>техник</v>
      </c>
      <c r="H189" s="12" t="n">
        <f aca="false">IFERROR(INDEX(Соответствие!$B$2:$B$76,MATCH(G189,Соответствие!$A$2:$A$76,0)),"?")</f>
        <v>36</v>
      </c>
      <c r="I189" s="9" t="str">
        <f aca="false">IFERROR(INDEX('Перечень должностей'!$C$2:$C$46,MATCH(H189,'Перечень должностей'!$A$2:$A$46,0)),"")</f>
        <v>п.1.14.2, п.1.36, п.1.37.1, п.1.45.1, п.1.45.2, п.1.50, п.4.3.1, п.4.4, п.5.1, п.17</v>
      </c>
      <c r="J189" s="12" t="n">
        <f aca="false">IFERROR(INDEX('Перечень должностей'!$D$2:$D$46,MATCH(H189,'Перечень должностей'!$A$2:$A$46,0)),12)</f>
        <v>12</v>
      </c>
      <c r="K189" s="17"/>
      <c r="L189" s="17"/>
      <c r="M189" s="16" t="str">
        <f aca="false">IF(K189="","",EDATE(IF(L189&lt;&gt;"",L189,K189),J189))</f>
        <v/>
      </c>
      <c r="N189" s="12" t="str">
        <f aca="false">IFERROR(INDEX('Перечень должностей'!$F$2:$F$46,MATCH(H189,'Перечень должностей'!$A$2:$A$46,0)),"")</f>
        <v>-</v>
      </c>
      <c r="O189" s="17"/>
      <c r="P189" s="16" t="str">
        <f aca="false">IF(O189="","",EDATE(O189,60))</f>
        <v/>
      </c>
      <c r="Q189" s="12" t="str">
        <f aca="false">IF(AND(K189&lt;&gt;"",F189&lt;&gt;"",K189&gt;F189),"ДА","")</f>
        <v/>
      </c>
      <c r="R189" s="18" t="s">
        <v>160</v>
      </c>
    </row>
    <row r="190" customFormat="false" ht="39" hidden="false" customHeight="true" outlineLevel="0" collapsed="false">
      <c r="A190" s="15" t="n">
        <v>189</v>
      </c>
      <c r="B190" s="12" t="s">
        <v>50</v>
      </c>
      <c r="C190" s="15" t="s">
        <v>163</v>
      </c>
      <c r="D190" s="15" t="s">
        <v>633</v>
      </c>
      <c r="E190" s="15" t="s">
        <v>187</v>
      </c>
      <c r="F190" s="16" t="n">
        <v>45754</v>
      </c>
      <c r="G190" s="5" t="str">
        <f aca="false">IF(TRIM(SUBSTITUTE(SUBSTITUTE(SUBSTITUTE(SUBSTITUTE(SUBSTITUTE(SUBSTITUTE(SUBSTITUTE(SUBSTITUTE(SUBSTITUTE(SUBSTITUTE(SUBSTITUTE(LOWER(TRIM(D190)),"ё","е"),"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категории",""))="инженер",IF(AND(ISNUMBER(SEARCH("техническ",E190)),ISNUMBER(SEARCH("контрол",E190))),"инженер отк",IF(ISNUMBER(SEARCH("диспетч",E190)),"инженер пдо",TRIM(SUBSTITUTE(SUBSTITUTE(SUBSTITUTE(SUBSTITUTE(SUBSTITUTE(SUBSTITUTE(SUBSTITUTE(SUBSTITUTE(SUBSTITUTE(SUBSTITUTE(SUBSTITUTE(LOWER(TRIM(D190)),"ё","е"),"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инженер",IF(ISNUMBER(SEARCH("диспетч",E190)),"ведущий инженер пдо",TRIM(SUBSTITUTE(SUBSTITUTE(SUBSTITUTE(SUBSTITUTE(SUBSTITUTE(SUBSTITUTE(SUBSTITUTE(SUBSTITUTE(SUBSTITUTE(SUBSTITUTE(SUBSTITUTE(LOWER(TRIM(D190)),"ё","е"),"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отк",TRIM(SUBSTITUTE(SUBSTITUTE(SUBSTITUTE(SUBSTITUTE(SUBSTITUTE(SUBSTITUTE(SUBSTITUTE(SUBSTITUTE(SUBSTITUTE(SUBSTITUTE(SUBSTITUTE(LOWER(TRIM(D190)),"ё","е")," -","-"),"- ","-")," 2 разряда","")," 3 разряда","")," 4 разряда","")," 5 разряда","")," 6 разряда","")," 1 категории","")," 2 категории","")," 3 категории","")))))</f>
        <v>техник</v>
      </c>
      <c r="H190" s="12" t="n">
        <f aca="false">IFERROR(INDEX(Соответствие!$B$2:$B$76,MATCH(G190,Соответствие!$A$2:$A$76,0)),"?")</f>
        <v>36</v>
      </c>
      <c r="I190" s="9" t="str">
        <f aca="false">IFERROR(INDEX('Перечень должностей'!$C$2:$C$46,MATCH(H190,'Перечень должностей'!$A$2:$A$46,0)),"")</f>
        <v>п.1.14.2, п.1.36, п.1.37.1, п.1.45.1, п.1.45.2, п.1.50, п.4.3.1, п.4.4, п.5.1, п.17</v>
      </c>
      <c r="J190" s="12" t="n">
        <f aca="false">IFERROR(INDEX('Перечень должностей'!$D$2:$D$46,MATCH(H190,'Перечень должностей'!$A$2:$A$46,0)),12)</f>
        <v>12</v>
      </c>
      <c r="K190" s="17"/>
      <c r="L190" s="17"/>
      <c r="M190" s="16" t="str">
        <f aca="false">IF(K190="","",EDATE(IF(L190&lt;&gt;"",L190,K190),J190))</f>
        <v/>
      </c>
      <c r="N190" s="12" t="str">
        <f aca="false">IFERROR(INDEX('Перечень должностей'!$F$2:$F$46,MATCH(H190,'Перечень должностей'!$A$2:$A$46,0)),"")</f>
        <v>-</v>
      </c>
      <c r="O190" s="17"/>
      <c r="P190" s="16" t="str">
        <f aca="false">IF(O190="","",EDATE(O190,60))</f>
        <v/>
      </c>
      <c r="Q190" s="12" t="str">
        <f aca="false">IF(AND(K190&lt;&gt;"",F190&lt;&gt;"",K190&gt;F190),"ДА","")</f>
        <v/>
      </c>
      <c r="R190" s="18" t="s">
        <v>164</v>
      </c>
    </row>
    <row r="191" customFormat="false" ht="39" hidden="false" customHeight="true" outlineLevel="0" collapsed="false">
      <c r="A191" s="15" t="n">
        <v>190</v>
      </c>
      <c r="B191" s="12" t="s">
        <v>50</v>
      </c>
      <c r="C191" s="15" t="s">
        <v>165</v>
      </c>
      <c r="D191" s="15" t="s">
        <v>633</v>
      </c>
      <c r="E191" s="15" t="s">
        <v>187</v>
      </c>
      <c r="F191" s="16" t="n">
        <v>46136</v>
      </c>
      <c r="G191" s="5" t="str">
        <f aca="false">IF(TRIM(SUBSTITUTE(SUBSTITUTE(SUBSTITUTE(SUBSTITUTE(SUBSTITUTE(SUBSTITUTE(SUBSTITUTE(SUBSTITUTE(SUBSTITUTE(SUBSTITUTE(SUBSTITUTE(LOWER(TRIM(D191)),"ё","е"),"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категории",""))="инженер",IF(AND(ISNUMBER(SEARCH("техническ",E191)),ISNUMBER(SEARCH("контрол",E191))),"инженер отк",IF(ISNUMBER(SEARCH("диспетч",E191)),"инженер пдо",TRIM(SUBSTITUTE(SUBSTITUTE(SUBSTITUTE(SUBSTITUTE(SUBSTITUTE(SUBSTITUTE(SUBSTITUTE(SUBSTITUTE(SUBSTITUTE(SUBSTITUTE(SUBSTITUTE(LOWER(TRIM(D191)),"ё","е"),"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инженер",IF(ISNUMBER(SEARCH("диспетч",E191)),"ведущий инженер пдо",TRIM(SUBSTITUTE(SUBSTITUTE(SUBSTITUTE(SUBSTITUTE(SUBSTITUTE(SUBSTITUTE(SUBSTITUTE(SUBSTITUTE(SUBSTITUTE(SUBSTITUTE(SUBSTITUTE(LOWER(TRIM(D191)),"ё","е"),"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отк",TRIM(SUBSTITUTE(SUBSTITUTE(SUBSTITUTE(SUBSTITUTE(SUBSTITUTE(SUBSTITUTE(SUBSTITUTE(SUBSTITUTE(SUBSTITUTE(SUBSTITUTE(SUBSTITUTE(LOWER(TRIM(D191)),"ё","е")," -","-"),"- ","-")," 2 разряда","")," 3 разряда","")," 4 разряда","")," 5 разряда","")," 6 разряда","")," 1 категории","")," 2 категории","")," 3 категории","")))))</f>
        <v>техник</v>
      </c>
      <c r="H191" s="12" t="n">
        <f aca="false">IFERROR(INDEX(Соответствие!$B$2:$B$76,MATCH(G191,Соответствие!$A$2:$A$76,0)),"?")</f>
        <v>36</v>
      </c>
      <c r="I191" s="9" t="str">
        <f aca="false">IFERROR(INDEX('Перечень должностей'!$C$2:$C$46,MATCH(H191,'Перечень должностей'!$A$2:$A$46,0)),"")</f>
        <v>п.1.14.2, п.1.36, п.1.37.1, п.1.45.1, п.1.45.2, п.1.50, п.4.3.1, п.4.4, п.5.1, п.17</v>
      </c>
      <c r="J191" s="12" t="n">
        <f aca="false">IFERROR(INDEX('Перечень должностей'!$D$2:$D$46,MATCH(H191,'Перечень должностей'!$A$2:$A$46,0)),12)</f>
        <v>12</v>
      </c>
      <c r="K191" s="17"/>
      <c r="L191" s="17"/>
      <c r="M191" s="16" t="str">
        <f aca="false">IF(K191="","",EDATE(IF(L191&lt;&gt;"",L191,K191),J191))</f>
        <v/>
      </c>
      <c r="N191" s="12" t="str">
        <f aca="false">IFERROR(INDEX('Перечень должностей'!$F$2:$F$46,MATCH(H191,'Перечень должностей'!$A$2:$A$46,0)),"")</f>
        <v>-</v>
      </c>
      <c r="O191" s="17"/>
      <c r="P191" s="16" t="str">
        <f aca="false">IF(O191="","",EDATE(O191,60))</f>
        <v/>
      </c>
      <c r="Q191" s="12" t="str">
        <f aca="false">IF(AND(K191&lt;&gt;"",F191&lt;&gt;"",K191&gt;F191),"ДА","")</f>
        <v/>
      </c>
      <c r="R191" s="18" t="s">
        <v>164</v>
      </c>
    </row>
    <row r="192" customFormat="false" ht="39" hidden="false" customHeight="true" outlineLevel="0" collapsed="false">
      <c r="A192" s="15" t="n">
        <v>191</v>
      </c>
      <c r="B192" s="12" t="s">
        <v>50</v>
      </c>
      <c r="C192" s="15" t="s">
        <v>166</v>
      </c>
      <c r="D192" s="15" t="s">
        <v>56</v>
      </c>
      <c r="E192" s="15" t="s">
        <v>187</v>
      </c>
      <c r="F192" s="16" t="n">
        <v>46162</v>
      </c>
      <c r="G192" s="5" t="str">
        <f aca="false">IF(TRIM(SUBSTITUTE(SUBSTITUTE(SUBSTITUTE(SUBSTITUTE(SUBSTITUTE(SUBSTITUTE(SUBSTITUTE(SUBSTITUTE(SUBSTITUTE(SUBSTITUTE(SUBSTITUTE(LOWER(TRIM(D192)),"ё","е"),"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категории",""))="инженер",IF(AND(ISNUMBER(SEARCH("техническ",E192)),ISNUMBER(SEARCH("контрол",E192))),"инженер отк",IF(ISNUMBER(SEARCH("диспетч",E192)),"инженер пдо",TRIM(SUBSTITUTE(SUBSTITUTE(SUBSTITUTE(SUBSTITUTE(SUBSTITUTE(SUBSTITUTE(SUBSTITUTE(SUBSTITUTE(SUBSTITUTE(SUBSTITUTE(SUBSTITUTE(LOWER(TRIM(D192)),"ё","е"),"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инженер",IF(ISNUMBER(SEARCH("диспетч",E192)),"ведущий инженер пдо",TRIM(SUBSTITUTE(SUBSTITUTE(SUBSTITUTE(SUBSTITUTE(SUBSTITUTE(SUBSTITUTE(SUBSTITUTE(SUBSTITUTE(SUBSTITUTE(SUBSTITUTE(SUBSTITUTE(LOWER(TRIM(D192)),"ё","е"),"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отк",TRIM(SUBSTITUTE(SUBSTITUTE(SUBSTITUTE(SUBSTITUTE(SUBSTITUTE(SUBSTITUTE(SUBSTITUTE(SUBSTITUTE(SUBSTITUTE(SUBSTITUTE(SUBSTITUTE(LOWER(TRIM(D192)),"ё","е")," -","-"),"- ","-")," 2 разряда","")," 3 разряда","")," 4 разряда","")," 5 разряда","")," 6 разряда","")," 1 категории","")," 2 категории","")," 3 категории","")))))</f>
        <v>техник</v>
      </c>
      <c r="H192" s="12" t="n">
        <f aca="false">IFERROR(INDEX(Соответствие!$B$2:$B$76,MATCH(G192,Соответствие!$A$2:$A$76,0)),"?")</f>
        <v>36</v>
      </c>
      <c r="I192" s="9" t="str">
        <f aca="false">IFERROR(INDEX('Перечень должностей'!$C$2:$C$46,MATCH(H192,'Перечень должностей'!$A$2:$A$46,0)),"")</f>
        <v>п.1.14.2, п.1.36, п.1.37.1, п.1.45.1, п.1.45.2, п.1.50, п.4.3.1, п.4.4, п.5.1, п.17</v>
      </c>
      <c r="J192" s="12" t="n">
        <f aca="false">IFERROR(INDEX('Перечень должностей'!$D$2:$D$46,MATCH(H192,'Перечень должностей'!$A$2:$A$46,0)),12)</f>
        <v>12</v>
      </c>
      <c r="K192" s="17" t="n">
        <v>46157</v>
      </c>
      <c r="L192" s="17"/>
      <c r="M192" s="16" t="n">
        <f aca="false">IF(K192="","",EDATE(IF(L192&lt;&gt;"",L192,K192),J192))</f>
        <v>46522</v>
      </c>
      <c r="N192" s="12" t="str">
        <f aca="false">IFERROR(INDEX('Перечень должностей'!$F$2:$F$46,MATCH(H192,'Перечень должностей'!$A$2:$A$46,0)),"")</f>
        <v>-</v>
      </c>
      <c r="O192" s="17"/>
      <c r="P192" s="16" t="str">
        <f aca="false">IF(O192="","",EDATE(O192,60))</f>
        <v/>
      </c>
      <c r="Q192" s="12" t="str">
        <f aca="false">IF(AND(K192&lt;&gt;"",F192&lt;&gt;"",K192&gt;F192),"ДА","")</f>
        <v/>
      </c>
      <c r="R192" s="18" t="s">
        <v>167</v>
      </c>
    </row>
    <row r="193" customFormat="false" ht="39" hidden="false" customHeight="true" outlineLevel="0" collapsed="false">
      <c r="A193" s="15" t="n">
        <v>192</v>
      </c>
      <c r="B193" s="12" t="s">
        <v>50</v>
      </c>
      <c r="C193" s="15" t="s">
        <v>168</v>
      </c>
      <c r="D193" s="15" t="s">
        <v>56</v>
      </c>
      <c r="E193" s="15" t="s">
        <v>187</v>
      </c>
      <c r="F193" s="16" t="n">
        <v>45972</v>
      </c>
      <c r="G193" s="5" t="str">
        <f aca="false">IF(TRIM(SUBSTITUTE(SUBSTITUTE(SUBSTITUTE(SUBSTITUTE(SUBSTITUTE(SUBSTITUTE(SUBSTITUTE(SUBSTITUTE(SUBSTITUTE(SUBSTITUTE(SUBSTITUTE(LOWER(TRIM(D193)),"ё","е"),"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категории",""))="инженер",IF(AND(ISNUMBER(SEARCH("техническ",E193)),ISNUMBER(SEARCH("контрол",E193))),"инженер отк",IF(ISNUMBER(SEARCH("диспетч",E193)),"инженер пдо",TRIM(SUBSTITUTE(SUBSTITUTE(SUBSTITUTE(SUBSTITUTE(SUBSTITUTE(SUBSTITUTE(SUBSTITUTE(SUBSTITUTE(SUBSTITUTE(SUBSTITUTE(SUBSTITUTE(LOWER(TRIM(D193)),"ё","е"),"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инженер",IF(ISNUMBER(SEARCH("диспетч",E193)),"ведущий инженер пдо",TRIM(SUBSTITUTE(SUBSTITUTE(SUBSTITUTE(SUBSTITUTE(SUBSTITUTE(SUBSTITUTE(SUBSTITUTE(SUBSTITUTE(SUBSTITUTE(SUBSTITUTE(SUBSTITUTE(LOWER(TRIM(D193)),"ё","е"),"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отк",TRIM(SUBSTITUTE(SUBSTITUTE(SUBSTITUTE(SUBSTITUTE(SUBSTITUTE(SUBSTITUTE(SUBSTITUTE(SUBSTITUTE(SUBSTITUTE(SUBSTITUTE(SUBSTITUTE(LOWER(TRIM(D193)),"ё","е")," -","-"),"- ","-")," 2 разряда","")," 3 разряда","")," 4 разряда","")," 5 разряда","")," 6 разряда","")," 1 категории","")," 2 категории","")," 3 категории","")))))</f>
        <v>техник</v>
      </c>
      <c r="H193" s="12" t="n">
        <f aca="false">IFERROR(INDEX(Соответствие!$B$2:$B$76,MATCH(G193,Соответствие!$A$2:$A$76,0)),"?")</f>
        <v>36</v>
      </c>
      <c r="I193" s="9" t="str">
        <f aca="false">IFERROR(INDEX('Перечень должностей'!$C$2:$C$46,MATCH(H193,'Перечень должностей'!$A$2:$A$46,0)),"")</f>
        <v>п.1.14.2, п.1.36, п.1.37.1, п.1.45.1, п.1.45.2, п.1.50, п.4.3.1, п.4.4, п.5.1, п.17</v>
      </c>
      <c r="J193" s="12" t="n">
        <f aca="false">IFERROR(INDEX('Перечень должностей'!$D$2:$D$46,MATCH(H193,'Перечень должностей'!$A$2:$A$46,0)),12)</f>
        <v>12</v>
      </c>
      <c r="K193" s="17"/>
      <c r="L193" s="17"/>
      <c r="M193" s="16" t="str">
        <f aca="false">IF(K193="","",EDATE(IF(L193&lt;&gt;"",L193,K193),J193))</f>
        <v/>
      </c>
      <c r="N193" s="12" t="str">
        <f aca="false">IFERROR(INDEX('Перечень должностей'!$F$2:$F$46,MATCH(H193,'Перечень должностей'!$A$2:$A$46,0)),"")</f>
        <v>-</v>
      </c>
      <c r="O193" s="17"/>
      <c r="P193" s="16" t="str">
        <f aca="false">IF(O193="","",EDATE(O193,60))</f>
        <v/>
      </c>
      <c r="Q193" s="12" t="str">
        <f aca="false">IF(AND(K193&lt;&gt;"",F193&lt;&gt;"",K193&gt;F193),"ДА","")</f>
        <v/>
      </c>
      <c r="R193" s="18" t="s">
        <v>167</v>
      </c>
    </row>
    <row r="194" customFormat="false" ht="39" hidden="false" customHeight="true" outlineLevel="0" collapsed="false">
      <c r="A194" s="15" t="n">
        <v>193</v>
      </c>
      <c r="B194" s="12" t="s">
        <v>50</v>
      </c>
      <c r="C194" s="15" t="s">
        <v>169</v>
      </c>
      <c r="D194" s="15" t="s">
        <v>56</v>
      </c>
      <c r="E194" s="15" t="s">
        <v>187</v>
      </c>
      <c r="F194" s="16" t="n">
        <v>46230</v>
      </c>
      <c r="G194" s="5" t="str">
        <f aca="false">IF(TRIM(SUBSTITUTE(SUBSTITUTE(SUBSTITUTE(SUBSTITUTE(SUBSTITUTE(SUBSTITUTE(SUBSTITUTE(SUBSTITUTE(SUBSTITUTE(SUBSTITUTE(SUBSTITUTE(LOWER(TRIM(D194)),"ё","е"),"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категории",""))="инженер",IF(AND(ISNUMBER(SEARCH("техническ",E194)),ISNUMBER(SEARCH("контрол",E194))),"инженер отк",IF(ISNUMBER(SEARCH("диспетч",E194)),"инженер пдо",TRIM(SUBSTITUTE(SUBSTITUTE(SUBSTITUTE(SUBSTITUTE(SUBSTITUTE(SUBSTITUTE(SUBSTITUTE(SUBSTITUTE(SUBSTITUTE(SUBSTITUTE(SUBSTITUTE(LOWER(TRIM(D194)),"ё","е"),"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инженер",IF(ISNUMBER(SEARCH("диспетч",E194)),"ведущий инженер пдо",TRIM(SUBSTITUTE(SUBSTITUTE(SUBSTITUTE(SUBSTITUTE(SUBSTITUTE(SUBSTITUTE(SUBSTITUTE(SUBSTITUTE(SUBSTITUTE(SUBSTITUTE(SUBSTITUTE(LOWER(TRIM(D194)),"ё","е"),"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отк",TRIM(SUBSTITUTE(SUBSTITUTE(SUBSTITUTE(SUBSTITUTE(SUBSTITUTE(SUBSTITUTE(SUBSTITUTE(SUBSTITUTE(SUBSTITUTE(SUBSTITUTE(SUBSTITUTE(LOWER(TRIM(D194)),"ё","е")," -","-"),"- ","-")," 2 разряда","")," 3 разряда","")," 4 разряда","")," 5 разряда","")," 6 разряда","")," 1 категории","")," 2 категории","")," 3 категории","")))))</f>
        <v>техник</v>
      </c>
      <c r="H194" s="12" t="n">
        <f aca="false">IFERROR(INDEX(Соответствие!$B$2:$B$76,MATCH(G194,Соответствие!$A$2:$A$76,0)),"?")</f>
        <v>36</v>
      </c>
      <c r="I194" s="9" t="str">
        <f aca="false">IFERROR(INDEX('Перечень должностей'!$C$2:$C$46,MATCH(H194,'Перечень должностей'!$A$2:$A$46,0)),"")</f>
        <v>п.1.14.2, п.1.36, п.1.37.1, п.1.45.1, п.1.45.2, п.1.50, п.4.3.1, п.4.4, п.5.1, п.17</v>
      </c>
      <c r="J194" s="12" t="n">
        <f aca="false">IFERROR(INDEX('Перечень должностей'!$D$2:$D$46,MATCH(H194,'Перечень должностей'!$A$2:$A$46,0)),12)</f>
        <v>12</v>
      </c>
      <c r="K194" s="17" t="n">
        <v>46220</v>
      </c>
      <c r="L194" s="17"/>
      <c r="M194" s="16" t="n">
        <f aca="false">IF(K194="","",EDATE(IF(L194&lt;&gt;"",L194,K194),J194))</f>
        <v>46585</v>
      </c>
      <c r="N194" s="12" t="str">
        <f aca="false">IFERROR(INDEX('Перечень должностей'!$F$2:$F$46,MATCH(H194,'Перечень должностей'!$A$2:$A$46,0)),"")</f>
        <v>-</v>
      </c>
      <c r="O194" s="17"/>
      <c r="P194" s="16" t="str">
        <f aca="false">IF(O194="","",EDATE(O194,60))</f>
        <v/>
      </c>
      <c r="Q194" s="12" t="str">
        <f aca="false">IF(AND(K194&lt;&gt;"",F194&lt;&gt;"",K194&gt;F194),"ДА","")</f>
        <v/>
      </c>
      <c r="R194" s="18" t="s">
        <v>167</v>
      </c>
    </row>
    <row r="195" customFormat="false" ht="39" hidden="false" customHeight="true" outlineLevel="0" collapsed="false">
      <c r="A195" s="15" t="n">
        <v>194</v>
      </c>
      <c r="B195" s="12" t="s">
        <v>50</v>
      </c>
      <c r="C195" s="15" t="s">
        <v>170</v>
      </c>
      <c r="D195" s="15" t="s">
        <v>634</v>
      </c>
      <c r="E195" s="15" t="s">
        <v>57</v>
      </c>
      <c r="F195" s="16" t="n">
        <v>46148</v>
      </c>
      <c r="G195" s="5" t="str">
        <f aca="false">IF(TRIM(SUBSTITUTE(SUBSTITUTE(SUBSTITUTE(SUBSTITUTE(SUBSTITUTE(SUBSTITUTE(SUBSTITUTE(SUBSTITUTE(SUBSTITUTE(SUBSTITUTE(SUBSTITUTE(LOWER(TRIM(D195)),"ё","е"),"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категории",""))="инженер",IF(AND(ISNUMBER(SEARCH("техническ",E195)),ISNUMBER(SEARCH("контрол",E195))),"инженер отк",IF(ISNUMBER(SEARCH("диспетч",E195)),"инженер пдо",TRIM(SUBSTITUTE(SUBSTITUTE(SUBSTITUTE(SUBSTITUTE(SUBSTITUTE(SUBSTITUTE(SUBSTITUTE(SUBSTITUTE(SUBSTITUTE(SUBSTITUTE(SUBSTITUTE(LOWER(TRIM(D195)),"ё","е"),"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инженер",IF(ISNUMBER(SEARCH("диспетч",E195)),"ведущий инженер пдо",TRIM(SUBSTITUTE(SUBSTITUTE(SUBSTITUTE(SUBSTITUTE(SUBSTITUTE(SUBSTITUTE(SUBSTITUTE(SUBSTITUTE(SUBSTITUTE(SUBSTITUTE(SUBSTITUTE(LOWER(TRIM(D195)),"ё","е"),"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отк",TRIM(SUBSTITUTE(SUBSTITUTE(SUBSTITUTE(SUBSTITUTE(SUBSTITUTE(SUBSTITUTE(SUBSTITUTE(SUBSTITUTE(SUBSTITUTE(SUBSTITUTE(SUBSTITUTE(LOWER(TRIM(D195)),"ё","е")," -","-"),"- ","-")," 2 разряда","")," 3 разряда","")," 4 разряда","")," 5 разряда","")," 6 разряда","")," 1 категории","")," 2 категории","")," 3 категории","")))))</f>
        <v>техник</v>
      </c>
      <c r="H195" s="12" t="n">
        <f aca="false">IFERROR(INDEX(Соответствие!$B$2:$B$76,MATCH(G195,Соответствие!$A$2:$A$76,0)),"?")</f>
        <v>36</v>
      </c>
      <c r="I195" s="9" t="str">
        <f aca="false">IFERROR(INDEX('Перечень должностей'!$C$2:$C$46,MATCH(H195,'Перечень должностей'!$A$2:$A$46,0)),"")</f>
        <v>п.1.14.2, п.1.36, п.1.37.1, п.1.45.1, п.1.45.2, п.1.50, п.4.3.1, п.4.4, п.5.1, п.17</v>
      </c>
      <c r="J195" s="12" t="n">
        <f aca="false">IFERROR(INDEX('Перечень должностей'!$D$2:$D$46,MATCH(H195,'Перечень должностей'!$A$2:$A$46,0)),12)</f>
        <v>12</v>
      </c>
      <c r="K195" s="17"/>
      <c r="L195" s="17"/>
      <c r="M195" s="16" t="str">
        <f aca="false">IF(K195="","",EDATE(IF(L195&lt;&gt;"",L195,K195),J195))</f>
        <v/>
      </c>
      <c r="N195" s="12" t="str">
        <f aca="false">IFERROR(INDEX('Перечень должностей'!$F$2:$F$46,MATCH(H195,'Перечень должностей'!$A$2:$A$46,0)),"")</f>
        <v>-</v>
      </c>
      <c r="O195" s="17"/>
      <c r="P195" s="16" t="str">
        <f aca="false">IF(O195="","",EDATE(O195,60))</f>
        <v/>
      </c>
      <c r="Q195" s="12" t="str">
        <f aca="false">IF(AND(K195&lt;&gt;"",F195&lt;&gt;"",K195&gt;F195),"ДА","")</f>
        <v/>
      </c>
      <c r="R195" s="18" t="s">
        <v>171</v>
      </c>
    </row>
    <row r="196" customFormat="false" ht="39" hidden="false" customHeight="true" outlineLevel="0" collapsed="false">
      <c r="A196" s="15" t="n">
        <v>195</v>
      </c>
      <c r="B196" s="12" t="s">
        <v>50</v>
      </c>
      <c r="C196" s="15" t="s">
        <v>635</v>
      </c>
      <c r="D196" s="15" t="s">
        <v>636</v>
      </c>
      <c r="E196" s="15" t="s">
        <v>637</v>
      </c>
      <c r="F196" s="16" t="n">
        <v>45649</v>
      </c>
      <c r="G196" s="5" t="str">
        <f aca="false">IF(TRIM(SUBSTITUTE(SUBSTITUTE(SUBSTITUTE(SUBSTITUTE(SUBSTITUTE(SUBSTITUTE(SUBSTITUTE(SUBSTITUTE(SUBSTITUTE(SUBSTITUTE(SUBSTITUTE(LOWER(TRIM(D196)),"ё","е"),"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категории",""))="инженер",IF(AND(ISNUMBER(SEARCH("техническ",E196)),ISNUMBER(SEARCH("контрол",E196))),"инженер отк",IF(ISNUMBER(SEARCH("диспетч",E196)),"инженер пдо",TRIM(SUBSTITUTE(SUBSTITUTE(SUBSTITUTE(SUBSTITUTE(SUBSTITUTE(SUBSTITUTE(SUBSTITUTE(SUBSTITUTE(SUBSTITUTE(SUBSTITUTE(SUBSTITUTE(LOWER(TRIM(D196)),"ё","е"),"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инженер",IF(ISNUMBER(SEARCH("диспетч",E196)),"ведущий инженер пдо",TRIM(SUBSTITUTE(SUBSTITUTE(SUBSTITUTE(SUBSTITUTE(SUBSTITUTE(SUBSTITUTE(SUBSTITUTE(SUBSTITUTE(SUBSTITUTE(SUBSTITUTE(SUBSTITUTE(LOWER(TRIM(D196)),"ё","е"),"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отк",TRIM(SUBSTITUTE(SUBSTITUTE(SUBSTITUTE(SUBSTITUTE(SUBSTITUTE(SUBSTITUTE(SUBSTITUTE(SUBSTITUTE(SUBSTITUTE(SUBSTITUTE(SUBSTITUTE(LOWER(TRIM(D196)),"ё","е")," -","-"),"- ","-")," 2 разряда","")," 3 разряда","")," 4 разряда","")," 5 разряда","")," 6 разряда","")," 1 категории","")," 2 категории","")," 3 категории","")))))</f>
        <v>рабочий по комплексному обслуживанию и ремонту зданий</v>
      </c>
      <c r="H196" s="12" t="n">
        <f aca="false">IFERROR(INDEX(Соответствие!$B$2:$B$76,MATCH(G196,Соответствие!$A$2:$A$76,0)),"?")</f>
        <v>1</v>
      </c>
      <c r="I196" s="9" t="str">
        <f aca="false">IFERROR(INDEX('Перечень должностей'!$C$2:$C$46,MATCH(H196,'Перечень должностей'!$A$2:$A$46,0)),"")</f>
        <v>п.4.3.1, п.4.4, п.4.7, п.4.8, п.5.1, п.6.1</v>
      </c>
      <c r="J196" s="12" t="n">
        <f aca="false">IFERROR(INDEX('Перечень должностей'!$D$2:$D$46,MATCH(H196,'Перечень должностей'!$A$2:$A$46,0)),12)</f>
        <v>12</v>
      </c>
      <c r="K196" s="17"/>
      <c r="L196" s="17"/>
      <c r="M196" s="16" t="str">
        <f aca="false">IF(K196="","",EDATE(IF(L196&lt;&gt;"",L196,K196),J196))</f>
        <v/>
      </c>
      <c r="N196" s="12" t="str">
        <f aca="false">IFERROR(INDEX('Перечень должностей'!$F$2:$F$46,MATCH(H196,'Перечень должностей'!$A$2:$A$46,0)),"")</f>
        <v>-</v>
      </c>
      <c r="O196" s="17"/>
      <c r="P196" s="16" t="str">
        <f aca="false">IF(O196="","",EDATE(O196,60))</f>
        <v/>
      </c>
      <c r="Q196" s="12" t="str">
        <f aca="false">IF(AND(K196&lt;&gt;"",F196&lt;&gt;"",K196&gt;F196),"ДА","")</f>
        <v/>
      </c>
      <c r="R196" s="9"/>
    </row>
    <row r="197" customFormat="false" ht="39" hidden="false" customHeight="true" outlineLevel="0" collapsed="false">
      <c r="A197" s="15" t="n">
        <v>196</v>
      </c>
      <c r="B197" s="12" t="s">
        <v>50</v>
      </c>
      <c r="C197" s="15" t="s">
        <v>638</v>
      </c>
      <c r="D197" s="15" t="s">
        <v>409</v>
      </c>
      <c r="E197" s="15" t="s">
        <v>639</v>
      </c>
      <c r="F197" s="16" t="n">
        <v>45943</v>
      </c>
      <c r="G197" s="5" t="str">
        <f aca="false">IF(TRIM(SUBSTITUTE(SUBSTITUTE(SUBSTITUTE(SUBSTITUTE(SUBSTITUTE(SUBSTITUTE(SUBSTITUTE(SUBSTITUTE(SUBSTITUTE(SUBSTITUTE(SUBSTITUTE(LOWER(TRIM(D197)),"ё","е"),"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категории",""))="инженер",IF(AND(ISNUMBER(SEARCH("техническ",E197)),ISNUMBER(SEARCH("контрол",E197))),"инженер отк",IF(ISNUMBER(SEARCH("диспетч",E197)),"инженер пдо",TRIM(SUBSTITUTE(SUBSTITUTE(SUBSTITUTE(SUBSTITUTE(SUBSTITUTE(SUBSTITUTE(SUBSTITUTE(SUBSTITUTE(SUBSTITUTE(SUBSTITUTE(SUBSTITUTE(LOWER(TRIM(D197)),"ё","е"),"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инженер",IF(ISNUMBER(SEARCH("диспетч",E197)),"ведущий инженер пдо",TRIM(SUBSTITUTE(SUBSTITUTE(SUBSTITUTE(SUBSTITUTE(SUBSTITUTE(SUBSTITUTE(SUBSTITUTE(SUBSTITUTE(SUBSTITUTE(SUBSTITUTE(SUBSTITUTE(LOWER(TRIM(D197)),"ё","е"),"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отк",TRIM(SUBSTITUTE(SUBSTITUTE(SUBSTITUTE(SUBSTITUTE(SUBSTITUTE(SUBSTITUTE(SUBSTITUTE(SUBSTITUTE(SUBSTITUTE(SUBSTITUTE(SUBSTITUTE(LOWER(TRIM(D197)),"ё","е")," -","-"),"- ","-")," 2 разряда","")," 3 разряда","")," 4 разряда","")," 5 разряда","")," 6 разряда","")," 1 категории","")," 2 категории","")," 3 категории","")))))</f>
        <v>инженер отк</v>
      </c>
      <c r="H197" s="12" t="n">
        <f aca="false">IFERROR(INDEX(Соответствие!$B$2:$B$76,MATCH(G197,Соответствие!$A$2:$A$76,0)),"?")</f>
        <v>13</v>
      </c>
      <c r="I197" s="9" t="str">
        <f aca="false">IFERROR(INDEX('Перечень должностей'!$C$2:$C$46,MATCH(H197,'Перечень должностей'!$A$2:$A$46,0)),"")</f>
        <v>п.4.4, п.5.1, п.5.2</v>
      </c>
      <c r="J197" s="12" t="n">
        <f aca="false">IFERROR(INDEX('Перечень должностей'!$D$2:$D$46,MATCH(H197,'Перечень должностей'!$A$2:$A$46,0)),12)</f>
        <v>12</v>
      </c>
      <c r="K197" s="17"/>
      <c r="L197" s="17"/>
      <c r="M197" s="16" t="str">
        <f aca="false">IF(K197="","",EDATE(IF(L197&lt;&gt;"",L197,K197),J197))</f>
        <v/>
      </c>
      <c r="N197" s="12" t="str">
        <f aca="false">IFERROR(INDEX('Перечень должностей'!$F$2:$F$46,MATCH(H197,'Перечень должностей'!$A$2:$A$46,0)),"")</f>
        <v>-</v>
      </c>
      <c r="O197" s="17"/>
      <c r="P197" s="16" t="str">
        <f aca="false">IF(O197="","",EDATE(O197,60))</f>
        <v/>
      </c>
      <c r="Q197" s="12" t="str">
        <f aca="false">IF(AND(K197&lt;&gt;"",F197&lt;&gt;"",K197&gt;F197),"ДА","")</f>
        <v/>
      </c>
      <c r="R197" s="9"/>
    </row>
    <row r="198" customFormat="false" ht="26.25" hidden="false" customHeight="true" outlineLevel="0" collapsed="false">
      <c r="A198" s="15" t="n">
        <v>197</v>
      </c>
      <c r="B198" s="12" t="s">
        <v>50</v>
      </c>
      <c r="C198" s="15" t="s">
        <v>640</v>
      </c>
      <c r="D198" s="15" t="s">
        <v>419</v>
      </c>
      <c r="E198" s="15" t="s">
        <v>639</v>
      </c>
      <c r="F198" s="16" t="n">
        <v>46077</v>
      </c>
      <c r="G198" s="5" t="str">
        <f aca="false">IF(TRIM(SUBSTITUTE(SUBSTITUTE(SUBSTITUTE(SUBSTITUTE(SUBSTITUTE(SUBSTITUTE(SUBSTITUTE(SUBSTITUTE(SUBSTITUTE(SUBSTITUTE(SUBSTITUTE(LOWER(TRIM(D198)),"ё","е"),"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категории",""))="инженер",IF(AND(ISNUMBER(SEARCH("техническ",E198)),ISNUMBER(SEARCH("контрол",E198))),"инженер отк",IF(ISNUMBER(SEARCH("диспетч",E198)),"инженер пдо",TRIM(SUBSTITUTE(SUBSTITUTE(SUBSTITUTE(SUBSTITUTE(SUBSTITUTE(SUBSTITUTE(SUBSTITUTE(SUBSTITUTE(SUBSTITUTE(SUBSTITUTE(SUBSTITUTE(LOWER(TRIM(D198)),"ё","е"),"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инженер",IF(ISNUMBER(SEARCH("диспетч",E198)),"ведущий инженер пдо",TRIM(SUBSTITUTE(SUBSTITUTE(SUBSTITUTE(SUBSTITUTE(SUBSTITUTE(SUBSTITUTE(SUBSTITUTE(SUBSTITUTE(SUBSTITUTE(SUBSTITUTE(SUBSTITUTE(LOWER(TRIM(D198)),"ё","е"),"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отк",TRIM(SUBSTITUTE(SUBSTITUTE(SUBSTITUTE(SUBSTITUTE(SUBSTITUTE(SUBSTITUTE(SUBSTITUTE(SUBSTITUTE(SUBSTITUTE(SUBSTITUTE(SUBSTITUTE(LOWER(TRIM(D198)),"ё","е")," -","-"),"- ","-")," 2 разряда","")," 3 разряда","")," 4 разряда","")," 5 разряда","")," 6 разряда","")," 1 категории","")," 2 категории","")," 3 категории","")))))</f>
        <v>контролер отк</v>
      </c>
      <c r="H198" s="12" t="n">
        <f aca="false">IFERROR(INDEX(Соответствие!$B$2:$B$76,MATCH(G198,Соответствие!$A$2:$A$76,0)),"?")</f>
        <v>13</v>
      </c>
      <c r="I198" s="9" t="str">
        <f aca="false">IFERROR(INDEX('Перечень должностей'!$C$2:$C$46,MATCH(H198,'Перечень должностей'!$A$2:$A$46,0)),"")</f>
        <v>п.4.4, п.5.1, п.5.2</v>
      </c>
      <c r="J198" s="12" t="n">
        <f aca="false">IFERROR(INDEX('Перечень должностей'!$D$2:$D$46,MATCH(H198,'Перечень должностей'!$A$2:$A$46,0)),12)</f>
        <v>12</v>
      </c>
      <c r="K198" s="17"/>
      <c r="L198" s="17"/>
      <c r="M198" s="16" t="str">
        <f aca="false">IF(K198="","",EDATE(IF(L198&lt;&gt;"",L198,K198),J198))</f>
        <v/>
      </c>
      <c r="N198" s="12" t="str">
        <f aca="false">IFERROR(INDEX('Перечень должностей'!$F$2:$F$46,MATCH(H198,'Перечень должностей'!$A$2:$A$46,0)),"")</f>
        <v>-</v>
      </c>
      <c r="O198" s="17"/>
      <c r="P198" s="16" t="str">
        <f aca="false">IF(O198="","",EDATE(O198,60))</f>
        <v/>
      </c>
      <c r="Q198" s="12" t="str">
        <f aca="false">IF(AND(K198&lt;&gt;"",F198&lt;&gt;"",K198&gt;F198),"ДА","")</f>
        <v/>
      </c>
      <c r="R198" s="9"/>
    </row>
    <row r="199" customFormat="false" ht="14.25" hidden="false" customHeight="true" outlineLevel="0" collapsed="false">
      <c r="A199" s="15" t="n">
        <v>198</v>
      </c>
      <c r="B199" s="12" t="s">
        <v>50</v>
      </c>
      <c r="C199" s="15" t="s">
        <v>641</v>
      </c>
      <c r="D199" s="15" t="s">
        <v>419</v>
      </c>
      <c r="E199" s="15" t="s">
        <v>639</v>
      </c>
      <c r="F199" s="16" t="n">
        <v>46097</v>
      </c>
      <c r="G199" s="5" t="str">
        <f aca="false">IF(TRIM(SUBSTITUTE(SUBSTITUTE(SUBSTITUTE(SUBSTITUTE(SUBSTITUTE(SUBSTITUTE(SUBSTITUTE(SUBSTITUTE(SUBSTITUTE(SUBSTITUTE(SUBSTITUTE(LOWER(TRIM(D199)),"ё","е"),"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категории",""))="инженер",IF(AND(ISNUMBER(SEARCH("техническ",E199)),ISNUMBER(SEARCH("контрол",E199))),"инженер отк",IF(ISNUMBER(SEARCH("диспетч",E199)),"инженер пдо",TRIM(SUBSTITUTE(SUBSTITUTE(SUBSTITUTE(SUBSTITUTE(SUBSTITUTE(SUBSTITUTE(SUBSTITUTE(SUBSTITUTE(SUBSTITUTE(SUBSTITUTE(SUBSTITUTE(LOWER(TRIM(D199)),"ё","е"),"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инженер",IF(ISNUMBER(SEARCH("диспетч",E199)),"ведущий инженер пдо",TRIM(SUBSTITUTE(SUBSTITUTE(SUBSTITUTE(SUBSTITUTE(SUBSTITUTE(SUBSTITUTE(SUBSTITUTE(SUBSTITUTE(SUBSTITUTE(SUBSTITUTE(SUBSTITUTE(LOWER(TRIM(D199)),"ё","е"),"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отк",TRIM(SUBSTITUTE(SUBSTITUTE(SUBSTITUTE(SUBSTITUTE(SUBSTITUTE(SUBSTITUTE(SUBSTITUTE(SUBSTITUTE(SUBSTITUTE(SUBSTITUTE(SUBSTITUTE(LOWER(TRIM(D199)),"ё","е")," -","-"),"- ","-")," 2 разряда","")," 3 разряда","")," 4 разряда","")," 5 разряда","")," 6 разряда","")," 1 категории","")," 2 категории","")," 3 категории","")))))</f>
        <v>контролер отк</v>
      </c>
      <c r="H199" s="12" t="n">
        <f aca="false">IFERROR(INDEX(Соответствие!$B$2:$B$76,MATCH(G199,Соответствие!$A$2:$A$76,0)),"?")</f>
        <v>13</v>
      </c>
      <c r="I199" s="9" t="str">
        <f aca="false">IFERROR(INDEX('Перечень должностей'!$C$2:$C$46,MATCH(H199,'Перечень должностей'!$A$2:$A$46,0)),"")</f>
        <v>п.4.4, п.5.1, п.5.2</v>
      </c>
      <c r="J199" s="12" t="n">
        <f aca="false">IFERROR(INDEX('Перечень должностей'!$D$2:$D$46,MATCH(H199,'Перечень должностей'!$A$2:$A$46,0)),12)</f>
        <v>12</v>
      </c>
      <c r="K199" s="17"/>
      <c r="L199" s="17"/>
      <c r="M199" s="16" t="str">
        <f aca="false">IF(K199="","",EDATE(IF(L199&lt;&gt;"",L199,K199),J199))</f>
        <v/>
      </c>
      <c r="N199" s="12" t="str">
        <f aca="false">IFERROR(INDEX('Перечень должностей'!$F$2:$F$46,MATCH(H199,'Перечень должностей'!$A$2:$A$46,0)),"")</f>
        <v>-</v>
      </c>
      <c r="O199" s="17"/>
      <c r="P199" s="16" t="str">
        <f aca="false">IF(O199="","",EDATE(O199,60))</f>
        <v/>
      </c>
      <c r="Q199" s="12" t="str">
        <f aca="false">IF(AND(K199&lt;&gt;"",F199&lt;&gt;"",K199&gt;F199),"ДА","")</f>
        <v/>
      </c>
      <c r="R199" s="9"/>
    </row>
    <row r="200" customFormat="false" ht="23.25" hidden="false" customHeight="true" outlineLevel="0" collapsed="false">
      <c r="A200" s="15" t="n">
        <v>199</v>
      </c>
      <c r="B200" s="12" t="s">
        <v>50</v>
      </c>
      <c r="C200" s="15" t="s">
        <v>642</v>
      </c>
      <c r="D200" s="15" t="s">
        <v>308</v>
      </c>
      <c r="E200" s="15" t="s">
        <v>643</v>
      </c>
      <c r="F200" s="16" t="n">
        <v>43040</v>
      </c>
      <c r="G200" s="5" t="str">
        <f aca="false">IF(TRIM(SUBSTITUTE(SUBSTITUTE(SUBSTITUTE(SUBSTITUTE(SUBSTITUTE(SUBSTITUTE(SUBSTITUTE(SUBSTITUTE(SUBSTITUTE(SUBSTITUTE(SUBSTITUTE(LOWER(TRIM(D200)),"ё","е"),"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категории",""))="инженер",IF(AND(ISNUMBER(SEARCH("техническ",E200)),ISNUMBER(SEARCH("контрол",E200))),"инженер отк",IF(ISNUMBER(SEARCH("диспетч",E200)),"инженер пдо",TRIM(SUBSTITUTE(SUBSTITUTE(SUBSTITUTE(SUBSTITUTE(SUBSTITUTE(SUBSTITUTE(SUBSTITUTE(SUBSTITUTE(SUBSTITUTE(SUBSTITUTE(SUBSTITUTE(LOWER(TRIM(D200)),"ё","е"),"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инженер",IF(ISNUMBER(SEARCH("диспетч",E200)),"ведущий инженер пдо",TRIM(SUBSTITUTE(SUBSTITUTE(SUBSTITUTE(SUBSTITUTE(SUBSTITUTE(SUBSTITUTE(SUBSTITUTE(SUBSTITUTE(SUBSTITUTE(SUBSTITUTE(SUBSTITUTE(LOWER(TRIM(D200)),"ё","е"),"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отк",TRIM(SUBSTITUTE(SUBSTITUTE(SUBSTITUTE(SUBSTITUTE(SUBSTITUTE(SUBSTITUTE(SUBSTITUTE(SUBSTITUTE(SUBSTITUTE(SUBSTITUTE(SUBSTITUTE(LOWER(TRIM(D200)),"ё","е")," -","-"),"- ","-")," 2 разряда","")," 3 разряда","")," 4 разряда","")," 5 разряда","")," 6 разряда","")," 1 категории","")," 2 категории","")," 3 категории","")))))</f>
        <v>механик</v>
      </c>
      <c r="H200" s="12" t="n">
        <f aca="false">IFERROR(INDEX(Соответствие!$B$2:$B$76,MATCH(G200,Соответствие!$A$2:$A$76,0)),"?")</f>
        <v>3</v>
      </c>
      <c r="I200" s="9" t="str">
        <f aca="false">IFERROR(INDEX('Перечень должностей'!$C$2:$C$46,MATCH(H200,'Перечень должностей'!$A$2:$A$46,0)),"")</f>
        <v>п.1.50, п.4.3.2, п.4.4, п.4.7, п.4.8, п.5.1, п.5.2, п.6.2, п.15</v>
      </c>
      <c r="J200" s="12" t="n">
        <f aca="false">IFERROR(INDEX('Перечень должностей'!$D$2:$D$46,MATCH(H200,'Перечень должностей'!$A$2:$A$46,0)),12)</f>
        <v>12</v>
      </c>
      <c r="K200" s="17"/>
      <c r="L200" s="17"/>
      <c r="M200" s="16" t="str">
        <f aca="false">IF(K200="","",EDATE(IF(L200&lt;&gt;"",L200,K200),J200))</f>
        <v/>
      </c>
      <c r="N200" s="12" t="str">
        <f aca="false">IFERROR(INDEX('Перечень должностей'!$F$2:$F$46,MATCH(H200,'Перечень должностей'!$A$2:$A$46,0)),"")</f>
        <v>-</v>
      </c>
      <c r="O200" s="17"/>
      <c r="P200" s="16" t="str">
        <f aca="false">IF(O200="","",EDATE(O200,60))</f>
        <v/>
      </c>
      <c r="Q200" s="12" t="str">
        <f aca="false">IF(AND(K200&lt;&gt;"",F200&lt;&gt;"",K200&gt;F200),"ДА","")</f>
        <v/>
      </c>
      <c r="R200" s="9"/>
    </row>
    <row r="201" customFormat="false" ht="23.25" hidden="false" customHeight="true" outlineLevel="0" collapsed="false">
      <c r="A201" s="15" t="n">
        <v>200</v>
      </c>
      <c r="B201" s="12" t="s">
        <v>50</v>
      </c>
      <c r="C201" s="15" t="s">
        <v>644</v>
      </c>
      <c r="D201" s="15" t="s">
        <v>636</v>
      </c>
      <c r="E201" s="15" t="s">
        <v>643</v>
      </c>
      <c r="F201" s="16" t="n">
        <v>46080</v>
      </c>
      <c r="G201" s="5" t="str">
        <f aca="false">IF(TRIM(SUBSTITUTE(SUBSTITUTE(SUBSTITUTE(SUBSTITUTE(SUBSTITUTE(SUBSTITUTE(SUBSTITUTE(SUBSTITUTE(SUBSTITUTE(SUBSTITUTE(SUBSTITUTE(LOWER(TRIM(D201)),"ё","е"),"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категории",""))="инженер",IF(AND(ISNUMBER(SEARCH("техническ",E201)),ISNUMBER(SEARCH("контрол",E201))),"инженер отк",IF(ISNUMBER(SEARCH("диспетч",E201)),"инженер пдо",TRIM(SUBSTITUTE(SUBSTITUTE(SUBSTITUTE(SUBSTITUTE(SUBSTITUTE(SUBSTITUTE(SUBSTITUTE(SUBSTITUTE(SUBSTITUTE(SUBSTITUTE(SUBSTITUTE(LOWER(TRIM(D201)),"ё","е"),"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инженер",IF(ISNUMBER(SEARCH("диспетч",E201)),"ведущий инженер пдо",TRIM(SUBSTITUTE(SUBSTITUTE(SUBSTITUTE(SUBSTITUTE(SUBSTITUTE(SUBSTITUTE(SUBSTITUTE(SUBSTITUTE(SUBSTITUTE(SUBSTITUTE(SUBSTITUTE(LOWER(TRIM(D201)),"ё","е"),"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отк",TRIM(SUBSTITUTE(SUBSTITUTE(SUBSTITUTE(SUBSTITUTE(SUBSTITUTE(SUBSTITUTE(SUBSTITUTE(SUBSTITUTE(SUBSTITUTE(SUBSTITUTE(SUBSTITUTE(LOWER(TRIM(D201)),"ё","е")," -","-"),"- ","-")," 2 разряда","")," 3 разряда","")," 4 разряда","")," 5 разряда","")," 6 разряда","")," 1 категории","")," 2 категории","")," 3 категории","")))))</f>
        <v>рабочий по комплексному обслуживанию и ремонту зданий</v>
      </c>
      <c r="H201" s="12" t="n">
        <f aca="false">IFERROR(INDEX(Соответствие!$B$2:$B$76,MATCH(G201,Соответствие!$A$2:$A$76,0)),"?")</f>
        <v>1</v>
      </c>
      <c r="I201" s="9" t="str">
        <f aca="false">IFERROR(INDEX('Перечень должностей'!$C$2:$C$46,MATCH(H201,'Перечень должностей'!$A$2:$A$46,0)),"")</f>
        <v>п.4.3.1, п.4.4, п.4.7, п.4.8, п.5.1, п.6.1</v>
      </c>
      <c r="J201" s="12" t="n">
        <f aca="false">IFERROR(INDEX('Перечень должностей'!$D$2:$D$46,MATCH(H201,'Перечень должностей'!$A$2:$A$46,0)),12)</f>
        <v>12</v>
      </c>
      <c r="K201" s="17"/>
      <c r="L201" s="17"/>
      <c r="M201" s="16" t="str">
        <f aca="false">IF(K201="","",EDATE(IF(L201&lt;&gt;"",L201,K201),J201))</f>
        <v/>
      </c>
      <c r="N201" s="12" t="str">
        <f aca="false">IFERROR(INDEX('Перечень должностей'!$F$2:$F$46,MATCH(H201,'Перечень должностей'!$A$2:$A$46,0)),"")</f>
        <v>-</v>
      </c>
      <c r="O201" s="17"/>
      <c r="P201" s="16" t="str">
        <f aca="false">IF(O201="","",EDATE(O201,60))</f>
        <v/>
      </c>
      <c r="Q201" s="12" t="str">
        <f aca="false">IF(AND(K201&lt;&gt;"",F201&lt;&gt;"",K201&gt;F201),"ДА","")</f>
        <v/>
      </c>
      <c r="R201" s="9"/>
    </row>
    <row r="202" customFormat="false" ht="26.25" hidden="false" customHeight="true" outlineLevel="0" collapsed="false">
      <c r="A202" s="15" t="n">
        <v>201</v>
      </c>
      <c r="B202" s="12" t="s">
        <v>50</v>
      </c>
      <c r="C202" s="15" t="s">
        <v>645</v>
      </c>
      <c r="D202" s="15" t="s">
        <v>636</v>
      </c>
      <c r="E202" s="15" t="s">
        <v>643</v>
      </c>
      <c r="F202" s="16" t="n">
        <v>46111</v>
      </c>
      <c r="G202" s="5" t="str">
        <f aca="false">IF(TRIM(SUBSTITUTE(SUBSTITUTE(SUBSTITUTE(SUBSTITUTE(SUBSTITUTE(SUBSTITUTE(SUBSTITUTE(SUBSTITUTE(SUBSTITUTE(SUBSTITUTE(SUBSTITUTE(LOWER(TRIM(D202)),"ё","е"),"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категории",""))="инженер",IF(AND(ISNUMBER(SEARCH("техническ",E202)),ISNUMBER(SEARCH("контрол",E202))),"инженер отк",IF(ISNUMBER(SEARCH("диспетч",E202)),"инженер пдо",TRIM(SUBSTITUTE(SUBSTITUTE(SUBSTITUTE(SUBSTITUTE(SUBSTITUTE(SUBSTITUTE(SUBSTITUTE(SUBSTITUTE(SUBSTITUTE(SUBSTITUTE(SUBSTITUTE(LOWER(TRIM(D202)),"ё","е"),"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инженер",IF(ISNUMBER(SEARCH("диспетч",E202)),"ведущий инженер пдо",TRIM(SUBSTITUTE(SUBSTITUTE(SUBSTITUTE(SUBSTITUTE(SUBSTITUTE(SUBSTITUTE(SUBSTITUTE(SUBSTITUTE(SUBSTITUTE(SUBSTITUTE(SUBSTITUTE(LOWER(TRIM(D202)),"ё","е"),"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отк",TRIM(SUBSTITUTE(SUBSTITUTE(SUBSTITUTE(SUBSTITUTE(SUBSTITUTE(SUBSTITUTE(SUBSTITUTE(SUBSTITUTE(SUBSTITUTE(SUBSTITUTE(SUBSTITUTE(LOWER(TRIM(D202)),"ё","е")," -","-"),"- ","-")," 2 разряда","")," 3 разряда","")," 4 разряда","")," 5 разряда","")," 6 разряда","")," 1 категории","")," 2 категории","")," 3 категории","")))))</f>
        <v>рабочий по комплексному обслуживанию и ремонту зданий</v>
      </c>
      <c r="H202" s="12" t="n">
        <f aca="false">IFERROR(INDEX(Соответствие!$B$2:$B$76,MATCH(G202,Соответствие!$A$2:$A$76,0)),"?")</f>
        <v>1</v>
      </c>
      <c r="I202" s="9" t="str">
        <f aca="false">IFERROR(INDEX('Перечень должностей'!$C$2:$C$46,MATCH(H202,'Перечень должностей'!$A$2:$A$46,0)),"")</f>
        <v>п.4.3.1, п.4.4, п.4.7, п.4.8, п.5.1, п.6.1</v>
      </c>
      <c r="J202" s="12" t="n">
        <f aca="false">IFERROR(INDEX('Перечень должностей'!$D$2:$D$46,MATCH(H202,'Перечень должностей'!$A$2:$A$46,0)),12)</f>
        <v>12</v>
      </c>
      <c r="K202" s="17"/>
      <c r="L202" s="17"/>
      <c r="M202" s="16" t="str">
        <f aca="false">IF(K202="","",EDATE(IF(L202&lt;&gt;"",L202,K202),J202))</f>
        <v/>
      </c>
      <c r="N202" s="12" t="str">
        <f aca="false">IFERROR(INDEX('Перечень должностей'!$F$2:$F$46,MATCH(H202,'Перечень должностей'!$A$2:$A$46,0)),"")</f>
        <v>-</v>
      </c>
      <c r="O202" s="17"/>
      <c r="P202" s="16" t="str">
        <f aca="false">IF(O202="","",EDATE(O202,60))</f>
        <v/>
      </c>
      <c r="Q202" s="12" t="str">
        <f aca="false">IF(AND(K202&lt;&gt;"",F202&lt;&gt;"",K202&gt;F202),"ДА","")</f>
        <v/>
      </c>
      <c r="R202" s="9"/>
    </row>
    <row r="203" customFormat="false" ht="26.25" hidden="false" customHeight="true" outlineLevel="0" collapsed="false">
      <c r="A203" s="15" t="n">
        <v>202</v>
      </c>
      <c r="B203" s="12" t="s">
        <v>50</v>
      </c>
      <c r="C203" s="15" t="s">
        <v>646</v>
      </c>
      <c r="D203" s="15" t="s">
        <v>319</v>
      </c>
      <c r="E203" s="15" t="s">
        <v>643</v>
      </c>
      <c r="F203" s="16" t="n">
        <v>46064</v>
      </c>
      <c r="G203" s="5" t="str">
        <f aca="false">IF(TRIM(SUBSTITUTE(SUBSTITUTE(SUBSTITUTE(SUBSTITUTE(SUBSTITUTE(SUBSTITUTE(SUBSTITUTE(SUBSTITUTE(SUBSTITUTE(SUBSTITUTE(SUBSTITUTE(LOWER(TRIM(D203)),"ё","е"),"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категории",""))="инженер",IF(AND(ISNUMBER(SEARCH("техническ",E203)),ISNUMBER(SEARCH("контрол",E203))),"инженер отк",IF(ISNUMBER(SEARCH("диспетч",E203)),"инженер пдо",TRIM(SUBSTITUTE(SUBSTITUTE(SUBSTITUTE(SUBSTITUTE(SUBSTITUTE(SUBSTITUTE(SUBSTITUTE(SUBSTITUTE(SUBSTITUTE(SUBSTITUTE(SUBSTITUTE(LOWER(TRIM(D203)),"ё","е"),"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инженер",IF(ISNUMBER(SEARCH("диспетч",E203)),"ведущий инженер пдо",TRIM(SUBSTITUTE(SUBSTITUTE(SUBSTITUTE(SUBSTITUTE(SUBSTITUTE(SUBSTITUTE(SUBSTITUTE(SUBSTITUTE(SUBSTITUTE(SUBSTITUTE(SUBSTITUTE(LOWER(TRIM(D203)),"ё","е"),"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отк",TRIM(SUBSTITUTE(SUBSTITUTE(SUBSTITUTE(SUBSTITUTE(SUBSTITUTE(SUBSTITUTE(SUBSTITUTE(SUBSTITUTE(SUBSTITUTE(SUBSTITUTE(SUBSTITUTE(LOWER(TRIM(D203)),"ё","е")," -","-"),"- ","-")," 2 разряда","")," 3 разряда","")," 4 разряда","")," 5 разряда","")," 6 разряда","")," 1 категории","")," 2 категории","")," 3 категории","")))))</f>
        <v>разнорабочий</v>
      </c>
      <c r="H203" s="12" t="n">
        <f aca="false">IFERROR(INDEX(Соответствие!$B$2:$B$76,MATCH(G203,Соответствие!$A$2:$A$76,0)),"?")</f>
        <v>7</v>
      </c>
      <c r="I203" s="9" t="str">
        <f aca="false">IFERROR(INDEX('Перечень должностей'!$C$2:$C$46,MATCH(H203,'Перечень должностей'!$A$2:$A$46,0)),"")</f>
        <v>п.4.3.1, п.4.4, п.4.7, п.4.8, п.5.1, п.6.1</v>
      </c>
      <c r="J203" s="12" t="n">
        <f aca="false">IFERROR(INDEX('Перечень должностей'!$D$2:$D$46,MATCH(H203,'Перечень должностей'!$A$2:$A$46,0)),12)</f>
        <v>12</v>
      </c>
      <c r="K203" s="17"/>
      <c r="L203" s="17"/>
      <c r="M203" s="16" t="str">
        <f aca="false">IF(K203="","",EDATE(IF(L203&lt;&gt;"",L203,K203),J203))</f>
        <v/>
      </c>
      <c r="N203" s="12" t="str">
        <f aca="false">IFERROR(INDEX('Перечень должностей'!$F$2:$F$46,MATCH(H203,'Перечень должностей'!$A$2:$A$46,0)),"")</f>
        <v>-</v>
      </c>
      <c r="O203" s="17"/>
      <c r="P203" s="16" t="str">
        <f aca="false">IF(O203="","",EDATE(O203,60))</f>
        <v/>
      </c>
      <c r="Q203" s="12" t="str">
        <f aca="false">IF(AND(K203&lt;&gt;"",F203&lt;&gt;"",K203&gt;F203),"ДА","")</f>
        <v/>
      </c>
      <c r="R203" s="9"/>
    </row>
    <row r="204" customFormat="false" ht="26.25" hidden="false" customHeight="true" outlineLevel="0" collapsed="false">
      <c r="A204" s="15" t="n">
        <v>203</v>
      </c>
      <c r="B204" s="12" t="s">
        <v>50</v>
      </c>
      <c r="C204" s="15" t="s">
        <v>647</v>
      </c>
      <c r="D204" s="15" t="s">
        <v>319</v>
      </c>
      <c r="E204" s="15" t="s">
        <v>643</v>
      </c>
      <c r="F204" s="16" t="n">
        <v>46049</v>
      </c>
      <c r="G204" s="5" t="str">
        <f aca="false">IF(TRIM(SUBSTITUTE(SUBSTITUTE(SUBSTITUTE(SUBSTITUTE(SUBSTITUTE(SUBSTITUTE(SUBSTITUTE(SUBSTITUTE(SUBSTITUTE(SUBSTITUTE(SUBSTITUTE(LOWER(TRIM(D204)),"ё","е"),"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категории",""))="инженер",IF(AND(ISNUMBER(SEARCH("техническ",E204)),ISNUMBER(SEARCH("контрол",E204))),"инженер отк",IF(ISNUMBER(SEARCH("диспетч",E204)),"инженер пдо",TRIM(SUBSTITUTE(SUBSTITUTE(SUBSTITUTE(SUBSTITUTE(SUBSTITUTE(SUBSTITUTE(SUBSTITUTE(SUBSTITUTE(SUBSTITUTE(SUBSTITUTE(SUBSTITUTE(LOWER(TRIM(D204)),"ё","е"),"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инженер",IF(ISNUMBER(SEARCH("диспетч",E204)),"ведущий инженер пдо",TRIM(SUBSTITUTE(SUBSTITUTE(SUBSTITUTE(SUBSTITUTE(SUBSTITUTE(SUBSTITUTE(SUBSTITUTE(SUBSTITUTE(SUBSTITUTE(SUBSTITUTE(SUBSTITUTE(LOWER(TRIM(D204)),"ё","е"),"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отк",TRIM(SUBSTITUTE(SUBSTITUTE(SUBSTITUTE(SUBSTITUTE(SUBSTITUTE(SUBSTITUTE(SUBSTITUTE(SUBSTITUTE(SUBSTITUTE(SUBSTITUTE(SUBSTITUTE(LOWER(TRIM(D204)),"ё","е")," -","-"),"- ","-")," 2 разряда","")," 3 разряда","")," 4 разряда","")," 5 разряда","")," 6 разряда","")," 1 категории","")," 2 категории","")," 3 категории","")))))</f>
        <v>разнорабочий</v>
      </c>
      <c r="H204" s="12" t="n">
        <f aca="false">IFERROR(INDEX(Соответствие!$B$2:$B$76,MATCH(G204,Соответствие!$A$2:$A$76,0)),"?")</f>
        <v>7</v>
      </c>
      <c r="I204" s="9" t="str">
        <f aca="false">IFERROR(INDEX('Перечень должностей'!$C$2:$C$46,MATCH(H204,'Перечень должностей'!$A$2:$A$46,0)),"")</f>
        <v>п.4.3.1, п.4.4, п.4.7, п.4.8, п.5.1, п.6.1</v>
      </c>
      <c r="J204" s="12" t="n">
        <f aca="false">IFERROR(INDEX('Перечень должностей'!$D$2:$D$46,MATCH(H204,'Перечень должностей'!$A$2:$A$46,0)),12)</f>
        <v>12</v>
      </c>
      <c r="K204" s="17"/>
      <c r="L204" s="17"/>
      <c r="M204" s="16" t="str">
        <f aca="false">IF(K204="","",EDATE(IF(L204&lt;&gt;"",L204,K204),J204))</f>
        <v/>
      </c>
      <c r="N204" s="12" t="str">
        <f aca="false">IFERROR(INDEX('Перечень должностей'!$F$2:$F$46,MATCH(H204,'Перечень должностей'!$A$2:$A$46,0)),"")</f>
        <v>-</v>
      </c>
      <c r="O204" s="17"/>
      <c r="P204" s="16" t="str">
        <f aca="false">IF(O204="","",EDATE(O204,60))</f>
        <v/>
      </c>
      <c r="Q204" s="12" t="str">
        <f aca="false">IF(AND(K204&lt;&gt;"",F204&lt;&gt;"",K204&gt;F204),"ДА","")</f>
        <v/>
      </c>
      <c r="R204" s="9"/>
    </row>
    <row r="205" customFormat="false" ht="26.25" hidden="false" customHeight="true" outlineLevel="0" collapsed="false">
      <c r="A205" s="15" t="n">
        <v>204</v>
      </c>
      <c r="B205" s="12" t="s">
        <v>50</v>
      </c>
      <c r="C205" s="15" t="s">
        <v>648</v>
      </c>
      <c r="D205" s="15" t="s">
        <v>312</v>
      </c>
      <c r="E205" s="15" t="s">
        <v>643</v>
      </c>
      <c r="F205" s="16" t="n">
        <v>45748</v>
      </c>
      <c r="G205" s="5" t="str">
        <f aca="false">IF(TRIM(SUBSTITUTE(SUBSTITUTE(SUBSTITUTE(SUBSTITUTE(SUBSTITUTE(SUBSTITUTE(SUBSTITUTE(SUBSTITUTE(SUBSTITUTE(SUBSTITUTE(SUBSTITUTE(LOWER(TRIM(D205)),"ё","е"),"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категории",""))="инженер",IF(AND(ISNUMBER(SEARCH("техническ",E205)),ISNUMBER(SEARCH("контрол",E205))),"инженер отк",IF(ISNUMBER(SEARCH("диспетч",E205)),"инженер пдо",TRIM(SUBSTITUTE(SUBSTITUTE(SUBSTITUTE(SUBSTITUTE(SUBSTITUTE(SUBSTITUTE(SUBSTITUTE(SUBSTITUTE(SUBSTITUTE(SUBSTITUTE(SUBSTITUTE(LOWER(TRIM(D205)),"ё","е"),"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инженер",IF(ISNUMBER(SEARCH("диспетч",E205)),"ведущий инженер пдо",TRIM(SUBSTITUTE(SUBSTITUTE(SUBSTITUTE(SUBSTITUTE(SUBSTITUTE(SUBSTITUTE(SUBSTITUTE(SUBSTITUTE(SUBSTITUTE(SUBSTITUTE(SUBSTITUTE(LOWER(TRIM(D205)),"ё","е"),"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отк",TRIM(SUBSTITUTE(SUBSTITUTE(SUBSTITUTE(SUBSTITUTE(SUBSTITUTE(SUBSTITUTE(SUBSTITUTE(SUBSTITUTE(SUBSTITUTE(SUBSTITUTE(SUBSTITUTE(LOWER(TRIM(D205)),"ё","е")," -","-"),"- ","-")," 2 разряда","")," 3 разряда","")," 4 разряда","")," 5 разряда","")," 6 разряда","")," 1 категории","")," 2 категории","")," 3 категории","")))))</f>
        <v>главный энергетик</v>
      </c>
      <c r="H205" s="12" t="n">
        <f aca="false">IFERROR(INDEX(Соответствие!$B$2:$B$76,MATCH(G205,Соответствие!$A$2:$A$76,0)),"?")</f>
        <v>5</v>
      </c>
      <c r="I205" s="9" t="str">
        <f aca="false">IFERROR(INDEX('Перечень должностей'!$C$2:$C$46,MATCH(H205,'Перечень должностей'!$A$2:$A$46,0)),"")</f>
        <v>п.4.4, п.5.2, п.6.2</v>
      </c>
      <c r="J205" s="12" t="n">
        <f aca="false">IFERROR(INDEX('Перечень должностей'!$D$2:$D$46,MATCH(H205,'Перечень должностей'!$A$2:$A$46,0)),12)</f>
        <v>12</v>
      </c>
      <c r="K205" s="17"/>
      <c r="L205" s="17"/>
      <c r="M205" s="16" t="str">
        <f aca="false">IF(K205="","",EDATE(IF(L205&lt;&gt;"",L205,K205),J205))</f>
        <v/>
      </c>
      <c r="N205" s="12" t="str">
        <f aca="false">IFERROR(INDEX('Перечень должностей'!$F$2:$F$46,MATCH(H205,'Перечень должностей'!$A$2:$A$46,0)),"")</f>
        <v>Да</v>
      </c>
      <c r="O205" s="17"/>
      <c r="P205" s="16" t="str">
        <f aca="false">IF(O205="","",EDATE(O205,60))</f>
        <v/>
      </c>
      <c r="Q205" s="12" t="str">
        <f aca="false">IF(AND(K205&lt;&gt;"",F205&lt;&gt;"",K205&gt;F205),"ДА","")</f>
        <v/>
      </c>
      <c r="R205" s="9"/>
    </row>
    <row r="206" customFormat="false" ht="26.25" hidden="false" customHeight="true" outlineLevel="0" collapsed="false">
      <c r="A206" s="15" t="n">
        <v>205</v>
      </c>
      <c r="B206" s="12" t="s">
        <v>50</v>
      </c>
      <c r="C206" s="15" t="s">
        <v>649</v>
      </c>
      <c r="D206" s="15" t="s">
        <v>316</v>
      </c>
      <c r="E206" s="15" t="s">
        <v>643</v>
      </c>
      <c r="F206" s="16" t="n">
        <v>46091</v>
      </c>
      <c r="G206" s="5" t="str">
        <f aca="false">IF(TRIM(SUBSTITUTE(SUBSTITUTE(SUBSTITUTE(SUBSTITUTE(SUBSTITUTE(SUBSTITUTE(SUBSTITUTE(SUBSTITUTE(SUBSTITUTE(SUBSTITUTE(SUBSTITUTE(LOWER(TRIM(D206)),"ё","е"),"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категории",""))="инженер",IF(AND(ISNUMBER(SEARCH("техническ",E206)),ISNUMBER(SEARCH("контрол",E206))),"инженер отк",IF(ISNUMBER(SEARCH("диспетч",E206)),"инженер пдо",TRIM(SUBSTITUTE(SUBSTITUTE(SUBSTITUTE(SUBSTITUTE(SUBSTITUTE(SUBSTITUTE(SUBSTITUTE(SUBSTITUTE(SUBSTITUTE(SUBSTITUTE(SUBSTITUTE(LOWER(TRIM(D206)),"ё","е"),"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инженер",IF(ISNUMBER(SEARCH("диспетч",E206)),"ведущий инженер пдо",TRIM(SUBSTITUTE(SUBSTITUTE(SUBSTITUTE(SUBSTITUTE(SUBSTITUTE(SUBSTITUTE(SUBSTITUTE(SUBSTITUTE(SUBSTITUTE(SUBSTITUTE(SUBSTITUTE(LOWER(TRIM(D206)),"ё","е"),"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отк",TRIM(SUBSTITUTE(SUBSTITUTE(SUBSTITUTE(SUBSTITUTE(SUBSTITUTE(SUBSTITUTE(SUBSTITUTE(SUBSTITUTE(SUBSTITUTE(SUBSTITUTE(SUBSTITUTE(LOWER(TRIM(D206)),"ё","е")," -","-"),"- ","-")," 2 разряда","")," 3 разряда","")," 4 разряда","")," 5 разряда","")," 6 разряда","")," 1 категории","")," 2 категории","")," 3 категории","")))))</f>
        <v>главный механик</v>
      </c>
      <c r="H206" s="12" t="n">
        <f aca="false">IFERROR(INDEX(Соответствие!$B$2:$B$76,MATCH(G206,Соответствие!$A$2:$A$76,0)),"?")</f>
        <v>6</v>
      </c>
      <c r="I206" s="9" t="str">
        <f aca="false">IFERROR(INDEX('Перечень должностей'!$C$2:$C$46,MATCH(H206,'Перечень должностей'!$A$2:$A$46,0)),"")</f>
        <v>п.4.4, п.5.2, п.6.2</v>
      </c>
      <c r="J206" s="12" t="n">
        <f aca="false">IFERROR(INDEX('Перечень должностей'!$D$2:$D$46,MATCH(H206,'Перечень должностей'!$A$2:$A$46,0)),12)</f>
        <v>12</v>
      </c>
      <c r="K206" s="17"/>
      <c r="L206" s="17"/>
      <c r="M206" s="16" t="str">
        <f aca="false">IF(K206="","",EDATE(IF(L206&lt;&gt;"",L206,K206),J206))</f>
        <v/>
      </c>
      <c r="N206" s="12" t="str">
        <f aca="false">IFERROR(INDEX('Перечень должностей'!$F$2:$F$46,MATCH(H206,'Перечень должностей'!$A$2:$A$46,0)),"")</f>
        <v>Нет</v>
      </c>
      <c r="O206" s="17"/>
      <c r="P206" s="16" t="str">
        <f aca="false">IF(O206="","",EDATE(O206,60))</f>
        <v/>
      </c>
      <c r="Q206" s="12" t="str">
        <f aca="false">IF(AND(K206&lt;&gt;"",F206&lt;&gt;"",K206&gt;F206),"ДА","")</f>
        <v/>
      </c>
      <c r="R206" s="9"/>
    </row>
    <row r="207" customFormat="false" ht="23.25" hidden="false" customHeight="true" outlineLevel="0" collapsed="false">
      <c r="A207" s="15" t="n">
        <v>206</v>
      </c>
      <c r="B207" s="12" t="s">
        <v>50</v>
      </c>
      <c r="C207" s="15" t="s">
        <v>650</v>
      </c>
      <c r="D207" s="15" t="s">
        <v>651</v>
      </c>
      <c r="E207" s="15" t="s">
        <v>643</v>
      </c>
      <c r="F207" s="16" t="n">
        <v>44621</v>
      </c>
      <c r="G207" s="5" t="str">
        <f aca="false">IF(TRIM(SUBSTITUTE(SUBSTITUTE(SUBSTITUTE(SUBSTITUTE(SUBSTITUTE(SUBSTITUTE(SUBSTITUTE(SUBSTITUTE(SUBSTITUTE(SUBSTITUTE(SUBSTITUTE(LOWER(TRIM(D207)),"ё","е"),"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категории",""))="инженер",IF(AND(ISNUMBER(SEARCH("техническ",E207)),ISNUMBER(SEARCH("контрол",E207))),"инженер отк",IF(ISNUMBER(SEARCH("диспетч",E207)),"инженер пдо",TRIM(SUBSTITUTE(SUBSTITUTE(SUBSTITUTE(SUBSTITUTE(SUBSTITUTE(SUBSTITUTE(SUBSTITUTE(SUBSTITUTE(SUBSTITUTE(SUBSTITUTE(SUBSTITUTE(LOWER(TRIM(D207)),"ё","е"),"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инженер",IF(ISNUMBER(SEARCH("диспетч",E207)),"ведущий инженер пдо",TRIM(SUBSTITUTE(SUBSTITUTE(SUBSTITUTE(SUBSTITUTE(SUBSTITUTE(SUBSTITUTE(SUBSTITUTE(SUBSTITUTE(SUBSTITUTE(SUBSTITUTE(SUBSTITUTE(LOWER(TRIM(D207)),"ё","е"),"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отк",TRIM(SUBSTITUTE(SUBSTITUTE(SUBSTITUTE(SUBSTITUTE(SUBSTITUTE(SUBSTITUTE(SUBSTITUTE(SUBSTITUTE(SUBSTITUTE(SUBSTITUTE(SUBSTITUTE(LOWER(TRIM(D207)),"ё","е"),"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электромонтер по ремонту и обслуживанию электрооборудования</v>
      </c>
      <c r="H207" s="12" t="n">
        <f aca="false">IFERROR(INDEX(Соответствие!$B$2:$B$76,MATCH(G207,Соответствие!$A$2:$A$76,0)),"?")</f>
        <v>2</v>
      </c>
      <c r="I207" s="9" t="str">
        <f aca="false">IFERROR(INDEX('Перечень должностей'!$C$2:$C$46,MATCH(H207,'Перечень должностей'!$A$2:$A$46,0)),"")</f>
        <v>п.4.2.3, п.4.3.1, п.4.3.2, п.4.4, п.5.1, п.5.2, п.6.2, п.9</v>
      </c>
      <c r="J207" s="12" t="n">
        <f aca="false">IFERROR(INDEX('Перечень должностей'!$D$2:$D$46,MATCH(H207,'Перечень должностей'!$A$2:$A$46,0)),12)</f>
        <v>12</v>
      </c>
      <c r="K207" s="17"/>
      <c r="L207" s="17"/>
      <c r="M207" s="16" t="str">
        <f aca="false">IF(K207="","",EDATE(IF(L207&lt;&gt;"",L207,K207),J207))</f>
        <v/>
      </c>
      <c r="N207" s="12" t="str">
        <f aca="false">IFERROR(INDEX('Перечень должностей'!$F$2:$F$46,MATCH(H207,'Перечень должностей'!$A$2:$A$46,0)),"")</f>
        <v>Да</v>
      </c>
      <c r="O207" s="17"/>
      <c r="P207" s="16" t="str">
        <f aca="false">IF(O207="","",EDATE(O207,60))</f>
        <v/>
      </c>
      <c r="Q207" s="12" t="str">
        <f aca="false">IF(AND(K207&lt;&gt;"",F207&lt;&gt;"",K207&gt;F207),"ДА","")</f>
        <v/>
      </c>
      <c r="R207" s="9"/>
    </row>
    <row r="208" customFormat="false" ht="23.25" hidden="false" customHeight="true" outlineLevel="0" collapsed="false">
      <c r="A208" s="15" t="n">
        <v>207</v>
      </c>
      <c r="B208" s="12" t="s">
        <v>50</v>
      </c>
      <c r="C208" s="15" t="s">
        <v>652</v>
      </c>
      <c r="D208" s="15" t="s">
        <v>651</v>
      </c>
      <c r="E208" s="15" t="s">
        <v>643</v>
      </c>
      <c r="F208" s="16" t="n">
        <v>46084</v>
      </c>
      <c r="G208" s="5" t="str">
        <f aca="false">IF(TRIM(SUBSTITUTE(SUBSTITUTE(SUBSTITUTE(SUBSTITUTE(SUBSTITUTE(SUBSTITUTE(SUBSTITUTE(SUBSTITUTE(SUBSTITUTE(SUBSTITUTE(SUBSTITUTE(LOWER(TRIM(D208)),"ё","е"),"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категории",""))="инженер",IF(AND(ISNUMBER(SEARCH("техническ",E208)),ISNUMBER(SEARCH("контрол",E208))),"инженер отк",IF(ISNUMBER(SEARCH("диспетч",E208)),"инженер пдо",TRIM(SUBSTITUTE(SUBSTITUTE(SUBSTITUTE(SUBSTITUTE(SUBSTITUTE(SUBSTITUTE(SUBSTITUTE(SUBSTITUTE(SUBSTITUTE(SUBSTITUTE(SUBSTITUTE(LOWER(TRIM(D208)),"ё","е"),"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инженер",IF(ISNUMBER(SEARCH("диспетч",E208)),"ведущий инженер пдо",TRIM(SUBSTITUTE(SUBSTITUTE(SUBSTITUTE(SUBSTITUTE(SUBSTITUTE(SUBSTITUTE(SUBSTITUTE(SUBSTITUTE(SUBSTITUTE(SUBSTITUTE(SUBSTITUTE(LOWER(TRIM(D208)),"ё","е"),"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отк",TRIM(SUBSTITUTE(SUBSTITUTE(SUBSTITUTE(SUBSTITUTE(SUBSTITUTE(SUBSTITUTE(SUBSTITUTE(SUBSTITUTE(SUBSTITUTE(SUBSTITUTE(SUBSTITUTE(LOWER(TRIM(D208)),"ё","е"),"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электромонтер по ремонту и обслуживанию электрооборудования</v>
      </c>
      <c r="H208" s="12" t="n">
        <f aca="false">IFERROR(INDEX(Соответствие!$B$2:$B$76,MATCH(G208,Соответствие!$A$2:$A$76,0)),"?")</f>
        <v>2</v>
      </c>
      <c r="I208" s="9" t="str">
        <f aca="false">IFERROR(INDEX('Перечень должностей'!$C$2:$C$46,MATCH(H208,'Перечень должностей'!$A$2:$A$46,0)),"")</f>
        <v>п.4.2.3, п.4.3.1, п.4.3.2, п.4.4, п.5.1, п.5.2, п.6.2, п.9</v>
      </c>
      <c r="J208" s="12" t="n">
        <f aca="false">IFERROR(INDEX('Перечень должностей'!$D$2:$D$46,MATCH(H208,'Перечень должностей'!$A$2:$A$46,0)),12)</f>
        <v>12</v>
      </c>
      <c r="K208" s="17"/>
      <c r="L208" s="17"/>
      <c r="M208" s="16" t="str">
        <f aca="false">IF(K208="","",EDATE(IF(L208&lt;&gt;"",L208,K208),J208))</f>
        <v/>
      </c>
      <c r="N208" s="12" t="str">
        <f aca="false">IFERROR(INDEX('Перечень должностей'!$F$2:$F$46,MATCH(H208,'Перечень должностей'!$A$2:$A$46,0)),"")</f>
        <v>Да</v>
      </c>
      <c r="O208" s="17"/>
      <c r="P208" s="16" t="str">
        <f aca="false">IF(O208="","",EDATE(O208,60))</f>
        <v/>
      </c>
      <c r="Q208" s="12" t="str">
        <f aca="false">IF(AND(K208&lt;&gt;"",F208&lt;&gt;"",K208&gt;F208),"ДА","")</f>
        <v/>
      </c>
      <c r="R208" s="9"/>
    </row>
    <row r="209" customFormat="false" ht="26.25" hidden="false" customHeight="true" outlineLevel="0" collapsed="false">
      <c r="A209" s="15" t="n">
        <v>208</v>
      </c>
      <c r="B209" s="12" t="s">
        <v>50</v>
      </c>
      <c r="C209" s="15" t="s">
        <v>653</v>
      </c>
      <c r="D209" s="15" t="s">
        <v>310</v>
      </c>
      <c r="E209" s="15" t="s">
        <v>643</v>
      </c>
      <c r="F209" s="16" t="n">
        <v>45596</v>
      </c>
      <c r="G209" s="5" t="str">
        <f aca="false">IF(TRIM(SUBSTITUTE(SUBSTITUTE(SUBSTITUTE(SUBSTITUTE(SUBSTITUTE(SUBSTITUTE(SUBSTITUTE(SUBSTITUTE(SUBSTITUTE(SUBSTITUTE(SUBSTITUTE(LOWER(TRIM(D209)),"ё","е"),"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категории",""))="инженер",IF(AND(ISNUMBER(SEARCH("техническ",E209)),ISNUMBER(SEARCH("контрол",E209))),"инженер отк",IF(ISNUMBER(SEARCH("диспетч",E209)),"инженер пдо",TRIM(SUBSTITUTE(SUBSTITUTE(SUBSTITUTE(SUBSTITUTE(SUBSTITUTE(SUBSTITUTE(SUBSTITUTE(SUBSTITUTE(SUBSTITUTE(SUBSTITUTE(SUBSTITUTE(LOWER(TRIM(D209)),"ё","е"),"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инженер",IF(ISNUMBER(SEARCH("диспетч",E209)),"ведущий инженер пдо",TRIM(SUBSTITUTE(SUBSTITUTE(SUBSTITUTE(SUBSTITUTE(SUBSTITUTE(SUBSTITUTE(SUBSTITUTE(SUBSTITUTE(SUBSTITUTE(SUBSTITUTE(SUBSTITUTE(LOWER(TRIM(D209)),"ё","е"),"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отк",TRIM(SUBSTITUTE(SUBSTITUTE(SUBSTITUTE(SUBSTITUTE(SUBSTITUTE(SUBSTITUTE(SUBSTITUTE(SUBSTITUTE(SUBSTITUTE(SUBSTITUTE(SUBSTITUTE(LOWER(TRIM(D209)),"ё","е")," -","-"),"- ","-")," 2 разряда","")," 3 разряда","")," 4 разряда","")," 5 разряда","")," 6 разряда","")," 1 категории","")," 2 категории","")," 3 категории","")))))</f>
        <v>инженер по эксплуатации зданий и сооружений</v>
      </c>
      <c r="H209" s="12" t="n">
        <f aca="false">IFERROR(INDEX(Соответствие!$B$2:$B$76,MATCH(G209,Соответствие!$A$2:$A$76,0)),"?")</f>
        <v>4</v>
      </c>
      <c r="I209" s="9" t="str">
        <f aca="false">IFERROR(INDEX('Перечень должностей'!$C$2:$C$46,MATCH(H209,'Перечень должностей'!$A$2:$A$46,0)),"")</f>
        <v>п.4.3.1, п.4.4, п.5.1, п.5.2, п.6.2</v>
      </c>
      <c r="J209" s="12" t="n">
        <f aca="false">IFERROR(INDEX('Перечень должностей'!$D$2:$D$46,MATCH(H209,'Перечень должностей'!$A$2:$A$46,0)),12)</f>
        <v>12</v>
      </c>
      <c r="K209" s="17"/>
      <c r="L209" s="17"/>
      <c r="M209" s="16" t="str">
        <f aca="false">IF(K209="","",EDATE(IF(L209&lt;&gt;"",L209,K209),J209))</f>
        <v/>
      </c>
      <c r="N209" s="12" t="str">
        <f aca="false">IFERROR(INDEX('Перечень должностей'!$F$2:$F$46,MATCH(H209,'Перечень должностей'!$A$2:$A$46,0)),"")</f>
        <v>-</v>
      </c>
      <c r="O209" s="17"/>
      <c r="P209" s="16" t="str">
        <f aca="false">IF(O209="","",EDATE(O209,60))</f>
        <v/>
      </c>
      <c r="Q209" s="12" t="str">
        <f aca="false">IF(AND(K209&lt;&gt;"",F209&lt;&gt;"",K209&gt;F209),"ДА","")</f>
        <v/>
      </c>
      <c r="R209" s="9"/>
    </row>
    <row r="210" customFormat="false" ht="26.25" hidden="false" customHeight="true" outlineLevel="0" collapsed="false">
      <c r="A210" s="15" t="n">
        <v>209</v>
      </c>
      <c r="B210" s="12" t="s">
        <v>50</v>
      </c>
      <c r="C210" s="15" t="s">
        <v>654</v>
      </c>
      <c r="D210" s="15" t="s">
        <v>655</v>
      </c>
      <c r="E210" s="15" t="s">
        <v>643</v>
      </c>
      <c r="F210" s="16" t="n">
        <v>46036</v>
      </c>
      <c r="G210" s="5" t="str">
        <f aca="false">IF(TRIM(SUBSTITUTE(SUBSTITUTE(SUBSTITUTE(SUBSTITUTE(SUBSTITUTE(SUBSTITUTE(SUBSTITUTE(SUBSTITUTE(SUBSTITUTE(SUBSTITUTE(SUBSTITUTE(LOWER(TRIM(D210)),"ё","е"),"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категории",""))="инженер",IF(AND(ISNUMBER(SEARCH("техническ",E210)),ISNUMBER(SEARCH("контрол",E210))),"инженер отк",IF(ISNUMBER(SEARCH("диспетч",E210)),"инженер пдо",TRIM(SUBSTITUTE(SUBSTITUTE(SUBSTITUTE(SUBSTITUTE(SUBSTITUTE(SUBSTITUTE(SUBSTITUTE(SUBSTITUTE(SUBSTITUTE(SUBSTITUTE(SUBSTITUTE(LOWER(TRIM(D210)),"ё","е"),"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инженер",IF(ISNUMBER(SEARCH("диспетч",E210)),"ведущий инженер пдо",TRIM(SUBSTITUTE(SUBSTITUTE(SUBSTITUTE(SUBSTITUTE(SUBSTITUTE(SUBSTITUTE(SUBSTITUTE(SUBSTITUTE(SUBSTITUTE(SUBSTITUTE(SUBSTITUTE(LOWER(TRIM(D210)),"ё","е"),"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отк",TRIM(SUBSTITUTE(SUBSTITUTE(SUBSTITUTE(SUBSTITUTE(SUBSTITUTE(SUBSTITUTE(SUBSTITUTE(SUBSTITUTE(SUBSTITUTE(SUBSTITUTE(SUBSTITUTE(LOWER(TRIM(D210)),"ё","е"),"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электромонтер по ремонту и обслуживанию электрооборудования</v>
      </c>
      <c r="H210" s="12" t="n">
        <f aca="false">IFERROR(INDEX(Соответствие!$B$2:$B$76,MATCH(G210,Соответствие!$A$2:$A$76,0)),"?")</f>
        <v>2</v>
      </c>
      <c r="I210" s="9" t="str">
        <f aca="false">IFERROR(INDEX('Перечень должностей'!$C$2:$C$46,MATCH(H210,'Перечень должностей'!$A$2:$A$46,0)),"")</f>
        <v>п.4.2.3, п.4.3.1, п.4.3.2, п.4.4, п.5.1, п.5.2, п.6.2, п.9</v>
      </c>
      <c r="J210" s="12" t="n">
        <f aca="false">IFERROR(INDEX('Перечень должностей'!$D$2:$D$46,MATCH(H210,'Перечень должностей'!$A$2:$A$46,0)),12)</f>
        <v>12</v>
      </c>
      <c r="K210" s="17"/>
      <c r="L210" s="17"/>
      <c r="M210" s="16" t="str">
        <f aca="false">IF(K210="","",EDATE(IF(L210&lt;&gt;"",L210,K210),J210))</f>
        <v/>
      </c>
      <c r="N210" s="12" t="str">
        <f aca="false">IFERROR(INDEX('Перечень должностей'!$F$2:$F$46,MATCH(H210,'Перечень должностей'!$A$2:$A$46,0)),"")</f>
        <v>Да</v>
      </c>
      <c r="O210" s="17"/>
      <c r="P210" s="16" t="str">
        <f aca="false">IF(O210="","",EDATE(O210,60))</f>
        <v/>
      </c>
      <c r="Q210" s="12" t="str">
        <f aca="false">IF(AND(K210&lt;&gt;"",F210&lt;&gt;"",K210&gt;F210),"ДА","")</f>
        <v/>
      </c>
      <c r="R210" s="9"/>
    </row>
    <row r="211" customFormat="false" ht="23.25" hidden="false" customHeight="true" outlineLevel="0" collapsed="false">
      <c r="A211" s="15" t="n">
        <v>210</v>
      </c>
      <c r="B211" s="12" t="s">
        <v>50</v>
      </c>
      <c r="C211" s="15" t="s">
        <v>656</v>
      </c>
      <c r="D211" s="15" t="s">
        <v>657</v>
      </c>
      <c r="E211" s="15" t="s">
        <v>643</v>
      </c>
      <c r="F211" s="16" t="n">
        <v>42388</v>
      </c>
      <c r="G211" s="5" t="str">
        <f aca="false">IF(TRIM(SUBSTITUTE(SUBSTITUTE(SUBSTITUTE(SUBSTITUTE(SUBSTITUTE(SUBSTITUTE(SUBSTITUTE(SUBSTITUTE(SUBSTITUTE(SUBSTITUTE(SUBSTITUTE(LOWER(TRIM(D211)),"ё","е"),"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категории",""))="инженер",IF(AND(ISNUMBER(SEARCH("техническ",E211)),ISNUMBER(SEARCH("контрол",E211))),"инженер отк",IF(ISNUMBER(SEARCH("диспетч",E211)),"инженер пдо",TRIM(SUBSTITUTE(SUBSTITUTE(SUBSTITUTE(SUBSTITUTE(SUBSTITUTE(SUBSTITUTE(SUBSTITUTE(SUBSTITUTE(SUBSTITUTE(SUBSTITUTE(SUBSTITUTE(LOWER(TRIM(D211)),"ё","е"),"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инженер",IF(ISNUMBER(SEARCH("диспетч",E211)),"ведущий инженер пдо",TRIM(SUBSTITUTE(SUBSTITUTE(SUBSTITUTE(SUBSTITUTE(SUBSTITUTE(SUBSTITUTE(SUBSTITUTE(SUBSTITUTE(SUBSTITUTE(SUBSTITUTE(SUBSTITUTE(LOWER(TRIM(D211)),"ё","е"),"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отк",TRIM(SUBSTITUTE(SUBSTITUTE(SUBSTITUTE(SUBSTITUTE(SUBSTITUTE(SUBSTITUTE(SUBSTITUTE(SUBSTITUTE(SUBSTITUTE(SUBSTITUTE(SUBSTITUTE(LOWER(TRIM(D211)),"ё","е")," -","-"),"- ","-")," 2 разряда","")," 3 разряда","")," 4 разряда","")," 5 разряда","")," 6 разряда","")," 1 категории","")," 2 категории","")," 3 категории","")))))</f>
        <v>механик-наладчик</v>
      </c>
      <c r="H211" s="12" t="n">
        <f aca="false">IFERROR(INDEX(Соответствие!$B$2:$B$76,MATCH(G211,Соответствие!$A$2:$A$76,0)),"?")</f>
        <v>11</v>
      </c>
      <c r="I211" s="9" t="str">
        <f aca="false">IFERROR(INDEX('Перечень должностей'!$C$2:$C$46,MATCH(H211,'Перечень должностей'!$A$2:$A$46,0)),"")</f>
        <v>п.4.3.1, п.4.3.2, п.4.4, п.4.6, п.5.1, п.6.2</v>
      </c>
      <c r="J211" s="12" t="n">
        <f aca="false">IFERROR(INDEX('Перечень должностей'!$D$2:$D$46,MATCH(H211,'Перечень должностей'!$A$2:$A$46,0)),12)</f>
        <v>12</v>
      </c>
      <c r="K211" s="17"/>
      <c r="L211" s="17"/>
      <c r="M211" s="16" t="str">
        <f aca="false">IF(K211="","",EDATE(IF(L211&lt;&gt;"",L211,K211),J211))</f>
        <v/>
      </c>
      <c r="N211" s="12" t="str">
        <f aca="false">IFERROR(INDEX('Перечень должностей'!$F$2:$F$46,MATCH(H211,'Перечень должностей'!$A$2:$A$46,0)),"")</f>
        <v>-</v>
      </c>
      <c r="O211" s="17"/>
      <c r="P211" s="16" t="str">
        <f aca="false">IF(O211="","",EDATE(O211,60))</f>
        <v/>
      </c>
      <c r="Q211" s="12" t="str">
        <f aca="false">IF(AND(K211&lt;&gt;"",F211&lt;&gt;"",K211&gt;F211),"ДА","")</f>
        <v/>
      </c>
      <c r="R211" s="9"/>
    </row>
    <row r="212" customFormat="false" ht="26.25" hidden="false" customHeight="true" outlineLevel="0" collapsed="false">
      <c r="A212" s="15" t="n">
        <v>211</v>
      </c>
      <c r="B212" s="12" t="s">
        <v>50</v>
      </c>
      <c r="C212" s="15" t="s">
        <v>658</v>
      </c>
      <c r="D212" s="15" t="s">
        <v>659</v>
      </c>
      <c r="E212" s="15" t="s">
        <v>643</v>
      </c>
      <c r="F212" s="16" t="n">
        <v>45817</v>
      </c>
      <c r="G212" s="5" t="str">
        <f aca="false">IF(TRIM(SUBSTITUTE(SUBSTITUTE(SUBSTITUTE(SUBSTITUTE(SUBSTITUTE(SUBSTITUTE(SUBSTITUTE(SUBSTITUTE(SUBSTITUTE(SUBSTITUTE(SUBSTITUTE(LOWER(TRIM(D212)),"ё","е"),"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категории",""))="инженер",IF(AND(ISNUMBER(SEARCH("техническ",E212)),ISNUMBER(SEARCH("контрол",E212))),"инженер отк",IF(ISNUMBER(SEARCH("диспетч",E212)),"инженер пдо",TRIM(SUBSTITUTE(SUBSTITUTE(SUBSTITUTE(SUBSTITUTE(SUBSTITUTE(SUBSTITUTE(SUBSTITUTE(SUBSTITUTE(SUBSTITUTE(SUBSTITUTE(SUBSTITUTE(LOWER(TRIM(D212)),"ё","е"),"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инженер",IF(ISNUMBER(SEARCH("диспетч",E212)),"ведущий инженер пдо",TRIM(SUBSTITUTE(SUBSTITUTE(SUBSTITUTE(SUBSTITUTE(SUBSTITUTE(SUBSTITUTE(SUBSTITUTE(SUBSTITUTE(SUBSTITUTE(SUBSTITUTE(SUBSTITUTE(LOWER(TRIM(D212)),"ё","е"),"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отк",TRIM(SUBSTITUTE(SUBSTITUTE(SUBSTITUTE(SUBSTITUTE(SUBSTITUTE(SUBSTITUTE(SUBSTITUTE(SUBSTITUTE(SUBSTITUTE(SUBSTITUTE(SUBSTITUTE(LOWER(TRIM(D212)),"ё","е")," -","-"),"- ","-")," 2 разряда","")," 3 разряда","")," 4 разряда","")," 5 разряда","")," 6 разряда","")," 1 категории","")," 2 категории","")," 3 категории","")))))</f>
        <v>инженер-электрик</v>
      </c>
      <c r="H212" s="12" t="n">
        <f aca="false">IFERROR(INDEX(Соответствие!$B$2:$B$76,MATCH(G212,Соответствие!$A$2:$A$76,0)),"?")</f>
        <v>2</v>
      </c>
      <c r="I212" s="9" t="str">
        <f aca="false">IFERROR(INDEX('Перечень должностей'!$C$2:$C$46,MATCH(H212,'Перечень должностей'!$A$2:$A$46,0)),"")</f>
        <v>п.4.2.3, п.4.3.1, п.4.3.2, п.4.4, п.5.1, п.5.2, п.6.2, п.9</v>
      </c>
      <c r="J212" s="12" t="n">
        <f aca="false">IFERROR(INDEX('Перечень должностей'!$D$2:$D$46,MATCH(H212,'Перечень должностей'!$A$2:$A$46,0)),12)</f>
        <v>12</v>
      </c>
      <c r="K212" s="17"/>
      <c r="L212" s="17"/>
      <c r="M212" s="16" t="str">
        <f aca="false">IF(K212="","",EDATE(IF(L212&lt;&gt;"",L212,K212),J212))</f>
        <v/>
      </c>
      <c r="N212" s="12" t="str">
        <f aca="false">IFERROR(INDEX('Перечень должностей'!$F$2:$F$46,MATCH(H212,'Перечень должностей'!$A$2:$A$46,0)),"")</f>
        <v>Да</v>
      </c>
      <c r="O212" s="17"/>
      <c r="P212" s="16" t="str">
        <f aca="false">IF(O212="","",EDATE(O212,60))</f>
        <v/>
      </c>
      <c r="Q212" s="12" t="str">
        <f aca="false">IF(AND(K212&lt;&gt;"",F212&lt;&gt;"",K212&gt;F212),"ДА","")</f>
        <v/>
      </c>
      <c r="R212" s="9"/>
    </row>
    <row r="213" customFormat="false" ht="26.25" hidden="false" customHeight="true" outlineLevel="0" collapsed="false">
      <c r="A213" s="15" t="n">
        <v>212</v>
      </c>
      <c r="B213" s="12" t="s">
        <v>50</v>
      </c>
      <c r="C213" s="15" t="s">
        <v>660</v>
      </c>
      <c r="D213" s="15" t="s">
        <v>330</v>
      </c>
      <c r="E213" s="15" t="s">
        <v>661</v>
      </c>
      <c r="F213" s="16" t="n">
        <v>45698</v>
      </c>
      <c r="G213" s="5" t="str">
        <f aca="false">IF(TRIM(SUBSTITUTE(SUBSTITUTE(SUBSTITUTE(SUBSTITUTE(SUBSTITUTE(SUBSTITUTE(SUBSTITUTE(SUBSTITUTE(SUBSTITUTE(SUBSTITUTE(SUBSTITUTE(LOWER(TRIM(D213)),"ё","е"),"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категории",""))="инженер",IF(AND(ISNUMBER(SEARCH("техническ",E213)),ISNUMBER(SEARCH("контрол",E213))),"инженер отк",IF(ISNUMBER(SEARCH("диспетч",E213)),"инженер пдо",TRIM(SUBSTITUTE(SUBSTITUTE(SUBSTITUTE(SUBSTITUTE(SUBSTITUTE(SUBSTITUTE(SUBSTITUTE(SUBSTITUTE(SUBSTITUTE(SUBSTITUTE(SUBSTITUTE(LOWER(TRIM(D213)),"ё","е"),"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инженер",IF(ISNUMBER(SEARCH("диспетч",E213)),"ведущий инженер пдо",TRIM(SUBSTITUTE(SUBSTITUTE(SUBSTITUTE(SUBSTITUTE(SUBSTITUTE(SUBSTITUTE(SUBSTITUTE(SUBSTITUTE(SUBSTITUTE(SUBSTITUTE(SUBSTITUTE(LOWER(TRIM(D213)),"ё","е"),"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отк",TRIM(SUBSTITUTE(SUBSTITUTE(SUBSTITUTE(SUBSTITUTE(SUBSTITUTE(SUBSTITUTE(SUBSTITUTE(SUBSTITUTE(SUBSTITUTE(SUBSTITUTE(SUBSTITUTE(LOWER(TRIM(D213)),"ё","е")," -","-"),"- ","-")," 2 разряда","")," 3 разряда","")," 4 разряда","")," 5 разряда","")," 6 разряда","")," 1 категории","")," 2 категории","")," 3 категории","")))))</f>
        <v>специалист</v>
      </c>
      <c r="H213" s="12" t="n">
        <f aca="false">IFERROR(INDEX(Соответствие!$B$2:$B$76,MATCH(G213,Соответствие!$A$2:$A$76,0)),"?")</f>
        <v>12</v>
      </c>
      <c r="I213" s="9" t="str">
        <f aca="false">IFERROR(INDEX('Перечень должностей'!$C$2:$C$46,MATCH(H213,'Перечень должностей'!$A$2:$A$46,0)),"")</f>
        <v>п.4.4, п.5.1, п.5.2</v>
      </c>
      <c r="J213" s="12" t="n">
        <f aca="false">IFERROR(INDEX('Перечень должностей'!$D$2:$D$46,MATCH(H213,'Перечень должностей'!$A$2:$A$46,0)),12)</f>
        <v>12</v>
      </c>
      <c r="K213" s="17"/>
      <c r="L213" s="17"/>
      <c r="M213" s="16" t="str">
        <f aca="false">IF(K213="","",EDATE(IF(L213&lt;&gt;"",L213,K213),J213))</f>
        <v/>
      </c>
      <c r="N213" s="12" t="str">
        <f aca="false">IFERROR(INDEX('Перечень должностей'!$F$2:$F$46,MATCH(H213,'Перечень должностей'!$A$2:$A$46,0)),"")</f>
        <v>-</v>
      </c>
      <c r="O213" s="17"/>
      <c r="P213" s="16" t="str">
        <f aca="false">IF(O213="","",EDATE(O213,60))</f>
        <v/>
      </c>
      <c r="Q213" s="12" t="str">
        <f aca="false">IF(AND(K213&lt;&gt;"",F213&lt;&gt;"",K213&gt;F213),"ДА","")</f>
        <v/>
      </c>
      <c r="R213" s="9"/>
    </row>
    <row r="214" customFormat="false" ht="26.25" hidden="false" customHeight="true" outlineLevel="0" collapsed="false">
      <c r="A214" s="15" t="n">
        <v>213</v>
      </c>
      <c r="B214" s="12" t="s">
        <v>50</v>
      </c>
      <c r="C214" s="15" t="s">
        <v>662</v>
      </c>
      <c r="D214" s="15" t="s">
        <v>663</v>
      </c>
      <c r="E214" s="15" t="s">
        <v>661</v>
      </c>
      <c r="F214" s="16" t="n">
        <v>45098</v>
      </c>
      <c r="G214" s="5" t="str">
        <f aca="false">IF(TRIM(SUBSTITUTE(SUBSTITUTE(SUBSTITUTE(SUBSTITUTE(SUBSTITUTE(SUBSTITUTE(SUBSTITUTE(SUBSTITUTE(SUBSTITUTE(SUBSTITUTE(SUBSTITUTE(LOWER(TRIM(D214)),"ё","е"),"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категории",""))="инженер",IF(AND(ISNUMBER(SEARCH("техническ",E214)),ISNUMBER(SEARCH("контрол",E214))),"инженер отк",IF(ISNUMBER(SEARCH("диспетч",E214)),"инженер пдо",TRIM(SUBSTITUTE(SUBSTITUTE(SUBSTITUTE(SUBSTITUTE(SUBSTITUTE(SUBSTITUTE(SUBSTITUTE(SUBSTITUTE(SUBSTITUTE(SUBSTITUTE(SUBSTITUTE(LOWER(TRIM(D214)),"ё","е"),"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инженер",IF(ISNUMBER(SEARCH("диспетч",E214)),"ведущий инженер пдо",TRIM(SUBSTITUTE(SUBSTITUTE(SUBSTITUTE(SUBSTITUTE(SUBSTITUTE(SUBSTITUTE(SUBSTITUTE(SUBSTITUTE(SUBSTITUTE(SUBSTITUTE(SUBSTITUTE(LOWER(TRIM(D214)),"ё","е"),"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отк",TRIM(SUBSTITUTE(SUBSTITUTE(SUBSTITUTE(SUBSTITUTE(SUBSTITUTE(SUBSTITUTE(SUBSTITUTE(SUBSTITUTE(SUBSTITUTE(SUBSTITUTE(SUBSTITUTE(LOWER(TRIM(D214)),"ё","е")," -","-"),"- ","-")," 2 разряда","")," 3 разряда","")," 4 разряда","")," 5 разряда","")," 6 разряда","")," 1 категории","")," 2 категории","")," 3 категории","")))))</f>
        <v>уборщик производственных и служебных помещений</v>
      </c>
      <c r="H214" s="12" t="n">
        <f aca="false">IFERROR(INDEX(Соответствие!$B$2:$B$76,MATCH(G214,Соответствие!$A$2:$A$76,0)),"?")</f>
        <v>10</v>
      </c>
      <c r="I214" s="9" t="str">
        <f aca="false">IFERROR(INDEX('Перечень должностей'!$C$2:$C$46,MATCH(H214,'Перечень должностей'!$A$2:$A$46,0)),"")</f>
        <v>п.1.48, п.4.3.1, п.4.4, п.5.1</v>
      </c>
      <c r="J214" s="12" t="n">
        <f aca="false">IFERROR(INDEX('Перечень должностей'!$D$2:$D$46,MATCH(H214,'Перечень должностей'!$A$2:$A$46,0)),12)</f>
        <v>12</v>
      </c>
      <c r="K214" s="17"/>
      <c r="L214" s="17"/>
      <c r="M214" s="16" t="str">
        <f aca="false">IF(K214="","",EDATE(IF(L214&lt;&gt;"",L214,K214),J214))</f>
        <v/>
      </c>
      <c r="N214" s="12" t="str">
        <f aca="false">IFERROR(INDEX('Перечень должностей'!$F$2:$F$46,MATCH(H214,'Перечень должностей'!$A$2:$A$46,0)),"")</f>
        <v>-</v>
      </c>
      <c r="O214" s="17"/>
      <c r="P214" s="16" t="str">
        <f aca="false">IF(O214="","",EDATE(O214,60))</f>
        <v/>
      </c>
      <c r="Q214" s="12" t="str">
        <f aca="false">IF(AND(K214&lt;&gt;"",F214&lt;&gt;"",K214&gt;F214),"ДА","")</f>
        <v/>
      </c>
      <c r="R214" s="9"/>
    </row>
    <row r="215" customFormat="false" ht="14.25" hidden="false" customHeight="true" outlineLevel="0" collapsed="false">
      <c r="A215" s="15" t="n">
        <v>214</v>
      </c>
      <c r="B215" s="12" t="s">
        <v>50</v>
      </c>
      <c r="C215" s="15" t="s">
        <v>664</v>
      </c>
      <c r="D215" s="15" t="s">
        <v>663</v>
      </c>
      <c r="E215" s="15" t="s">
        <v>661</v>
      </c>
      <c r="F215" s="16" t="n">
        <v>42849</v>
      </c>
      <c r="G215" s="5" t="str">
        <f aca="false">IF(TRIM(SUBSTITUTE(SUBSTITUTE(SUBSTITUTE(SUBSTITUTE(SUBSTITUTE(SUBSTITUTE(SUBSTITUTE(SUBSTITUTE(SUBSTITUTE(SUBSTITUTE(SUBSTITUTE(LOWER(TRIM(D215)),"ё","е"),"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категории",""))="инженер",IF(AND(ISNUMBER(SEARCH("техническ",E215)),ISNUMBER(SEARCH("контрол",E215))),"инженер отк",IF(ISNUMBER(SEARCH("диспетч",E215)),"инженер пдо",TRIM(SUBSTITUTE(SUBSTITUTE(SUBSTITUTE(SUBSTITUTE(SUBSTITUTE(SUBSTITUTE(SUBSTITUTE(SUBSTITUTE(SUBSTITUTE(SUBSTITUTE(SUBSTITUTE(LOWER(TRIM(D215)),"ё","е"),"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инженер",IF(ISNUMBER(SEARCH("диспетч",E215)),"ведущий инженер пдо",TRIM(SUBSTITUTE(SUBSTITUTE(SUBSTITUTE(SUBSTITUTE(SUBSTITUTE(SUBSTITUTE(SUBSTITUTE(SUBSTITUTE(SUBSTITUTE(SUBSTITUTE(SUBSTITUTE(LOWER(TRIM(D215)),"ё","е"),"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отк",TRIM(SUBSTITUTE(SUBSTITUTE(SUBSTITUTE(SUBSTITUTE(SUBSTITUTE(SUBSTITUTE(SUBSTITUTE(SUBSTITUTE(SUBSTITUTE(SUBSTITUTE(SUBSTITUTE(LOWER(TRIM(D215)),"ё","е")," -","-"),"- ","-")," 2 разряда","")," 3 разряда","")," 4 разряда","")," 5 разряда","")," 6 разряда","")," 1 категории","")," 2 категории","")," 3 категории","")))))</f>
        <v>уборщик производственных и служебных помещений</v>
      </c>
      <c r="H215" s="12" t="n">
        <f aca="false">IFERROR(INDEX(Соответствие!$B$2:$B$76,MATCH(G215,Соответствие!$A$2:$A$76,0)),"?")</f>
        <v>10</v>
      </c>
      <c r="I215" s="9" t="str">
        <f aca="false">IFERROR(INDEX('Перечень должностей'!$C$2:$C$46,MATCH(H215,'Перечень должностей'!$A$2:$A$46,0)),"")</f>
        <v>п.1.48, п.4.3.1, п.4.4, п.5.1</v>
      </c>
      <c r="J215" s="12" t="n">
        <f aca="false">IFERROR(INDEX('Перечень должностей'!$D$2:$D$46,MATCH(H215,'Перечень должностей'!$A$2:$A$46,0)),12)</f>
        <v>12</v>
      </c>
      <c r="K215" s="17"/>
      <c r="L215" s="17"/>
      <c r="M215" s="16" t="str">
        <f aca="false">IF(K215="","",EDATE(IF(L215&lt;&gt;"",L215,K215),J215))</f>
        <v/>
      </c>
      <c r="N215" s="12" t="str">
        <f aca="false">IFERROR(INDEX('Перечень должностей'!$F$2:$F$46,MATCH(H215,'Перечень должностей'!$A$2:$A$46,0)),"")</f>
        <v>-</v>
      </c>
      <c r="O215" s="17"/>
      <c r="P215" s="16" t="str">
        <f aca="false">IF(O215="","",EDATE(O215,60))</f>
        <v/>
      </c>
      <c r="Q215" s="12" t="str">
        <f aca="false">IF(AND(K215&lt;&gt;"",F215&lt;&gt;"",K215&gt;F215),"ДА","")</f>
        <v/>
      </c>
      <c r="R215" s="9"/>
    </row>
    <row r="216" customFormat="false" ht="14.25" hidden="false" customHeight="true" outlineLevel="0" collapsed="false">
      <c r="A216" s="15" t="n">
        <v>215</v>
      </c>
      <c r="B216" s="12" t="s">
        <v>50</v>
      </c>
      <c r="C216" s="15" t="s">
        <v>665</v>
      </c>
      <c r="D216" s="15" t="s">
        <v>663</v>
      </c>
      <c r="E216" s="15" t="s">
        <v>661</v>
      </c>
      <c r="F216" s="16" t="n">
        <v>46086</v>
      </c>
      <c r="G216" s="5" t="str">
        <f aca="false">IF(TRIM(SUBSTITUTE(SUBSTITUTE(SUBSTITUTE(SUBSTITUTE(SUBSTITUTE(SUBSTITUTE(SUBSTITUTE(SUBSTITUTE(SUBSTITUTE(SUBSTITUTE(SUBSTITUTE(LOWER(TRIM(D216)),"ё","е"),"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категории",""))="инженер",IF(AND(ISNUMBER(SEARCH("техническ",E216)),ISNUMBER(SEARCH("контрол",E216))),"инженер отк",IF(ISNUMBER(SEARCH("диспетч",E216)),"инженер пдо",TRIM(SUBSTITUTE(SUBSTITUTE(SUBSTITUTE(SUBSTITUTE(SUBSTITUTE(SUBSTITUTE(SUBSTITUTE(SUBSTITUTE(SUBSTITUTE(SUBSTITUTE(SUBSTITUTE(LOWER(TRIM(D216)),"ё","е"),"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инженер",IF(ISNUMBER(SEARCH("диспетч",E216)),"ведущий инженер пдо",TRIM(SUBSTITUTE(SUBSTITUTE(SUBSTITUTE(SUBSTITUTE(SUBSTITUTE(SUBSTITUTE(SUBSTITUTE(SUBSTITUTE(SUBSTITUTE(SUBSTITUTE(SUBSTITUTE(LOWER(TRIM(D216)),"ё","е"),"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отк",TRIM(SUBSTITUTE(SUBSTITUTE(SUBSTITUTE(SUBSTITUTE(SUBSTITUTE(SUBSTITUTE(SUBSTITUTE(SUBSTITUTE(SUBSTITUTE(SUBSTITUTE(SUBSTITUTE(LOWER(TRIM(D216)),"ё","е")," -","-"),"- ","-")," 2 разряда","")," 3 разряда","")," 4 разряда","")," 5 разряда","")," 6 разряда","")," 1 категории","")," 2 категории","")," 3 категории","")))))</f>
        <v>уборщик производственных и служебных помещений</v>
      </c>
      <c r="H216" s="12" t="n">
        <f aca="false">IFERROR(INDEX(Соответствие!$B$2:$B$76,MATCH(G216,Соответствие!$A$2:$A$76,0)),"?")</f>
        <v>10</v>
      </c>
      <c r="I216" s="9" t="str">
        <f aca="false">IFERROR(INDEX('Перечень должностей'!$C$2:$C$46,MATCH(H216,'Перечень должностей'!$A$2:$A$46,0)),"")</f>
        <v>п.1.48, п.4.3.1, п.4.4, п.5.1</v>
      </c>
      <c r="J216" s="12" t="n">
        <f aca="false">IFERROR(INDEX('Перечень должностей'!$D$2:$D$46,MATCH(H216,'Перечень должностей'!$A$2:$A$46,0)),12)</f>
        <v>12</v>
      </c>
      <c r="K216" s="17"/>
      <c r="L216" s="17"/>
      <c r="M216" s="16" t="str">
        <f aca="false">IF(K216="","",EDATE(IF(L216&lt;&gt;"",L216,K216),J216))</f>
        <v/>
      </c>
      <c r="N216" s="12" t="str">
        <f aca="false">IFERROR(INDEX('Перечень должностей'!$F$2:$F$46,MATCH(H216,'Перечень должностей'!$A$2:$A$46,0)),"")</f>
        <v>-</v>
      </c>
      <c r="O216" s="17"/>
      <c r="P216" s="16" t="str">
        <f aca="false">IF(O216="","",EDATE(O216,60))</f>
        <v/>
      </c>
      <c r="Q216" s="12" t="str">
        <f aca="false">IF(AND(K216&lt;&gt;"",F216&lt;&gt;"",K216&gt;F216),"ДА","")</f>
        <v/>
      </c>
      <c r="R216" s="9"/>
    </row>
    <row r="217" customFormat="false" ht="14.25" hidden="false" customHeight="true" outlineLevel="0" collapsed="false">
      <c r="A217" s="15" t="n">
        <v>216</v>
      </c>
      <c r="B217" s="12" t="s">
        <v>50</v>
      </c>
      <c r="C217" s="15" t="s">
        <v>666</v>
      </c>
      <c r="D217" s="15" t="s">
        <v>663</v>
      </c>
      <c r="E217" s="15" t="s">
        <v>661</v>
      </c>
      <c r="F217" s="16" t="n">
        <v>45978</v>
      </c>
      <c r="G217" s="5" t="str">
        <f aca="false">IF(TRIM(SUBSTITUTE(SUBSTITUTE(SUBSTITUTE(SUBSTITUTE(SUBSTITUTE(SUBSTITUTE(SUBSTITUTE(SUBSTITUTE(SUBSTITUTE(SUBSTITUTE(SUBSTITUTE(LOWER(TRIM(D217)),"ё","е"),"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категории",""))="инженер",IF(AND(ISNUMBER(SEARCH("техническ",E217)),ISNUMBER(SEARCH("контрол",E217))),"инженер отк",IF(ISNUMBER(SEARCH("диспетч",E217)),"инженер пдо",TRIM(SUBSTITUTE(SUBSTITUTE(SUBSTITUTE(SUBSTITUTE(SUBSTITUTE(SUBSTITUTE(SUBSTITUTE(SUBSTITUTE(SUBSTITUTE(SUBSTITUTE(SUBSTITUTE(LOWER(TRIM(D217)),"ё","е"),"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инженер",IF(ISNUMBER(SEARCH("диспетч",E217)),"ведущий инженер пдо",TRIM(SUBSTITUTE(SUBSTITUTE(SUBSTITUTE(SUBSTITUTE(SUBSTITUTE(SUBSTITUTE(SUBSTITUTE(SUBSTITUTE(SUBSTITUTE(SUBSTITUTE(SUBSTITUTE(LOWER(TRIM(D217)),"ё","е"),"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отк",TRIM(SUBSTITUTE(SUBSTITUTE(SUBSTITUTE(SUBSTITUTE(SUBSTITUTE(SUBSTITUTE(SUBSTITUTE(SUBSTITUTE(SUBSTITUTE(SUBSTITUTE(SUBSTITUTE(LOWER(TRIM(D217)),"ё","е")," -","-"),"- ","-")," 2 разряда","")," 3 разряда","")," 4 разряда","")," 5 разряда","")," 6 разряда","")," 1 категории","")," 2 категории","")," 3 категории","")))))</f>
        <v>уборщик производственных и служебных помещений</v>
      </c>
      <c r="H217" s="12" t="n">
        <f aca="false">IFERROR(INDEX(Соответствие!$B$2:$B$76,MATCH(G217,Соответствие!$A$2:$A$76,0)),"?")</f>
        <v>10</v>
      </c>
      <c r="I217" s="9" t="str">
        <f aca="false">IFERROR(INDEX('Перечень должностей'!$C$2:$C$46,MATCH(H217,'Перечень должностей'!$A$2:$A$46,0)),"")</f>
        <v>п.1.48, п.4.3.1, п.4.4, п.5.1</v>
      </c>
      <c r="J217" s="12" t="n">
        <f aca="false">IFERROR(INDEX('Перечень должностей'!$D$2:$D$46,MATCH(H217,'Перечень должностей'!$A$2:$A$46,0)),12)</f>
        <v>12</v>
      </c>
      <c r="K217" s="17"/>
      <c r="L217" s="17"/>
      <c r="M217" s="16" t="str">
        <f aca="false">IF(K217="","",EDATE(IF(L217&lt;&gt;"",L217,K217),J217))</f>
        <v/>
      </c>
      <c r="N217" s="12" t="str">
        <f aca="false">IFERROR(INDEX('Перечень должностей'!$F$2:$F$46,MATCH(H217,'Перечень должностей'!$A$2:$A$46,0)),"")</f>
        <v>-</v>
      </c>
      <c r="O217" s="17"/>
      <c r="P217" s="16" t="str">
        <f aca="false">IF(O217="","",EDATE(O217,60))</f>
        <v/>
      </c>
      <c r="Q217" s="12" t="str">
        <f aca="false">IF(AND(K217&lt;&gt;"",F217&lt;&gt;"",K217&gt;F217),"ДА","")</f>
        <v/>
      </c>
      <c r="R217" s="9"/>
    </row>
    <row r="218" customFormat="false" ht="14.25" hidden="false" customHeight="true" outlineLevel="0" collapsed="false">
      <c r="A218" s="15" t="n">
        <v>217</v>
      </c>
      <c r="B218" s="12" t="s">
        <v>50</v>
      </c>
      <c r="C218" s="15" t="s">
        <v>667</v>
      </c>
      <c r="D218" s="15" t="s">
        <v>663</v>
      </c>
      <c r="E218" s="15" t="s">
        <v>661</v>
      </c>
      <c r="F218" s="16" t="n">
        <v>45936</v>
      </c>
      <c r="G218" s="5" t="str">
        <f aca="false">IF(TRIM(SUBSTITUTE(SUBSTITUTE(SUBSTITUTE(SUBSTITUTE(SUBSTITUTE(SUBSTITUTE(SUBSTITUTE(SUBSTITUTE(SUBSTITUTE(SUBSTITUTE(SUBSTITUTE(LOWER(TRIM(D218)),"ё","е"),"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категории",""))="инженер",IF(AND(ISNUMBER(SEARCH("техническ",E218)),ISNUMBER(SEARCH("контрол",E218))),"инженер отк",IF(ISNUMBER(SEARCH("диспетч",E218)),"инженер пдо",TRIM(SUBSTITUTE(SUBSTITUTE(SUBSTITUTE(SUBSTITUTE(SUBSTITUTE(SUBSTITUTE(SUBSTITUTE(SUBSTITUTE(SUBSTITUTE(SUBSTITUTE(SUBSTITUTE(LOWER(TRIM(D218)),"ё","е"),"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инженер",IF(ISNUMBER(SEARCH("диспетч",E218)),"ведущий инженер пдо",TRIM(SUBSTITUTE(SUBSTITUTE(SUBSTITUTE(SUBSTITUTE(SUBSTITUTE(SUBSTITUTE(SUBSTITUTE(SUBSTITUTE(SUBSTITUTE(SUBSTITUTE(SUBSTITUTE(LOWER(TRIM(D218)),"ё","е"),"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отк",TRIM(SUBSTITUTE(SUBSTITUTE(SUBSTITUTE(SUBSTITUTE(SUBSTITUTE(SUBSTITUTE(SUBSTITUTE(SUBSTITUTE(SUBSTITUTE(SUBSTITUTE(SUBSTITUTE(LOWER(TRIM(D218)),"ё","е")," -","-"),"- ","-")," 2 разряда","")," 3 разряда","")," 4 разряда","")," 5 разряда","")," 6 разряда","")," 1 категории","")," 2 категории","")," 3 категории","")))))</f>
        <v>уборщик производственных и служебных помещений</v>
      </c>
      <c r="H218" s="12" t="n">
        <f aca="false">IFERROR(INDEX(Соответствие!$B$2:$B$76,MATCH(G218,Соответствие!$A$2:$A$76,0)),"?")</f>
        <v>10</v>
      </c>
      <c r="I218" s="9" t="str">
        <f aca="false">IFERROR(INDEX('Перечень должностей'!$C$2:$C$46,MATCH(H218,'Перечень должностей'!$A$2:$A$46,0)),"")</f>
        <v>п.1.48, п.4.3.1, п.4.4, п.5.1</v>
      </c>
      <c r="J218" s="12" t="n">
        <f aca="false">IFERROR(INDEX('Перечень должностей'!$D$2:$D$46,MATCH(H218,'Перечень должностей'!$A$2:$A$46,0)),12)</f>
        <v>12</v>
      </c>
      <c r="K218" s="17"/>
      <c r="L218" s="17"/>
      <c r="M218" s="16" t="str">
        <f aca="false">IF(K218="","",EDATE(IF(L218&lt;&gt;"",L218,K218),J218))</f>
        <v/>
      </c>
      <c r="N218" s="12" t="str">
        <f aca="false">IFERROR(INDEX('Перечень должностей'!$F$2:$F$46,MATCH(H218,'Перечень должностей'!$A$2:$A$46,0)),"")</f>
        <v>-</v>
      </c>
      <c r="O218" s="17"/>
      <c r="P218" s="16" t="str">
        <f aca="false">IF(O218="","",EDATE(O218,60))</f>
        <v/>
      </c>
      <c r="Q218" s="12" t="str">
        <f aca="false">IF(AND(K218&lt;&gt;"",F218&lt;&gt;"",K218&gt;F218),"ДА","")</f>
        <v/>
      </c>
      <c r="R218" s="9"/>
    </row>
    <row r="219" customFormat="false" ht="14.25" hidden="false" customHeight="true" outlineLevel="0" collapsed="false">
      <c r="A219" s="15" t="n">
        <v>218</v>
      </c>
      <c r="B219" s="12" t="s">
        <v>50</v>
      </c>
      <c r="C219" s="15" t="s">
        <v>668</v>
      </c>
      <c r="D219" s="15" t="s">
        <v>663</v>
      </c>
      <c r="E219" s="15" t="s">
        <v>661</v>
      </c>
      <c r="F219" s="16" t="n">
        <v>45930</v>
      </c>
      <c r="G219" s="5" t="str">
        <f aca="false">IF(TRIM(SUBSTITUTE(SUBSTITUTE(SUBSTITUTE(SUBSTITUTE(SUBSTITUTE(SUBSTITUTE(SUBSTITUTE(SUBSTITUTE(SUBSTITUTE(SUBSTITUTE(SUBSTITUTE(LOWER(TRIM(D219)),"ё","е"),"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категории",""))="инженер",IF(AND(ISNUMBER(SEARCH("техническ",E219)),ISNUMBER(SEARCH("контрол",E219))),"инженер отк",IF(ISNUMBER(SEARCH("диспетч",E219)),"инженер пдо",TRIM(SUBSTITUTE(SUBSTITUTE(SUBSTITUTE(SUBSTITUTE(SUBSTITUTE(SUBSTITUTE(SUBSTITUTE(SUBSTITUTE(SUBSTITUTE(SUBSTITUTE(SUBSTITUTE(LOWER(TRIM(D219)),"ё","е"),"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инженер",IF(ISNUMBER(SEARCH("диспетч",E219)),"ведущий инженер пдо",TRIM(SUBSTITUTE(SUBSTITUTE(SUBSTITUTE(SUBSTITUTE(SUBSTITUTE(SUBSTITUTE(SUBSTITUTE(SUBSTITUTE(SUBSTITUTE(SUBSTITUTE(SUBSTITUTE(LOWER(TRIM(D219)),"ё","е"),"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отк",TRIM(SUBSTITUTE(SUBSTITUTE(SUBSTITUTE(SUBSTITUTE(SUBSTITUTE(SUBSTITUTE(SUBSTITUTE(SUBSTITUTE(SUBSTITUTE(SUBSTITUTE(SUBSTITUTE(LOWER(TRIM(D219)),"ё","е")," -","-"),"- ","-")," 2 разряда","")," 3 разряда","")," 4 разряда","")," 5 разряда","")," 6 разряда","")," 1 категории","")," 2 категории","")," 3 категории","")))))</f>
        <v>уборщик производственных и служебных помещений</v>
      </c>
      <c r="H219" s="12" t="n">
        <f aca="false">IFERROR(INDEX(Соответствие!$B$2:$B$76,MATCH(G219,Соответствие!$A$2:$A$76,0)),"?")</f>
        <v>10</v>
      </c>
      <c r="I219" s="9" t="str">
        <f aca="false">IFERROR(INDEX('Перечень должностей'!$C$2:$C$46,MATCH(H219,'Перечень должностей'!$A$2:$A$46,0)),"")</f>
        <v>п.1.48, п.4.3.1, п.4.4, п.5.1</v>
      </c>
      <c r="J219" s="12" t="n">
        <f aca="false">IFERROR(INDEX('Перечень должностей'!$D$2:$D$46,MATCH(H219,'Перечень должностей'!$A$2:$A$46,0)),12)</f>
        <v>12</v>
      </c>
      <c r="K219" s="17"/>
      <c r="L219" s="17"/>
      <c r="M219" s="16" t="str">
        <f aca="false">IF(K219="","",EDATE(IF(L219&lt;&gt;"",L219,K219),J219))</f>
        <v/>
      </c>
      <c r="N219" s="12" t="str">
        <f aca="false">IFERROR(INDEX('Перечень должностей'!$F$2:$F$46,MATCH(H219,'Перечень должностей'!$A$2:$A$46,0)),"")</f>
        <v>-</v>
      </c>
      <c r="O219" s="17"/>
      <c r="P219" s="16" t="str">
        <f aca="false">IF(O219="","",EDATE(O219,60))</f>
        <v/>
      </c>
      <c r="Q219" s="12" t="str">
        <f aca="false">IF(AND(K219&lt;&gt;"",F219&lt;&gt;"",K219&gt;F219),"ДА","")</f>
        <v/>
      </c>
      <c r="R219" s="9"/>
    </row>
    <row r="220" customFormat="false" ht="14.25" hidden="false" customHeight="true" outlineLevel="0" collapsed="false">
      <c r="A220" s="15" t="n">
        <v>219</v>
      </c>
      <c r="B220" s="12" t="s">
        <v>50</v>
      </c>
      <c r="C220" s="15" t="s">
        <v>669</v>
      </c>
      <c r="D220" s="15" t="s">
        <v>670</v>
      </c>
      <c r="E220" s="15" t="s">
        <v>671</v>
      </c>
      <c r="F220" s="16" t="n">
        <v>45545</v>
      </c>
      <c r="G220" s="5" t="str">
        <f aca="false">IF(TRIM(SUBSTITUTE(SUBSTITUTE(SUBSTITUTE(SUBSTITUTE(SUBSTITUTE(SUBSTITUTE(SUBSTITUTE(SUBSTITUTE(SUBSTITUTE(SUBSTITUTE(SUBSTITUTE(LOWER(TRIM(D220)),"ё","е"),"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категории",""))="инженер",IF(AND(ISNUMBER(SEARCH("техническ",E220)),ISNUMBER(SEARCH("контрол",E220))),"инженер отк",IF(ISNUMBER(SEARCH("диспетч",E220)),"инженер пдо",TRIM(SUBSTITUTE(SUBSTITUTE(SUBSTITUTE(SUBSTITUTE(SUBSTITUTE(SUBSTITUTE(SUBSTITUTE(SUBSTITUTE(SUBSTITUTE(SUBSTITUTE(SUBSTITUTE(LOWER(TRIM(D220)),"ё","е"),"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инженер",IF(ISNUMBER(SEARCH("диспетч",E220)),"ведущий инженер пдо",TRIM(SUBSTITUTE(SUBSTITUTE(SUBSTITUTE(SUBSTITUTE(SUBSTITUTE(SUBSTITUTE(SUBSTITUTE(SUBSTITUTE(SUBSTITUTE(SUBSTITUTE(SUBSTITUTE(LOWER(TRIM(D220)),"ё","е"),"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отк",TRIM(SUBSTITUTE(SUBSTITUTE(SUBSTITUTE(SUBSTITUTE(SUBSTITUTE(SUBSTITUTE(SUBSTITUTE(SUBSTITUTE(SUBSTITUTE(SUBSTITUTE(SUBSTITUTE(LOWER(TRIM(D220)),"ё","е")," -","-"),"- ","-")," 2 разряда","")," 3 разряда","")," 4 разряда","")," 5 разряда","")," 6 разряда","")," 1 категории","")," 2 категории","")," 3 категории","")))))</f>
        <v>сторож</v>
      </c>
      <c r="H220" s="12" t="n">
        <f aca="false">IFERROR(INDEX(Соответствие!$B$2:$B$76,MATCH(G220,Соответствие!$A$2:$A$76,0)),"?")</f>
        <v>45</v>
      </c>
      <c r="I220" s="9" t="str">
        <f aca="false">IFERROR(INDEX('Перечень должностей'!$C$2:$C$46,MATCH(H220,'Перечень должностей'!$A$2:$A$46,0)),"")</f>
        <v>п.4.7, п.4.8, п.5.1, п.5.2</v>
      </c>
      <c r="J220" s="12" t="n">
        <f aca="false">IFERROR(INDEX('Перечень должностей'!$D$2:$D$46,MATCH(H220,'Перечень должностей'!$A$2:$A$46,0)),12)</f>
        <v>12</v>
      </c>
      <c r="K220" s="17"/>
      <c r="L220" s="17"/>
      <c r="M220" s="16" t="str">
        <f aca="false">IF(K220="","",EDATE(IF(L220&lt;&gt;"",L220,K220),J220))</f>
        <v/>
      </c>
      <c r="N220" s="12" t="str">
        <f aca="false">IFERROR(INDEX('Перечень должностей'!$F$2:$F$46,MATCH(H220,'Перечень должностей'!$A$2:$A$46,0)),"")</f>
        <v>Нет</v>
      </c>
      <c r="O220" s="17"/>
      <c r="P220" s="16" t="str">
        <f aca="false">IF(O220="","",EDATE(O220,60))</f>
        <v/>
      </c>
      <c r="Q220" s="12" t="str">
        <f aca="false">IF(AND(K220&lt;&gt;"",F220&lt;&gt;"",K220&gt;F220),"ДА","")</f>
        <v/>
      </c>
      <c r="R220" s="9"/>
    </row>
    <row r="221" customFormat="false" ht="14.25" hidden="false" customHeight="true" outlineLevel="0" collapsed="false">
      <c r="A221" s="15" t="n">
        <v>220</v>
      </c>
      <c r="B221" s="12" t="s">
        <v>50</v>
      </c>
      <c r="C221" s="15" t="s">
        <v>672</v>
      </c>
      <c r="D221" s="15" t="s">
        <v>670</v>
      </c>
      <c r="E221" s="15" t="s">
        <v>671</v>
      </c>
      <c r="F221" s="16" t="n">
        <v>42919</v>
      </c>
      <c r="G221" s="5" t="str">
        <f aca="false">IF(TRIM(SUBSTITUTE(SUBSTITUTE(SUBSTITUTE(SUBSTITUTE(SUBSTITUTE(SUBSTITUTE(SUBSTITUTE(SUBSTITUTE(SUBSTITUTE(SUBSTITUTE(SUBSTITUTE(LOWER(TRIM(D221)),"ё","е"),"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категории",""))="инженер",IF(AND(ISNUMBER(SEARCH("техническ",E221)),ISNUMBER(SEARCH("контрол",E221))),"инженер отк",IF(ISNUMBER(SEARCH("диспетч",E221)),"инженер пдо",TRIM(SUBSTITUTE(SUBSTITUTE(SUBSTITUTE(SUBSTITUTE(SUBSTITUTE(SUBSTITUTE(SUBSTITUTE(SUBSTITUTE(SUBSTITUTE(SUBSTITUTE(SUBSTITUTE(LOWER(TRIM(D221)),"ё","е"),"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инженер",IF(ISNUMBER(SEARCH("диспетч",E221)),"ведущий инженер пдо",TRIM(SUBSTITUTE(SUBSTITUTE(SUBSTITUTE(SUBSTITUTE(SUBSTITUTE(SUBSTITUTE(SUBSTITUTE(SUBSTITUTE(SUBSTITUTE(SUBSTITUTE(SUBSTITUTE(LOWER(TRIM(D221)),"ё","е"),"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отк",TRIM(SUBSTITUTE(SUBSTITUTE(SUBSTITUTE(SUBSTITUTE(SUBSTITUTE(SUBSTITUTE(SUBSTITUTE(SUBSTITUTE(SUBSTITUTE(SUBSTITUTE(SUBSTITUTE(LOWER(TRIM(D221)),"ё","е")," -","-"),"- ","-")," 2 разряда","")," 3 разряда","")," 4 разряда","")," 5 разряда","")," 6 разряда","")," 1 категории","")," 2 категории","")," 3 категории","")))))</f>
        <v>сторож</v>
      </c>
      <c r="H221" s="12" t="n">
        <f aca="false">IFERROR(INDEX(Соответствие!$B$2:$B$76,MATCH(G221,Соответствие!$A$2:$A$76,0)),"?")</f>
        <v>45</v>
      </c>
      <c r="I221" s="9" t="str">
        <f aca="false">IFERROR(INDEX('Перечень должностей'!$C$2:$C$46,MATCH(H221,'Перечень должностей'!$A$2:$A$46,0)),"")</f>
        <v>п.4.7, п.4.8, п.5.1, п.5.2</v>
      </c>
      <c r="J221" s="12" t="n">
        <f aca="false">IFERROR(INDEX('Перечень должностей'!$D$2:$D$46,MATCH(H221,'Перечень должностей'!$A$2:$A$46,0)),12)</f>
        <v>12</v>
      </c>
      <c r="K221" s="17"/>
      <c r="L221" s="17"/>
      <c r="M221" s="16" t="str">
        <f aca="false">IF(K221="","",EDATE(IF(L221&lt;&gt;"",L221,K221),J221))</f>
        <v/>
      </c>
      <c r="N221" s="12" t="str">
        <f aca="false">IFERROR(INDEX('Перечень должностей'!$F$2:$F$46,MATCH(H221,'Перечень должностей'!$A$2:$A$46,0)),"")</f>
        <v>Нет</v>
      </c>
      <c r="O221" s="17"/>
      <c r="P221" s="16" t="str">
        <f aca="false">IF(O221="","",EDATE(O221,60))</f>
        <v/>
      </c>
      <c r="Q221" s="12" t="str">
        <f aca="false">IF(AND(K221&lt;&gt;"",F221&lt;&gt;"",K221&gt;F221),"ДА","")</f>
        <v/>
      </c>
      <c r="R221" s="9"/>
    </row>
    <row r="222" customFormat="false" ht="14.25" hidden="false" customHeight="true" outlineLevel="0" collapsed="false">
      <c r="A222" s="15" t="n">
        <v>221</v>
      </c>
      <c r="B222" s="12" t="s">
        <v>50</v>
      </c>
      <c r="C222" s="15" t="s">
        <v>673</v>
      </c>
      <c r="D222" s="15" t="s">
        <v>670</v>
      </c>
      <c r="E222" s="15" t="s">
        <v>671</v>
      </c>
      <c r="F222" s="16" t="n">
        <v>42919</v>
      </c>
      <c r="G222" s="5" t="str">
        <f aca="false">IF(TRIM(SUBSTITUTE(SUBSTITUTE(SUBSTITUTE(SUBSTITUTE(SUBSTITUTE(SUBSTITUTE(SUBSTITUTE(SUBSTITUTE(SUBSTITUTE(SUBSTITUTE(SUBSTITUTE(LOWER(TRIM(D222)),"ё","е"),"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категории",""))="инженер",IF(AND(ISNUMBER(SEARCH("техническ",E222)),ISNUMBER(SEARCH("контрол",E222))),"инженер отк",IF(ISNUMBER(SEARCH("диспетч",E222)),"инженер пдо",TRIM(SUBSTITUTE(SUBSTITUTE(SUBSTITUTE(SUBSTITUTE(SUBSTITUTE(SUBSTITUTE(SUBSTITUTE(SUBSTITUTE(SUBSTITUTE(SUBSTITUTE(SUBSTITUTE(LOWER(TRIM(D222)),"ё","е"),"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инженер",IF(ISNUMBER(SEARCH("диспетч",E222)),"ведущий инженер пдо",TRIM(SUBSTITUTE(SUBSTITUTE(SUBSTITUTE(SUBSTITUTE(SUBSTITUTE(SUBSTITUTE(SUBSTITUTE(SUBSTITUTE(SUBSTITUTE(SUBSTITUTE(SUBSTITUTE(LOWER(TRIM(D222)),"ё","е"),"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отк",TRIM(SUBSTITUTE(SUBSTITUTE(SUBSTITUTE(SUBSTITUTE(SUBSTITUTE(SUBSTITUTE(SUBSTITUTE(SUBSTITUTE(SUBSTITUTE(SUBSTITUTE(SUBSTITUTE(LOWER(TRIM(D222)),"ё","е")," -","-"),"- ","-")," 2 разряда","")," 3 разряда","")," 4 разряда","")," 5 разряда","")," 6 разряда","")," 1 категории","")," 2 категории","")," 3 категории","")))))</f>
        <v>сторож</v>
      </c>
      <c r="H222" s="12" t="n">
        <f aca="false">IFERROR(INDEX(Соответствие!$B$2:$B$76,MATCH(G222,Соответствие!$A$2:$A$76,0)),"?")</f>
        <v>45</v>
      </c>
      <c r="I222" s="9" t="str">
        <f aca="false">IFERROR(INDEX('Перечень должностей'!$C$2:$C$46,MATCH(H222,'Перечень должностей'!$A$2:$A$46,0)),"")</f>
        <v>п.4.7, п.4.8, п.5.1, п.5.2</v>
      </c>
      <c r="J222" s="12" t="n">
        <f aca="false">IFERROR(INDEX('Перечень должностей'!$D$2:$D$46,MATCH(H222,'Перечень должностей'!$A$2:$A$46,0)),12)</f>
        <v>12</v>
      </c>
      <c r="K222" s="17"/>
      <c r="L222" s="17"/>
      <c r="M222" s="16" t="str">
        <f aca="false">IF(K222="","",EDATE(IF(L222&lt;&gt;"",L222,K222),J222))</f>
        <v/>
      </c>
      <c r="N222" s="12" t="str">
        <f aca="false">IFERROR(INDEX('Перечень должностей'!$F$2:$F$46,MATCH(H222,'Перечень должностей'!$A$2:$A$46,0)),"")</f>
        <v>Нет</v>
      </c>
      <c r="O222" s="17"/>
      <c r="P222" s="16" t="str">
        <f aca="false">IF(O222="","",EDATE(O222,60))</f>
        <v/>
      </c>
      <c r="Q222" s="12" t="str">
        <f aca="false">IF(AND(K222&lt;&gt;"",F222&lt;&gt;"",K222&gt;F222),"ДА","")</f>
        <v/>
      </c>
      <c r="R222" s="9"/>
    </row>
    <row r="223" customFormat="false" ht="14.25" hidden="false" customHeight="true" outlineLevel="0" collapsed="false">
      <c r="A223" s="15" t="n">
        <v>222</v>
      </c>
      <c r="B223" s="12" t="s">
        <v>50</v>
      </c>
      <c r="C223" s="15" t="s">
        <v>674</v>
      </c>
      <c r="D223" s="15" t="s">
        <v>670</v>
      </c>
      <c r="E223" s="15" t="s">
        <v>671</v>
      </c>
      <c r="F223" s="16" t="n">
        <v>45398</v>
      </c>
      <c r="G223" s="5" t="str">
        <f aca="false">IF(TRIM(SUBSTITUTE(SUBSTITUTE(SUBSTITUTE(SUBSTITUTE(SUBSTITUTE(SUBSTITUTE(SUBSTITUTE(SUBSTITUTE(SUBSTITUTE(SUBSTITUTE(SUBSTITUTE(LOWER(TRIM(D223)),"ё","е"),"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категории",""))="инженер",IF(AND(ISNUMBER(SEARCH("техническ",E223)),ISNUMBER(SEARCH("контрол",E223))),"инженер отк",IF(ISNUMBER(SEARCH("диспетч",E223)),"инженер пдо",TRIM(SUBSTITUTE(SUBSTITUTE(SUBSTITUTE(SUBSTITUTE(SUBSTITUTE(SUBSTITUTE(SUBSTITUTE(SUBSTITUTE(SUBSTITUTE(SUBSTITUTE(SUBSTITUTE(LOWER(TRIM(D223)),"ё","е"),"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инженер",IF(ISNUMBER(SEARCH("диспетч",E223)),"ведущий инженер пдо",TRIM(SUBSTITUTE(SUBSTITUTE(SUBSTITUTE(SUBSTITUTE(SUBSTITUTE(SUBSTITUTE(SUBSTITUTE(SUBSTITUTE(SUBSTITUTE(SUBSTITUTE(SUBSTITUTE(LOWER(TRIM(D223)),"ё","е"),"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отк",TRIM(SUBSTITUTE(SUBSTITUTE(SUBSTITUTE(SUBSTITUTE(SUBSTITUTE(SUBSTITUTE(SUBSTITUTE(SUBSTITUTE(SUBSTITUTE(SUBSTITUTE(SUBSTITUTE(LOWER(TRIM(D223)),"ё","е")," -","-"),"- ","-")," 2 разряда","")," 3 разряда","")," 4 разряда","")," 5 разряда","")," 6 разряда","")," 1 категории","")," 2 категории","")," 3 категории","")))))</f>
        <v>сторож</v>
      </c>
      <c r="H223" s="12" t="n">
        <f aca="false">IFERROR(INDEX(Соответствие!$B$2:$B$76,MATCH(G223,Соответствие!$A$2:$A$76,0)),"?")</f>
        <v>45</v>
      </c>
      <c r="I223" s="9" t="str">
        <f aca="false">IFERROR(INDEX('Перечень должностей'!$C$2:$C$46,MATCH(H223,'Перечень должностей'!$A$2:$A$46,0)),"")</f>
        <v>п.4.7, п.4.8, п.5.1, п.5.2</v>
      </c>
      <c r="J223" s="12" t="n">
        <f aca="false">IFERROR(INDEX('Перечень должностей'!$D$2:$D$46,MATCH(H223,'Перечень должностей'!$A$2:$A$46,0)),12)</f>
        <v>12</v>
      </c>
      <c r="K223" s="17"/>
      <c r="L223" s="17"/>
      <c r="M223" s="16" t="str">
        <f aca="false">IF(K223="","",EDATE(IF(L223&lt;&gt;"",L223,K223),J223))</f>
        <v/>
      </c>
      <c r="N223" s="12" t="str">
        <f aca="false">IFERROR(INDEX('Перечень должностей'!$F$2:$F$46,MATCH(H223,'Перечень должностей'!$A$2:$A$46,0)),"")</f>
        <v>Нет</v>
      </c>
      <c r="O223" s="17"/>
      <c r="P223" s="16" t="str">
        <f aca="false">IF(O223="","",EDATE(O223,60))</f>
        <v/>
      </c>
      <c r="Q223" s="12" t="str">
        <f aca="false">IF(AND(K223&lt;&gt;"",F223&lt;&gt;"",K223&gt;F223),"ДА","")</f>
        <v/>
      </c>
      <c r="R223" s="9"/>
    </row>
    <row r="224" customFormat="false" ht="14.25" hidden="false" customHeight="true" outlineLevel="0" collapsed="false">
      <c r="A224" s="15" t="n">
        <v>223</v>
      </c>
      <c r="B224" s="12" t="s">
        <v>50</v>
      </c>
      <c r="C224" s="15" t="s">
        <v>675</v>
      </c>
      <c r="D224" s="15" t="s">
        <v>670</v>
      </c>
      <c r="E224" s="15" t="s">
        <v>671</v>
      </c>
      <c r="F224" s="16" t="n">
        <v>42919</v>
      </c>
      <c r="G224" s="5" t="str">
        <f aca="false">IF(TRIM(SUBSTITUTE(SUBSTITUTE(SUBSTITUTE(SUBSTITUTE(SUBSTITUTE(SUBSTITUTE(SUBSTITUTE(SUBSTITUTE(SUBSTITUTE(SUBSTITUTE(SUBSTITUTE(LOWER(TRIM(D224)),"ё","е"),"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категории",""))="инженер",IF(AND(ISNUMBER(SEARCH("техническ",E224)),ISNUMBER(SEARCH("контрол",E224))),"инженер отк",IF(ISNUMBER(SEARCH("диспетч",E224)),"инженер пдо",TRIM(SUBSTITUTE(SUBSTITUTE(SUBSTITUTE(SUBSTITUTE(SUBSTITUTE(SUBSTITUTE(SUBSTITUTE(SUBSTITUTE(SUBSTITUTE(SUBSTITUTE(SUBSTITUTE(LOWER(TRIM(D224)),"ё","е"),"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инженер",IF(ISNUMBER(SEARCH("диспетч",E224)),"ведущий инженер пдо",TRIM(SUBSTITUTE(SUBSTITUTE(SUBSTITUTE(SUBSTITUTE(SUBSTITUTE(SUBSTITUTE(SUBSTITUTE(SUBSTITUTE(SUBSTITUTE(SUBSTITUTE(SUBSTITUTE(LOWER(TRIM(D224)),"ё","е"),"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отк",TRIM(SUBSTITUTE(SUBSTITUTE(SUBSTITUTE(SUBSTITUTE(SUBSTITUTE(SUBSTITUTE(SUBSTITUTE(SUBSTITUTE(SUBSTITUTE(SUBSTITUTE(SUBSTITUTE(LOWER(TRIM(D224)),"ё","е")," -","-"),"- ","-")," 2 разряда","")," 3 разряда","")," 4 разряда","")," 5 разряда","")," 6 разряда","")," 1 категории","")," 2 категории","")," 3 категории","")))))</f>
        <v>сторож</v>
      </c>
      <c r="H224" s="12" t="n">
        <f aca="false">IFERROR(INDEX(Соответствие!$B$2:$B$76,MATCH(G224,Соответствие!$A$2:$A$76,0)),"?")</f>
        <v>45</v>
      </c>
      <c r="I224" s="9" t="str">
        <f aca="false">IFERROR(INDEX('Перечень должностей'!$C$2:$C$46,MATCH(H224,'Перечень должностей'!$A$2:$A$46,0)),"")</f>
        <v>п.4.7, п.4.8, п.5.1, п.5.2</v>
      </c>
      <c r="J224" s="12" t="n">
        <f aca="false">IFERROR(INDEX('Перечень должностей'!$D$2:$D$46,MATCH(H224,'Перечень должностей'!$A$2:$A$46,0)),12)</f>
        <v>12</v>
      </c>
      <c r="K224" s="17"/>
      <c r="L224" s="17"/>
      <c r="M224" s="16" t="str">
        <f aca="false">IF(K224="","",EDATE(IF(L224&lt;&gt;"",L224,K224),J224))</f>
        <v/>
      </c>
      <c r="N224" s="12" t="str">
        <f aca="false">IFERROR(INDEX('Перечень должностей'!$F$2:$F$46,MATCH(H224,'Перечень должностей'!$A$2:$A$46,0)),"")</f>
        <v>Нет</v>
      </c>
      <c r="O224" s="17"/>
      <c r="P224" s="16" t="str">
        <f aca="false">IF(O224="","",EDATE(O224,60))</f>
        <v/>
      </c>
      <c r="Q224" s="12" t="str">
        <f aca="false">IF(AND(K224&lt;&gt;"",F224&lt;&gt;"",K224&gt;F224),"ДА","")</f>
        <v/>
      </c>
      <c r="R224" s="9"/>
    </row>
    <row r="225" customFormat="false" ht="14.25" hidden="false" customHeight="true" outlineLevel="0" collapsed="false">
      <c r="A225" s="15" t="n">
        <v>224</v>
      </c>
      <c r="B225" s="12" t="s">
        <v>50</v>
      </c>
      <c r="C225" s="15" t="s">
        <v>676</v>
      </c>
      <c r="D225" s="15" t="s">
        <v>670</v>
      </c>
      <c r="E225" s="15" t="s">
        <v>671</v>
      </c>
      <c r="F225" s="16" t="n">
        <v>42919</v>
      </c>
      <c r="G225" s="5" t="str">
        <f aca="false">IF(TRIM(SUBSTITUTE(SUBSTITUTE(SUBSTITUTE(SUBSTITUTE(SUBSTITUTE(SUBSTITUTE(SUBSTITUTE(SUBSTITUTE(SUBSTITUTE(SUBSTITUTE(SUBSTITUTE(LOWER(TRIM(D225)),"ё","е"),"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категории",""))="инженер",IF(AND(ISNUMBER(SEARCH("техническ",E225)),ISNUMBER(SEARCH("контрол",E225))),"инженер отк",IF(ISNUMBER(SEARCH("диспетч",E225)),"инженер пдо",TRIM(SUBSTITUTE(SUBSTITUTE(SUBSTITUTE(SUBSTITUTE(SUBSTITUTE(SUBSTITUTE(SUBSTITUTE(SUBSTITUTE(SUBSTITUTE(SUBSTITUTE(SUBSTITUTE(LOWER(TRIM(D225)),"ё","е"),"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инженер",IF(ISNUMBER(SEARCH("диспетч",E225)),"ведущий инженер пдо",TRIM(SUBSTITUTE(SUBSTITUTE(SUBSTITUTE(SUBSTITUTE(SUBSTITUTE(SUBSTITUTE(SUBSTITUTE(SUBSTITUTE(SUBSTITUTE(SUBSTITUTE(SUBSTITUTE(LOWER(TRIM(D225)),"ё","е"),"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отк",TRIM(SUBSTITUTE(SUBSTITUTE(SUBSTITUTE(SUBSTITUTE(SUBSTITUTE(SUBSTITUTE(SUBSTITUTE(SUBSTITUTE(SUBSTITUTE(SUBSTITUTE(SUBSTITUTE(LOWER(TRIM(D225)),"ё","е")," -","-"),"- ","-")," 2 разряда","")," 3 разряда","")," 4 разряда","")," 5 разряда","")," 6 разряда","")," 1 категории","")," 2 категории","")," 3 категории","")))))</f>
        <v>сторож</v>
      </c>
      <c r="H225" s="12" t="n">
        <f aca="false">IFERROR(INDEX(Соответствие!$B$2:$B$76,MATCH(G225,Соответствие!$A$2:$A$76,0)),"?")</f>
        <v>45</v>
      </c>
      <c r="I225" s="9" t="str">
        <f aca="false">IFERROR(INDEX('Перечень должностей'!$C$2:$C$46,MATCH(H225,'Перечень должностей'!$A$2:$A$46,0)),"")</f>
        <v>п.4.7, п.4.8, п.5.1, п.5.2</v>
      </c>
      <c r="J225" s="12" t="n">
        <f aca="false">IFERROR(INDEX('Перечень должностей'!$D$2:$D$46,MATCH(H225,'Перечень должностей'!$A$2:$A$46,0)),12)</f>
        <v>12</v>
      </c>
      <c r="K225" s="17"/>
      <c r="L225" s="17"/>
      <c r="M225" s="16" t="str">
        <f aca="false">IF(K225="","",EDATE(IF(L225&lt;&gt;"",L225,K225),J225))</f>
        <v/>
      </c>
      <c r="N225" s="12" t="str">
        <f aca="false">IFERROR(INDEX('Перечень должностей'!$F$2:$F$46,MATCH(H225,'Перечень должностей'!$A$2:$A$46,0)),"")</f>
        <v>Нет</v>
      </c>
      <c r="O225" s="17"/>
      <c r="P225" s="16" t="str">
        <f aca="false">IF(O225="","",EDATE(O225,60))</f>
        <v/>
      </c>
      <c r="Q225" s="12" t="str">
        <f aca="false">IF(AND(K225&lt;&gt;"",F225&lt;&gt;"",K225&gt;F225),"ДА","")</f>
        <v/>
      </c>
      <c r="R225" s="9"/>
    </row>
    <row r="226" customFormat="false" ht="14.25" hidden="false" customHeight="true" outlineLevel="0" collapsed="false">
      <c r="A226" s="15" t="n">
        <v>225</v>
      </c>
      <c r="B226" s="12" t="s">
        <v>50</v>
      </c>
      <c r="C226" s="15" t="s">
        <v>677</v>
      </c>
      <c r="D226" s="15" t="s">
        <v>670</v>
      </c>
      <c r="E226" s="15" t="s">
        <v>671</v>
      </c>
      <c r="F226" s="16" t="n">
        <v>42919</v>
      </c>
      <c r="G226" s="5" t="str">
        <f aca="false">IF(TRIM(SUBSTITUTE(SUBSTITUTE(SUBSTITUTE(SUBSTITUTE(SUBSTITUTE(SUBSTITUTE(SUBSTITUTE(SUBSTITUTE(SUBSTITUTE(SUBSTITUTE(SUBSTITUTE(LOWER(TRIM(D226)),"ё","е"),"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категории",""))="инженер",IF(AND(ISNUMBER(SEARCH("техническ",E226)),ISNUMBER(SEARCH("контрол",E226))),"инженер отк",IF(ISNUMBER(SEARCH("диспетч",E226)),"инженер пдо",TRIM(SUBSTITUTE(SUBSTITUTE(SUBSTITUTE(SUBSTITUTE(SUBSTITUTE(SUBSTITUTE(SUBSTITUTE(SUBSTITUTE(SUBSTITUTE(SUBSTITUTE(SUBSTITUTE(LOWER(TRIM(D226)),"ё","е"),"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инженер",IF(ISNUMBER(SEARCH("диспетч",E226)),"ведущий инженер пдо",TRIM(SUBSTITUTE(SUBSTITUTE(SUBSTITUTE(SUBSTITUTE(SUBSTITUTE(SUBSTITUTE(SUBSTITUTE(SUBSTITUTE(SUBSTITUTE(SUBSTITUTE(SUBSTITUTE(LOWER(TRIM(D226)),"ё","е"),"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отк",TRIM(SUBSTITUTE(SUBSTITUTE(SUBSTITUTE(SUBSTITUTE(SUBSTITUTE(SUBSTITUTE(SUBSTITUTE(SUBSTITUTE(SUBSTITUTE(SUBSTITUTE(SUBSTITUTE(LOWER(TRIM(D226)),"ё","е")," -","-"),"- ","-")," 2 разряда","")," 3 разряда","")," 4 разряда","")," 5 разряда","")," 6 разряда","")," 1 категории","")," 2 категории","")," 3 категории","")))))</f>
        <v>сторож</v>
      </c>
      <c r="H226" s="12" t="n">
        <f aca="false">IFERROR(INDEX(Соответствие!$B$2:$B$76,MATCH(G226,Соответствие!$A$2:$A$76,0)),"?")</f>
        <v>45</v>
      </c>
      <c r="I226" s="9" t="str">
        <f aca="false">IFERROR(INDEX('Перечень должностей'!$C$2:$C$46,MATCH(H226,'Перечень должностей'!$A$2:$A$46,0)),"")</f>
        <v>п.4.7, п.4.8, п.5.1, п.5.2</v>
      </c>
      <c r="J226" s="12" t="n">
        <f aca="false">IFERROR(INDEX('Перечень должностей'!$D$2:$D$46,MATCH(H226,'Перечень должностей'!$A$2:$A$46,0)),12)</f>
        <v>12</v>
      </c>
      <c r="K226" s="17"/>
      <c r="L226" s="17"/>
      <c r="M226" s="16" t="str">
        <f aca="false">IF(K226="","",EDATE(IF(L226&lt;&gt;"",L226,K226),J226))</f>
        <v/>
      </c>
      <c r="N226" s="12" t="str">
        <f aca="false">IFERROR(INDEX('Перечень должностей'!$F$2:$F$46,MATCH(H226,'Перечень должностей'!$A$2:$A$46,0)),"")</f>
        <v>Нет</v>
      </c>
      <c r="O226" s="17"/>
      <c r="P226" s="16" t="str">
        <f aca="false">IF(O226="","",EDATE(O226,60))</f>
        <v/>
      </c>
      <c r="Q226" s="12" t="str">
        <f aca="false">IF(AND(K226&lt;&gt;"",F226&lt;&gt;"",K226&gt;F226),"ДА","")</f>
        <v/>
      </c>
      <c r="R226" s="9"/>
    </row>
    <row r="227" customFormat="false" ht="14.25" hidden="false" customHeight="true" outlineLevel="0" collapsed="false">
      <c r="A227" s="15" t="n">
        <v>226</v>
      </c>
      <c r="B227" s="12" t="s">
        <v>50</v>
      </c>
      <c r="C227" s="15" t="s">
        <v>678</v>
      </c>
      <c r="D227" s="15" t="s">
        <v>679</v>
      </c>
      <c r="E227" s="15" t="s">
        <v>671</v>
      </c>
      <c r="F227" s="16" t="n">
        <v>42919</v>
      </c>
      <c r="G227" s="5" t="str">
        <f aca="false">IF(TRIM(SUBSTITUTE(SUBSTITUTE(SUBSTITUTE(SUBSTITUTE(SUBSTITUTE(SUBSTITUTE(SUBSTITUTE(SUBSTITUTE(SUBSTITUTE(SUBSTITUTE(SUBSTITUTE(LOWER(TRIM(D227)),"ё","е"),"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категории",""))="инженер",IF(AND(ISNUMBER(SEARCH("техническ",E227)),ISNUMBER(SEARCH("контрол",E227))),"инженер отк",IF(ISNUMBER(SEARCH("диспетч",E227)),"инженер пдо",TRIM(SUBSTITUTE(SUBSTITUTE(SUBSTITUTE(SUBSTITUTE(SUBSTITUTE(SUBSTITUTE(SUBSTITUTE(SUBSTITUTE(SUBSTITUTE(SUBSTITUTE(SUBSTITUTE(LOWER(TRIM(D227)),"ё","е"),"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инженер",IF(ISNUMBER(SEARCH("диспетч",E227)),"ведущий инженер пдо",TRIM(SUBSTITUTE(SUBSTITUTE(SUBSTITUTE(SUBSTITUTE(SUBSTITUTE(SUBSTITUTE(SUBSTITUTE(SUBSTITUTE(SUBSTITUTE(SUBSTITUTE(SUBSTITUTE(LOWER(TRIM(D227)),"ё","е"),"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отк",TRIM(SUBSTITUTE(SUBSTITUTE(SUBSTITUTE(SUBSTITUTE(SUBSTITUTE(SUBSTITUTE(SUBSTITUTE(SUBSTITUTE(SUBSTITUTE(SUBSTITUTE(SUBSTITUTE(LOWER(TRIM(D227)),"ё","е")," -","-"),"- ","-")," 2 разряда","")," 3 разряда","")," 4 разряда","")," 5 разряда","")," 6 разряда","")," 1 категории","")," 2 категории","")," 3 категории","")))))</f>
        <v>старший сторож</v>
      </c>
      <c r="H227" s="12" t="n">
        <f aca="false">IFERROR(INDEX(Соответствие!$B$2:$B$76,MATCH(G227,Соответствие!$A$2:$A$76,0)),"?")</f>
        <v>45</v>
      </c>
      <c r="I227" s="9" t="str">
        <f aca="false">IFERROR(INDEX('Перечень должностей'!$C$2:$C$46,MATCH(H227,'Перечень должностей'!$A$2:$A$46,0)),"")</f>
        <v>п.4.7, п.4.8, п.5.1, п.5.2</v>
      </c>
      <c r="J227" s="12" t="n">
        <f aca="false">IFERROR(INDEX('Перечень должностей'!$D$2:$D$46,MATCH(H227,'Перечень должностей'!$A$2:$A$46,0)),12)</f>
        <v>12</v>
      </c>
      <c r="K227" s="17"/>
      <c r="L227" s="17"/>
      <c r="M227" s="16" t="str">
        <f aca="false">IF(K227="","",EDATE(IF(L227&lt;&gt;"",L227,K227),J227))</f>
        <v/>
      </c>
      <c r="N227" s="12" t="str">
        <f aca="false">IFERROR(INDEX('Перечень должностей'!$F$2:$F$46,MATCH(H227,'Перечень должностей'!$A$2:$A$46,0)),"")</f>
        <v>Нет</v>
      </c>
      <c r="O227" s="17"/>
      <c r="P227" s="16" t="str">
        <f aca="false">IF(O227="","",EDATE(O227,60))</f>
        <v/>
      </c>
      <c r="Q227" s="12" t="str">
        <f aca="false">IF(AND(K227&lt;&gt;"",F227&lt;&gt;"",K227&gt;F227),"ДА","")</f>
        <v/>
      </c>
      <c r="R227" s="9"/>
    </row>
    <row r="228" customFormat="false" ht="14.25" hidden="false" customHeight="true" outlineLevel="0" collapsed="false">
      <c r="A228" s="15" t="n">
        <v>227</v>
      </c>
      <c r="B228" s="12" t="s">
        <v>50</v>
      </c>
      <c r="C228" s="15" t="s">
        <v>680</v>
      </c>
      <c r="D228" s="15" t="s">
        <v>681</v>
      </c>
      <c r="E228" s="15" t="s">
        <v>671</v>
      </c>
      <c r="F228" s="16" t="n">
        <v>45756</v>
      </c>
      <c r="G228" s="5" t="str">
        <f aca="false">IF(TRIM(SUBSTITUTE(SUBSTITUTE(SUBSTITUTE(SUBSTITUTE(SUBSTITUTE(SUBSTITUTE(SUBSTITUTE(SUBSTITUTE(SUBSTITUTE(SUBSTITUTE(SUBSTITUTE(LOWER(TRIM(D228)),"ё","е"),"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категории",""))="инженер",IF(AND(ISNUMBER(SEARCH("техническ",E228)),ISNUMBER(SEARCH("контрол",E228))),"инженер отк",IF(ISNUMBER(SEARCH("диспетч",E228)),"инженер пдо",TRIM(SUBSTITUTE(SUBSTITUTE(SUBSTITUTE(SUBSTITUTE(SUBSTITUTE(SUBSTITUTE(SUBSTITUTE(SUBSTITUTE(SUBSTITUTE(SUBSTITUTE(SUBSTITUTE(LOWER(TRIM(D228)),"ё","е"),"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инженер",IF(ISNUMBER(SEARCH("диспетч",E228)),"ведущий инженер пдо",TRIM(SUBSTITUTE(SUBSTITUTE(SUBSTITUTE(SUBSTITUTE(SUBSTITUTE(SUBSTITUTE(SUBSTITUTE(SUBSTITUTE(SUBSTITUTE(SUBSTITUTE(SUBSTITUTE(LOWER(TRIM(D228)),"ё","е"),"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отк",TRIM(SUBSTITUTE(SUBSTITUTE(SUBSTITUTE(SUBSTITUTE(SUBSTITUTE(SUBSTITUTE(SUBSTITUTE(SUBSTITUTE(SUBSTITUTE(SUBSTITUTE(SUBSTITUTE(LOWER(TRIM(D228)),"ё","е")," -","-"),"- ","-")," 2 разряда","")," 3 разряда","")," 4 разряда","")," 5 разряда","")," 6 разряда","")," 1 категории","")," 2 категории","")," 3 категории","")))))</f>
        <v>старший охраны объекта</v>
      </c>
      <c r="H228" s="12" t="n">
        <f aca="false">IFERROR(INDEX(Соответствие!$B$2:$B$76,MATCH(G228,Соответствие!$A$2:$A$76,0)),"?")</f>
        <v>45</v>
      </c>
      <c r="I228" s="9" t="str">
        <f aca="false">IFERROR(INDEX('Перечень должностей'!$C$2:$C$46,MATCH(H228,'Перечень должностей'!$A$2:$A$46,0)),"")</f>
        <v>п.4.7, п.4.8, п.5.1, п.5.2</v>
      </c>
      <c r="J228" s="12" t="n">
        <f aca="false">IFERROR(INDEX('Перечень должностей'!$D$2:$D$46,MATCH(H228,'Перечень должностей'!$A$2:$A$46,0)),12)</f>
        <v>12</v>
      </c>
      <c r="K228" s="17"/>
      <c r="L228" s="17"/>
      <c r="M228" s="16" t="str">
        <f aca="false">IF(K228="","",EDATE(IF(L228&lt;&gt;"",L228,K228),J228))</f>
        <v/>
      </c>
      <c r="N228" s="12" t="str">
        <f aca="false">IFERROR(INDEX('Перечень должностей'!$F$2:$F$46,MATCH(H228,'Перечень должностей'!$A$2:$A$46,0)),"")</f>
        <v>Нет</v>
      </c>
      <c r="O228" s="17"/>
      <c r="P228" s="16" t="str">
        <f aca="false">IF(O228="","",EDATE(O228,60))</f>
        <v/>
      </c>
      <c r="Q228" s="12" t="str">
        <f aca="false">IF(AND(K228&lt;&gt;"",F228&lt;&gt;"",K228&gt;F228),"ДА","")</f>
        <v/>
      </c>
      <c r="R228" s="9"/>
    </row>
    <row r="229" customFormat="false" ht="14.25" hidden="false" customHeight="true" outlineLevel="0" collapsed="false">
      <c r="A229" s="15" t="n">
        <v>228</v>
      </c>
      <c r="B229" s="12" t="s">
        <v>50</v>
      </c>
      <c r="C229" s="15" t="s">
        <v>682</v>
      </c>
      <c r="D229" s="15" t="s">
        <v>683</v>
      </c>
      <c r="E229" s="15" t="s">
        <v>194</v>
      </c>
      <c r="F229" s="16" t="n">
        <v>40560</v>
      </c>
      <c r="G229" s="5" t="str">
        <f aca="false">IF(TRIM(SUBSTITUTE(SUBSTITUTE(SUBSTITUTE(SUBSTITUTE(SUBSTITUTE(SUBSTITUTE(SUBSTITUTE(SUBSTITUTE(SUBSTITUTE(SUBSTITUTE(SUBSTITUTE(LOWER(TRIM(D229)),"ё","е"),"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категории",""))="инженер",IF(AND(ISNUMBER(SEARCH("техническ",E229)),ISNUMBER(SEARCH("контрол",E229))),"инженер отк",IF(ISNUMBER(SEARCH("диспетч",E229)),"инженер пдо",TRIM(SUBSTITUTE(SUBSTITUTE(SUBSTITUTE(SUBSTITUTE(SUBSTITUTE(SUBSTITUTE(SUBSTITUTE(SUBSTITUTE(SUBSTITUTE(SUBSTITUTE(SUBSTITUTE(LOWER(TRIM(D229)),"ё","е"),"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инженер",IF(ISNUMBER(SEARCH("диспетч",E229)),"ведущий инженер пдо",TRIM(SUBSTITUTE(SUBSTITUTE(SUBSTITUTE(SUBSTITUTE(SUBSTITUTE(SUBSTITUTE(SUBSTITUTE(SUBSTITUTE(SUBSTITUTE(SUBSTITUTE(SUBSTITUTE(LOWER(TRIM(D229)),"ё","е"),"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отк",TRIM(SUBSTITUTE(SUBSTITUTE(SUBSTITUTE(SUBSTITUTE(SUBSTITUTE(SUBSTITUTE(SUBSTITUTE(SUBSTITUTE(SUBSTITUTE(SUBSTITUTE(SUBSTITUTE(LOWER(TRIM(D229)),"ё","е")," -","-"),"- ","-")," 2 разряда","")," 3 разряда","")," 4 разряда","")," 5 разряда","")," 6 разряда","")," 1 категории","")," 2 категории","")," 3 категории","")))))</f>
        <v>старший кладовщик</v>
      </c>
      <c r="H229" s="12" t="n">
        <f aca="false">IFERROR(INDEX(Соответствие!$B$2:$B$76,MATCH(G229,Соответствие!$A$2:$A$76,0)),"?")</f>
        <v>14</v>
      </c>
      <c r="I229" s="9" t="str">
        <f aca="false">IFERROR(INDEX('Перечень должностей'!$C$2:$C$46,MATCH(H229,'Перечень должностей'!$A$2:$A$46,0)),"")</f>
        <v>п.4.4, п.5.1, п.6.2</v>
      </c>
      <c r="J229" s="12" t="n">
        <f aca="false">IFERROR(INDEX('Перечень должностей'!$D$2:$D$46,MATCH(H229,'Перечень должностей'!$A$2:$A$46,0)),12)</f>
        <v>12</v>
      </c>
      <c r="K229" s="17"/>
      <c r="L229" s="17"/>
      <c r="M229" s="16" t="str">
        <f aca="false">IF(K229="","",EDATE(IF(L229&lt;&gt;"",L229,K229),J229))</f>
        <v/>
      </c>
      <c r="N229" s="12" t="str">
        <f aca="false">IFERROR(INDEX('Перечень должностей'!$F$2:$F$46,MATCH(H229,'Перечень должностей'!$A$2:$A$46,0)),"")</f>
        <v>-</v>
      </c>
      <c r="O229" s="17"/>
      <c r="P229" s="16" t="str">
        <f aca="false">IF(O229="","",EDATE(O229,60))</f>
        <v/>
      </c>
      <c r="Q229" s="12" t="str">
        <f aca="false">IF(AND(K229&lt;&gt;"",F229&lt;&gt;"",K229&gt;F229),"ДА","")</f>
        <v/>
      </c>
      <c r="R229" s="9"/>
    </row>
    <row r="230" customFormat="false" ht="14.25" hidden="false" customHeight="true" outlineLevel="0" collapsed="false">
      <c r="A230" s="15" t="n">
        <v>229</v>
      </c>
      <c r="B230" s="12" t="s">
        <v>50</v>
      </c>
      <c r="C230" s="15" t="s">
        <v>684</v>
      </c>
      <c r="D230" s="15" t="s">
        <v>683</v>
      </c>
      <c r="E230" s="15" t="s">
        <v>194</v>
      </c>
      <c r="F230" s="16" t="n">
        <v>45365</v>
      </c>
      <c r="G230" s="5" t="str">
        <f aca="false">IF(TRIM(SUBSTITUTE(SUBSTITUTE(SUBSTITUTE(SUBSTITUTE(SUBSTITUTE(SUBSTITUTE(SUBSTITUTE(SUBSTITUTE(SUBSTITUTE(SUBSTITUTE(SUBSTITUTE(LOWER(TRIM(D230)),"ё","е"),"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категории",""))="инженер",IF(AND(ISNUMBER(SEARCH("техническ",E230)),ISNUMBER(SEARCH("контрол",E230))),"инженер отк",IF(ISNUMBER(SEARCH("диспетч",E230)),"инженер пдо",TRIM(SUBSTITUTE(SUBSTITUTE(SUBSTITUTE(SUBSTITUTE(SUBSTITUTE(SUBSTITUTE(SUBSTITUTE(SUBSTITUTE(SUBSTITUTE(SUBSTITUTE(SUBSTITUTE(LOWER(TRIM(D230)),"ё","е"),"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инженер",IF(ISNUMBER(SEARCH("диспетч",E230)),"ведущий инженер пдо",TRIM(SUBSTITUTE(SUBSTITUTE(SUBSTITUTE(SUBSTITUTE(SUBSTITUTE(SUBSTITUTE(SUBSTITUTE(SUBSTITUTE(SUBSTITUTE(SUBSTITUTE(SUBSTITUTE(LOWER(TRIM(D230)),"ё","е"),"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отк",TRIM(SUBSTITUTE(SUBSTITUTE(SUBSTITUTE(SUBSTITUTE(SUBSTITUTE(SUBSTITUTE(SUBSTITUTE(SUBSTITUTE(SUBSTITUTE(SUBSTITUTE(SUBSTITUTE(LOWER(TRIM(D230)),"ё","е")," -","-"),"- ","-")," 2 разряда","")," 3 разряда","")," 4 разряда","")," 5 разряда","")," 6 разряда","")," 1 категории","")," 2 категории","")," 3 категории","")))))</f>
        <v>старший кладовщик</v>
      </c>
      <c r="H230" s="12" t="n">
        <f aca="false">IFERROR(INDEX(Соответствие!$B$2:$B$76,MATCH(G230,Соответствие!$A$2:$A$76,0)),"?")</f>
        <v>14</v>
      </c>
      <c r="I230" s="9" t="str">
        <f aca="false">IFERROR(INDEX('Перечень должностей'!$C$2:$C$46,MATCH(H230,'Перечень должностей'!$A$2:$A$46,0)),"")</f>
        <v>п.4.4, п.5.1, п.6.2</v>
      </c>
      <c r="J230" s="12" t="n">
        <f aca="false">IFERROR(INDEX('Перечень должностей'!$D$2:$D$46,MATCH(H230,'Перечень должностей'!$A$2:$A$46,0)),12)</f>
        <v>12</v>
      </c>
      <c r="K230" s="17"/>
      <c r="L230" s="17"/>
      <c r="M230" s="16" t="str">
        <f aca="false">IF(K230="","",EDATE(IF(L230&lt;&gt;"",L230,K230),J230))</f>
        <v/>
      </c>
      <c r="N230" s="12" t="str">
        <f aca="false">IFERROR(INDEX('Перечень должностей'!$F$2:$F$46,MATCH(H230,'Перечень должностей'!$A$2:$A$46,0)),"")</f>
        <v>-</v>
      </c>
      <c r="O230" s="17"/>
      <c r="P230" s="16" t="str">
        <f aca="false">IF(O230="","",EDATE(O230,60))</f>
        <v/>
      </c>
      <c r="Q230" s="12" t="str">
        <f aca="false">IF(AND(K230&lt;&gt;"",F230&lt;&gt;"",K230&gt;F230),"ДА","")</f>
        <v/>
      </c>
      <c r="R230" s="9"/>
    </row>
    <row r="231" customFormat="false" ht="14.25" hidden="false" customHeight="true" outlineLevel="0" collapsed="false">
      <c r="A231" s="15" t="n">
        <v>230</v>
      </c>
      <c r="B231" s="12" t="s">
        <v>50</v>
      </c>
      <c r="C231" s="15" t="s">
        <v>685</v>
      </c>
      <c r="D231" s="15" t="s">
        <v>683</v>
      </c>
      <c r="E231" s="15" t="s">
        <v>194</v>
      </c>
      <c r="F231" s="16" t="n">
        <v>44802</v>
      </c>
      <c r="G231" s="5" t="str">
        <f aca="false">IF(TRIM(SUBSTITUTE(SUBSTITUTE(SUBSTITUTE(SUBSTITUTE(SUBSTITUTE(SUBSTITUTE(SUBSTITUTE(SUBSTITUTE(SUBSTITUTE(SUBSTITUTE(SUBSTITUTE(LOWER(TRIM(D231)),"ё","е"),"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категории",""))="инженер",IF(AND(ISNUMBER(SEARCH("техническ",E231)),ISNUMBER(SEARCH("контрол",E231))),"инженер отк",IF(ISNUMBER(SEARCH("диспетч",E231)),"инженер пдо",TRIM(SUBSTITUTE(SUBSTITUTE(SUBSTITUTE(SUBSTITUTE(SUBSTITUTE(SUBSTITUTE(SUBSTITUTE(SUBSTITUTE(SUBSTITUTE(SUBSTITUTE(SUBSTITUTE(LOWER(TRIM(D231)),"ё","е"),"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инженер",IF(ISNUMBER(SEARCH("диспетч",E231)),"ведущий инженер пдо",TRIM(SUBSTITUTE(SUBSTITUTE(SUBSTITUTE(SUBSTITUTE(SUBSTITUTE(SUBSTITUTE(SUBSTITUTE(SUBSTITUTE(SUBSTITUTE(SUBSTITUTE(SUBSTITUTE(LOWER(TRIM(D231)),"ё","е"),"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отк",TRIM(SUBSTITUTE(SUBSTITUTE(SUBSTITUTE(SUBSTITUTE(SUBSTITUTE(SUBSTITUTE(SUBSTITUTE(SUBSTITUTE(SUBSTITUTE(SUBSTITUTE(SUBSTITUTE(LOWER(TRIM(D231)),"ё","е")," -","-"),"- ","-")," 2 разряда","")," 3 разряда","")," 4 разряда","")," 5 разряда","")," 6 разряда","")," 1 категории","")," 2 категории","")," 3 категории","")))))</f>
        <v>старший кладовщик</v>
      </c>
      <c r="H231" s="12" t="n">
        <f aca="false">IFERROR(INDEX(Соответствие!$B$2:$B$76,MATCH(G231,Соответствие!$A$2:$A$76,0)),"?")</f>
        <v>14</v>
      </c>
      <c r="I231" s="9" t="str">
        <f aca="false">IFERROR(INDEX('Перечень должностей'!$C$2:$C$46,MATCH(H231,'Перечень должностей'!$A$2:$A$46,0)),"")</f>
        <v>п.4.4, п.5.1, п.6.2</v>
      </c>
      <c r="J231" s="12" t="n">
        <f aca="false">IFERROR(INDEX('Перечень должностей'!$D$2:$D$46,MATCH(H231,'Перечень должностей'!$A$2:$A$46,0)),12)</f>
        <v>12</v>
      </c>
      <c r="K231" s="17"/>
      <c r="L231" s="17"/>
      <c r="M231" s="16" t="str">
        <f aca="false">IF(K231="","",EDATE(IF(L231&lt;&gt;"",L231,K231),J231))</f>
        <v/>
      </c>
      <c r="N231" s="12" t="str">
        <f aca="false">IFERROR(INDEX('Перечень должностей'!$F$2:$F$46,MATCH(H231,'Перечень должностей'!$A$2:$A$46,0)),"")</f>
        <v>-</v>
      </c>
      <c r="O231" s="17"/>
      <c r="P231" s="16" t="str">
        <f aca="false">IF(O231="","",EDATE(O231,60))</f>
        <v/>
      </c>
      <c r="Q231" s="12" t="str">
        <f aca="false">IF(AND(K231&lt;&gt;"",F231&lt;&gt;"",K231&gt;F231),"ДА","")</f>
        <v/>
      </c>
      <c r="R231" s="9"/>
    </row>
    <row r="232" customFormat="false" ht="14.25" hidden="false" customHeight="true" outlineLevel="0" collapsed="false">
      <c r="A232" s="15" t="n">
        <v>231</v>
      </c>
      <c r="B232" s="12" t="s">
        <v>50</v>
      </c>
      <c r="C232" s="15" t="s">
        <v>686</v>
      </c>
      <c r="D232" s="15" t="s">
        <v>75</v>
      </c>
      <c r="E232" s="15" t="s">
        <v>194</v>
      </c>
      <c r="F232" s="16" t="n">
        <v>45771</v>
      </c>
      <c r="G232" s="5" t="str">
        <f aca="false">IF(TRIM(SUBSTITUTE(SUBSTITUTE(SUBSTITUTE(SUBSTITUTE(SUBSTITUTE(SUBSTITUTE(SUBSTITUTE(SUBSTITUTE(SUBSTITUTE(SUBSTITUTE(SUBSTITUTE(LOWER(TRIM(D232)),"ё","е"),"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категории",""))="инженер",IF(AND(ISNUMBER(SEARCH("техническ",E232)),ISNUMBER(SEARCH("контрол",E232))),"инженер отк",IF(ISNUMBER(SEARCH("диспетч",E232)),"инженер пдо",TRIM(SUBSTITUTE(SUBSTITUTE(SUBSTITUTE(SUBSTITUTE(SUBSTITUTE(SUBSTITUTE(SUBSTITUTE(SUBSTITUTE(SUBSTITUTE(SUBSTITUTE(SUBSTITUTE(LOWER(TRIM(D232)),"ё","е"),"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инженер",IF(ISNUMBER(SEARCH("диспетч",E232)),"ведущий инженер пдо",TRIM(SUBSTITUTE(SUBSTITUTE(SUBSTITUTE(SUBSTITUTE(SUBSTITUTE(SUBSTITUTE(SUBSTITUTE(SUBSTITUTE(SUBSTITUTE(SUBSTITUTE(SUBSTITUTE(LOWER(TRIM(D232)),"ё","е"),"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отк",TRIM(SUBSTITUTE(SUBSTITUTE(SUBSTITUTE(SUBSTITUTE(SUBSTITUTE(SUBSTITUTE(SUBSTITUTE(SUBSTITUTE(SUBSTITUTE(SUBSTITUTE(SUBSTITUTE(LOWER(TRIM(D232)),"ё","е"),"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232" s="12" t="n">
        <f aca="false">IFERROR(INDEX(Соответствие!$B$2:$B$76,MATCH(G232,Соответствие!$A$2:$A$76,0)),"?")</f>
        <v>14</v>
      </c>
      <c r="I232" s="9" t="str">
        <f aca="false">IFERROR(INDEX('Перечень должностей'!$C$2:$C$46,MATCH(H232,'Перечень должностей'!$A$2:$A$46,0)),"")</f>
        <v>п.4.4, п.5.1, п.6.2</v>
      </c>
      <c r="J232" s="12" t="n">
        <f aca="false">IFERROR(INDEX('Перечень должностей'!$D$2:$D$46,MATCH(H232,'Перечень должностей'!$A$2:$A$46,0)),12)</f>
        <v>12</v>
      </c>
      <c r="K232" s="17"/>
      <c r="L232" s="17"/>
      <c r="M232" s="16" t="str">
        <f aca="false">IF(K232="","",EDATE(IF(L232&lt;&gt;"",L232,K232),J232))</f>
        <v/>
      </c>
      <c r="N232" s="12" t="str">
        <f aca="false">IFERROR(INDEX('Перечень должностей'!$F$2:$F$46,MATCH(H232,'Перечень должностей'!$A$2:$A$46,0)),"")</f>
        <v>-</v>
      </c>
      <c r="O232" s="17"/>
      <c r="P232" s="16" t="str">
        <f aca="false">IF(O232="","",EDATE(O232,60))</f>
        <v/>
      </c>
      <c r="Q232" s="12" t="str">
        <f aca="false">IF(AND(K232&lt;&gt;"",F232&lt;&gt;"",K232&gt;F232),"ДА","")</f>
        <v/>
      </c>
      <c r="R232" s="9"/>
    </row>
    <row r="233" customFormat="false" ht="14.25" hidden="false" customHeight="true" outlineLevel="0" collapsed="false">
      <c r="A233" s="15" t="n">
        <v>232</v>
      </c>
      <c r="B233" s="12" t="s">
        <v>50</v>
      </c>
      <c r="C233" s="15" t="s">
        <v>687</v>
      </c>
      <c r="D233" s="15" t="s">
        <v>75</v>
      </c>
      <c r="E233" s="15" t="s">
        <v>194</v>
      </c>
      <c r="F233" s="16" t="n">
        <v>46083</v>
      </c>
      <c r="G233" s="5" t="str">
        <f aca="false">IF(TRIM(SUBSTITUTE(SUBSTITUTE(SUBSTITUTE(SUBSTITUTE(SUBSTITUTE(SUBSTITUTE(SUBSTITUTE(SUBSTITUTE(SUBSTITUTE(SUBSTITUTE(SUBSTITUTE(LOWER(TRIM(D233)),"ё","е"),"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категории",""))="инженер",IF(AND(ISNUMBER(SEARCH("техническ",E233)),ISNUMBER(SEARCH("контрол",E233))),"инженер отк",IF(ISNUMBER(SEARCH("диспетч",E233)),"инженер пдо",TRIM(SUBSTITUTE(SUBSTITUTE(SUBSTITUTE(SUBSTITUTE(SUBSTITUTE(SUBSTITUTE(SUBSTITUTE(SUBSTITUTE(SUBSTITUTE(SUBSTITUTE(SUBSTITUTE(LOWER(TRIM(D233)),"ё","е"),"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инженер",IF(ISNUMBER(SEARCH("диспетч",E233)),"ведущий инженер пдо",TRIM(SUBSTITUTE(SUBSTITUTE(SUBSTITUTE(SUBSTITUTE(SUBSTITUTE(SUBSTITUTE(SUBSTITUTE(SUBSTITUTE(SUBSTITUTE(SUBSTITUTE(SUBSTITUTE(LOWER(TRIM(D233)),"ё","е"),"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отк",TRIM(SUBSTITUTE(SUBSTITUTE(SUBSTITUTE(SUBSTITUTE(SUBSTITUTE(SUBSTITUTE(SUBSTITUTE(SUBSTITUTE(SUBSTITUTE(SUBSTITUTE(SUBSTITUTE(LOWER(TRIM(D233)),"ё","е"),"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233" s="12" t="n">
        <f aca="false">IFERROR(INDEX(Соответствие!$B$2:$B$76,MATCH(G233,Соответствие!$A$2:$A$76,0)),"?")</f>
        <v>14</v>
      </c>
      <c r="I233" s="9" t="str">
        <f aca="false">IFERROR(INDEX('Перечень должностей'!$C$2:$C$46,MATCH(H233,'Перечень должностей'!$A$2:$A$46,0)),"")</f>
        <v>п.4.4, п.5.1, п.6.2</v>
      </c>
      <c r="J233" s="12" t="n">
        <f aca="false">IFERROR(INDEX('Перечень должностей'!$D$2:$D$46,MATCH(H233,'Перечень должностей'!$A$2:$A$46,0)),12)</f>
        <v>12</v>
      </c>
      <c r="K233" s="17"/>
      <c r="L233" s="17"/>
      <c r="M233" s="16" t="str">
        <f aca="false">IF(K233="","",EDATE(IF(L233&lt;&gt;"",L233,K233),J233))</f>
        <v/>
      </c>
      <c r="N233" s="12" t="str">
        <f aca="false">IFERROR(INDEX('Перечень должностей'!$F$2:$F$46,MATCH(H233,'Перечень должностей'!$A$2:$A$46,0)),"")</f>
        <v>-</v>
      </c>
      <c r="O233" s="17"/>
      <c r="P233" s="16" t="str">
        <f aca="false">IF(O233="","",EDATE(O233,60))</f>
        <v/>
      </c>
      <c r="Q233" s="12" t="str">
        <f aca="false">IF(AND(K233&lt;&gt;"",F233&lt;&gt;"",K233&gt;F233),"ДА","")</f>
        <v/>
      </c>
      <c r="R233" s="9"/>
    </row>
    <row r="234" customFormat="false" ht="14.25" hidden="false" customHeight="true" outlineLevel="0" collapsed="false">
      <c r="A234" s="15" t="n">
        <v>233</v>
      </c>
      <c r="B234" s="12" t="s">
        <v>50</v>
      </c>
      <c r="C234" s="15" t="s">
        <v>688</v>
      </c>
      <c r="D234" s="15" t="s">
        <v>75</v>
      </c>
      <c r="E234" s="15" t="s">
        <v>194</v>
      </c>
      <c r="F234" s="16" t="n">
        <v>46265</v>
      </c>
      <c r="G234" s="5" t="str">
        <f aca="false">IF(TRIM(SUBSTITUTE(SUBSTITUTE(SUBSTITUTE(SUBSTITUTE(SUBSTITUTE(SUBSTITUTE(SUBSTITUTE(SUBSTITUTE(SUBSTITUTE(SUBSTITUTE(SUBSTITUTE(LOWER(TRIM(D234)),"ё","е"),"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категории",""))="инженер",IF(AND(ISNUMBER(SEARCH("техническ",E234)),ISNUMBER(SEARCH("контрол",E234))),"инженер отк",IF(ISNUMBER(SEARCH("диспетч",E234)),"инженер пдо",TRIM(SUBSTITUTE(SUBSTITUTE(SUBSTITUTE(SUBSTITUTE(SUBSTITUTE(SUBSTITUTE(SUBSTITUTE(SUBSTITUTE(SUBSTITUTE(SUBSTITUTE(SUBSTITUTE(LOWER(TRIM(D234)),"ё","е"),"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инженер",IF(ISNUMBER(SEARCH("диспетч",E234)),"ведущий инженер пдо",TRIM(SUBSTITUTE(SUBSTITUTE(SUBSTITUTE(SUBSTITUTE(SUBSTITUTE(SUBSTITUTE(SUBSTITUTE(SUBSTITUTE(SUBSTITUTE(SUBSTITUTE(SUBSTITUTE(LOWER(TRIM(D234)),"ё","е"),"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отк",TRIM(SUBSTITUTE(SUBSTITUTE(SUBSTITUTE(SUBSTITUTE(SUBSTITUTE(SUBSTITUTE(SUBSTITUTE(SUBSTITUTE(SUBSTITUTE(SUBSTITUTE(SUBSTITUTE(LOWER(TRIM(D234)),"ё","е"),"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234" s="12" t="n">
        <f aca="false">IFERROR(INDEX(Соответствие!$B$2:$B$76,MATCH(G234,Соответствие!$A$2:$A$76,0)),"?")</f>
        <v>14</v>
      </c>
      <c r="I234" s="9" t="str">
        <f aca="false">IFERROR(INDEX('Перечень должностей'!$C$2:$C$46,MATCH(H234,'Перечень должностей'!$A$2:$A$46,0)),"")</f>
        <v>п.4.4, п.5.1, п.6.2</v>
      </c>
      <c r="J234" s="12" t="n">
        <f aca="false">IFERROR(INDEX('Перечень должностей'!$D$2:$D$46,MATCH(H234,'Перечень должностей'!$A$2:$A$46,0)),12)</f>
        <v>12</v>
      </c>
      <c r="K234" s="17"/>
      <c r="L234" s="17"/>
      <c r="M234" s="16" t="str">
        <f aca="false">IF(K234="","",EDATE(IF(L234&lt;&gt;"",L234,K234),J234))</f>
        <v/>
      </c>
      <c r="N234" s="12" t="str">
        <f aca="false">IFERROR(INDEX('Перечень должностей'!$F$2:$F$46,MATCH(H234,'Перечень должностей'!$A$2:$A$46,0)),"")</f>
        <v>-</v>
      </c>
      <c r="O234" s="17"/>
      <c r="P234" s="16" t="str">
        <f aca="false">IF(O234="","",EDATE(O234,60))</f>
        <v/>
      </c>
      <c r="Q234" s="12" t="str">
        <f aca="false">IF(AND(K234&lt;&gt;"",F234&lt;&gt;"",K234&gt;F234),"ДА","")</f>
        <v/>
      </c>
      <c r="R234" s="9"/>
    </row>
    <row r="235" customFormat="false" ht="14.25" hidden="false" customHeight="true" outlineLevel="0" collapsed="false">
      <c r="A235" s="15" t="n">
        <v>234</v>
      </c>
      <c r="B235" s="12" t="s">
        <v>50</v>
      </c>
      <c r="C235" s="15" t="s">
        <v>689</v>
      </c>
      <c r="D235" s="15" t="s">
        <v>75</v>
      </c>
      <c r="E235" s="15" t="s">
        <v>194</v>
      </c>
      <c r="F235" s="16" t="n">
        <v>45791</v>
      </c>
      <c r="G235" s="5" t="str">
        <f aca="false">IF(TRIM(SUBSTITUTE(SUBSTITUTE(SUBSTITUTE(SUBSTITUTE(SUBSTITUTE(SUBSTITUTE(SUBSTITUTE(SUBSTITUTE(SUBSTITUTE(SUBSTITUTE(SUBSTITUTE(LOWER(TRIM(D235)),"ё","е"),"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категории",""))="инженер",IF(AND(ISNUMBER(SEARCH("техническ",E235)),ISNUMBER(SEARCH("контрол",E235))),"инженер отк",IF(ISNUMBER(SEARCH("диспетч",E235)),"инженер пдо",TRIM(SUBSTITUTE(SUBSTITUTE(SUBSTITUTE(SUBSTITUTE(SUBSTITUTE(SUBSTITUTE(SUBSTITUTE(SUBSTITUTE(SUBSTITUTE(SUBSTITUTE(SUBSTITUTE(LOWER(TRIM(D235)),"ё","е"),"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инженер",IF(ISNUMBER(SEARCH("диспетч",E235)),"ведущий инженер пдо",TRIM(SUBSTITUTE(SUBSTITUTE(SUBSTITUTE(SUBSTITUTE(SUBSTITUTE(SUBSTITUTE(SUBSTITUTE(SUBSTITUTE(SUBSTITUTE(SUBSTITUTE(SUBSTITUTE(LOWER(TRIM(D235)),"ё","е"),"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отк",TRIM(SUBSTITUTE(SUBSTITUTE(SUBSTITUTE(SUBSTITUTE(SUBSTITUTE(SUBSTITUTE(SUBSTITUTE(SUBSTITUTE(SUBSTITUTE(SUBSTITUTE(SUBSTITUTE(LOWER(TRIM(D235)),"ё","е"),"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235" s="12" t="n">
        <f aca="false">IFERROR(INDEX(Соответствие!$B$2:$B$76,MATCH(G235,Соответствие!$A$2:$A$76,0)),"?")</f>
        <v>14</v>
      </c>
      <c r="I235" s="9" t="str">
        <f aca="false">IFERROR(INDEX('Перечень должностей'!$C$2:$C$46,MATCH(H235,'Перечень должностей'!$A$2:$A$46,0)),"")</f>
        <v>п.4.4, п.5.1, п.6.2</v>
      </c>
      <c r="J235" s="12" t="n">
        <f aca="false">IFERROR(INDEX('Перечень должностей'!$D$2:$D$46,MATCH(H235,'Перечень должностей'!$A$2:$A$46,0)),12)</f>
        <v>12</v>
      </c>
      <c r="K235" s="17"/>
      <c r="L235" s="17"/>
      <c r="M235" s="16" t="str">
        <f aca="false">IF(K235="","",EDATE(IF(L235&lt;&gt;"",L235,K235),J235))</f>
        <v/>
      </c>
      <c r="N235" s="12" t="str">
        <f aca="false">IFERROR(INDEX('Перечень должностей'!$F$2:$F$46,MATCH(H235,'Перечень должностей'!$A$2:$A$46,0)),"")</f>
        <v>-</v>
      </c>
      <c r="O235" s="17"/>
      <c r="P235" s="16" t="str">
        <f aca="false">IF(O235="","",EDATE(O235,60))</f>
        <v/>
      </c>
      <c r="Q235" s="12" t="str">
        <f aca="false">IF(AND(K235&lt;&gt;"",F235&lt;&gt;"",K235&gt;F235),"ДА","")</f>
        <v/>
      </c>
      <c r="R235" s="9"/>
    </row>
    <row r="236" customFormat="false" ht="14.25" hidden="false" customHeight="true" outlineLevel="0" collapsed="false">
      <c r="A236" s="15" t="n">
        <v>235</v>
      </c>
      <c r="B236" s="12" t="s">
        <v>50</v>
      </c>
      <c r="C236" s="15" t="s">
        <v>690</v>
      </c>
      <c r="D236" s="15" t="s">
        <v>75</v>
      </c>
      <c r="E236" s="15" t="s">
        <v>194</v>
      </c>
      <c r="F236" s="16" t="n">
        <v>42248</v>
      </c>
      <c r="G236" s="5" t="str">
        <f aca="false">IF(TRIM(SUBSTITUTE(SUBSTITUTE(SUBSTITUTE(SUBSTITUTE(SUBSTITUTE(SUBSTITUTE(SUBSTITUTE(SUBSTITUTE(SUBSTITUTE(SUBSTITUTE(SUBSTITUTE(LOWER(TRIM(D236)),"ё","е"),"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категории",""))="инженер",IF(AND(ISNUMBER(SEARCH("техническ",E236)),ISNUMBER(SEARCH("контрол",E236))),"инженер отк",IF(ISNUMBER(SEARCH("диспетч",E236)),"инженер пдо",TRIM(SUBSTITUTE(SUBSTITUTE(SUBSTITUTE(SUBSTITUTE(SUBSTITUTE(SUBSTITUTE(SUBSTITUTE(SUBSTITUTE(SUBSTITUTE(SUBSTITUTE(SUBSTITUTE(LOWER(TRIM(D236)),"ё","е"),"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инженер",IF(ISNUMBER(SEARCH("диспетч",E236)),"ведущий инженер пдо",TRIM(SUBSTITUTE(SUBSTITUTE(SUBSTITUTE(SUBSTITUTE(SUBSTITUTE(SUBSTITUTE(SUBSTITUTE(SUBSTITUTE(SUBSTITUTE(SUBSTITUTE(SUBSTITUTE(LOWER(TRIM(D236)),"ё","е"),"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отк",TRIM(SUBSTITUTE(SUBSTITUTE(SUBSTITUTE(SUBSTITUTE(SUBSTITUTE(SUBSTITUTE(SUBSTITUTE(SUBSTITUTE(SUBSTITUTE(SUBSTITUTE(SUBSTITUTE(LOWER(TRIM(D236)),"ё","е"),"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236" s="12" t="n">
        <f aca="false">IFERROR(INDEX(Соответствие!$B$2:$B$76,MATCH(G236,Соответствие!$A$2:$A$76,0)),"?")</f>
        <v>14</v>
      </c>
      <c r="I236" s="9" t="str">
        <f aca="false">IFERROR(INDEX('Перечень должностей'!$C$2:$C$46,MATCH(H236,'Перечень должностей'!$A$2:$A$46,0)),"")</f>
        <v>п.4.4, п.5.1, п.6.2</v>
      </c>
      <c r="J236" s="12" t="n">
        <f aca="false">IFERROR(INDEX('Перечень должностей'!$D$2:$D$46,MATCH(H236,'Перечень должностей'!$A$2:$A$46,0)),12)</f>
        <v>12</v>
      </c>
      <c r="K236" s="17"/>
      <c r="L236" s="17"/>
      <c r="M236" s="16" t="str">
        <f aca="false">IF(K236="","",EDATE(IF(L236&lt;&gt;"",L236,K236),J236))</f>
        <v/>
      </c>
      <c r="N236" s="12" t="str">
        <f aca="false">IFERROR(INDEX('Перечень должностей'!$F$2:$F$46,MATCH(H236,'Перечень должностей'!$A$2:$A$46,0)),"")</f>
        <v>-</v>
      </c>
      <c r="O236" s="17"/>
      <c r="P236" s="16" t="str">
        <f aca="false">IF(O236="","",EDATE(O236,60))</f>
        <v/>
      </c>
      <c r="Q236" s="12" t="str">
        <f aca="false">IF(AND(K236&lt;&gt;"",F236&lt;&gt;"",K236&gt;F236),"ДА","")</f>
        <v/>
      </c>
      <c r="R236" s="9"/>
    </row>
    <row r="237" customFormat="false" ht="14.25" hidden="false" customHeight="true" outlineLevel="0" collapsed="false">
      <c r="A237" s="15" t="n">
        <v>236</v>
      </c>
      <c r="B237" s="12" t="s">
        <v>50</v>
      </c>
      <c r="C237" s="15" t="s">
        <v>691</v>
      </c>
      <c r="D237" s="15" t="s">
        <v>75</v>
      </c>
      <c r="E237" s="15" t="s">
        <v>194</v>
      </c>
      <c r="F237" s="16" t="n">
        <v>45950</v>
      </c>
      <c r="G237" s="5" t="str">
        <f aca="false">IF(TRIM(SUBSTITUTE(SUBSTITUTE(SUBSTITUTE(SUBSTITUTE(SUBSTITUTE(SUBSTITUTE(SUBSTITUTE(SUBSTITUTE(SUBSTITUTE(SUBSTITUTE(SUBSTITUTE(LOWER(TRIM(D237)),"ё","е"),"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категории",""))="инженер",IF(AND(ISNUMBER(SEARCH("техническ",E237)),ISNUMBER(SEARCH("контрол",E237))),"инженер отк",IF(ISNUMBER(SEARCH("диспетч",E237)),"инженер пдо",TRIM(SUBSTITUTE(SUBSTITUTE(SUBSTITUTE(SUBSTITUTE(SUBSTITUTE(SUBSTITUTE(SUBSTITUTE(SUBSTITUTE(SUBSTITUTE(SUBSTITUTE(SUBSTITUTE(LOWER(TRIM(D237)),"ё","е"),"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инженер",IF(ISNUMBER(SEARCH("диспетч",E237)),"ведущий инженер пдо",TRIM(SUBSTITUTE(SUBSTITUTE(SUBSTITUTE(SUBSTITUTE(SUBSTITUTE(SUBSTITUTE(SUBSTITUTE(SUBSTITUTE(SUBSTITUTE(SUBSTITUTE(SUBSTITUTE(LOWER(TRIM(D237)),"ё","е"),"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отк",TRIM(SUBSTITUTE(SUBSTITUTE(SUBSTITUTE(SUBSTITUTE(SUBSTITUTE(SUBSTITUTE(SUBSTITUTE(SUBSTITUTE(SUBSTITUTE(SUBSTITUTE(SUBSTITUTE(LOWER(TRIM(D237)),"ё","е"),"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237" s="12" t="n">
        <f aca="false">IFERROR(INDEX(Соответствие!$B$2:$B$76,MATCH(G237,Соответствие!$A$2:$A$76,0)),"?")</f>
        <v>14</v>
      </c>
      <c r="I237" s="9" t="str">
        <f aca="false">IFERROR(INDEX('Перечень должностей'!$C$2:$C$46,MATCH(H237,'Перечень должностей'!$A$2:$A$46,0)),"")</f>
        <v>п.4.4, п.5.1, п.6.2</v>
      </c>
      <c r="J237" s="12" t="n">
        <f aca="false">IFERROR(INDEX('Перечень должностей'!$D$2:$D$46,MATCH(H237,'Перечень должностей'!$A$2:$A$46,0)),12)</f>
        <v>12</v>
      </c>
      <c r="K237" s="17"/>
      <c r="L237" s="17"/>
      <c r="M237" s="16" t="str">
        <f aca="false">IF(K237="","",EDATE(IF(L237&lt;&gt;"",L237,K237),J237))</f>
        <v/>
      </c>
      <c r="N237" s="12" t="str">
        <f aca="false">IFERROR(INDEX('Перечень должностей'!$F$2:$F$46,MATCH(H237,'Перечень должностей'!$A$2:$A$46,0)),"")</f>
        <v>-</v>
      </c>
      <c r="O237" s="17"/>
      <c r="P237" s="16" t="str">
        <f aca="false">IF(O237="","",EDATE(O237,60))</f>
        <v/>
      </c>
      <c r="Q237" s="12" t="str">
        <f aca="false">IF(AND(K237&lt;&gt;"",F237&lt;&gt;"",K237&gt;F237),"ДА","")</f>
        <v/>
      </c>
      <c r="R237" s="9"/>
    </row>
    <row r="238" customFormat="false" ht="23.25" hidden="false" customHeight="true" outlineLevel="0" collapsed="false">
      <c r="A238" s="15" t="n">
        <v>237</v>
      </c>
      <c r="B238" s="12" t="s">
        <v>50</v>
      </c>
      <c r="C238" s="15" t="s">
        <v>692</v>
      </c>
      <c r="D238" s="15" t="s">
        <v>335</v>
      </c>
      <c r="E238" s="15" t="s">
        <v>194</v>
      </c>
      <c r="F238" s="16" t="n">
        <v>42461</v>
      </c>
      <c r="G238" s="5" t="str">
        <f aca="false">IF(TRIM(SUBSTITUTE(SUBSTITUTE(SUBSTITUTE(SUBSTITUTE(SUBSTITUTE(SUBSTITUTE(SUBSTITUTE(SUBSTITUTE(SUBSTITUTE(SUBSTITUTE(SUBSTITUTE(LOWER(TRIM(D238)),"ё","е"),"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категории",""))="инженер",IF(AND(ISNUMBER(SEARCH("техническ",E238)),ISNUMBER(SEARCH("контрол",E238))),"инженер отк",IF(ISNUMBER(SEARCH("диспетч",E238)),"инженер пдо",TRIM(SUBSTITUTE(SUBSTITUTE(SUBSTITUTE(SUBSTITUTE(SUBSTITUTE(SUBSTITUTE(SUBSTITUTE(SUBSTITUTE(SUBSTITUTE(SUBSTITUTE(SUBSTITUTE(LOWER(TRIM(D238)),"ё","е"),"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инженер",IF(ISNUMBER(SEARCH("диспетч",E238)),"ведущий инженер пдо",TRIM(SUBSTITUTE(SUBSTITUTE(SUBSTITUTE(SUBSTITUTE(SUBSTITUTE(SUBSTITUTE(SUBSTITUTE(SUBSTITUTE(SUBSTITUTE(SUBSTITUTE(SUBSTITUTE(LOWER(TRIM(D238)),"ё","е"),"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отк",TRIM(SUBSTITUTE(SUBSTITUTE(SUBSTITUTE(SUBSTITUTE(SUBSTITUTE(SUBSTITUTE(SUBSTITUTE(SUBSTITUTE(SUBSTITUTE(SUBSTITUTE(SUBSTITUTE(LOWER(TRIM(D238)),"ё","е")," -","-"),"- ","-")," 2 разряда","")," 3 разряда","")," 4 разряда","")," 5 разряда","")," 6 разряда","")," 1 категории","")," 2 категории","")," 3 категории","")))))</f>
        <v>лаборант</v>
      </c>
      <c r="H238" s="12" t="n">
        <f aca="false">IFERROR(INDEX(Соответствие!$B$2:$B$76,MATCH(G238,Соответствие!$A$2:$A$76,0)),"?")</f>
        <v>15</v>
      </c>
      <c r="I238" s="9" t="str">
        <f aca="false">IFERROR(INDEX('Перечень должностей'!$C$2:$C$46,MATCH(H238,'Перечень должностей'!$A$2:$A$46,0)),"")</f>
        <v>п.1.49.2, п.1.49.14, п.1.50, п.4.3.1, п.4.4, п.6.2</v>
      </c>
      <c r="J238" s="12" t="n">
        <f aca="false">IFERROR(INDEX('Перечень должностей'!$D$2:$D$46,MATCH(H238,'Перечень должностей'!$A$2:$A$46,0)),12)</f>
        <v>12</v>
      </c>
      <c r="K238" s="17"/>
      <c r="L238" s="17"/>
      <c r="M238" s="16" t="str">
        <f aca="false">IF(K238="","",EDATE(IF(L238&lt;&gt;"",L238,K238),J238))</f>
        <v/>
      </c>
      <c r="N238" s="12" t="str">
        <f aca="false">IFERROR(INDEX('Перечень должностей'!$F$2:$F$46,MATCH(H238,'Перечень должностей'!$A$2:$A$46,0)),"")</f>
        <v>-</v>
      </c>
      <c r="O238" s="17"/>
      <c r="P238" s="16" t="str">
        <f aca="false">IF(O238="","",EDATE(O238,60))</f>
        <v/>
      </c>
      <c r="Q238" s="12" t="str">
        <f aca="false">IF(AND(K238&lt;&gt;"",F238&lt;&gt;"",K238&gt;F238),"ДА","")</f>
        <v/>
      </c>
      <c r="R238" s="9"/>
    </row>
    <row r="239" customFormat="false" ht="14.25" hidden="false" customHeight="true" outlineLevel="0" collapsed="false">
      <c r="A239" s="15" t="n">
        <v>238</v>
      </c>
      <c r="B239" s="12" t="s">
        <v>50</v>
      </c>
      <c r="C239" s="15" t="s">
        <v>693</v>
      </c>
      <c r="D239" s="15" t="s">
        <v>694</v>
      </c>
      <c r="E239" s="15" t="s">
        <v>194</v>
      </c>
      <c r="F239" s="16" t="n">
        <v>45782</v>
      </c>
      <c r="G239" s="5" t="str">
        <f aca="false">IF(TRIM(SUBSTITUTE(SUBSTITUTE(SUBSTITUTE(SUBSTITUTE(SUBSTITUTE(SUBSTITUTE(SUBSTITUTE(SUBSTITUTE(SUBSTITUTE(SUBSTITUTE(SUBSTITUTE(LOWER(TRIM(D239)),"ё","е"),"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категории",""))="инженер",IF(AND(ISNUMBER(SEARCH("техническ",E239)),ISNUMBER(SEARCH("контрол",E239))),"инженер отк",IF(ISNUMBER(SEARCH("диспетч",E239)),"инженер пдо",TRIM(SUBSTITUTE(SUBSTITUTE(SUBSTITUTE(SUBSTITUTE(SUBSTITUTE(SUBSTITUTE(SUBSTITUTE(SUBSTITUTE(SUBSTITUTE(SUBSTITUTE(SUBSTITUTE(LOWER(TRIM(D239)),"ё","е"),"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инженер",IF(ISNUMBER(SEARCH("диспетч",E239)),"ведущий инженер пдо",TRIM(SUBSTITUTE(SUBSTITUTE(SUBSTITUTE(SUBSTITUTE(SUBSTITUTE(SUBSTITUTE(SUBSTITUTE(SUBSTITUTE(SUBSTITUTE(SUBSTITUTE(SUBSTITUTE(LOWER(TRIM(D239)),"ё","е"),"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отк",TRIM(SUBSTITUTE(SUBSTITUTE(SUBSTITUTE(SUBSTITUTE(SUBSTITUTE(SUBSTITUTE(SUBSTITUTE(SUBSTITUTE(SUBSTITUTE(SUBSTITUTE(SUBSTITUTE(LOWER(TRIM(D239)),"ё","е")," -","-"),"- ","-")," 2 разряда","")," 3 разряда","")," 4 разряда","")," 5 разряда","")," 6 разряда","")," 1 категории","")," 2 категории","")," 3 категории","")))))</f>
        <v>кладовщик-комплектовщик</v>
      </c>
      <c r="H239" s="12" t="n">
        <f aca="false">IFERROR(INDEX(Соответствие!$B$2:$B$76,MATCH(G239,Соответствие!$A$2:$A$76,0)),"?")</f>
        <v>14</v>
      </c>
      <c r="I239" s="9" t="str">
        <f aca="false">IFERROR(INDEX('Перечень должностей'!$C$2:$C$46,MATCH(H239,'Перечень должностей'!$A$2:$A$46,0)),"")</f>
        <v>п.4.4, п.5.1, п.6.2</v>
      </c>
      <c r="J239" s="12" t="n">
        <f aca="false">IFERROR(INDEX('Перечень должностей'!$D$2:$D$46,MATCH(H239,'Перечень должностей'!$A$2:$A$46,0)),12)</f>
        <v>12</v>
      </c>
      <c r="K239" s="17"/>
      <c r="L239" s="17"/>
      <c r="M239" s="16" t="str">
        <f aca="false">IF(K239="","",EDATE(IF(L239&lt;&gt;"",L239,K239),J239))</f>
        <v/>
      </c>
      <c r="N239" s="12" t="str">
        <f aca="false">IFERROR(INDEX('Перечень должностей'!$F$2:$F$46,MATCH(H239,'Перечень должностей'!$A$2:$A$46,0)),"")</f>
        <v>-</v>
      </c>
      <c r="O239" s="17"/>
      <c r="P239" s="16" t="str">
        <f aca="false">IF(O239="","",EDATE(O239,60))</f>
        <v/>
      </c>
      <c r="Q239" s="12" t="str">
        <f aca="false">IF(AND(K239&lt;&gt;"",F239&lt;&gt;"",K239&gt;F239),"ДА","")</f>
        <v/>
      </c>
      <c r="R239" s="9"/>
    </row>
    <row r="240" customFormat="false" ht="26.25" hidden="false" customHeight="true" outlineLevel="0" collapsed="false">
      <c r="A240" s="15" t="n">
        <v>239</v>
      </c>
      <c r="B240" s="12" t="s">
        <v>50</v>
      </c>
      <c r="C240" s="15" t="s">
        <v>695</v>
      </c>
      <c r="D240" s="15" t="s">
        <v>694</v>
      </c>
      <c r="E240" s="15" t="s">
        <v>194</v>
      </c>
      <c r="F240" s="16" t="n">
        <v>45805</v>
      </c>
      <c r="G240" s="5" t="str">
        <f aca="false">IF(TRIM(SUBSTITUTE(SUBSTITUTE(SUBSTITUTE(SUBSTITUTE(SUBSTITUTE(SUBSTITUTE(SUBSTITUTE(SUBSTITUTE(SUBSTITUTE(SUBSTITUTE(SUBSTITUTE(LOWER(TRIM(D240)),"ё","е"),"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категории",""))="инженер",IF(AND(ISNUMBER(SEARCH("техническ",E240)),ISNUMBER(SEARCH("контрол",E240))),"инженер отк",IF(ISNUMBER(SEARCH("диспетч",E240)),"инженер пдо",TRIM(SUBSTITUTE(SUBSTITUTE(SUBSTITUTE(SUBSTITUTE(SUBSTITUTE(SUBSTITUTE(SUBSTITUTE(SUBSTITUTE(SUBSTITUTE(SUBSTITUTE(SUBSTITUTE(LOWER(TRIM(D240)),"ё","е"),"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инженер",IF(ISNUMBER(SEARCH("диспетч",E240)),"ведущий инженер пдо",TRIM(SUBSTITUTE(SUBSTITUTE(SUBSTITUTE(SUBSTITUTE(SUBSTITUTE(SUBSTITUTE(SUBSTITUTE(SUBSTITUTE(SUBSTITUTE(SUBSTITUTE(SUBSTITUTE(LOWER(TRIM(D240)),"ё","е"),"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отк",TRIM(SUBSTITUTE(SUBSTITUTE(SUBSTITUTE(SUBSTITUTE(SUBSTITUTE(SUBSTITUTE(SUBSTITUTE(SUBSTITUTE(SUBSTITUTE(SUBSTITUTE(SUBSTITUTE(LOWER(TRIM(D240)),"ё","е")," -","-"),"- ","-")," 2 разряда","")," 3 разряда","")," 4 разряда","")," 5 разряда","")," 6 разряда","")," 1 категории","")," 2 категории","")," 3 категории","")))))</f>
        <v>кладовщик-комплектовщик</v>
      </c>
      <c r="H240" s="12" t="n">
        <f aca="false">IFERROR(INDEX(Соответствие!$B$2:$B$76,MATCH(G240,Соответствие!$A$2:$A$76,0)),"?")</f>
        <v>14</v>
      </c>
      <c r="I240" s="9" t="str">
        <f aca="false">IFERROR(INDEX('Перечень должностей'!$C$2:$C$46,MATCH(H240,'Перечень должностей'!$A$2:$A$46,0)),"")</f>
        <v>п.4.4, п.5.1, п.6.2</v>
      </c>
      <c r="J240" s="12" t="n">
        <f aca="false">IFERROR(INDEX('Перечень должностей'!$D$2:$D$46,MATCH(H240,'Перечень должностей'!$A$2:$A$46,0)),12)</f>
        <v>12</v>
      </c>
      <c r="K240" s="17"/>
      <c r="L240" s="17"/>
      <c r="M240" s="16" t="str">
        <f aca="false">IF(K240="","",EDATE(IF(L240&lt;&gt;"",L240,K240),J240))</f>
        <v/>
      </c>
      <c r="N240" s="12" t="str">
        <f aca="false">IFERROR(INDEX('Перечень должностей'!$F$2:$F$46,MATCH(H240,'Перечень должностей'!$A$2:$A$46,0)),"")</f>
        <v>-</v>
      </c>
      <c r="O240" s="17"/>
      <c r="P240" s="16" t="str">
        <f aca="false">IF(O240="","",EDATE(O240,60))</f>
        <v/>
      </c>
      <c r="Q240" s="12" t="str">
        <f aca="false">IF(AND(K240&lt;&gt;"",F240&lt;&gt;"",K240&gt;F240),"ДА","")</f>
        <v/>
      </c>
      <c r="R240" s="9"/>
    </row>
    <row r="241" customFormat="false" ht="14.25" hidden="false" customHeight="true" outlineLevel="0" collapsed="false">
      <c r="A241" s="15" t="n">
        <v>240</v>
      </c>
      <c r="B241" s="12" t="s">
        <v>50</v>
      </c>
      <c r="C241" s="15" t="s">
        <v>696</v>
      </c>
      <c r="D241" s="15" t="s">
        <v>694</v>
      </c>
      <c r="E241" s="15" t="s">
        <v>194</v>
      </c>
      <c r="F241" s="16" t="n">
        <v>42016</v>
      </c>
      <c r="G241" s="5" t="str">
        <f aca="false">IF(TRIM(SUBSTITUTE(SUBSTITUTE(SUBSTITUTE(SUBSTITUTE(SUBSTITUTE(SUBSTITUTE(SUBSTITUTE(SUBSTITUTE(SUBSTITUTE(SUBSTITUTE(SUBSTITUTE(LOWER(TRIM(D241)),"ё","е"),"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категории",""))="инженер",IF(AND(ISNUMBER(SEARCH("техническ",E241)),ISNUMBER(SEARCH("контрол",E241))),"инженер отк",IF(ISNUMBER(SEARCH("диспетч",E241)),"инженер пдо",TRIM(SUBSTITUTE(SUBSTITUTE(SUBSTITUTE(SUBSTITUTE(SUBSTITUTE(SUBSTITUTE(SUBSTITUTE(SUBSTITUTE(SUBSTITUTE(SUBSTITUTE(SUBSTITUTE(LOWER(TRIM(D241)),"ё","е"),"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инженер",IF(ISNUMBER(SEARCH("диспетч",E241)),"ведущий инженер пдо",TRIM(SUBSTITUTE(SUBSTITUTE(SUBSTITUTE(SUBSTITUTE(SUBSTITUTE(SUBSTITUTE(SUBSTITUTE(SUBSTITUTE(SUBSTITUTE(SUBSTITUTE(SUBSTITUTE(LOWER(TRIM(D241)),"ё","е"),"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отк",TRIM(SUBSTITUTE(SUBSTITUTE(SUBSTITUTE(SUBSTITUTE(SUBSTITUTE(SUBSTITUTE(SUBSTITUTE(SUBSTITUTE(SUBSTITUTE(SUBSTITUTE(SUBSTITUTE(LOWER(TRIM(D241)),"ё","е")," -","-"),"- ","-")," 2 разряда","")," 3 разряда","")," 4 разряда","")," 5 разряда","")," 6 разряда","")," 1 категории","")," 2 категории","")," 3 категории","")))))</f>
        <v>кладовщик-комплектовщик</v>
      </c>
      <c r="H241" s="12" t="n">
        <f aca="false">IFERROR(INDEX(Соответствие!$B$2:$B$76,MATCH(G241,Соответствие!$A$2:$A$76,0)),"?")</f>
        <v>14</v>
      </c>
      <c r="I241" s="9" t="str">
        <f aca="false">IFERROR(INDEX('Перечень должностей'!$C$2:$C$46,MATCH(H241,'Перечень должностей'!$A$2:$A$46,0)),"")</f>
        <v>п.4.4, п.5.1, п.6.2</v>
      </c>
      <c r="J241" s="12" t="n">
        <f aca="false">IFERROR(INDEX('Перечень должностей'!$D$2:$D$46,MATCH(H241,'Перечень должностей'!$A$2:$A$46,0)),12)</f>
        <v>12</v>
      </c>
      <c r="K241" s="17"/>
      <c r="L241" s="17"/>
      <c r="M241" s="16" t="str">
        <f aca="false">IF(K241="","",EDATE(IF(L241&lt;&gt;"",L241,K241),J241))</f>
        <v/>
      </c>
      <c r="N241" s="12" t="str">
        <f aca="false">IFERROR(INDEX('Перечень должностей'!$F$2:$F$46,MATCH(H241,'Перечень должностей'!$A$2:$A$46,0)),"")</f>
        <v>-</v>
      </c>
      <c r="O241" s="17"/>
      <c r="P241" s="16" t="str">
        <f aca="false">IF(O241="","",EDATE(O241,60))</f>
        <v/>
      </c>
      <c r="Q241" s="12" t="str">
        <f aca="false">IF(AND(K241&lt;&gt;"",F241&lt;&gt;"",K241&gt;F241),"ДА","")</f>
        <v/>
      </c>
      <c r="R241" s="9"/>
    </row>
    <row r="242" customFormat="false" ht="14.25" hidden="false" customHeight="true" outlineLevel="0" collapsed="false">
      <c r="A242" s="15" t="n">
        <v>241</v>
      </c>
      <c r="B242" s="12" t="s">
        <v>50</v>
      </c>
      <c r="C242" s="15" t="s">
        <v>697</v>
      </c>
      <c r="D242" s="15" t="s">
        <v>694</v>
      </c>
      <c r="E242" s="15" t="s">
        <v>194</v>
      </c>
      <c r="F242" s="16" t="n">
        <v>45775</v>
      </c>
      <c r="G242" s="5" t="str">
        <f aca="false">IF(TRIM(SUBSTITUTE(SUBSTITUTE(SUBSTITUTE(SUBSTITUTE(SUBSTITUTE(SUBSTITUTE(SUBSTITUTE(SUBSTITUTE(SUBSTITUTE(SUBSTITUTE(SUBSTITUTE(LOWER(TRIM(D242)),"ё","е"),"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категории",""))="инженер",IF(AND(ISNUMBER(SEARCH("техническ",E242)),ISNUMBER(SEARCH("контрол",E242))),"инженер отк",IF(ISNUMBER(SEARCH("диспетч",E242)),"инженер пдо",TRIM(SUBSTITUTE(SUBSTITUTE(SUBSTITUTE(SUBSTITUTE(SUBSTITUTE(SUBSTITUTE(SUBSTITUTE(SUBSTITUTE(SUBSTITUTE(SUBSTITUTE(SUBSTITUTE(LOWER(TRIM(D242)),"ё","е"),"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инженер",IF(ISNUMBER(SEARCH("диспетч",E242)),"ведущий инженер пдо",TRIM(SUBSTITUTE(SUBSTITUTE(SUBSTITUTE(SUBSTITUTE(SUBSTITUTE(SUBSTITUTE(SUBSTITUTE(SUBSTITUTE(SUBSTITUTE(SUBSTITUTE(SUBSTITUTE(LOWER(TRIM(D242)),"ё","е"),"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отк",TRIM(SUBSTITUTE(SUBSTITUTE(SUBSTITUTE(SUBSTITUTE(SUBSTITUTE(SUBSTITUTE(SUBSTITUTE(SUBSTITUTE(SUBSTITUTE(SUBSTITUTE(SUBSTITUTE(LOWER(TRIM(D242)),"ё","е")," -","-"),"- ","-")," 2 разряда","")," 3 разряда","")," 4 разряда","")," 5 разряда","")," 6 разряда","")," 1 категории","")," 2 категории","")," 3 категории","")))))</f>
        <v>кладовщик-комплектовщик</v>
      </c>
      <c r="H242" s="12" t="n">
        <f aca="false">IFERROR(INDEX(Соответствие!$B$2:$B$76,MATCH(G242,Соответствие!$A$2:$A$76,0)),"?")</f>
        <v>14</v>
      </c>
      <c r="I242" s="9" t="str">
        <f aca="false">IFERROR(INDEX('Перечень должностей'!$C$2:$C$46,MATCH(H242,'Перечень должностей'!$A$2:$A$46,0)),"")</f>
        <v>п.4.4, п.5.1, п.6.2</v>
      </c>
      <c r="J242" s="12" t="n">
        <f aca="false">IFERROR(INDEX('Перечень должностей'!$D$2:$D$46,MATCH(H242,'Перечень должностей'!$A$2:$A$46,0)),12)</f>
        <v>12</v>
      </c>
      <c r="K242" s="17"/>
      <c r="L242" s="17"/>
      <c r="M242" s="16" t="str">
        <f aca="false">IF(K242="","",EDATE(IF(L242&lt;&gt;"",L242,K242),J242))</f>
        <v/>
      </c>
      <c r="N242" s="12" t="str">
        <f aca="false">IFERROR(INDEX('Перечень должностей'!$F$2:$F$46,MATCH(H242,'Перечень должностей'!$A$2:$A$46,0)),"")</f>
        <v>-</v>
      </c>
      <c r="O242" s="17"/>
      <c r="P242" s="16" t="str">
        <f aca="false">IF(O242="","",EDATE(O242,60))</f>
        <v/>
      </c>
      <c r="Q242" s="12" t="str">
        <f aca="false">IF(AND(K242&lt;&gt;"",F242&lt;&gt;"",K242&gt;F242),"ДА","")</f>
        <v/>
      </c>
      <c r="R242" s="9"/>
    </row>
    <row r="243" customFormat="false" ht="14.25" hidden="false" customHeight="true" outlineLevel="0" collapsed="false">
      <c r="A243" s="15" t="n">
        <v>242</v>
      </c>
      <c r="B243" s="12" t="s">
        <v>50</v>
      </c>
      <c r="C243" s="15" t="s">
        <v>698</v>
      </c>
      <c r="D243" s="15" t="s">
        <v>694</v>
      </c>
      <c r="E243" s="15" t="s">
        <v>194</v>
      </c>
      <c r="F243" s="16" t="n">
        <v>45789</v>
      </c>
      <c r="G243" s="5" t="str">
        <f aca="false">IF(TRIM(SUBSTITUTE(SUBSTITUTE(SUBSTITUTE(SUBSTITUTE(SUBSTITUTE(SUBSTITUTE(SUBSTITUTE(SUBSTITUTE(SUBSTITUTE(SUBSTITUTE(SUBSTITUTE(LOWER(TRIM(D243)),"ё","е"),"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категории",""))="инженер",IF(AND(ISNUMBER(SEARCH("техническ",E243)),ISNUMBER(SEARCH("контрол",E243))),"инженер отк",IF(ISNUMBER(SEARCH("диспетч",E243)),"инженер пдо",TRIM(SUBSTITUTE(SUBSTITUTE(SUBSTITUTE(SUBSTITUTE(SUBSTITUTE(SUBSTITUTE(SUBSTITUTE(SUBSTITUTE(SUBSTITUTE(SUBSTITUTE(SUBSTITUTE(LOWER(TRIM(D243)),"ё","е"),"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инженер",IF(ISNUMBER(SEARCH("диспетч",E243)),"ведущий инженер пдо",TRIM(SUBSTITUTE(SUBSTITUTE(SUBSTITUTE(SUBSTITUTE(SUBSTITUTE(SUBSTITUTE(SUBSTITUTE(SUBSTITUTE(SUBSTITUTE(SUBSTITUTE(SUBSTITUTE(LOWER(TRIM(D243)),"ё","е"),"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отк",TRIM(SUBSTITUTE(SUBSTITUTE(SUBSTITUTE(SUBSTITUTE(SUBSTITUTE(SUBSTITUTE(SUBSTITUTE(SUBSTITUTE(SUBSTITUTE(SUBSTITUTE(SUBSTITUTE(LOWER(TRIM(D243)),"ё","е")," -","-"),"- ","-")," 2 разряда","")," 3 разряда","")," 4 разряда","")," 5 разряда","")," 6 разряда","")," 1 категории","")," 2 категории","")," 3 категории","")))))</f>
        <v>кладовщик-комплектовщик</v>
      </c>
      <c r="H243" s="12" t="n">
        <f aca="false">IFERROR(INDEX(Соответствие!$B$2:$B$76,MATCH(G243,Соответствие!$A$2:$A$76,0)),"?")</f>
        <v>14</v>
      </c>
      <c r="I243" s="9" t="str">
        <f aca="false">IFERROR(INDEX('Перечень должностей'!$C$2:$C$46,MATCH(H243,'Перечень должностей'!$A$2:$A$46,0)),"")</f>
        <v>п.4.4, п.5.1, п.6.2</v>
      </c>
      <c r="J243" s="12" t="n">
        <f aca="false">IFERROR(INDEX('Перечень должностей'!$D$2:$D$46,MATCH(H243,'Перечень должностей'!$A$2:$A$46,0)),12)</f>
        <v>12</v>
      </c>
      <c r="K243" s="17"/>
      <c r="L243" s="17"/>
      <c r="M243" s="16" t="str">
        <f aca="false">IF(K243="","",EDATE(IF(L243&lt;&gt;"",L243,K243),J243))</f>
        <v/>
      </c>
      <c r="N243" s="12" t="str">
        <f aca="false">IFERROR(INDEX('Перечень должностей'!$F$2:$F$46,MATCH(H243,'Перечень должностей'!$A$2:$A$46,0)),"")</f>
        <v>-</v>
      </c>
      <c r="O243" s="17"/>
      <c r="P243" s="16" t="str">
        <f aca="false">IF(O243="","",EDATE(O243,60))</f>
        <v/>
      </c>
      <c r="Q243" s="12" t="str">
        <f aca="false">IF(AND(K243&lt;&gt;"",F243&lt;&gt;"",K243&gt;F243),"ДА","")</f>
        <v/>
      </c>
      <c r="R243" s="9"/>
    </row>
    <row r="244" customFormat="false" ht="23.25" hidden="false" customHeight="true" outlineLevel="0" collapsed="false">
      <c r="A244" s="15" t="n">
        <v>243</v>
      </c>
      <c r="B244" s="12" t="s">
        <v>50</v>
      </c>
      <c r="C244" s="15" t="s">
        <v>699</v>
      </c>
      <c r="D244" s="15" t="s">
        <v>337</v>
      </c>
      <c r="E244" s="15" t="s">
        <v>194</v>
      </c>
      <c r="F244" s="16" t="n">
        <v>45828</v>
      </c>
      <c r="G244" s="5" t="str">
        <f aca="false">IF(TRIM(SUBSTITUTE(SUBSTITUTE(SUBSTITUTE(SUBSTITUTE(SUBSTITUTE(SUBSTITUTE(SUBSTITUTE(SUBSTITUTE(SUBSTITUTE(SUBSTITUTE(SUBSTITUTE(LOWER(TRIM(D244)),"ё","е"),"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категории",""))="инженер",IF(AND(ISNUMBER(SEARCH("техническ",E244)),ISNUMBER(SEARCH("контрол",E244))),"инженер отк",IF(ISNUMBER(SEARCH("диспетч",E244)),"инженер пдо",TRIM(SUBSTITUTE(SUBSTITUTE(SUBSTITUTE(SUBSTITUTE(SUBSTITUTE(SUBSTITUTE(SUBSTITUTE(SUBSTITUTE(SUBSTITUTE(SUBSTITUTE(SUBSTITUTE(LOWER(TRIM(D244)),"ё","е"),"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инженер",IF(ISNUMBER(SEARCH("диспетч",E244)),"ведущий инженер пдо",TRIM(SUBSTITUTE(SUBSTITUTE(SUBSTITUTE(SUBSTITUTE(SUBSTITUTE(SUBSTITUTE(SUBSTITUTE(SUBSTITUTE(SUBSTITUTE(SUBSTITUTE(SUBSTITUTE(LOWER(TRIM(D244)),"ё","е"),"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отк",TRIM(SUBSTITUTE(SUBSTITUTE(SUBSTITUTE(SUBSTITUTE(SUBSTITUTE(SUBSTITUTE(SUBSTITUTE(SUBSTITUTE(SUBSTITUTE(SUBSTITUTE(SUBSTITUTE(LOWER(TRIM(D244)),"ё","е")," -","-"),"- ","-")," 2 разряда","")," 3 разряда","")," 4 разряда","")," 5 разряда","")," 6 разряда","")," 1 категории","")," 2 категории","")," 3 категории","")))))</f>
        <v>оператор склада</v>
      </c>
      <c r="H244" s="12" t="n">
        <f aca="false">IFERROR(INDEX(Соответствие!$B$2:$B$76,MATCH(G244,Соответствие!$A$2:$A$76,0)),"?")</f>
        <v>16</v>
      </c>
      <c r="I244" s="9" t="str">
        <f aca="false">IFERROR(INDEX('Перечень должностей'!$C$2:$C$46,MATCH(H244,'Перечень должностей'!$A$2:$A$46,0)),"")</f>
        <v>п.4.3.1, п.4.3.2, п.4.4, п.5.1, п.6.2, п.18.1</v>
      </c>
      <c r="J244" s="12" t="n">
        <f aca="false">IFERROR(INDEX('Перечень должностей'!$D$2:$D$46,MATCH(H244,'Перечень должностей'!$A$2:$A$46,0)),12)</f>
        <v>12</v>
      </c>
      <c r="K244" s="17"/>
      <c r="L244" s="17"/>
      <c r="M244" s="16" t="str">
        <f aca="false">IF(K244="","",EDATE(IF(L244&lt;&gt;"",L244,K244),J244))</f>
        <v/>
      </c>
      <c r="N244" s="12" t="str">
        <f aca="false">IFERROR(INDEX('Перечень должностей'!$F$2:$F$46,MATCH(H244,'Перечень должностей'!$A$2:$A$46,0)),"")</f>
        <v>-</v>
      </c>
      <c r="O244" s="17"/>
      <c r="P244" s="16" t="str">
        <f aca="false">IF(O244="","",EDATE(O244,60))</f>
        <v/>
      </c>
      <c r="Q244" s="12" t="str">
        <f aca="false">IF(AND(K244&lt;&gt;"",F244&lt;&gt;"",K244&gt;F244),"ДА","")</f>
        <v/>
      </c>
      <c r="R244" s="9"/>
    </row>
    <row r="245" customFormat="false" ht="23.25" hidden="false" customHeight="true" outlineLevel="0" collapsed="false">
      <c r="A245" s="15" t="n">
        <v>244</v>
      </c>
      <c r="B245" s="12" t="s">
        <v>50</v>
      </c>
      <c r="C245" s="15" t="s">
        <v>700</v>
      </c>
      <c r="D245" s="15" t="s">
        <v>337</v>
      </c>
      <c r="E245" s="15" t="s">
        <v>194</v>
      </c>
      <c r="F245" s="16" t="n">
        <v>45971</v>
      </c>
      <c r="G245" s="5" t="str">
        <f aca="false">IF(TRIM(SUBSTITUTE(SUBSTITUTE(SUBSTITUTE(SUBSTITUTE(SUBSTITUTE(SUBSTITUTE(SUBSTITUTE(SUBSTITUTE(SUBSTITUTE(SUBSTITUTE(SUBSTITUTE(LOWER(TRIM(D245)),"ё","е"),"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категории",""))="инженер",IF(AND(ISNUMBER(SEARCH("техническ",E245)),ISNUMBER(SEARCH("контрол",E245))),"инженер отк",IF(ISNUMBER(SEARCH("диспетч",E245)),"инженер пдо",TRIM(SUBSTITUTE(SUBSTITUTE(SUBSTITUTE(SUBSTITUTE(SUBSTITUTE(SUBSTITUTE(SUBSTITUTE(SUBSTITUTE(SUBSTITUTE(SUBSTITUTE(SUBSTITUTE(LOWER(TRIM(D245)),"ё","е"),"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инженер",IF(ISNUMBER(SEARCH("диспетч",E245)),"ведущий инженер пдо",TRIM(SUBSTITUTE(SUBSTITUTE(SUBSTITUTE(SUBSTITUTE(SUBSTITUTE(SUBSTITUTE(SUBSTITUTE(SUBSTITUTE(SUBSTITUTE(SUBSTITUTE(SUBSTITUTE(LOWER(TRIM(D245)),"ё","е"),"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отк",TRIM(SUBSTITUTE(SUBSTITUTE(SUBSTITUTE(SUBSTITUTE(SUBSTITUTE(SUBSTITUTE(SUBSTITUTE(SUBSTITUTE(SUBSTITUTE(SUBSTITUTE(SUBSTITUTE(LOWER(TRIM(D245)),"ё","е")," -","-"),"- ","-")," 2 разряда","")," 3 разряда","")," 4 разряда","")," 5 разряда","")," 6 разряда","")," 1 категории","")," 2 категории","")," 3 категории","")))))</f>
        <v>оператор склада</v>
      </c>
      <c r="H245" s="12" t="n">
        <f aca="false">IFERROR(INDEX(Соответствие!$B$2:$B$76,MATCH(G245,Соответствие!$A$2:$A$76,0)),"?")</f>
        <v>16</v>
      </c>
      <c r="I245" s="9" t="str">
        <f aca="false">IFERROR(INDEX('Перечень должностей'!$C$2:$C$46,MATCH(H245,'Перечень должностей'!$A$2:$A$46,0)),"")</f>
        <v>п.4.3.1, п.4.3.2, п.4.4, п.5.1, п.6.2, п.18.1</v>
      </c>
      <c r="J245" s="12" t="n">
        <f aca="false">IFERROR(INDEX('Перечень должностей'!$D$2:$D$46,MATCH(H245,'Перечень должностей'!$A$2:$A$46,0)),12)</f>
        <v>12</v>
      </c>
      <c r="K245" s="17"/>
      <c r="L245" s="17"/>
      <c r="M245" s="16" t="str">
        <f aca="false">IF(K245="","",EDATE(IF(L245&lt;&gt;"",L245,K245),J245))</f>
        <v/>
      </c>
      <c r="N245" s="12" t="str">
        <f aca="false">IFERROR(INDEX('Перечень должностей'!$F$2:$F$46,MATCH(H245,'Перечень должностей'!$A$2:$A$46,0)),"")</f>
        <v>-</v>
      </c>
      <c r="O245" s="17"/>
      <c r="P245" s="16" t="str">
        <f aca="false">IF(O245="","",EDATE(O245,60))</f>
        <v/>
      </c>
      <c r="Q245" s="12" t="str">
        <f aca="false">IF(AND(K245&lt;&gt;"",F245&lt;&gt;"",K245&gt;F245),"ДА","")</f>
        <v/>
      </c>
      <c r="R245" s="9"/>
    </row>
    <row r="246" customFormat="false" ht="26.25" hidden="false" customHeight="true" outlineLevel="0" collapsed="false">
      <c r="A246" s="15" t="n">
        <v>245</v>
      </c>
      <c r="B246" s="12" t="s">
        <v>50</v>
      </c>
      <c r="C246" s="15" t="s">
        <v>701</v>
      </c>
      <c r="D246" s="15" t="s">
        <v>376</v>
      </c>
      <c r="E246" s="15" t="s">
        <v>702</v>
      </c>
      <c r="F246" s="16" t="n">
        <v>43024</v>
      </c>
      <c r="G246" s="5" t="str">
        <f aca="false">IF(TRIM(SUBSTITUTE(SUBSTITUTE(SUBSTITUTE(SUBSTITUTE(SUBSTITUTE(SUBSTITUTE(SUBSTITUTE(SUBSTITUTE(SUBSTITUTE(SUBSTITUTE(SUBSTITUTE(LOWER(TRIM(D246)),"ё","е"),"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категории",""))="инженер",IF(AND(ISNUMBER(SEARCH("техническ",E246)),ISNUMBER(SEARCH("контрол",E246))),"инженер отк",IF(ISNUMBER(SEARCH("диспетч",E246)),"инженер пдо",TRIM(SUBSTITUTE(SUBSTITUTE(SUBSTITUTE(SUBSTITUTE(SUBSTITUTE(SUBSTITUTE(SUBSTITUTE(SUBSTITUTE(SUBSTITUTE(SUBSTITUTE(SUBSTITUTE(LOWER(TRIM(D246)),"ё","е"),"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инженер",IF(ISNUMBER(SEARCH("диспетч",E246)),"ведущий инженер пдо",TRIM(SUBSTITUTE(SUBSTITUTE(SUBSTITUTE(SUBSTITUTE(SUBSTITUTE(SUBSTITUTE(SUBSTITUTE(SUBSTITUTE(SUBSTITUTE(SUBSTITUTE(SUBSTITUTE(LOWER(TRIM(D246)),"ё","е"),"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отк",TRIM(SUBSTITUTE(SUBSTITUTE(SUBSTITUTE(SUBSTITUTE(SUBSTITUTE(SUBSTITUTE(SUBSTITUTE(SUBSTITUTE(SUBSTITUTE(SUBSTITUTE(SUBSTITUTE(LOWER(TRIM(D246)),"ё","е")," -","-"),"- ","-")," 2 разряда","")," 3 разряда","")," 4 разряда","")," 5 разряда","")," 6 разряда","")," 1 категории","")," 2 категории","")," 3 категории","")))))</f>
        <v>водитель автомобиля-экспедитор</v>
      </c>
      <c r="H246" s="12" t="n">
        <f aca="false">IFERROR(INDEX(Соответствие!$B$2:$B$76,MATCH(G246,Соответствие!$A$2:$A$76,0)),"?")</f>
        <v>38</v>
      </c>
      <c r="I246" s="9" t="str">
        <f aca="false">IFERROR(INDEX('Перечень должностей'!$C$2:$C$46,MATCH(H246,'Перечень должностей'!$A$2:$A$46,0)),"")</f>
        <v>п.4.3.1, п.4.3.2, п.4.4, п.5.1, п.5.2, п.18</v>
      </c>
      <c r="J246" s="12" t="n">
        <f aca="false">IFERROR(INDEX('Перечень должностей'!$D$2:$D$46,MATCH(H246,'Перечень должностей'!$A$2:$A$46,0)),12)</f>
        <v>12</v>
      </c>
      <c r="K246" s="17"/>
      <c r="L246" s="17"/>
      <c r="M246" s="16" t="str">
        <f aca="false">IF(K246="","",EDATE(IF(L246&lt;&gt;"",L246,K246),J246))</f>
        <v/>
      </c>
      <c r="N246" s="12" t="str">
        <f aca="false">IFERROR(INDEX('Перечень должностей'!$F$2:$F$46,MATCH(H246,'Перечень должностей'!$A$2:$A$46,0)),"")</f>
        <v>Да</v>
      </c>
      <c r="O246" s="17"/>
      <c r="P246" s="16" t="str">
        <f aca="false">IF(O246="","",EDATE(O246,60))</f>
        <v/>
      </c>
      <c r="Q246" s="12" t="str">
        <f aca="false">IF(AND(K246&lt;&gt;"",F246&lt;&gt;"",K246&gt;F246),"ДА","")</f>
        <v/>
      </c>
      <c r="R246" s="9"/>
    </row>
    <row r="247" customFormat="false" ht="26.25" hidden="false" customHeight="true" outlineLevel="0" collapsed="false">
      <c r="A247" s="15" t="n">
        <v>246</v>
      </c>
      <c r="B247" s="12" t="s">
        <v>50</v>
      </c>
      <c r="C247" s="15" t="s">
        <v>703</v>
      </c>
      <c r="D247" s="15" t="s">
        <v>376</v>
      </c>
      <c r="E247" s="15" t="s">
        <v>702</v>
      </c>
      <c r="F247" s="16" t="n">
        <v>41219</v>
      </c>
      <c r="G247" s="5" t="str">
        <f aca="false">IF(TRIM(SUBSTITUTE(SUBSTITUTE(SUBSTITUTE(SUBSTITUTE(SUBSTITUTE(SUBSTITUTE(SUBSTITUTE(SUBSTITUTE(SUBSTITUTE(SUBSTITUTE(SUBSTITUTE(LOWER(TRIM(D247)),"ё","е"),"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категории",""))="инженер",IF(AND(ISNUMBER(SEARCH("техническ",E247)),ISNUMBER(SEARCH("контрол",E247))),"инженер отк",IF(ISNUMBER(SEARCH("диспетч",E247)),"инженер пдо",TRIM(SUBSTITUTE(SUBSTITUTE(SUBSTITUTE(SUBSTITUTE(SUBSTITUTE(SUBSTITUTE(SUBSTITUTE(SUBSTITUTE(SUBSTITUTE(SUBSTITUTE(SUBSTITUTE(LOWER(TRIM(D247)),"ё","е"),"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инженер",IF(ISNUMBER(SEARCH("диспетч",E247)),"ведущий инженер пдо",TRIM(SUBSTITUTE(SUBSTITUTE(SUBSTITUTE(SUBSTITUTE(SUBSTITUTE(SUBSTITUTE(SUBSTITUTE(SUBSTITUTE(SUBSTITUTE(SUBSTITUTE(SUBSTITUTE(LOWER(TRIM(D247)),"ё","е"),"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отк",TRIM(SUBSTITUTE(SUBSTITUTE(SUBSTITUTE(SUBSTITUTE(SUBSTITUTE(SUBSTITUTE(SUBSTITUTE(SUBSTITUTE(SUBSTITUTE(SUBSTITUTE(SUBSTITUTE(LOWER(TRIM(D247)),"ё","е")," -","-"),"- ","-")," 2 разряда","")," 3 разряда","")," 4 разряда","")," 5 разряда","")," 6 разряда","")," 1 категории","")," 2 категории","")," 3 категории","")))))</f>
        <v>водитель автомобиля-экспедитор</v>
      </c>
      <c r="H247" s="12" t="n">
        <f aca="false">IFERROR(INDEX(Соответствие!$B$2:$B$76,MATCH(G247,Соответствие!$A$2:$A$76,0)),"?")</f>
        <v>38</v>
      </c>
      <c r="I247" s="9" t="str">
        <f aca="false">IFERROR(INDEX('Перечень должностей'!$C$2:$C$46,MATCH(H247,'Перечень должностей'!$A$2:$A$46,0)),"")</f>
        <v>п.4.3.1, п.4.3.2, п.4.4, п.5.1, п.5.2, п.18</v>
      </c>
      <c r="J247" s="12" t="n">
        <f aca="false">IFERROR(INDEX('Перечень должностей'!$D$2:$D$46,MATCH(H247,'Перечень должностей'!$A$2:$A$46,0)),12)</f>
        <v>12</v>
      </c>
      <c r="K247" s="17"/>
      <c r="L247" s="17"/>
      <c r="M247" s="16" t="str">
        <f aca="false">IF(K247="","",EDATE(IF(L247&lt;&gt;"",L247,K247),J247))</f>
        <v/>
      </c>
      <c r="N247" s="12" t="str">
        <f aca="false">IFERROR(INDEX('Перечень должностей'!$F$2:$F$46,MATCH(H247,'Перечень должностей'!$A$2:$A$46,0)),"")</f>
        <v>Да</v>
      </c>
      <c r="O247" s="17"/>
      <c r="P247" s="16" t="str">
        <f aca="false">IF(O247="","",EDATE(O247,60))</f>
        <v/>
      </c>
      <c r="Q247" s="12" t="str">
        <f aca="false">IF(AND(K247&lt;&gt;"",F247&lt;&gt;"",K247&gt;F247),"ДА","")</f>
        <v/>
      </c>
      <c r="R247" s="9"/>
    </row>
    <row r="248" customFormat="false" ht="26.25" hidden="false" customHeight="true" outlineLevel="0" collapsed="false">
      <c r="A248" s="15" t="n">
        <v>247</v>
      </c>
      <c r="B248" s="12" t="s">
        <v>50</v>
      </c>
      <c r="C248" s="15" t="s">
        <v>704</v>
      </c>
      <c r="D248" s="15" t="s">
        <v>376</v>
      </c>
      <c r="E248" s="15" t="s">
        <v>702</v>
      </c>
      <c r="F248" s="16" t="n">
        <v>43557</v>
      </c>
      <c r="G248" s="5" t="str">
        <f aca="false">IF(TRIM(SUBSTITUTE(SUBSTITUTE(SUBSTITUTE(SUBSTITUTE(SUBSTITUTE(SUBSTITUTE(SUBSTITUTE(SUBSTITUTE(SUBSTITUTE(SUBSTITUTE(SUBSTITUTE(LOWER(TRIM(D248)),"ё","е"),"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категории",""))="инженер",IF(AND(ISNUMBER(SEARCH("техническ",E248)),ISNUMBER(SEARCH("контрол",E248))),"инженер отк",IF(ISNUMBER(SEARCH("диспетч",E248)),"инженер пдо",TRIM(SUBSTITUTE(SUBSTITUTE(SUBSTITUTE(SUBSTITUTE(SUBSTITUTE(SUBSTITUTE(SUBSTITUTE(SUBSTITUTE(SUBSTITUTE(SUBSTITUTE(SUBSTITUTE(LOWER(TRIM(D248)),"ё","е"),"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инженер",IF(ISNUMBER(SEARCH("диспетч",E248)),"ведущий инженер пдо",TRIM(SUBSTITUTE(SUBSTITUTE(SUBSTITUTE(SUBSTITUTE(SUBSTITUTE(SUBSTITUTE(SUBSTITUTE(SUBSTITUTE(SUBSTITUTE(SUBSTITUTE(SUBSTITUTE(LOWER(TRIM(D248)),"ё","е"),"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отк",TRIM(SUBSTITUTE(SUBSTITUTE(SUBSTITUTE(SUBSTITUTE(SUBSTITUTE(SUBSTITUTE(SUBSTITUTE(SUBSTITUTE(SUBSTITUTE(SUBSTITUTE(SUBSTITUTE(LOWER(TRIM(D248)),"ё","е")," -","-"),"- ","-")," 2 разряда","")," 3 разряда","")," 4 разряда","")," 5 разряда","")," 6 разряда","")," 1 категории","")," 2 категории","")," 3 категории","")))))</f>
        <v>водитель автомобиля-экспедитор</v>
      </c>
      <c r="H248" s="12" t="n">
        <f aca="false">IFERROR(INDEX(Соответствие!$B$2:$B$76,MATCH(G248,Соответствие!$A$2:$A$76,0)),"?")</f>
        <v>38</v>
      </c>
      <c r="I248" s="9" t="str">
        <f aca="false">IFERROR(INDEX('Перечень должностей'!$C$2:$C$46,MATCH(H248,'Перечень должностей'!$A$2:$A$46,0)),"")</f>
        <v>п.4.3.1, п.4.3.2, п.4.4, п.5.1, п.5.2, п.18</v>
      </c>
      <c r="J248" s="12" t="n">
        <f aca="false">IFERROR(INDEX('Перечень должностей'!$D$2:$D$46,MATCH(H248,'Перечень должностей'!$A$2:$A$46,0)),12)</f>
        <v>12</v>
      </c>
      <c r="K248" s="17"/>
      <c r="L248" s="17"/>
      <c r="M248" s="16" t="str">
        <f aca="false">IF(K248="","",EDATE(IF(L248&lt;&gt;"",L248,K248),J248))</f>
        <v/>
      </c>
      <c r="N248" s="12" t="str">
        <f aca="false">IFERROR(INDEX('Перечень должностей'!$F$2:$F$46,MATCH(H248,'Перечень должностей'!$A$2:$A$46,0)),"")</f>
        <v>Да</v>
      </c>
      <c r="O248" s="17"/>
      <c r="P248" s="16" t="str">
        <f aca="false">IF(O248="","",EDATE(O248,60))</f>
        <v/>
      </c>
      <c r="Q248" s="12" t="str">
        <f aca="false">IF(AND(K248&lt;&gt;"",F248&lt;&gt;"",K248&gt;F248),"ДА","")</f>
        <v/>
      </c>
      <c r="R248" s="9"/>
    </row>
    <row r="249" customFormat="false" ht="26.25" hidden="false" customHeight="true" outlineLevel="0" collapsed="false">
      <c r="A249" s="15" t="n">
        <v>248</v>
      </c>
      <c r="B249" s="12" t="s">
        <v>50</v>
      </c>
      <c r="C249" s="15" t="s">
        <v>705</v>
      </c>
      <c r="D249" s="15" t="s">
        <v>376</v>
      </c>
      <c r="E249" s="15" t="s">
        <v>702</v>
      </c>
      <c r="F249" s="16" t="n">
        <v>41183</v>
      </c>
      <c r="G249" s="5" t="str">
        <f aca="false">IF(TRIM(SUBSTITUTE(SUBSTITUTE(SUBSTITUTE(SUBSTITUTE(SUBSTITUTE(SUBSTITUTE(SUBSTITUTE(SUBSTITUTE(SUBSTITUTE(SUBSTITUTE(SUBSTITUTE(LOWER(TRIM(D249)),"ё","е"),"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категории",""))="инженер",IF(AND(ISNUMBER(SEARCH("техническ",E249)),ISNUMBER(SEARCH("контрол",E249))),"инженер отк",IF(ISNUMBER(SEARCH("диспетч",E249)),"инженер пдо",TRIM(SUBSTITUTE(SUBSTITUTE(SUBSTITUTE(SUBSTITUTE(SUBSTITUTE(SUBSTITUTE(SUBSTITUTE(SUBSTITUTE(SUBSTITUTE(SUBSTITUTE(SUBSTITUTE(LOWER(TRIM(D249)),"ё","е"),"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инженер",IF(ISNUMBER(SEARCH("диспетч",E249)),"ведущий инженер пдо",TRIM(SUBSTITUTE(SUBSTITUTE(SUBSTITUTE(SUBSTITUTE(SUBSTITUTE(SUBSTITUTE(SUBSTITUTE(SUBSTITUTE(SUBSTITUTE(SUBSTITUTE(SUBSTITUTE(LOWER(TRIM(D249)),"ё","е"),"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отк",TRIM(SUBSTITUTE(SUBSTITUTE(SUBSTITUTE(SUBSTITUTE(SUBSTITUTE(SUBSTITUTE(SUBSTITUTE(SUBSTITUTE(SUBSTITUTE(SUBSTITUTE(SUBSTITUTE(LOWER(TRIM(D249)),"ё","е")," -","-"),"- ","-")," 2 разряда","")," 3 разряда","")," 4 разряда","")," 5 разряда","")," 6 разряда","")," 1 категории","")," 2 категории","")," 3 категории","")))))</f>
        <v>водитель автомобиля-экспедитор</v>
      </c>
      <c r="H249" s="12" t="n">
        <f aca="false">IFERROR(INDEX(Соответствие!$B$2:$B$76,MATCH(G249,Соответствие!$A$2:$A$76,0)),"?")</f>
        <v>38</v>
      </c>
      <c r="I249" s="9" t="str">
        <f aca="false">IFERROR(INDEX('Перечень должностей'!$C$2:$C$46,MATCH(H249,'Перечень должностей'!$A$2:$A$46,0)),"")</f>
        <v>п.4.3.1, п.4.3.2, п.4.4, п.5.1, п.5.2, п.18</v>
      </c>
      <c r="J249" s="12" t="n">
        <f aca="false">IFERROR(INDEX('Перечень должностей'!$D$2:$D$46,MATCH(H249,'Перечень должностей'!$A$2:$A$46,0)),12)</f>
        <v>12</v>
      </c>
      <c r="K249" s="17"/>
      <c r="L249" s="17"/>
      <c r="M249" s="16" t="str">
        <f aca="false">IF(K249="","",EDATE(IF(L249&lt;&gt;"",L249,K249),J249))</f>
        <v/>
      </c>
      <c r="N249" s="12" t="str">
        <f aca="false">IFERROR(INDEX('Перечень должностей'!$F$2:$F$46,MATCH(H249,'Перечень должностей'!$A$2:$A$46,0)),"")</f>
        <v>Да</v>
      </c>
      <c r="O249" s="17"/>
      <c r="P249" s="16" t="str">
        <f aca="false">IF(O249="","",EDATE(O249,60))</f>
        <v/>
      </c>
      <c r="Q249" s="12" t="str">
        <f aca="false">IF(AND(K249&lt;&gt;"",F249&lt;&gt;"",K249&gt;F249),"ДА","")</f>
        <v/>
      </c>
      <c r="R249" s="9"/>
    </row>
    <row r="250" customFormat="false" ht="26.25" hidden="false" customHeight="true" outlineLevel="0" collapsed="false">
      <c r="A250" s="15" t="n">
        <v>249</v>
      </c>
      <c r="B250" s="12" t="s">
        <v>50</v>
      </c>
      <c r="C250" s="15" t="s">
        <v>706</v>
      </c>
      <c r="D250" s="15" t="s">
        <v>376</v>
      </c>
      <c r="E250" s="15" t="s">
        <v>702</v>
      </c>
      <c r="F250" s="16" t="n">
        <v>40035</v>
      </c>
      <c r="G250" s="5" t="str">
        <f aca="false">IF(TRIM(SUBSTITUTE(SUBSTITUTE(SUBSTITUTE(SUBSTITUTE(SUBSTITUTE(SUBSTITUTE(SUBSTITUTE(SUBSTITUTE(SUBSTITUTE(SUBSTITUTE(SUBSTITUTE(LOWER(TRIM(D250)),"ё","е"),"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категории",""))="инженер",IF(AND(ISNUMBER(SEARCH("техническ",E250)),ISNUMBER(SEARCH("контрол",E250))),"инженер отк",IF(ISNUMBER(SEARCH("диспетч",E250)),"инженер пдо",TRIM(SUBSTITUTE(SUBSTITUTE(SUBSTITUTE(SUBSTITUTE(SUBSTITUTE(SUBSTITUTE(SUBSTITUTE(SUBSTITUTE(SUBSTITUTE(SUBSTITUTE(SUBSTITUTE(LOWER(TRIM(D250)),"ё","е"),"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инженер",IF(ISNUMBER(SEARCH("диспетч",E250)),"ведущий инженер пдо",TRIM(SUBSTITUTE(SUBSTITUTE(SUBSTITUTE(SUBSTITUTE(SUBSTITUTE(SUBSTITUTE(SUBSTITUTE(SUBSTITUTE(SUBSTITUTE(SUBSTITUTE(SUBSTITUTE(LOWER(TRIM(D250)),"ё","е"),"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отк",TRIM(SUBSTITUTE(SUBSTITUTE(SUBSTITUTE(SUBSTITUTE(SUBSTITUTE(SUBSTITUTE(SUBSTITUTE(SUBSTITUTE(SUBSTITUTE(SUBSTITUTE(SUBSTITUTE(LOWER(TRIM(D250)),"ё","е")," -","-"),"- ","-")," 2 разряда","")," 3 разряда","")," 4 разряда","")," 5 разряда","")," 6 разряда","")," 1 категории","")," 2 категории","")," 3 категории","")))))</f>
        <v>водитель автомобиля-экспедитор</v>
      </c>
      <c r="H250" s="12" t="n">
        <f aca="false">IFERROR(INDEX(Соответствие!$B$2:$B$76,MATCH(G250,Соответствие!$A$2:$A$76,0)),"?")</f>
        <v>38</v>
      </c>
      <c r="I250" s="9" t="str">
        <f aca="false">IFERROR(INDEX('Перечень должностей'!$C$2:$C$46,MATCH(H250,'Перечень должностей'!$A$2:$A$46,0)),"")</f>
        <v>п.4.3.1, п.4.3.2, п.4.4, п.5.1, п.5.2, п.18</v>
      </c>
      <c r="J250" s="12" t="n">
        <f aca="false">IFERROR(INDEX('Перечень должностей'!$D$2:$D$46,MATCH(H250,'Перечень должностей'!$A$2:$A$46,0)),12)</f>
        <v>12</v>
      </c>
      <c r="K250" s="17"/>
      <c r="L250" s="17"/>
      <c r="M250" s="16" t="str">
        <f aca="false">IF(K250="","",EDATE(IF(L250&lt;&gt;"",L250,K250),J250))</f>
        <v/>
      </c>
      <c r="N250" s="12" t="str">
        <f aca="false">IFERROR(INDEX('Перечень должностей'!$F$2:$F$46,MATCH(H250,'Перечень должностей'!$A$2:$A$46,0)),"")</f>
        <v>Да</v>
      </c>
      <c r="O250" s="17"/>
      <c r="P250" s="16" t="str">
        <f aca="false">IF(O250="","",EDATE(O250,60))</f>
        <v/>
      </c>
      <c r="Q250" s="12" t="str">
        <f aca="false">IF(AND(K250&lt;&gt;"",F250&lt;&gt;"",K250&gt;F250),"ДА","")</f>
        <v/>
      </c>
      <c r="R250" s="9"/>
    </row>
    <row r="251" customFormat="false" ht="26.25" hidden="false" customHeight="true" outlineLevel="0" collapsed="false">
      <c r="A251" s="15" t="n">
        <v>250</v>
      </c>
      <c r="B251" s="12" t="s">
        <v>50</v>
      </c>
      <c r="C251" s="15" t="s">
        <v>707</v>
      </c>
      <c r="D251" s="15" t="s">
        <v>376</v>
      </c>
      <c r="E251" s="15" t="s">
        <v>702</v>
      </c>
      <c r="F251" s="16" t="n">
        <v>44879</v>
      </c>
      <c r="G251" s="5" t="str">
        <f aca="false">IF(TRIM(SUBSTITUTE(SUBSTITUTE(SUBSTITUTE(SUBSTITUTE(SUBSTITUTE(SUBSTITUTE(SUBSTITUTE(SUBSTITUTE(SUBSTITUTE(SUBSTITUTE(SUBSTITUTE(LOWER(TRIM(D251)),"ё","е"),"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категории",""))="инженер",IF(AND(ISNUMBER(SEARCH("техническ",E251)),ISNUMBER(SEARCH("контрол",E251))),"инженер отк",IF(ISNUMBER(SEARCH("диспетч",E251)),"инженер пдо",TRIM(SUBSTITUTE(SUBSTITUTE(SUBSTITUTE(SUBSTITUTE(SUBSTITUTE(SUBSTITUTE(SUBSTITUTE(SUBSTITUTE(SUBSTITUTE(SUBSTITUTE(SUBSTITUTE(LOWER(TRIM(D251)),"ё","е"),"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инженер",IF(ISNUMBER(SEARCH("диспетч",E251)),"ведущий инженер пдо",TRIM(SUBSTITUTE(SUBSTITUTE(SUBSTITUTE(SUBSTITUTE(SUBSTITUTE(SUBSTITUTE(SUBSTITUTE(SUBSTITUTE(SUBSTITUTE(SUBSTITUTE(SUBSTITUTE(LOWER(TRIM(D251)),"ё","е"),"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отк",TRIM(SUBSTITUTE(SUBSTITUTE(SUBSTITUTE(SUBSTITUTE(SUBSTITUTE(SUBSTITUTE(SUBSTITUTE(SUBSTITUTE(SUBSTITUTE(SUBSTITUTE(SUBSTITUTE(LOWER(TRIM(D251)),"ё","е")," -","-"),"- ","-")," 2 разряда","")," 3 разряда","")," 4 разряда","")," 5 разряда","")," 6 разряда","")," 1 категории","")," 2 категории","")," 3 категории","")))))</f>
        <v>водитель автомобиля-экспедитор</v>
      </c>
      <c r="H251" s="12" t="n">
        <f aca="false">IFERROR(INDEX(Соответствие!$B$2:$B$76,MATCH(G251,Соответствие!$A$2:$A$76,0)),"?")</f>
        <v>38</v>
      </c>
      <c r="I251" s="9" t="str">
        <f aca="false">IFERROR(INDEX('Перечень должностей'!$C$2:$C$46,MATCH(H251,'Перечень должностей'!$A$2:$A$46,0)),"")</f>
        <v>п.4.3.1, п.4.3.2, п.4.4, п.5.1, п.5.2, п.18</v>
      </c>
      <c r="J251" s="12" t="n">
        <f aca="false">IFERROR(INDEX('Перечень должностей'!$D$2:$D$46,MATCH(H251,'Перечень должностей'!$A$2:$A$46,0)),12)</f>
        <v>12</v>
      </c>
      <c r="K251" s="17"/>
      <c r="L251" s="17"/>
      <c r="M251" s="16" t="str">
        <f aca="false">IF(K251="","",EDATE(IF(L251&lt;&gt;"",L251,K251),J251))</f>
        <v/>
      </c>
      <c r="N251" s="12" t="str">
        <f aca="false">IFERROR(INDEX('Перечень должностей'!$F$2:$F$46,MATCH(H251,'Перечень должностей'!$A$2:$A$46,0)),"")</f>
        <v>Да</v>
      </c>
      <c r="O251" s="17"/>
      <c r="P251" s="16" t="str">
        <f aca="false">IF(O251="","",EDATE(O251,60))</f>
        <v/>
      </c>
      <c r="Q251" s="12" t="str">
        <f aca="false">IF(AND(K251&lt;&gt;"",F251&lt;&gt;"",K251&gt;F251),"ДА","")</f>
        <v/>
      </c>
      <c r="R251" s="9"/>
    </row>
    <row r="252" customFormat="false" ht="26.25" hidden="false" customHeight="true" outlineLevel="0" collapsed="false">
      <c r="A252" s="15" t="n">
        <v>251</v>
      </c>
      <c r="B252" s="12" t="s">
        <v>50</v>
      </c>
      <c r="C252" s="15" t="s">
        <v>708</v>
      </c>
      <c r="D252" s="15" t="s">
        <v>376</v>
      </c>
      <c r="E252" s="15" t="s">
        <v>702</v>
      </c>
      <c r="F252" s="16" t="n">
        <v>41375</v>
      </c>
      <c r="G252" s="5" t="str">
        <f aca="false">IF(TRIM(SUBSTITUTE(SUBSTITUTE(SUBSTITUTE(SUBSTITUTE(SUBSTITUTE(SUBSTITUTE(SUBSTITUTE(SUBSTITUTE(SUBSTITUTE(SUBSTITUTE(SUBSTITUTE(LOWER(TRIM(D252)),"ё","е"),"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категории",""))="инженер",IF(AND(ISNUMBER(SEARCH("техническ",E252)),ISNUMBER(SEARCH("контрол",E252))),"инженер отк",IF(ISNUMBER(SEARCH("диспетч",E252)),"инженер пдо",TRIM(SUBSTITUTE(SUBSTITUTE(SUBSTITUTE(SUBSTITUTE(SUBSTITUTE(SUBSTITUTE(SUBSTITUTE(SUBSTITUTE(SUBSTITUTE(SUBSTITUTE(SUBSTITUTE(LOWER(TRIM(D252)),"ё","е"),"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инженер",IF(ISNUMBER(SEARCH("диспетч",E252)),"ведущий инженер пдо",TRIM(SUBSTITUTE(SUBSTITUTE(SUBSTITUTE(SUBSTITUTE(SUBSTITUTE(SUBSTITUTE(SUBSTITUTE(SUBSTITUTE(SUBSTITUTE(SUBSTITUTE(SUBSTITUTE(LOWER(TRIM(D252)),"ё","е"),"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отк",TRIM(SUBSTITUTE(SUBSTITUTE(SUBSTITUTE(SUBSTITUTE(SUBSTITUTE(SUBSTITUTE(SUBSTITUTE(SUBSTITUTE(SUBSTITUTE(SUBSTITUTE(SUBSTITUTE(LOWER(TRIM(D252)),"ё","е")," -","-"),"- ","-")," 2 разряда","")," 3 разряда","")," 4 разряда","")," 5 разряда","")," 6 разряда","")," 1 категории","")," 2 категории","")," 3 категории","")))))</f>
        <v>водитель автомобиля-экспедитор</v>
      </c>
      <c r="H252" s="12" t="n">
        <f aca="false">IFERROR(INDEX(Соответствие!$B$2:$B$76,MATCH(G252,Соответствие!$A$2:$A$76,0)),"?")</f>
        <v>38</v>
      </c>
      <c r="I252" s="9" t="str">
        <f aca="false">IFERROR(INDEX('Перечень должностей'!$C$2:$C$46,MATCH(H252,'Перечень должностей'!$A$2:$A$46,0)),"")</f>
        <v>п.4.3.1, п.4.3.2, п.4.4, п.5.1, п.5.2, п.18</v>
      </c>
      <c r="J252" s="12" t="n">
        <f aca="false">IFERROR(INDEX('Перечень должностей'!$D$2:$D$46,MATCH(H252,'Перечень должностей'!$A$2:$A$46,0)),12)</f>
        <v>12</v>
      </c>
      <c r="K252" s="17"/>
      <c r="L252" s="17"/>
      <c r="M252" s="16" t="str">
        <f aca="false">IF(K252="","",EDATE(IF(L252&lt;&gt;"",L252,K252),J252))</f>
        <v/>
      </c>
      <c r="N252" s="12" t="str">
        <f aca="false">IFERROR(INDEX('Перечень должностей'!$F$2:$F$46,MATCH(H252,'Перечень должностей'!$A$2:$A$46,0)),"")</f>
        <v>Да</v>
      </c>
      <c r="O252" s="17"/>
      <c r="P252" s="16" t="str">
        <f aca="false">IF(O252="","",EDATE(O252,60))</f>
        <v/>
      </c>
      <c r="Q252" s="12" t="str">
        <f aca="false">IF(AND(K252&lt;&gt;"",F252&lt;&gt;"",K252&gt;F252),"ДА","")</f>
        <v/>
      </c>
      <c r="R252" s="9"/>
    </row>
    <row r="253" customFormat="false" ht="26.25" hidden="false" customHeight="true" outlineLevel="0" collapsed="false">
      <c r="A253" s="15" t="n">
        <v>252</v>
      </c>
      <c r="B253" s="12" t="s">
        <v>50</v>
      </c>
      <c r="C253" s="15" t="s">
        <v>709</v>
      </c>
      <c r="D253" s="15" t="s">
        <v>376</v>
      </c>
      <c r="E253" s="15" t="s">
        <v>702</v>
      </c>
      <c r="F253" s="16" t="n">
        <v>43557</v>
      </c>
      <c r="G253" s="5" t="str">
        <f aca="false">IF(TRIM(SUBSTITUTE(SUBSTITUTE(SUBSTITUTE(SUBSTITUTE(SUBSTITUTE(SUBSTITUTE(SUBSTITUTE(SUBSTITUTE(SUBSTITUTE(SUBSTITUTE(SUBSTITUTE(LOWER(TRIM(D253)),"ё","е"),"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категории",""))="инженер",IF(AND(ISNUMBER(SEARCH("техническ",E253)),ISNUMBER(SEARCH("контрол",E253))),"инженер отк",IF(ISNUMBER(SEARCH("диспетч",E253)),"инженер пдо",TRIM(SUBSTITUTE(SUBSTITUTE(SUBSTITUTE(SUBSTITUTE(SUBSTITUTE(SUBSTITUTE(SUBSTITUTE(SUBSTITUTE(SUBSTITUTE(SUBSTITUTE(SUBSTITUTE(LOWER(TRIM(D253)),"ё","е"),"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инженер",IF(ISNUMBER(SEARCH("диспетч",E253)),"ведущий инженер пдо",TRIM(SUBSTITUTE(SUBSTITUTE(SUBSTITUTE(SUBSTITUTE(SUBSTITUTE(SUBSTITUTE(SUBSTITUTE(SUBSTITUTE(SUBSTITUTE(SUBSTITUTE(SUBSTITUTE(LOWER(TRIM(D253)),"ё","е"),"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отк",TRIM(SUBSTITUTE(SUBSTITUTE(SUBSTITUTE(SUBSTITUTE(SUBSTITUTE(SUBSTITUTE(SUBSTITUTE(SUBSTITUTE(SUBSTITUTE(SUBSTITUTE(SUBSTITUTE(LOWER(TRIM(D253)),"ё","е")," -","-"),"- ","-")," 2 разряда","")," 3 разряда","")," 4 разряда","")," 5 разряда","")," 6 разряда","")," 1 категории","")," 2 категории","")," 3 категории","")))))</f>
        <v>водитель автомобиля-экспедитор</v>
      </c>
      <c r="H253" s="12" t="n">
        <f aca="false">IFERROR(INDEX(Соответствие!$B$2:$B$76,MATCH(G253,Соответствие!$A$2:$A$76,0)),"?")</f>
        <v>38</v>
      </c>
      <c r="I253" s="9" t="str">
        <f aca="false">IFERROR(INDEX('Перечень должностей'!$C$2:$C$46,MATCH(H253,'Перечень должностей'!$A$2:$A$46,0)),"")</f>
        <v>п.4.3.1, п.4.3.2, п.4.4, п.5.1, п.5.2, п.18</v>
      </c>
      <c r="J253" s="12" t="n">
        <f aca="false">IFERROR(INDEX('Перечень должностей'!$D$2:$D$46,MATCH(H253,'Перечень должностей'!$A$2:$A$46,0)),12)</f>
        <v>12</v>
      </c>
      <c r="K253" s="17"/>
      <c r="L253" s="17"/>
      <c r="M253" s="16" t="str">
        <f aca="false">IF(K253="","",EDATE(IF(L253&lt;&gt;"",L253,K253),J253))</f>
        <v/>
      </c>
      <c r="N253" s="12" t="str">
        <f aca="false">IFERROR(INDEX('Перечень должностей'!$F$2:$F$46,MATCH(H253,'Перечень должностей'!$A$2:$A$46,0)),"")</f>
        <v>Да</v>
      </c>
      <c r="O253" s="17"/>
      <c r="P253" s="16" t="str">
        <f aca="false">IF(O253="","",EDATE(O253,60))</f>
        <v/>
      </c>
      <c r="Q253" s="12" t="str">
        <f aca="false">IF(AND(K253&lt;&gt;"",F253&lt;&gt;"",K253&gt;F253),"ДА","")</f>
        <v/>
      </c>
      <c r="R253" s="9"/>
    </row>
    <row r="254" customFormat="false" ht="26.25" hidden="false" customHeight="true" outlineLevel="0" collapsed="false">
      <c r="A254" s="15" t="n">
        <v>253</v>
      </c>
      <c r="B254" s="12" t="s">
        <v>50</v>
      </c>
      <c r="C254" s="15" t="s">
        <v>710</v>
      </c>
      <c r="D254" s="15" t="s">
        <v>376</v>
      </c>
      <c r="E254" s="15" t="s">
        <v>702</v>
      </c>
      <c r="F254" s="16" t="n">
        <v>39875</v>
      </c>
      <c r="G254" s="5" t="str">
        <f aca="false">IF(TRIM(SUBSTITUTE(SUBSTITUTE(SUBSTITUTE(SUBSTITUTE(SUBSTITUTE(SUBSTITUTE(SUBSTITUTE(SUBSTITUTE(SUBSTITUTE(SUBSTITUTE(SUBSTITUTE(LOWER(TRIM(D254)),"ё","е"),"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категории",""))="инженер",IF(AND(ISNUMBER(SEARCH("техническ",E254)),ISNUMBER(SEARCH("контрол",E254))),"инженер отк",IF(ISNUMBER(SEARCH("диспетч",E254)),"инженер пдо",TRIM(SUBSTITUTE(SUBSTITUTE(SUBSTITUTE(SUBSTITUTE(SUBSTITUTE(SUBSTITUTE(SUBSTITUTE(SUBSTITUTE(SUBSTITUTE(SUBSTITUTE(SUBSTITUTE(LOWER(TRIM(D254)),"ё","е"),"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инженер",IF(ISNUMBER(SEARCH("диспетч",E254)),"ведущий инженер пдо",TRIM(SUBSTITUTE(SUBSTITUTE(SUBSTITUTE(SUBSTITUTE(SUBSTITUTE(SUBSTITUTE(SUBSTITUTE(SUBSTITUTE(SUBSTITUTE(SUBSTITUTE(SUBSTITUTE(LOWER(TRIM(D254)),"ё","е"),"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отк",TRIM(SUBSTITUTE(SUBSTITUTE(SUBSTITUTE(SUBSTITUTE(SUBSTITUTE(SUBSTITUTE(SUBSTITUTE(SUBSTITUTE(SUBSTITUTE(SUBSTITUTE(SUBSTITUTE(LOWER(TRIM(D254)),"ё","е")," -","-"),"- ","-")," 2 разряда","")," 3 разряда","")," 4 разряда","")," 5 разряда","")," 6 разряда","")," 1 категории","")," 2 категории","")," 3 категории","")))))</f>
        <v>водитель автомобиля-экспедитор</v>
      </c>
      <c r="H254" s="12" t="n">
        <f aca="false">IFERROR(INDEX(Соответствие!$B$2:$B$76,MATCH(G254,Соответствие!$A$2:$A$76,0)),"?")</f>
        <v>38</v>
      </c>
      <c r="I254" s="9" t="str">
        <f aca="false">IFERROR(INDEX('Перечень должностей'!$C$2:$C$46,MATCH(H254,'Перечень должностей'!$A$2:$A$46,0)),"")</f>
        <v>п.4.3.1, п.4.3.2, п.4.4, п.5.1, п.5.2, п.18</v>
      </c>
      <c r="J254" s="12" t="n">
        <f aca="false">IFERROR(INDEX('Перечень должностей'!$D$2:$D$46,MATCH(H254,'Перечень должностей'!$A$2:$A$46,0)),12)</f>
        <v>12</v>
      </c>
      <c r="K254" s="17"/>
      <c r="L254" s="17"/>
      <c r="M254" s="16" t="str">
        <f aca="false">IF(K254="","",EDATE(IF(L254&lt;&gt;"",L254,K254),J254))</f>
        <v/>
      </c>
      <c r="N254" s="12" t="str">
        <f aca="false">IFERROR(INDEX('Перечень должностей'!$F$2:$F$46,MATCH(H254,'Перечень должностей'!$A$2:$A$46,0)),"")</f>
        <v>Да</v>
      </c>
      <c r="O254" s="17"/>
      <c r="P254" s="16" t="str">
        <f aca="false">IF(O254="","",EDATE(O254,60))</f>
        <v/>
      </c>
      <c r="Q254" s="12" t="str">
        <f aca="false">IF(AND(K254&lt;&gt;"",F254&lt;&gt;"",K254&gt;F254),"ДА","")</f>
        <v/>
      </c>
      <c r="R254" s="9"/>
    </row>
    <row r="255" customFormat="false" ht="26.25" hidden="false" customHeight="true" outlineLevel="0" collapsed="false">
      <c r="A255" s="15" t="n">
        <v>254</v>
      </c>
      <c r="B255" s="12" t="s">
        <v>411</v>
      </c>
      <c r="C255" s="15" t="s">
        <v>711</v>
      </c>
      <c r="D255" s="15" t="s">
        <v>465</v>
      </c>
      <c r="E255" s="15" t="s">
        <v>712</v>
      </c>
      <c r="F255" s="16" t="n">
        <v>45722</v>
      </c>
      <c r="G255" s="5" t="str">
        <f aca="false">IF(TRIM(SUBSTITUTE(SUBSTITUTE(SUBSTITUTE(SUBSTITUTE(SUBSTITUTE(SUBSTITUTE(SUBSTITUTE(SUBSTITUTE(SUBSTITUTE(SUBSTITUTE(SUBSTITUTE(LOWER(TRIM(D255)),"ё","е"),"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категории",""))="инженер",IF(AND(ISNUMBER(SEARCH("техническ",E255)),ISNUMBER(SEARCH("контрол",E255))),"инженер отк",IF(ISNUMBER(SEARCH("диспетч",E255)),"инженер пдо",TRIM(SUBSTITUTE(SUBSTITUTE(SUBSTITUTE(SUBSTITUTE(SUBSTITUTE(SUBSTITUTE(SUBSTITUTE(SUBSTITUTE(SUBSTITUTE(SUBSTITUTE(SUBSTITUTE(LOWER(TRIM(D255)),"ё","е"),"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инженер",IF(ISNUMBER(SEARCH("диспетч",E255)),"ведущий инженер пдо",TRIM(SUBSTITUTE(SUBSTITUTE(SUBSTITUTE(SUBSTITUTE(SUBSTITUTE(SUBSTITUTE(SUBSTITUTE(SUBSTITUTE(SUBSTITUTE(SUBSTITUTE(SUBSTITUTE(LOWER(TRIM(D255)),"ё","е"),"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отк",TRIM(SUBSTITUTE(SUBSTITUTE(SUBSTITUTE(SUBSTITUTE(SUBSTITUTE(SUBSTITUTE(SUBSTITUTE(SUBSTITUTE(SUBSTITUTE(SUBSTITUTE(SUBSTITUTE(LOWER(TRIM(D255)),"ё","е"),"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55" s="12" t="n">
        <f aca="false">IFERROR(INDEX(Соответствие!$B$2:$B$76,MATCH(G255,Соответствие!$A$2:$A$76,0)),"?")</f>
        <v>19</v>
      </c>
      <c r="I255" s="9" t="str">
        <f aca="false">IFERROR(INDEX('Перечень должностей'!$C$2:$C$46,MATCH(H255,'Перечень должностей'!$A$2:$A$46,0)),"")</f>
        <v>п.4.3.1, п.4.3.2, п.4.4, п.5.1, п.6.2, п.15</v>
      </c>
      <c r="J255" s="12" t="n">
        <f aca="false">IFERROR(INDEX('Перечень должностей'!$D$2:$D$46,MATCH(H255,'Перечень должностей'!$A$2:$A$46,0)),12)</f>
        <v>12</v>
      </c>
      <c r="K255" s="17" t="n">
        <v>45721</v>
      </c>
      <c r="L255" s="17"/>
      <c r="M255" s="16" t="n">
        <f aca="false">IF(K255="","",EDATE(IF(L255&lt;&gt;"",L255,K255),J255))</f>
        <v>46086</v>
      </c>
      <c r="N255" s="12" t="str">
        <f aca="false">IFERROR(INDEX('Перечень должностей'!$F$2:$F$46,MATCH(H255,'Перечень должностей'!$A$2:$A$46,0)),"")</f>
        <v>-</v>
      </c>
      <c r="O255" s="17"/>
      <c r="P255" s="16" t="str">
        <f aca="false">IF(O255="","",EDATE(O255,60))</f>
        <v/>
      </c>
      <c r="Q255" s="12" t="str">
        <f aca="false">IF(AND(K255&lt;&gt;"",F255&lt;&gt;"",K255&gt;F255),"ДА","")</f>
        <v/>
      </c>
      <c r="R255" s="9"/>
    </row>
    <row r="256" customFormat="false" ht="26.25" hidden="false" customHeight="true" outlineLevel="0" collapsed="false">
      <c r="A256" s="15" t="n">
        <v>255</v>
      </c>
      <c r="B256" s="12" t="s">
        <v>411</v>
      </c>
      <c r="C256" s="15" t="s">
        <v>713</v>
      </c>
      <c r="D256" s="15" t="s">
        <v>465</v>
      </c>
      <c r="E256" s="15" t="s">
        <v>712</v>
      </c>
      <c r="F256" s="16" t="n">
        <v>45797</v>
      </c>
      <c r="G256" s="5" t="str">
        <f aca="false">IF(TRIM(SUBSTITUTE(SUBSTITUTE(SUBSTITUTE(SUBSTITUTE(SUBSTITUTE(SUBSTITUTE(SUBSTITUTE(SUBSTITUTE(SUBSTITUTE(SUBSTITUTE(SUBSTITUTE(LOWER(TRIM(D256)),"ё","е"),"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категории",""))="инженер",IF(AND(ISNUMBER(SEARCH("техническ",E256)),ISNUMBER(SEARCH("контрол",E256))),"инженер отк",IF(ISNUMBER(SEARCH("диспетч",E256)),"инженер пдо",TRIM(SUBSTITUTE(SUBSTITUTE(SUBSTITUTE(SUBSTITUTE(SUBSTITUTE(SUBSTITUTE(SUBSTITUTE(SUBSTITUTE(SUBSTITUTE(SUBSTITUTE(SUBSTITUTE(LOWER(TRIM(D256)),"ё","е"),"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инженер",IF(ISNUMBER(SEARCH("диспетч",E256)),"ведущий инженер пдо",TRIM(SUBSTITUTE(SUBSTITUTE(SUBSTITUTE(SUBSTITUTE(SUBSTITUTE(SUBSTITUTE(SUBSTITUTE(SUBSTITUTE(SUBSTITUTE(SUBSTITUTE(SUBSTITUTE(LOWER(TRIM(D256)),"ё","е"),"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отк",TRIM(SUBSTITUTE(SUBSTITUTE(SUBSTITUTE(SUBSTITUTE(SUBSTITUTE(SUBSTITUTE(SUBSTITUTE(SUBSTITUTE(SUBSTITUTE(SUBSTITUTE(SUBSTITUTE(LOWER(TRIM(D256)),"ё","е"),"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56" s="12" t="n">
        <f aca="false">IFERROR(INDEX(Соответствие!$B$2:$B$76,MATCH(G256,Соответствие!$A$2:$A$76,0)),"?")</f>
        <v>19</v>
      </c>
      <c r="I256" s="9" t="str">
        <f aca="false">IFERROR(INDEX('Перечень должностей'!$C$2:$C$46,MATCH(H256,'Перечень должностей'!$A$2:$A$46,0)),"")</f>
        <v>п.4.3.1, п.4.3.2, п.4.4, п.5.1, п.6.2, п.15</v>
      </c>
      <c r="J256" s="12" t="n">
        <f aca="false">IFERROR(INDEX('Перечень должностей'!$D$2:$D$46,MATCH(H256,'Перечень должностей'!$A$2:$A$46,0)),12)</f>
        <v>12</v>
      </c>
      <c r="K256" s="17"/>
      <c r="L256" s="17"/>
      <c r="M256" s="16" t="str">
        <f aca="false">IF(K256="","",EDATE(IF(L256&lt;&gt;"",L256,K256),J256))</f>
        <v/>
      </c>
      <c r="N256" s="12" t="str">
        <f aca="false">IFERROR(INDEX('Перечень должностей'!$F$2:$F$46,MATCH(H256,'Перечень должностей'!$A$2:$A$46,0)),"")</f>
        <v>-</v>
      </c>
      <c r="O256" s="17"/>
      <c r="P256" s="16" t="str">
        <f aca="false">IF(O256="","",EDATE(O256,60))</f>
        <v/>
      </c>
      <c r="Q256" s="12" t="str">
        <f aca="false">IF(AND(K256&lt;&gt;"",F256&lt;&gt;"",K256&gt;F256),"ДА","")</f>
        <v/>
      </c>
      <c r="R256" s="9"/>
    </row>
    <row r="257" customFormat="false" ht="26.25" hidden="false" customHeight="true" outlineLevel="0" collapsed="false">
      <c r="A257" s="15" t="n">
        <v>256</v>
      </c>
      <c r="B257" s="12" t="s">
        <v>411</v>
      </c>
      <c r="C257" s="15" t="s">
        <v>714</v>
      </c>
      <c r="D257" s="15" t="s">
        <v>465</v>
      </c>
      <c r="E257" s="15" t="s">
        <v>712</v>
      </c>
      <c r="F257" s="16" t="n">
        <v>46083</v>
      </c>
      <c r="G257" s="5" t="str">
        <f aca="false">IF(TRIM(SUBSTITUTE(SUBSTITUTE(SUBSTITUTE(SUBSTITUTE(SUBSTITUTE(SUBSTITUTE(SUBSTITUTE(SUBSTITUTE(SUBSTITUTE(SUBSTITUTE(SUBSTITUTE(LOWER(TRIM(D257)),"ё","е"),"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категории",""))="инженер",IF(AND(ISNUMBER(SEARCH("техническ",E257)),ISNUMBER(SEARCH("контрол",E257))),"инженер отк",IF(ISNUMBER(SEARCH("диспетч",E257)),"инженер пдо",TRIM(SUBSTITUTE(SUBSTITUTE(SUBSTITUTE(SUBSTITUTE(SUBSTITUTE(SUBSTITUTE(SUBSTITUTE(SUBSTITUTE(SUBSTITUTE(SUBSTITUTE(SUBSTITUTE(LOWER(TRIM(D257)),"ё","е"),"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инженер",IF(ISNUMBER(SEARCH("диспетч",E257)),"ведущий инженер пдо",TRIM(SUBSTITUTE(SUBSTITUTE(SUBSTITUTE(SUBSTITUTE(SUBSTITUTE(SUBSTITUTE(SUBSTITUTE(SUBSTITUTE(SUBSTITUTE(SUBSTITUTE(SUBSTITUTE(LOWER(TRIM(D257)),"ё","е"),"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отк",TRIM(SUBSTITUTE(SUBSTITUTE(SUBSTITUTE(SUBSTITUTE(SUBSTITUTE(SUBSTITUTE(SUBSTITUTE(SUBSTITUTE(SUBSTITUTE(SUBSTITUTE(SUBSTITUTE(LOWER(TRIM(D257)),"ё","е"),"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57" s="12" t="n">
        <f aca="false">IFERROR(INDEX(Соответствие!$B$2:$B$76,MATCH(G257,Соответствие!$A$2:$A$76,0)),"?")</f>
        <v>19</v>
      </c>
      <c r="I257" s="9" t="str">
        <f aca="false">IFERROR(INDEX('Перечень должностей'!$C$2:$C$46,MATCH(H257,'Перечень должностей'!$A$2:$A$46,0)),"")</f>
        <v>п.4.3.1, п.4.3.2, п.4.4, п.5.1, п.6.2, п.15</v>
      </c>
      <c r="J257" s="12" t="n">
        <f aca="false">IFERROR(INDEX('Перечень должностей'!$D$2:$D$46,MATCH(H257,'Перечень должностей'!$A$2:$A$46,0)),12)</f>
        <v>12</v>
      </c>
      <c r="K257" s="17" t="n">
        <v>46066</v>
      </c>
      <c r="L257" s="17"/>
      <c r="M257" s="16" t="n">
        <f aca="false">IF(K257="","",EDATE(IF(L257&lt;&gt;"",L257,K257),J257))</f>
        <v>46431</v>
      </c>
      <c r="N257" s="12" t="str">
        <f aca="false">IFERROR(INDEX('Перечень должностей'!$F$2:$F$46,MATCH(H257,'Перечень должностей'!$A$2:$A$46,0)),"")</f>
        <v>-</v>
      </c>
      <c r="O257" s="17"/>
      <c r="P257" s="16" t="str">
        <f aca="false">IF(O257="","",EDATE(O257,60))</f>
        <v/>
      </c>
      <c r="Q257" s="12" t="str">
        <f aca="false">IF(AND(K257&lt;&gt;"",F257&lt;&gt;"",K257&gt;F257),"ДА","")</f>
        <v/>
      </c>
      <c r="R257" s="9"/>
    </row>
    <row r="258" customFormat="false" ht="26.25" hidden="false" customHeight="true" outlineLevel="0" collapsed="false">
      <c r="A258" s="15" t="n">
        <v>257</v>
      </c>
      <c r="B258" s="12" t="s">
        <v>411</v>
      </c>
      <c r="C258" s="15" t="s">
        <v>715</v>
      </c>
      <c r="D258" s="15" t="s">
        <v>75</v>
      </c>
      <c r="E258" s="15" t="s">
        <v>712</v>
      </c>
      <c r="F258" s="16" t="n">
        <v>46091</v>
      </c>
      <c r="G258" s="5" t="str">
        <f aca="false">IF(TRIM(SUBSTITUTE(SUBSTITUTE(SUBSTITUTE(SUBSTITUTE(SUBSTITUTE(SUBSTITUTE(SUBSTITUTE(SUBSTITUTE(SUBSTITUTE(SUBSTITUTE(SUBSTITUTE(LOWER(TRIM(D258)),"ё","е"),"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категории",""))="инженер",IF(AND(ISNUMBER(SEARCH("техническ",E258)),ISNUMBER(SEARCH("контрол",E258))),"инженер отк",IF(ISNUMBER(SEARCH("диспетч",E258)),"инженер пдо",TRIM(SUBSTITUTE(SUBSTITUTE(SUBSTITUTE(SUBSTITUTE(SUBSTITUTE(SUBSTITUTE(SUBSTITUTE(SUBSTITUTE(SUBSTITUTE(SUBSTITUTE(SUBSTITUTE(LOWER(TRIM(D258)),"ё","е"),"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инженер",IF(ISNUMBER(SEARCH("диспетч",E258)),"ведущий инженер пдо",TRIM(SUBSTITUTE(SUBSTITUTE(SUBSTITUTE(SUBSTITUTE(SUBSTITUTE(SUBSTITUTE(SUBSTITUTE(SUBSTITUTE(SUBSTITUTE(SUBSTITUTE(SUBSTITUTE(LOWER(TRIM(D258)),"ё","е"),"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отк",TRIM(SUBSTITUTE(SUBSTITUTE(SUBSTITUTE(SUBSTITUTE(SUBSTITUTE(SUBSTITUTE(SUBSTITUTE(SUBSTITUTE(SUBSTITUTE(SUBSTITUTE(SUBSTITUTE(LOWER(TRIM(D258)),"ё","е"),"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258" s="12" t="n">
        <f aca="false">IFERROR(INDEX(Соответствие!$B$2:$B$76,MATCH(G258,Соответствие!$A$2:$A$76,0)),"?")</f>
        <v>14</v>
      </c>
      <c r="I258" s="9" t="str">
        <f aca="false">IFERROR(INDEX('Перечень должностей'!$C$2:$C$46,MATCH(H258,'Перечень должностей'!$A$2:$A$46,0)),"")</f>
        <v>п.4.4, п.5.1, п.6.2</v>
      </c>
      <c r="J258" s="12" t="n">
        <f aca="false">IFERROR(INDEX('Перечень должностей'!$D$2:$D$46,MATCH(H258,'Перечень должностей'!$A$2:$A$46,0)),12)</f>
        <v>12</v>
      </c>
      <c r="K258" s="17"/>
      <c r="L258" s="17"/>
      <c r="M258" s="16" t="str">
        <f aca="false">IF(K258="","",EDATE(IF(L258&lt;&gt;"",L258,K258),J258))</f>
        <v/>
      </c>
      <c r="N258" s="12" t="str">
        <f aca="false">IFERROR(INDEX('Перечень должностей'!$F$2:$F$46,MATCH(H258,'Перечень должностей'!$A$2:$A$46,0)),"")</f>
        <v>-</v>
      </c>
      <c r="O258" s="17"/>
      <c r="P258" s="16" t="str">
        <f aca="false">IF(O258="","",EDATE(O258,60))</f>
        <v/>
      </c>
      <c r="Q258" s="12" t="str">
        <f aca="false">IF(AND(K258&lt;&gt;"",F258&lt;&gt;"",K258&gt;F258),"ДА","")</f>
        <v/>
      </c>
      <c r="R258" s="9"/>
    </row>
    <row r="259" customFormat="false" ht="26.25" hidden="false" customHeight="true" outlineLevel="0" collapsed="false">
      <c r="A259" s="15" t="n">
        <v>258</v>
      </c>
      <c r="B259" s="12" t="s">
        <v>411</v>
      </c>
      <c r="C259" s="15" t="s">
        <v>716</v>
      </c>
      <c r="D259" s="15" t="s">
        <v>75</v>
      </c>
      <c r="E259" s="15" t="s">
        <v>712</v>
      </c>
      <c r="F259" s="16" t="n">
        <v>45867</v>
      </c>
      <c r="G259" s="5" t="str">
        <f aca="false">IF(TRIM(SUBSTITUTE(SUBSTITUTE(SUBSTITUTE(SUBSTITUTE(SUBSTITUTE(SUBSTITUTE(SUBSTITUTE(SUBSTITUTE(SUBSTITUTE(SUBSTITUTE(SUBSTITUTE(LOWER(TRIM(D259)),"ё","е"),"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категории",""))="инженер",IF(AND(ISNUMBER(SEARCH("техническ",E259)),ISNUMBER(SEARCH("контрол",E259))),"инженер отк",IF(ISNUMBER(SEARCH("диспетч",E259)),"инженер пдо",TRIM(SUBSTITUTE(SUBSTITUTE(SUBSTITUTE(SUBSTITUTE(SUBSTITUTE(SUBSTITUTE(SUBSTITUTE(SUBSTITUTE(SUBSTITUTE(SUBSTITUTE(SUBSTITUTE(LOWER(TRIM(D259)),"ё","е"),"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инженер",IF(ISNUMBER(SEARCH("диспетч",E259)),"ведущий инженер пдо",TRIM(SUBSTITUTE(SUBSTITUTE(SUBSTITUTE(SUBSTITUTE(SUBSTITUTE(SUBSTITUTE(SUBSTITUTE(SUBSTITUTE(SUBSTITUTE(SUBSTITUTE(SUBSTITUTE(LOWER(TRIM(D259)),"ё","е"),"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отк",TRIM(SUBSTITUTE(SUBSTITUTE(SUBSTITUTE(SUBSTITUTE(SUBSTITUTE(SUBSTITUTE(SUBSTITUTE(SUBSTITUTE(SUBSTITUTE(SUBSTITUTE(SUBSTITUTE(LOWER(TRIM(D259)),"ё","е"),"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259" s="12" t="n">
        <f aca="false">IFERROR(INDEX(Соответствие!$B$2:$B$76,MATCH(G259,Соответствие!$A$2:$A$76,0)),"?")</f>
        <v>14</v>
      </c>
      <c r="I259" s="9" t="str">
        <f aca="false">IFERROR(INDEX('Перечень должностей'!$C$2:$C$46,MATCH(H259,'Перечень должностей'!$A$2:$A$46,0)),"")</f>
        <v>п.4.4, п.5.1, п.6.2</v>
      </c>
      <c r="J259" s="12" t="n">
        <f aca="false">IFERROR(INDEX('Перечень должностей'!$D$2:$D$46,MATCH(H259,'Перечень должностей'!$A$2:$A$46,0)),12)</f>
        <v>12</v>
      </c>
      <c r="K259" s="17"/>
      <c r="L259" s="17"/>
      <c r="M259" s="16" t="str">
        <f aca="false">IF(K259="","",EDATE(IF(L259&lt;&gt;"",L259,K259),J259))</f>
        <v/>
      </c>
      <c r="N259" s="12" t="str">
        <f aca="false">IFERROR(INDEX('Перечень должностей'!$F$2:$F$46,MATCH(H259,'Перечень должностей'!$A$2:$A$46,0)),"")</f>
        <v>-</v>
      </c>
      <c r="O259" s="17"/>
      <c r="P259" s="16" t="str">
        <f aca="false">IF(O259="","",EDATE(O259,60))</f>
        <v/>
      </c>
      <c r="Q259" s="12" t="str">
        <f aca="false">IF(AND(K259&lt;&gt;"",F259&lt;&gt;"",K259&gt;F259),"ДА","")</f>
        <v/>
      </c>
      <c r="R259" s="9"/>
    </row>
    <row r="260" customFormat="false" ht="14.25" hidden="false" customHeight="true" outlineLevel="0" collapsed="false">
      <c r="A260" s="15" t="n">
        <v>259</v>
      </c>
      <c r="B260" s="12" t="s">
        <v>411</v>
      </c>
      <c r="C260" s="15" t="s">
        <v>717</v>
      </c>
      <c r="D260" s="15" t="s">
        <v>540</v>
      </c>
      <c r="E260" s="15" t="s">
        <v>712</v>
      </c>
      <c r="F260" s="16" t="n">
        <v>45497</v>
      </c>
      <c r="G260" s="5" t="str">
        <f aca="false">IF(TRIM(SUBSTITUTE(SUBSTITUTE(SUBSTITUTE(SUBSTITUTE(SUBSTITUTE(SUBSTITUTE(SUBSTITUTE(SUBSTITUTE(SUBSTITUTE(SUBSTITUTE(SUBSTITUTE(LOWER(TRIM(D260)),"ё","е"),"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категории",""))="инженер",IF(AND(ISNUMBER(SEARCH("техническ",E260)),ISNUMBER(SEARCH("контрол",E260))),"инженер отк",IF(ISNUMBER(SEARCH("диспетч",E260)),"инженер пдо",TRIM(SUBSTITUTE(SUBSTITUTE(SUBSTITUTE(SUBSTITUTE(SUBSTITUTE(SUBSTITUTE(SUBSTITUTE(SUBSTITUTE(SUBSTITUTE(SUBSTITUTE(SUBSTITUTE(LOWER(TRIM(D260)),"ё","е"),"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инженер",IF(ISNUMBER(SEARCH("диспетч",E260)),"ведущий инженер пдо",TRIM(SUBSTITUTE(SUBSTITUTE(SUBSTITUTE(SUBSTITUTE(SUBSTITUTE(SUBSTITUTE(SUBSTITUTE(SUBSTITUTE(SUBSTITUTE(SUBSTITUTE(SUBSTITUTE(LOWER(TRIM(D260)),"ё","е"),"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отк",TRIM(SUBSTITUTE(SUBSTITUTE(SUBSTITUTE(SUBSTITUTE(SUBSTITUTE(SUBSTITUTE(SUBSTITUTE(SUBSTITUTE(SUBSTITUTE(SUBSTITUTE(SUBSTITUTE(LOWER(TRIM(D260)),"ё","е")," -","-"),"- ","-")," 2 разряда","")," 3 разряда","")," 4 разряда","")," 5 разряда","")," 6 разряда","")," 1 категории","")," 2 категории","")," 3 категории","")))))</f>
        <v>диспетчер</v>
      </c>
      <c r="H260" s="12" t="n">
        <f aca="false">IFERROR(INDEX(Соответствие!$B$2:$B$76,MATCH(G260,Соответствие!$A$2:$A$76,0)),"?")</f>
        <v>28</v>
      </c>
      <c r="I260" s="9" t="str">
        <f aca="false">IFERROR(INDEX('Перечень должностей'!$C$2:$C$46,MATCH(H260,'Перечень должностей'!$A$2:$A$46,0)),"")</f>
        <v>п.4.4, п.5.1, п.5.2</v>
      </c>
      <c r="J260" s="12" t="n">
        <f aca="false">IFERROR(INDEX('Перечень должностей'!$D$2:$D$46,MATCH(H260,'Перечень должностей'!$A$2:$A$46,0)),12)</f>
        <v>12</v>
      </c>
      <c r="K260" s="17"/>
      <c r="L260" s="17"/>
      <c r="M260" s="16" t="str">
        <f aca="false">IF(K260="","",EDATE(IF(L260&lt;&gt;"",L260,K260),J260))</f>
        <v/>
      </c>
      <c r="N260" s="12" t="str">
        <f aca="false">IFERROR(INDEX('Перечень должностей'!$F$2:$F$46,MATCH(H260,'Перечень должностей'!$A$2:$A$46,0)),"")</f>
        <v>-</v>
      </c>
      <c r="O260" s="17"/>
      <c r="P260" s="16" t="str">
        <f aca="false">IF(O260="","",EDATE(O260,60))</f>
        <v/>
      </c>
      <c r="Q260" s="12" t="str">
        <f aca="false">IF(AND(K260&lt;&gt;"",F260&lt;&gt;"",K260&gt;F260),"ДА","")</f>
        <v/>
      </c>
      <c r="R260" s="9"/>
    </row>
    <row r="261" customFormat="false" ht="14.25" hidden="false" customHeight="true" outlineLevel="0" collapsed="false">
      <c r="A261" s="15" t="n">
        <v>260</v>
      </c>
      <c r="B261" s="12" t="s">
        <v>411</v>
      </c>
      <c r="C261" s="15" t="s">
        <v>718</v>
      </c>
      <c r="D261" s="15" t="s">
        <v>540</v>
      </c>
      <c r="E261" s="15" t="s">
        <v>712</v>
      </c>
      <c r="F261" s="16" t="n">
        <v>46181</v>
      </c>
      <c r="G261" s="5" t="str">
        <f aca="false">IF(TRIM(SUBSTITUTE(SUBSTITUTE(SUBSTITUTE(SUBSTITUTE(SUBSTITUTE(SUBSTITUTE(SUBSTITUTE(SUBSTITUTE(SUBSTITUTE(SUBSTITUTE(SUBSTITUTE(LOWER(TRIM(D261)),"ё","е"),"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категории",""))="инженер",IF(AND(ISNUMBER(SEARCH("техническ",E261)),ISNUMBER(SEARCH("контрол",E261))),"инженер отк",IF(ISNUMBER(SEARCH("диспетч",E261)),"инженер пдо",TRIM(SUBSTITUTE(SUBSTITUTE(SUBSTITUTE(SUBSTITUTE(SUBSTITUTE(SUBSTITUTE(SUBSTITUTE(SUBSTITUTE(SUBSTITUTE(SUBSTITUTE(SUBSTITUTE(LOWER(TRIM(D261)),"ё","е"),"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инженер",IF(ISNUMBER(SEARCH("диспетч",E261)),"ведущий инженер пдо",TRIM(SUBSTITUTE(SUBSTITUTE(SUBSTITUTE(SUBSTITUTE(SUBSTITUTE(SUBSTITUTE(SUBSTITUTE(SUBSTITUTE(SUBSTITUTE(SUBSTITUTE(SUBSTITUTE(LOWER(TRIM(D261)),"ё","е"),"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отк",TRIM(SUBSTITUTE(SUBSTITUTE(SUBSTITUTE(SUBSTITUTE(SUBSTITUTE(SUBSTITUTE(SUBSTITUTE(SUBSTITUTE(SUBSTITUTE(SUBSTITUTE(SUBSTITUTE(LOWER(TRIM(D261)),"ё","е")," -","-"),"- ","-")," 2 разряда","")," 3 разряда","")," 4 разряда","")," 5 разряда","")," 6 разряда","")," 1 категории","")," 2 категории","")," 3 категории","")))))</f>
        <v>диспетчер</v>
      </c>
      <c r="H261" s="12" t="n">
        <f aca="false">IFERROR(INDEX(Соответствие!$B$2:$B$76,MATCH(G261,Соответствие!$A$2:$A$76,0)),"?")</f>
        <v>28</v>
      </c>
      <c r="I261" s="9" t="str">
        <f aca="false">IFERROR(INDEX('Перечень должностей'!$C$2:$C$46,MATCH(H261,'Перечень должностей'!$A$2:$A$46,0)),"")</f>
        <v>п.4.4, п.5.1, п.5.2</v>
      </c>
      <c r="J261" s="12" t="n">
        <f aca="false">IFERROR(INDEX('Перечень должностей'!$D$2:$D$46,MATCH(H261,'Перечень должностей'!$A$2:$A$46,0)),12)</f>
        <v>12</v>
      </c>
      <c r="K261" s="17" t="n">
        <v>46174</v>
      </c>
      <c r="L261" s="17"/>
      <c r="M261" s="16" t="n">
        <f aca="false">IF(K261="","",EDATE(IF(L261&lt;&gt;"",L261,K261),J261))</f>
        <v>46539</v>
      </c>
      <c r="N261" s="12" t="str">
        <f aca="false">IFERROR(INDEX('Перечень должностей'!$F$2:$F$46,MATCH(H261,'Перечень должностей'!$A$2:$A$46,0)),"")</f>
        <v>-</v>
      </c>
      <c r="O261" s="17"/>
      <c r="P261" s="16" t="str">
        <f aca="false">IF(O261="","",EDATE(O261,60))</f>
        <v/>
      </c>
      <c r="Q261" s="12" t="str">
        <f aca="false">IF(AND(K261&lt;&gt;"",F261&lt;&gt;"",K261&gt;F261),"ДА","")</f>
        <v/>
      </c>
      <c r="R261" s="9"/>
    </row>
    <row r="262" customFormat="false" ht="23.25" hidden="false" customHeight="true" outlineLevel="0" collapsed="false">
      <c r="A262" s="15" t="n">
        <v>261</v>
      </c>
      <c r="B262" s="12" t="s">
        <v>411</v>
      </c>
      <c r="C262" s="15" t="s">
        <v>719</v>
      </c>
      <c r="D262" s="15" t="s">
        <v>443</v>
      </c>
      <c r="E262" s="15" t="s">
        <v>712</v>
      </c>
      <c r="F262" s="16" t="n">
        <v>45968</v>
      </c>
      <c r="G262" s="5" t="str">
        <f aca="false">IF(TRIM(SUBSTITUTE(SUBSTITUTE(SUBSTITUTE(SUBSTITUTE(SUBSTITUTE(SUBSTITUTE(SUBSTITUTE(SUBSTITUTE(SUBSTITUTE(SUBSTITUTE(SUBSTITUTE(LOWER(TRIM(D262)),"ё","е"),"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категории",""))="инженер",IF(AND(ISNUMBER(SEARCH("техническ",E262)),ISNUMBER(SEARCH("контрол",E262))),"инженер отк",IF(ISNUMBER(SEARCH("диспетч",E262)),"инженер пдо",TRIM(SUBSTITUTE(SUBSTITUTE(SUBSTITUTE(SUBSTITUTE(SUBSTITUTE(SUBSTITUTE(SUBSTITUTE(SUBSTITUTE(SUBSTITUTE(SUBSTITUTE(SUBSTITUTE(LOWER(TRIM(D262)),"ё","е"),"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инженер",IF(ISNUMBER(SEARCH("диспетч",E262)),"ведущий инженер пдо",TRIM(SUBSTITUTE(SUBSTITUTE(SUBSTITUTE(SUBSTITUTE(SUBSTITUTE(SUBSTITUTE(SUBSTITUTE(SUBSTITUTE(SUBSTITUTE(SUBSTITUTE(SUBSTITUTE(LOWER(TRIM(D262)),"ё","е"),"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отк",TRIM(SUBSTITUTE(SUBSTITUTE(SUBSTITUTE(SUBSTITUTE(SUBSTITUTE(SUBSTITUTE(SUBSTITUTE(SUBSTITUTE(SUBSTITUTE(SUBSTITUTE(SUBSTITUTE(LOWER(TRIM(D262)),"ё","е"),"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262" s="12" t="n">
        <f aca="false">IFERROR(INDEX(Соответствие!$B$2:$B$76,MATCH(G262,Соответствие!$A$2:$A$76,0)),"?")</f>
        <v>20</v>
      </c>
      <c r="I262" s="9" t="str">
        <f aca="false">IFERROR(INDEX('Перечень должностей'!$C$2:$C$46,MATCH(H262,'Перечень должностей'!$A$2:$A$46,0)),"")</f>
        <v>п.4.3.1, п.4.3.2, п.4.4, п.4.9, п.5.1, п.5.2, п.6.2, п.9</v>
      </c>
      <c r="J262" s="12" t="n">
        <f aca="false">IFERROR(INDEX('Перечень должностей'!$D$2:$D$46,MATCH(H262,'Перечень должностей'!$A$2:$A$46,0)),12)</f>
        <v>12</v>
      </c>
      <c r="K262" s="17" t="n">
        <v>45951</v>
      </c>
      <c r="L262" s="17"/>
      <c r="M262" s="16" t="n">
        <f aca="false">IF(K262="","",EDATE(IF(L262&lt;&gt;"",L262,K262),J262))</f>
        <v>46316</v>
      </c>
      <c r="N262" s="12" t="str">
        <f aca="false">IFERROR(INDEX('Перечень должностей'!$F$2:$F$46,MATCH(H262,'Перечень должностей'!$A$2:$A$46,0)),"")</f>
        <v>Проверить</v>
      </c>
      <c r="O262" s="17"/>
      <c r="P262" s="16" t="str">
        <f aca="false">IF(O262="","",EDATE(O262,60))</f>
        <v/>
      </c>
      <c r="Q262" s="12" t="str">
        <f aca="false">IF(AND(K262&lt;&gt;"",F262&lt;&gt;"",K262&gt;F262),"ДА","")</f>
        <v/>
      </c>
      <c r="R262" s="9"/>
    </row>
    <row r="263" customFormat="false" ht="23.25" hidden="false" customHeight="true" outlineLevel="0" collapsed="false">
      <c r="A263" s="15" t="n">
        <v>262</v>
      </c>
      <c r="B263" s="12" t="s">
        <v>411</v>
      </c>
      <c r="C263" s="15" t="s">
        <v>720</v>
      </c>
      <c r="D263" s="15" t="s">
        <v>445</v>
      </c>
      <c r="E263" s="15" t="s">
        <v>712</v>
      </c>
      <c r="F263" s="16" t="n">
        <v>45509</v>
      </c>
      <c r="G263" s="5" t="str">
        <f aca="false">IF(TRIM(SUBSTITUTE(SUBSTITUTE(SUBSTITUTE(SUBSTITUTE(SUBSTITUTE(SUBSTITUTE(SUBSTITUTE(SUBSTITUTE(SUBSTITUTE(SUBSTITUTE(SUBSTITUTE(LOWER(TRIM(D263)),"ё","е"),"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категории",""))="инженер",IF(AND(ISNUMBER(SEARCH("техническ",E263)),ISNUMBER(SEARCH("контрол",E263))),"инженер отк",IF(ISNUMBER(SEARCH("диспетч",E263)),"инженер пдо",TRIM(SUBSTITUTE(SUBSTITUTE(SUBSTITUTE(SUBSTITUTE(SUBSTITUTE(SUBSTITUTE(SUBSTITUTE(SUBSTITUTE(SUBSTITUTE(SUBSTITUTE(SUBSTITUTE(LOWER(TRIM(D263)),"ё","е"),"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инженер",IF(ISNUMBER(SEARCH("диспетч",E263)),"ведущий инженер пдо",TRIM(SUBSTITUTE(SUBSTITUTE(SUBSTITUTE(SUBSTITUTE(SUBSTITUTE(SUBSTITUTE(SUBSTITUTE(SUBSTITUTE(SUBSTITUTE(SUBSTITUTE(SUBSTITUTE(LOWER(TRIM(D263)),"ё","е"),"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отк",TRIM(SUBSTITUTE(SUBSTITUTE(SUBSTITUTE(SUBSTITUTE(SUBSTITUTE(SUBSTITUTE(SUBSTITUTE(SUBSTITUTE(SUBSTITUTE(SUBSTITUTE(SUBSTITUTE(LOWER(TRIM(D263)),"ё","е"),"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263" s="12" t="n">
        <f aca="false">IFERROR(INDEX(Соответствие!$B$2:$B$76,MATCH(G263,Соответствие!$A$2:$A$76,0)),"?")</f>
        <v>20</v>
      </c>
      <c r="I263" s="9" t="str">
        <f aca="false">IFERROR(INDEX('Перечень должностей'!$C$2:$C$46,MATCH(H263,'Перечень должностей'!$A$2:$A$46,0)),"")</f>
        <v>п.4.3.1, п.4.3.2, п.4.4, п.4.9, п.5.1, п.5.2, п.6.2, п.9</v>
      </c>
      <c r="J263" s="12" t="n">
        <f aca="false">IFERROR(INDEX('Перечень должностей'!$D$2:$D$46,MATCH(H263,'Перечень должностей'!$A$2:$A$46,0)),12)</f>
        <v>12</v>
      </c>
      <c r="K263" s="17" t="n">
        <v>45496</v>
      </c>
      <c r="L263" s="17"/>
      <c r="M263" s="16" t="n">
        <f aca="false">IF(K263="","",EDATE(IF(L263&lt;&gt;"",L263,K263),J263))</f>
        <v>45861</v>
      </c>
      <c r="N263" s="12" t="str">
        <f aca="false">IFERROR(INDEX('Перечень должностей'!$F$2:$F$46,MATCH(H263,'Перечень должностей'!$A$2:$A$46,0)),"")</f>
        <v>Проверить</v>
      </c>
      <c r="O263" s="17"/>
      <c r="P263" s="16" t="str">
        <f aca="false">IF(O263="","",EDATE(O263,60))</f>
        <v/>
      </c>
      <c r="Q263" s="12" t="str">
        <f aca="false">IF(AND(K263&lt;&gt;"",F263&lt;&gt;"",K263&gt;F263),"ДА","")</f>
        <v/>
      </c>
      <c r="R263" s="9"/>
    </row>
    <row r="264" customFormat="false" ht="26.25" hidden="false" customHeight="true" outlineLevel="0" collapsed="false">
      <c r="A264" s="15" t="n">
        <v>263</v>
      </c>
      <c r="B264" s="12" t="s">
        <v>411</v>
      </c>
      <c r="C264" s="15" t="s">
        <v>721</v>
      </c>
      <c r="D264" s="15" t="s">
        <v>445</v>
      </c>
      <c r="E264" s="15" t="s">
        <v>712</v>
      </c>
      <c r="F264" s="16" t="n">
        <v>45506</v>
      </c>
      <c r="G264" s="5" t="str">
        <f aca="false">IF(TRIM(SUBSTITUTE(SUBSTITUTE(SUBSTITUTE(SUBSTITUTE(SUBSTITUTE(SUBSTITUTE(SUBSTITUTE(SUBSTITUTE(SUBSTITUTE(SUBSTITUTE(SUBSTITUTE(LOWER(TRIM(D264)),"ё","е"),"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категории",""))="инженер",IF(AND(ISNUMBER(SEARCH("техническ",E264)),ISNUMBER(SEARCH("контрол",E264))),"инженер отк",IF(ISNUMBER(SEARCH("диспетч",E264)),"инженер пдо",TRIM(SUBSTITUTE(SUBSTITUTE(SUBSTITUTE(SUBSTITUTE(SUBSTITUTE(SUBSTITUTE(SUBSTITUTE(SUBSTITUTE(SUBSTITUTE(SUBSTITUTE(SUBSTITUTE(LOWER(TRIM(D264)),"ё","е"),"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инженер",IF(ISNUMBER(SEARCH("диспетч",E264)),"ведущий инженер пдо",TRIM(SUBSTITUTE(SUBSTITUTE(SUBSTITUTE(SUBSTITUTE(SUBSTITUTE(SUBSTITUTE(SUBSTITUTE(SUBSTITUTE(SUBSTITUTE(SUBSTITUTE(SUBSTITUTE(LOWER(TRIM(D264)),"ё","е"),"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отк",TRIM(SUBSTITUTE(SUBSTITUTE(SUBSTITUTE(SUBSTITUTE(SUBSTITUTE(SUBSTITUTE(SUBSTITUTE(SUBSTITUTE(SUBSTITUTE(SUBSTITUTE(SUBSTITUTE(LOWER(TRIM(D264)),"ё","е"),"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264" s="12" t="n">
        <f aca="false">IFERROR(INDEX(Соответствие!$B$2:$B$76,MATCH(G264,Соответствие!$A$2:$A$76,0)),"?")</f>
        <v>20</v>
      </c>
      <c r="I264" s="9" t="str">
        <f aca="false">IFERROR(INDEX('Перечень должностей'!$C$2:$C$46,MATCH(H264,'Перечень должностей'!$A$2:$A$46,0)),"")</f>
        <v>п.4.3.1, п.4.3.2, п.4.4, п.4.9, п.5.1, п.5.2, п.6.2, п.9</v>
      </c>
      <c r="J264" s="12" t="n">
        <f aca="false">IFERROR(INDEX('Перечень должностей'!$D$2:$D$46,MATCH(H264,'Перечень должностей'!$A$2:$A$46,0)),12)</f>
        <v>12</v>
      </c>
      <c r="K264" s="17" t="n">
        <v>45503</v>
      </c>
      <c r="L264" s="17"/>
      <c r="M264" s="16" t="n">
        <f aca="false">IF(K264="","",EDATE(IF(L264&lt;&gt;"",L264,K264),J264))</f>
        <v>45868</v>
      </c>
      <c r="N264" s="12" t="str">
        <f aca="false">IFERROR(INDEX('Перечень должностей'!$F$2:$F$46,MATCH(H264,'Перечень должностей'!$A$2:$A$46,0)),"")</f>
        <v>Проверить</v>
      </c>
      <c r="O264" s="17"/>
      <c r="P264" s="16" t="str">
        <f aca="false">IF(O264="","",EDATE(O264,60))</f>
        <v/>
      </c>
      <c r="Q264" s="12" t="str">
        <f aca="false">IF(AND(K264&lt;&gt;"",F264&lt;&gt;"",K264&gt;F264),"ДА","")</f>
        <v/>
      </c>
      <c r="R264" s="9"/>
    </row>
    <row r="265" customFormat="false" ht="26.25" hidden="false" customHeight="true" outlineLevel="0" collapsed="false">
      <c r="A265" s="15" t="n">
        <v>264</v>
      </c>
      <c r="B265" s="12" t="s">
        <v>411</v>
      </c>
      <c r="C265" s="15" t="s">
        <v>722</v>
      </c>
      <c r="D265" s="15" t="s">
        <v>447</v>
      </c>
      <c r="E265" s="15" t="s">
        <v>712</v>
      </c>
      <c r="F265" s="16" t="n">
        <v>39730</v>
      </c>
      <c r="G265" s="5" t="str">
        <f aca="false">IF(TRIM(SUBSTITUTE(SUBSTITUTE(SUBSTITUTE(SUBSTITUTE(SUBSTITUTE(SUBSTITUTE(SUBSTITUTE(SUBSTITUTE(SUBSTITUTE(SUBSTITUTE(SUBSTITUTE(LOWER(TRIM(D265)),"ё","е"),"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категории",""))="инженер",IF(AND(ISNUMBER(SEARCH("техническ",E265)),ISNUMBER(SEARCH("контрол",E265))),"инженер отк",IF(ISNUMBER(SEARCH("диспетч",E265)),"инженер пдо",TRIM(SUBSTITUTE(SUBSTITUTE(SUBSTITUTE(SUBSTITUTE(SUBSTITUTE(SUBSTITUTE(SUBSTITUTE(SUBSTITUTE(SUBSTITUTE(SUBSTITUTE(SUBSTITUTE(LOWER(TRIM(D265)),"ё","е"),"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инженер",IF(ISNUMBER(SEARCH("диспетч",E265)),"ведущий инженер пдо",TRIM(SUBSTITUTE(SUBSTITUTE(SUBSTITUTE(SUBSTITUTE(SUBSTITUTE(SUBSTITUTE(SUBSTITUTE(SUBSTITUTE(SUBSTITUTE(SUBSTITUTE(SUBSTITUTE(LOWER(TRIM(D265)),"ё","е"),"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отк",TRIM(SUBSTITUTE(SUBSTITUTE(SUBSTITUTE(SUBSTITUTE(SUBSTITUTE(SUBSTITUTE(SUBSTITUTE(SUBSTITUTE(SUBSTITUTE(SUBSTITUTE(SUBSTITUTE(LOWER(TRIM(D265)),"ё","е"),"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65" s="12" t="n">
        <f aca="false">IFERROR(INDEX(Соответствие!$B$2:$B$76,MATCH(G265,Соответствие!$A$2:$A$76,0)),"?")</f>
        <v>19</v>
      </c>
      <c r="I265" s="9" t="str">
        <f aca="false">IFERROR(INDEX('Перечень должностей'!$C$2:$C$46,MATCH(H265,'Перечень должностей'!$A$2:$A$46,0)),"")</f>
        <v>п.4.3.1, п.4.3.2, п.4.4, п.5.1, п.6.2, п.15</v>
      </c>
      <c r="J265" s="12" t="n">
        <f aca="false">IFERROR(INDEX('Перечень должностей'!$D$2:$D$46,MATCH(H265,'Перечень должностей'!$A$2:$A$46,0)),12)</f>
        <v>12</v>
      </c>
      <c r="K265" s="17"/>
      <c r="L265" s="17"/>
      <c r="M265" s="16" t="str">
        <f aca="false">IF(K265="","",EDATE(IF(L265&lt;&gt;"",L265,K265),J265))</f>
        <v/>
      </c>
      <c r="N265" s="12" t="str">
        <f aca="false">IFERROR(INDEX('Перечень должностей'!$F$2:$F$46,MATCH(H265,'Перечень должностей'!$A$2:$A$46,0)),"")</f>
        <v>-</v>
      </c>
      <c r="O265" s="17"/>
      <c r="P265" s="16" t="str">
        <f aca="false">IF(O265="","",EDATE(O265,60))</f>
        <v/>
      </c>
      <c r="Q265" s="12" t="str">
        <f aca="false">IF(AND(K265&lt;&gt;"",F265&lt;&gt;"",K265&gt;F265),"ДА","")</f>
        <v/>
      </c>
      <c r="R265" s="9"/>
    </row>
    <row r="266" customFormat="false" ht="26.25" hidden="false" customHeight="true" outlineLevel="0" collapsed="false">
      <c r="A266" s="15" t="n">
        <v>265</v>
      </c>
      <c r="B266" s="12" t="s">
        <v>411</v>
      </c>
      <c r="C266" s="15" t="s">
        <v>723</v>
      </c>
      <c r="D266" s="15" t="s">
        <v>724</v>
      </c>
      <c r="E266" s="15" t="s">
        <v>712</v>
      </c>
      <c r="F266" s="16" t="n">
        <v>45853</v>
      </c>
      <c r="G266" s="5" t="str">
        <f aca="false">IF(TRIM(SUBSTITUTE(SUBSTITUTE(SUBSTITUTE(SUBSTITUTE(SUBSTITUTE(SUBSTITUTE(SUBSTITUTE(SUBSTITUTE(SUBSTITUTE(SUBSTITUTE(SUBSTITUTE(LOWER(TRIM(D266)),"ё","е"),"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категории",""))="инженер",IF(AND(ISNUMBER(SEARCH("техническ",E266)),ISNUMBER(SEARCH("контрол",E266))),"инженер отк",IF(ISNUMBER(SEARCH("диспетч",E266)),"инженер пдо",TRIM(SUBSTITUTE(SUBSTITUTE(SUBSTITUTE(SUBSTITUTE(SUBSTITUTE(SUBSTITUTE(SUBSTITUTE(SUBSTITUTE(SUBSTITUTE(SUBSTITUTE(SUBSTITUTE(LOWER(TRIM(D266)),"ё","е"),"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инженер",IF(ISNUMBER(SEARCH("диспетч",E266)),"ведущий инженер пдо",TRIM(SUBSTITUTE(SUBSTITUTE(SUBSTITUTE(SUBSTITUTE(SUBSTITUTE(SUBSTITUTE(SUBSTITUTE(SUBSTITUTE(SUBSTITUTE(SUBSTITUTE(SUBSTITUTE(LOWER(TRIM(D266)),"ё","е"),"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отк",TRIM(SUBSTITUTE(SUBSTITUTE(SUBSTITUTE(SUBSTITUTE(SUBSTITUTE(SUBSTITUTE(SUBSTITUTE(SUBSTITUTE(SUBSTITUTE(SUBSTITUTE(SUBSTITUTE(LOWER(TRIM(D266)),"ё","е")," -","-"),"- ","-")," 2 разряда","")," 3 разряда","")," 4 разряда","")," 5 разряда","")," 6 разряда","")," 1 категории","")," 2 категории","")," 3 категории","")))))</f>
        <v>мастер электромонтажного участка</v>
      </c>
      <c r="H266" s="12" t="n">
        <f aca="false">IFERROR(INDEX(Соответствие!$B$2:$B$76,MATCH(G266,Соответствие!$A$2:$A$76,0)),"?")</f>
        <v>29</v>
      </c>
      <c r="I266" s="9" t="str">
        <f aca="false">IFERROR(INDEX('Перечень должностей'!$C$2:$C$46,MATCH(H266,'Перечень должностей'!$A$2:$A$46,0)),"")</f>
        <v>п.4.3.1, п.4.3.2, п.4.4, п.4.9, п.5.1, п.5.2, п.6.2, п.9</v>
      </c>
      <c r="J266" s="12" t="n">
        <f aca="false">IFERROR(INDEX('Перечень должностей'!$D$2:$D$46,MATCH(H266,'Перечень должностей'!$A$2:$A$46,0)),12)</f>
        <v>12</v>
      </c>
      <c r="K266" s="17"/>
      <c r="L266" s="17"/>
      <c r="M266" s="16" t="str">
        <f aca="false">IF(K266="","",EDATE(IF(L266&lt;&gt;"",L266,K266),J266))</f>
        <v/>
      </c>
      <c r="N266" s="12" t="str">
        <f aca="false">IFERROR(INDEX('Перечень должностей'!$F$2:$F$46,MATCH(H266,'Перечень должностей'!$A$2:$A$46,0)),"")</f>
        <v>Проверить</v>
      </c>
      <c r="O266" s="17"/>
      <c r="P266" s="16" t="str">
        <f aca="false">IF(O266="","",EDATE(O266,60))</f>
        <v/>
      </c>
      <c r="Q266" s="12" t="str">
        <f aca="false">IF(AND(K266&lt;&gt;"",F266&lt;&gt;"",K266&gt;F266),"ДА","")</f>
        <v/>
      </c>
      <c r="R266" s="9"/>
    </row>
    <row r="267" customFormat="false" ht="26.25" hidden="false" customHeight="true" outlineLevel="0" collapsed="false">
      <c r="A267" s="15" t="n">
        <v>266</v>
      </c>
      <c r="B267" s="12" t="s">
        <v>411</v>
      </c>
      <c r="C267" s="15" t="s">
        <v>725</v>
      </c>
      <c r="D267" s="15" t="s">
        <v>79</v>
      </c>
      <c r="E267" s="15" t="s">
        <v>712</v>
      </c>
      <c r="F267" s="16" t="n">
        <v>46125</v>
      </c>
      <c r="G267" s="5" t="str">
        <f aca="false">IF(TRIM(SUBSTITUTE(SUBSTITUTE(SUBSTITUTE(SUBSTITUTE(SUBSTITUTE(SUBSTITUTE(SUBSTITUTE(SUBSTITUTE(SUBSTITUTE(SUBSTITUTE(SUBSTITUTE(LOWER(TRIM(D267)),"ё","е"),"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категории",""))="инженер",IF(AND(ISNUMBER(SEARCH("техническ",E267)),ISNUMBER(SEARCH("контрол",E267))),"инженер отк",IF(ISNUMBER(SEARCH("диспетч",E267)),"инженер пдо",TRIM(SUBSTITUTE(SUBSTITUTE(SUBSTITUTE(SUBSTITUTE(SUBSTITUTE(SUBSTITUTE(SUBSTITUTE(SUBSTITUTE(SUBSTITUTE(SUBSTITUTE(SUBSTITUTE(LOWER(TRIM(D267)),"ё","е"),"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инженер",IF(ISNUMBER(SEARCH("диспетч",E267)),"ведущий инженер пдо",TRIM(SUBSTITUTE(SUBSTITUTE(SUBSTITUTE(SUBSTITUTE(SUBSTITUTE(SUBSTITUTE(SUBSTITUTE(SUBSTITUTE(SUBSTITUTE(SUBSTITUTE(SUBSTITUTE(LOWER(TRIM(D267)),"ё","е"),"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отк",TRIM(SUBSTITUTE(SUBSTITUTE(SUBSTITUTE(SUBSTITUTE(SUBSTITUTE(SUBSTITUTE(SUBSTITUTE(SUBSTITUTE(SUBSTITUTE(SUBSTITUTE(SUBSTITUTE(LOWER(TRIM(D267)),"ё","е"),"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267" s="12" t="n">
        <f aca="false">IFERROR(INDEX(Соответствие!$B$2:$B$76,MATCH(G267,Соответствие!$A$2:$A$76,0)),"?")</f>
        <v>20</v>
      </c>
      <c r="I267" s="9" t="str">
        <f aca="false">IFERROR(INDEX('Перечень должностей'!$C$2:$C$46,MATCH(H267,'Перечень должностей'!$A$2:$A$46,0)),"")</f>
        <v>п.4.3.1, п.4.3.2, п.4.4, п.4.9, п.5.1, п.5.2, п.6.2, п.9</v>
      </c>
      <c r="J267" s="12" t="n">
        <f aca="false">IFERROR(INDEX('Перечень должностей'!$D$2:$D$46,MATCH(H267,'Перечень должностей'!$A$2:$A$46,0)),12)</f>
        <v>12</v>
      </c>
      <c r="K267" s="17"/>
      <c r="L267" s="17"/>
      <c r="M267" s="16" t="str">
        <f aca="false">IF(K267="","",EDATE(IF(L267&lt;&gt;"",L267,K267),J267))</f>
        <v/>
      </c>
      <c r="N267" s="12" t="str">
        <f aca="false">IFERROR(INDEX('Перечень должностей'!$F$2:$F$46,MATCH(H267,'Перечень должностей'!$A$2:$A$46,0)),"")</f>
        <v>Проверить</v>
      </c>
      <c r="O267" s="17"/>
      <c r="P267" s="16" t="str">
        <f aca="false">IF(O267="","",EDATE(O267,60))</f>
        <v/>
      </c>
      <c r="Q267" s="12" t="str">
        <f aca="false">IF(AND(K267&lt;&gt;"",F267&lt;&gt;"",K267&gt;F267),"ДА","")</f>
        <v/>
      </c>
      <c r="R267" s="9"/>
    </row>
    <row r="268" customFormat="false" ht="26.25" hidden="false" customHeight="true" outlineLevel="0" collapsed="false">
      <c r="A268" s="15" t="n">
        <v>267</v>
      </c>
      <c r="B268" s="12" t="s">
        <v>411</v>
      </c>
      <c r="C268" s="15" t="s">
        <v>726</v>
      </c>
      <c r="D268" s="15" t="s">
        <v>79</v>
      </c>
      <c r="E268" s="15" t="s">
        <v>712</v>
      </c>
      <c r="F268" s="16" t="n">
        <v>45968</v>
      </c>
      <c r="G268" s="5" t="str">
        <f aca="false">IF(TRIM(SUBSTITUTE(SUBSTITUTE(SUBSTITUTE(SUBSTITUTE(SUBSTITUTE(SUBSTITUTE(SUBSTITUTE(SUBSTITUTE(SUBSTITUTE(SUBSTITUTE(SUBSTITUTE(LOWER(TRIM(D268)),"ё","е"),"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категории",""))="инженер",IF(AND(ISNUMBER(SEARCH("техническ",E268)),ISNUMBER(SEARCH("контрол",E268))),"инженер отк",IF(ISNUMBER(SEARCH("диспетч",E268)),"инженер пдо",TRIM(SUBSTITUTE(SUBSTITUTE(SUBSTITUTE(SUBSTITUTE(SUBSTITUTE(SUBSTITUTE(SUBSTITUTE(SUBSTITUTE(SUBSTITUTE(SUBSTITUTE(SUBSTITUTE(LOWER(TRIM(D268)),"ё","е"),"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инженер",IF(ISNUMBER(SEARCH("диспетч",E268)),"ведущий инженер пдо",TRIM(SUBSTITUTE(SUBSTITUTE(SUBSTITUTE(SUBSTITUTE(SUBSTITUTE(SUBSTITUTE(SUBSTITUTE(SUBSTITUTE(SUBSTITUTE(SUBSTITUTE(SUBSTITUTE(LOWER(TRIM(D268)),"ё","е"),"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отк",TRIM(SUBSTITUTE(SUBSTITUTE(SUBSTITUTE(SUBSTITUTE(SUBSTITUTE(SUBSTITUTE(SUBSTITUTE(SUBSTITUTE(SUBSTITUTE(SUBSTITUTE(SUBSTITUTE(LOWER(TRIM(D268)),"ё","е"),"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268" s="12" t="n">
        <f aca="false">IFERROR(INDEX(Соответствие!$B$2:$B$76,MATCH(G268,Соответствие!$A$2:$A$76,0)),"?")</f>
        <v>20</v>
      </c>
      <c r="I268" s="9" t="str">
        <f aca="false">IFERROR(INDEX('Перечень должностей'!$C$2:$C$46,MATCH(H268,'Перечень должностей'!$A$2:$A$46,0)),"")</f>
        <v>п.4.3.1, п.4.3.2, п.4.4, п.4.9, п.5.1, п.5.2, п.6.2, п.9</v>
      </c>
      <c r="J268" s="12" t="n">
        <f aca="false">IFERROR(INDEX('Перечень должностей'!$D$2:$D$46,MATCH(H268,'Перечень должностей'!$A$2:$A$46,0)),12)</f>
        <v>12</v>
      </c>
      <c r="K268" s="17" t="n">
        <v>45966</v>
      </c>
      <c r="L268" s="17"/>
      <c r="M268" s="16" t="n">
        <f aca="false">IF(K268="","",EDATE(IF(L268&lt;&gt;"",L268,K268),J268))</f>
        <v>46331</v>
      </c>
      <c r="N268" s="12" t="str">
        <f aca="false">IFERROR(INDEX('Перечень должностей'!$F$2:$F$46,MATCH(H268,'Перечень должностей'!$A$2:$A$46,0)),"")</f>
        <v>Проверить</v>
      </c>
      <c r="O268" s="17"/>
      <c r="P268" s="16" t="str">
        <f aca="false">IF(O268="","",EDATE(O268,60))</f>
        <v/>
      </c>
      <c r="Q268" s="12" t="str">
        <f aca="false">IF(AND(K268&lt;&gt;"",F268&lt;&gt;"",K268&gt;F268),"ДА","")</f>
        <v/>
      </c>
      <c r="R268" s="9"/>
    </row>
    <row r="269" customFormat="false" ht="26.25" hidden="false" customHeight="true" outlineLevel="0" collapsed="false">
      <c r="A269" s="15" t="n">
        <v>268</v>
      </c>
      <c r="B269" s="12" t="s">
        <v>411</v>
      </c>
      <c r="C269" s="15" t="s">
        <v>727</v>
      </c>
      <c r="D269" s="15" t="s">
        <v>728</v>
      </c>
      <c r="E269" s="15" t="s">
        <v>712</v>
      </c>
      <c r="F269" s="16" t="n">
        <v>45460</v>
      </c>
      <c r="G269" s="5" t="str">
        <f aca="false">IF(TRIM(SUBSTITUTE(SUBSTITUTE(SUBSTITUTE(SUBSTITUTE(SUBSTITUTE(SUBSTITUTE(SUBSTITUTE(SUBSTITUTE(SUBSTITUTE(SUBSTITUTE(SUBSTITUTE(LOWER(TRIM(D269)),"ё","е"),"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категории",""))="инженер",IF(AND(ISNUMBER(SEARCH("техническ",E269)),ISNUMBER(SEARCH("контрол",E269))),"инженер отк",IF(ISNUMBER(SEARCH("диспетч",E269)),"инженер пдо",TRIM(SUBSTITUTE(SUBSTITUTE(SUBSTITUTE(SUBSTITUTE(SUBSTITUTE(SUBSTITUTE(SUBSTITUTE(SUBSTITUTE(SUBSTITUTE(SUBSTITUTE(SUBSTITUTE(LOWER(TRIM(D269)),"ё","е"),"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инженер",IF(ISNUMBER(SEARCH("диспетч",E269)),"ведущий инженер пдо",TRIM(SUBSTITUTE(SUBSTITUTE(SUBSTITUTE(SUBSTITUTE(SUBSTITUTE(SUBSTITUTE(SUBSTITUTE(SUBSTITUTE(SUBSTITUTE(SUBSTITUTE(SUBSTITUTE(LOWER(TRIM(D269)),"ё","е"),"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отк",TRIM(SUBSTITUTE(SUBSTITUTE(SUBSTITUTE(SUBSTITUTE(SUBSTITUTE(SUBSTITUTE(SUBSTITUTE(SUBSTITUTE(SUBSTITUTE(SUBSTITUTE(SUBSTITUTE(LOWER(TRIM(D269)),"ё","е")," -","-"),"- ","-")," 2 разряда","")," 3 разряда","")," 4 разряда","")," 5 разряда","")," 6 разряда","")," 1 категории","")," 2 категории","")," 3 категории","")))))</f>
        <v>слесарь-клепальщик</v>
      </c>
      <c r="H269" s="12" t="n">
        <f aca="false">IFERROR(INDEX(Соответствие!$B$2:$B$76,MATCH(G269,Соответствие!$A$2:$A$76,0)),"?")</f>
        <v>41</v>
      </c>
      <c r="I269" s="9" t="str">
        <f aca="false">IFERROR(INDEX('Перечень должностей'!$C$2:$C$46,MATCH(H269,'Перечень должностей'!$A$2:$A$46,0)),"")</f>
        <v>п.4.3.1, п.4.3.2, п.4.4, п.5.1, п.5.2, п.15</v>
      </c>
      <c r="J269" s="12" t="n">
        <f aca="false">IFERROR(INDEX('Перечень должностей'!$D$2:$D$46,MATCH(H269,'Перечень должностей'!$A$2:$A$46,0)),12)</f>
        <v>12</v>
      </c>
      <c r="K269" s="17" t="n">
        <v>45454</v>
      </c>
      <c r="L269" s="17"/>
      <c r="M269" s="16" t="n">
        <f aca="false">IF(K269="","",EDATE(IF(L269&lt;&gt;"",L269,K269),J269))</f>
        <v>45819</v>
      </c>
      <c r="N269" s="12" t="str">
        <f aca="false">IFERROR(INDEX('Перечень должностей'!$F$2:$F$46,MATCH(H269,'Перечень должностей'!$A$2:$A$46,0)),"")</f>
        <v>-</v>
      </c>
      <c r="O269" s="17"/>
      <c r="P269" s="16" t="str">
        <f aca="false">IF(O269="","",EDATE(O269,60))</f>
        <v/>
      </c>
      <c r="Q269" s="12" t="str">
        <f aca="false">IF(AND(K269&lt;&gt;"",F269&lt;&gt;"",K269&gt;F269),"ДА","")</f>
        <v/>
      </c>
      <c r="R269" s="9"/>
    </row>
    <row r="270" customFormat="false" ht="26.25" hidden="false" customHeight="true" outlineLevel="0" collapsed="false">
      <c r="A270" s="15" t="n">
        <v>269</v>
      </c>
      <c r="B270" s="12" t="s">
        <v>407</v>
      </c>
      <c r="C270" s="15" t="s">
        <v>729</v>
      </c>
      <c r="D270" s="15" t="s">
        <v>540</v>
      </c>
      <c r="E270" s="15" t="s">
        <v>730</v>
      </c>
      <c r="F270" s="16" t="n">
        <v>45817</v>
      </c>
      <c r="G270" s="5" t="str">
        <f aca="false">IF(TRIM(SUBSTITUTE(SUBSTITUTE(SUBSTITUTE(SUBSTITUTE(SUBSTITUTE(SUBSTITUTE(SUBSTITUTE(SUBSTITUTE(SUBSTITUTE(SUBSTITUTE(SUBSTITUTE(LOWER(TRIM(D270)),"ё","е"),"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категории",""))="инженер",IF(AND(ISNUMBER(SEARCH("техническ",E270)),ISNUMBER(SEARCH("контрол",E270))),"инженер отк",IF(ISNUMBER(SEARCH("диспетч",E270)),"инженер пдо",TRIM(SUBSTITUTE(SUBSTITUTE(SUBSTITUTE(SUBSTITUTE(SUBSTITUTE(SUBSTITUTE(SUBSTITUTE(SUBSTITUTE(SUBSTITUTE(SUBSTITUTE(SUBSTITUTE(LOWER(TRIM(D270)),"ё","е"),"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инженер",IF(ISNUMBER(SEARCH("диспетч",E270)),"ведущий инженер пдо",TRIM(SUBSTITUTE(SUBSTITUTE(SUBSTITUTE(SUBSTITUTE(SUBSTITUTE(SUBSTITUTE(SUBSTITUTE(SUBSTITUTE(SUBSTITUTE(SUBSTITUTE(SUBSTITUTE(LOWER(TRIM(D270)),"ё","е"),"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отк",TRIM(SUBSTITUTE(SUBSTITUTE(SUBSTITUTE(SUBSTITUTE(SUBSTITUTE(SUBSTITUTE(SUBSTITUTE(SUBSTITUTE(SUBSTITUTE(SUBSTITUTE(SUBSTITUTE(LOWER(TRIM(D270)),"ё","е")," -","-"),"- ","-")," 2 разряда","")," 3 разряда","")," 4 разряда","")," 5 разряда","")," 6 разряда","")," 1 категории","")," 2 категории","")," 3 категории","")))))</f>
        <v>диспетчер</v>
      </c>
      <c r="H270" s="12" t="n">
        <f aca="false">IFERROR(INDEX(Соответствие!$B$2:$B$76,MATCH(G270,Соответствие!$A$2:$A$76,0)),"?")</f>
        <v>28</v>
      </c>
      <c r="I270" s="9" t="str">
        <f aca="false">IFERROR(INDEX('Перечень должностей'!$C$2:$C$46,MATCH(H270,'Перечень должностей'!$A$2:$A$46,0)),"")</f>
        <v>п.4.4, п.5.1, п.5.2</v>
      </c>
      <c r="J270" s="12" t="n">
        <f aca="false">IFERROR(INDEX('Перечень должностей'!$D$2:$D$46,MATCH(H270,'Перечень должностей'!$A$2:$A$46,0)),12)</f>
        <v>12</v>
      </c>
      <c r="K270" s="17"/>
      <c r="L270" s="17"/>
      <c r="M270" s="16" t="str">
        <f aca="false">IF(K270="","",EDATE(IF(L270&lt;&gt;"",L270,K270),J270))</f>
        <v/>
      </c>
      <c r="N270" s="12" t="str">
        <f aca="false">IFERROR(INDEX('Перечень должностей'!$F$2:$F$46,MATCH(H270,'Перечень должностей'!$A$2:$A$46,0)),"")</f>
        <v>-</v>
      </c>
      <c r="O270" s="17"/>
      <c r="P270" s="16" t="str">
        <f aca="false">IF(O270="","",EDATE(O270,60))</f>
        <v/>
      </c>
      <c r="Q270" s="12" t="str">
        <f aca="false">IF(AND(K270&lt;&gt;"",F270&lt;&gt;"",K270&gt;F270),"ДА","")</f>
        <v/>
      </c>
      <c r="R270" s="9"/>
    </row>
    <row r="271" customFormat="false" ht="26.25" hidden="false" customHeight="true" outlineLevel="0" collapsed="false">
      <c r="A271" s="15" t="n">
        <v>270</v>
      </c>
      <c r="B271" s="12" t="s">
        <v>407</v>
      </c>
      <c r="C271" s="15" t="s">
        <v>731</v>
      </c>
      <c r="D271" s="15" t="s">
        <v>507</v>
      </c>
      <c r="E271" s="15" t="s">
        <v>732</v>
      </c>
      <c r="F271" s="16" t="n">
        <v>45967</v>
      </c>
      <c r="G271" s="5" t="str">
        <f aca="false">IF(TRIM(SUBSTITUTE(SUBSTITUTE(SUBSTITUTE(SUBSTITUTE(SUBSTITUTE(SUBSTITUTE(SUBSTITUTE(SUBSTITUTE(SUBSTITUTE(SUBSTITUTE(SUBSTITUTE(LOWER(TRIM(D271)),"ё","е"),"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категории",""))="инженер",IF(AND(ISNUMBER(SEARCH("техническ",E271)),ISNUMBER(SEARCH("контрол",E271))),"инженер отк",IF(ISNUMBER(SEARCH("диспетч",E271)),"инженер пдо",TRIM(SUBSTITUTE(SUBSTITUTE(SUBSTITUTE(SUBSTITUTE(SUBSTITUTE(SUBSTITUTE(SUBSTITUTE(SUBSTITUTE(SUBSTITUTE(SUBSTITUTE(SUBSTITUTE(LOWER(TRIM(D271)),"ё","е"),"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инженер",IF(ISNUMBER(SEARCH("диспетч",E271)),"ведущий инженер пдо",TRIM(SUBSTITUTE(SUBSTITUTE(SUBSTITUTE(SUBSTITUTE(SUBSTITUTE(SUBSTITUTE(SUBSTITUTE(SUBSTITUTE(SUBSTITUTE(SUBSTITUTE(SUBSTITUTE(LOWER(TRIM(D271)),"ё","е"),"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отк",TRIM(SUBSTITUTE(SUBSTITUTE(SUBSTITUTE(SUBSTITUTE(SUBSTITUTE(SUBSTITUTE(SUBSTITUTE(SUBSTITUTE(SUBSTITUTE(SUBSTITUTE(SUBSTITUTE(LOWER(TRIM(D271)),"ё","е"),"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71" s="12" t="n">
        <f aca="false">IFERROR(INDEX(Соответствие!$B$2:$B$76,MATCH(G271,Соответствие!$A$2:$A$76,0)),"?")</f>
        <v>19</v>
      </c>
      <c r="I271" s="9" t="str">
        <f aca="false">IFERROR(INDEX('Перечень должностей'!$C$2:$C$46,MATCH(H271,'Перечень должностей'!$A$2:$A$46,0)),"")</f>
        <v>п.4.3.1, п.4.3.2, п.4.4, п.5.1, п.6.2, п.15</v>
      </c>
      <c r="J271" s="12" t="n">
        <f aca="false">IFERROR(INDEX('Перечень должностей'!$D$2:$D$46,MATCH(H271,'Перечень должностей'!$A$2:$A$46,0)),12)</f>
        <v>12</v>
      </c>
      <c r="K271" s="17" t="n">
        <v>45959</v>
      </c>
      <c r="L271" s="17"/>
      <c r="M271" s="16" t="n">
        <f aca="false">IF(K271="","",EDATE(IF(L271&lt;&gt;"",L271,K271),J271))</f>
        <v>46324</v>
      </c>
      <c r="N271" s="12" t="str">
        <f aca="false">IFERROR(INDEX('Перечень должностей'!$F$2:$F$46,MATCH(H271,'Перечень должностей'!$A$2:$A$46,0)),"")</f>
        <v>-</v>
      </c>
      <c r="O271" s="17"/>
      <c r="P271" s="16" t="str">
        <f aca="false">IF(O271="","",EDATE(O271,60))</f>
        <v/>
      </c>
      <c r="Q271" s="12" t="str">
        <f aca="false">IF(AND(K271&lt;&gt;"",F271&lt;&gt;"",K271&gt;F271),"ДА","")</f>
        <v/>
      </c>
      <c r="R271" s="9"/>
    </row>
    <row r="272" customFormat="false" ht="23.25" hidden="false" customHeight="true" outlineLevel="0" collapsed="false">
      <c r="A272" s="15" t="n">
        <v>271</v>
      </c>
      <c r="B272" s="12" t="s">
        <v>407</v>
      </c>
      <c r="C272" s="15" t="s">
        <v>733</v>
      </c>
      <c r="D272" s="15" t="s">
        <v>507</v>
      </c>
      <c r="E272" s="15" t="s">
        <v>732</v>
      </c>
      <c r="F272" s="16" t="n">
        <v>45999</v>
      </c>
      <c r="G272" s="5" t="str">
        <f aca="false">IF(TRIM(SUBSTITUTE(SUBSTITUTE(SUBSTITUTE(SUBSTITUTE(SUBSTITUTE(SUBSTITUTE(SUBSTITUTE(SUBSTITUTE(SUBSTITUTE(SUBSTITUTE(SUBSTITUTE(LOWER(TRIM(D272)),"ё","е"),"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категории",""))="инженер",IF(AND(ISNUMBER(SEARCH("техническ",E272)),ISNUMBER(SEARCH("контрол",E272))),"инженер отк",IF(ISNUMBER(SEARCH("диспетч",E272)),"инженер пдо",TRIM(SUBSTITUTE(SUBSTITUTE(SUBSTITUTE(SUBSTITUTE(SUBSTITUTE(SUBSTITUTE(SUBSTITUTE(SUBSTITUTE(SUBSTITUTE(SUBSTITUTE(SUBSTITUTE(LOWER(TRIM(D272)),"ё","е"),"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инженер",IF(ISNUMBER(SEARCH("диспетч",E272)),"ведущий инженер пдо",TRIM(SUBSTITUTE(SUBSTITUTE(SUBSTITUTE(SUBSTITUTE(SUBSTITUTE(SUBSTITUTE(SUBSTITUTE(SUBSTITUTE(SUBSTITUTE(SUBSTITUTE(SUBSTITUTE(LOWER(TRIM(D272)),"ё","е"),"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отк",TRIM(SUBSTITUTE(SUBSTITUTE(SUBSTITUTE(SUBSTITUTE(SUBSTITUTE(SUBSTITUTE(SUBSTITUTE(SUBSTITUTE(SUBSTITUTE(SUBSTITUTE(SUBSTITUTE(LOWER(TRIM(D272)),"ё","е"),"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72" s="12" t="n">
        <f aca="false">IFERROR(INDEX(Соответствие!$B$2:$B$76,MATCH(G272,Соответствие!$A$2:$A$76,0)),"?")</f>
        <v>19</v>
      </c>
      <c r="I272" s="9" t="str">
        <f aca="false">IFERROR(INDEX('Перечень должностей'!$C$2:$C$46,MATCH(H272,'Перечень должностей'!$A$2:$A$46,0)),"")</f>
        <v>п.4.3.1, п.4.3.2, п.4.4, п.5.1, п.6.2, п.15</v>
      </c>
      <c r="J272" s="12" t="n">
        <f aca="false">IFERROR(INDEX('Перечень должностей'!$D$2:$D$46,MATCH(H272,'Перечень должностей'!$A$2:$A$46,0)),12)</f>
        <v>12</v>
      </c>
      <c r="K272" s="17" t="n">
        <v>45989</v>
      </c>
      <c r="L272" s="17"/>
      <c r="M272" s="16" t="n">
        <f aca="false">IF(K272="","",EDATE(IF(L272&lt;&gt;"",L272,K272),J272))</f>
        <v>46354</v>
      </c>
      <c r="N272" s="12" t="str">
        <f aca="false">IFERROR(INDEX('Перечень должностей'!$F$2:$F$46,MATCH(H272,'Перечень должностей'!$A$2:$A$46,0)),"")</f>
        <v>-</v>
      </c>
      <c r="O272" s="17"/>
      <c r="P272" s="16" t="str">
        <f aca="false">IF(O272="","",EDATE(O272,60))</f>
        <v/>
      </c>
      <c r="Q272" s="12" t="str">
        <f aca="false">IF(AND(K272&lt;&gt;"",F272&lt;&gt;"",K272&gt;F272),"ДА","")</f>
        <v/>
      </c>
      <c r="R272" s="9"/>
    </row>
    <row r="273" customFormat="false" ht="26.25" hidden="false" customHeight="true" outlineLevel="0" collapsed="false">
      <c r="A273" s="15" t="n">
        <v>272</v>
      </c>
      <c r="B273" s="12" t="s">
        <v>407</v>
      </c>
      <c r="C273" s="15" t="s">
        <v>734</v>
      </c>
      <c r="D273" s="15" t="s">
        <v>507</v>
      </c>
      <c r="E273" s="15" t="s">
        <v>732</v>
      </c>
      <c r="F273" s="16" t="n">
        <v>45882</v>
      </c>
      <c r="G273" s="5" t="str">
        <f aca="false">IF(TRIM(SUBSTITUTE(SUBSTITUTE(SUBSTITUTE(SUBSTITUTE(SUBSTITUTE(SUBSTITUTE(SUBSTITUTE(SUBSTITUTE(SUBSTITUTE(SUBSTITUTE(SUBSTITUTE(LOWER(TRIM(D273)),"ё","е"),"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категории",""))="инженер",IF(AND(ISNUMBER(SEARCH("техническ",E273)),ISNUMBER(SEARCH("контрол",E273))),"инженер отк",IF(ISNUMBER(SEARCH("диспетч",E273)),"инженер пдо",TRIM(SUBSTITUTE(SUBSTITUTE(SUBSTITUTE(SUBSTITUTE(SUBSTITUTE(SUBSTITUTE(SUBSTITUTE(SUBSTITUTE(SUBSTITUTE(SUBSTITUTE(SUBSTITUTE(LOWER(TRIM(D273)),"ё","е"),"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инженер",IF(ISNUMBER(SEARCH("диспетч",E273)),"ведущий инженер пдо",TRIM(SUBSTITUTE(SUBSTITUTE(SUBSTITUTE(SUBSTITUTE(SUBSTITUTE(SUBSTITUTE(SUBSTITUTE(SUBSTITUTE(SUBSTITUTE(SUBSTITUTE(SUBSTITUTE(LOWER(TRIM(D273)),"ё","е"),"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отк",TRIM(SUBSTITUTE(SUBSTITUTE(SUBSTITUTE(SUBSTITUTE(SUBSTITUTE(SUBSTITUTE(SUBSTITUTE(SUBSTITUTE(SUBSTITUTE(SUBSTITUTE(SUBSTITUTE(LOWER(TRIM(D273)),"ё","е"),"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73" s="12" t="n">
        <f aca="false">IFERROR(INDEX(Соответствие!$B$2:$B$76,MATCH(G273,Соответствие!$A$2:$A$76,0)),"?")</f>
        <v>19</v>
      </c>
      <c r="I273" s="9" t="str">
        <f aca="false">IFERROR(INDEX('Перечень должностей'!$C$2:$C$46,MATCH(H273,'Перечень должностей'!$A$2:$A$46,0)),"")</f>
        <v>п.4.3.1, п.4.3.2, п.4.4, п.5.1, п.6.2, п.15</v>
      </c>
      <c r="J273" s="12" t="n">
        <f aca="false">IFERROR(INDEX('Перечень должностей'!$D$2:$D$46,MATCH(H273,'Перечень должностей'!$A$2:$A$46,0)),12)</f>
        <v>12</v>
      </c>
      <c r="K273" s="17" t="n">
        <v>45873</v>
      </c>
      <c r="L273" s="17"/>
      <c r="M273" s="16" t="n">
        <f aca="false">IF(K273="","",EDATE(IF(L273&lt;&gt;"",L273,K273),J273))</f>
        <v>46238</v>
      </c>
      <c r="N273" s="12" t="str">
        <f aca="false">IFERROR(INDEX('Перечень должностей'!$F$2:$F$46,MATCH(H273,'Перечень должностей'!$A$2:$A$46,0)),"")</f>
        <v>-</v>
      </c>
      <c r="O273" s="17"/>
      <c r="P273" s="16" t="str">
        <f aca="false">IF(O273="","",EDATE(O273,60))</f>
        <v/>
      </c>
      <c r="Q273" s="12" t="str">
        <f aca="false">IF(AND(K273&lt;&gt;"",F273&lt;&gt;"",K273&gt;F273),"ДА","")</f>
        <v/>
      </c>
      <c r="R273" s="9"/>
    </row>
    <row r="274" customFormat="false" ht="26.25" hidden="false" customHeight="true" outlineLevel="0" collapsed="false">
      <c r="A274" s="15" t="n">
        <v>273</v>
      </c>
      <c r="B274" s="12" t="s">
        <v>407</v>
      </c>
      <c r="C274" s="15" t="s">
        <v>735</v>
      </c>
      <c r="D274" s="15" t="s">
        <v>507</v>
      </c>
      <c r="E274" s="15" t="s">
        <v>732</v>
      </c>
      <c r="F274" s="16" t="n">
        <v>45847</v>
      </c>
      <c r="G274" s="5" t="str">
        <f aca="false">IF(TRIM(SUBSTITUTE(SUBSTITUTE(SUBSTITUTE(SUBSTITUTE(SUBSTITUTE(SUBSTITUTE(SUBSTITUTE(SUBSTITUTE(SUBSTITUTE(SUBSTITUTE(SUBSTITUTE(LOWER(TRIM(D274)),"ё","е"),"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категории",""))="инженер",IF(AND(ISNUMBER(SEARCH("техническ",E274)),ISNUMBER(SEARCH("контрол",E274))),"инженер отк",IF(ISNUMBER(SEARCH("диспетч",E274)),"инженер пдо",TRIM(SUBSTITUTE(SUBSTITUTE(SUBSTITUTE(SUBSTITUTE(SUBSTITUTE(SUBSTITUTE(SUBSTITUTE(SUBSTITUTE(SUBSTITUTE(SUBSTITUTE(SUBSTITUTE(LOWER(TRIM(D274)),"ё","е"),"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инженер",IF(ISNUMBER(SEARCH("диспетч",E274)),"ведущий инженер пдо",TRIM(SUBSTITUTE(SUBSTITUTE(SUBSTITUTE(SUBSTITUTE(SUBSTITUTE(SUBSTITUTE(SUBSTITUTE(SUBSTITUTE(SUBSTITUTE(SUBSTITUTE(SUBSTITUTE(LOWER(TRIM(D274)),"ё","е"),"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отк",TRIM(SUBSTITUTE(SUBSTITUTE(SUBSTITUTE(SUBSTITUTE(SUBSTITUTE(SUBSTITUTE(SUBSTITUTE(SUBSTITUTE(SUBSTITUTE(SUBSTITUTE(SUBSTITUTE(LOWER(TRIM(D274)),"ё","е"),"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74" s="12" t="n">
        <f aca="false">IFERROR(INDEX(Соответствие!$B$2:$B$76,MATCH(G274,Соответствие!$A$2:$A$76,0)),"?")</f>
        <v>19</v>
      </c>
      <c r="I274" s="9" t="str">
        <f aca="false">IFERROR(INDEX('Перечень должностей'!$C$2:$C$46,MATCH(H274,'Перечень должностей'!$A$2:$A$46,0)),"")</f>
        <v>п.4.3.1, п.4.3.2, п.4.4, п.5.1, п.6.2, п.15</v>
      </c>
      <c r="J274" s="12" t="n">
        <f aca="false">IFERROR(INDEX('Перечень должностей'!$D$2:$D$46,MATCH(H274,'Перечень должностей'!$A$2:$A$46,0)),12)</f>
        <v>12</v>
      </c>
      <c r="K274" s="17" t="n">
        <v>45843</v>
      </c>
      <c r="L274" s="17"/>
      <c r="M274" s="16" t="n">
        <f aca="false">IF(K274="","",EDATE(IF(L274&lt;&gt;"",L274,K274),J274))</f>
        <v>46208</v>
      </c>
      <c r="N274" s="12" t="str">
        <f aca="false">IFERROR(INDEX('Перечень должностей'!$F$2:$F$46,MATCH(H274,'Перечень должностей'!$A$2:$A$46,0)),"")</f>
        <v>-</v>
      </c>
      <c r="O274" s="17"/>
      <c r="P274" s="16" t="str">
        <f aca="false">IF(O274="","",EDATE(O274,60))</f>
        <v/>
      </c>
      <c r="Q274" s="12" t="str">
        <f aca="false">IF(AND(K274&lt;&gt;"",F274&lt;&gt;"",K274&gt;F274),"ДА","")</f>
        <v/>
      </c>
      <c r="R274" s="9"/>
    </row>
    <row r="275" customFormat="false" ht="26.25" hidden="false" customHeight="true" outlineLevel="0" collapsed="false">
      <c r="A275" s="15" t="n">
        <v>274</v>
      </c>
      <c r="B275" s="12" t="s">
        <v>407</v>
      </c>
      <c r="C275" s="15" t="s">
        <v>736</v>
      </c>
      <c r="D275" s="15" t="s">
        <v>507</v>
      </c>
      <c r="E275" s="15" t="s">
        <v>732</v>
      </c>
      <c r="F275" s="16" t="n">
        <v>45908</v>
      </c>
      <c r="G275" s="5" t="str">
        <f aca="false">IF(TRIM(SUBSTITUTE(SUBSTITUTE(SUBSTITUTE(SUBSTITUTE(SUBSTITUTE(SUBSTITUTE(SUBSTITUTE(SUBSTITUTE(SUBSTITUTE(SUBSTITUTE(SUBSTITUTE(LOWER(TRIM(D275)),"ё","е"),"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категории",""))="инженер",IF(AND(ISNUMBER(SEARCH("техническ",E275)),ISNUMBER(SEARCH("контрол",E275))),"инженер отк",IF(ISNUMBER(SEARCH("диспетч",E275)),"инженер пдо",TRIM(SUBSTITUTE(SUBSTITUTE(SUBSTITUTE(SUBSTITUTE(SUBSTITUTE(SUBSTITUTE(SUBSTITUTE(SUBSTITUTE(SUBSTITUTE(SUBSTITUTE(SUBSTITUTE(LOWER(TRIM(D275)),"ё","е"),"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инженер",IF(ISNUMBER(SEARCH("диспетч",E275)),"ведущий инженер пдо",TRIM(SUBSTITUTE(SUBSTITUTE(SUBSTITUTE(SUBSTITUTE(SUBSTITUTE(SUBSTITUTE(SUBSTITUTE(SUBSTITUTE(SUBSTITUTE(SUBSTITUTE(SUBSTITUTE(LOWER(TRIM(D275)),"ё","е"),"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отк",TRIM(SUBSTITUTE(SUBSTITUTE(SUBSTITUTE(SUBSTITUTE(SUBSTITUTE(SUBSTITUTE(SUBSTITUTE(SUBSTITUTE(SUBSTITUTE(SUBSTITUTE(SUBSTITUTE(LOWER(TRIM(D275)),"ё","е"),"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75" s="12" t="n">
        <f aca="false">IFERROR(INDEX(Соответствие!$B$2:$B$76,MATCH(G275,Соответствие!$A$2:$A$76,0)),"?")</f>
        <v>19</v>
      </c>
      <c r="I275" s="9" t="str">
        <f aca="false">IFERROR(INDEX('Перечень должностей'!$C$2:$C$46,MATCH(H275,'Перечень должностей'!$A$2:$A$46,0)),"")</f>
        <v>п.4.3.1, п.4.3.2, п.4.4, п.5.1, п.6.2, п.15</v>
      </c>
      <c r="J275" s="12" t="n">
        <f aca="false">IFERROR(INDEX('Перечень должностей'!$D$2:$D$46,MATCH(H275,'Перечень должностей'!$A$2:$A$46,0)),12)</f>
        <v>12</v>
      </c>
      <c r="K275" s="17"/>
      <c r="L275" s="17"/>
      <c r="M275" s="16" t="str">
        <f aca="false">IF(K275="","",EDATE(IF(L275&lt;&gt;"",L275,K275),J275))</f>
        <v/>
      </c>
      <c r="N275" s="12" t="str">
        <f aca="false">IFERROR(INDEX('Перечень должностей'!$F$2:$F$46,MATCH(H275,'Перечень должностей'!$A$2:$A$46,0)),"")</f>
        <v>-</v>
      </c>
      <c r="O275" s="17"/>
      <c r="P275" s="16" t="str">
        <f aca="false">IF(O275="","",EDATE(O275,60))</f>
        <v/>
      </c>
      <c r="Q275" s="12" t="str">
        <f aca="false">IF(AND(K275&lt;&gt;"",F275&lt;&gt;"",K275&gt;F275),"ДА","")</f>
        <v/>
      </c>
      <c r="R275" s="9"/>
    </row>
    <row r="276" customFormat="false" ht="26.25" hidden="false" customHeight="true" outlineLevel="0" collapsed="false">
      <c r="A276" s="15" t="n">
        <v>275</v>
      </c>
      <c r="B276" s="12" t="s">
        <v>407</v>
      </c>
      <c r="C276" s="15" t="s">
        <v>737</v>
      </c>
      <c r="D276" s="15" t="s">
        <v>507</v>
      </c>
      <c r="E276" s="15" t="s">
        <v>732</v>
      </c>
      <c r="F276" s="16" t="n">
        <v>46007</v>
      </c>
      <c r="G276" s="5" t="str">
        <f aca="false">IF(TRIM(SUBSTITUTE(SUBSTITUTE(SUBSTITUTE(SUBSTITUTE(SUBSTITUTE(SUBSTITUTE(SUBSTITUTE(SUBSTITUTE(SUBSTITUTE(SUBSTITUTE(SUBSTITUTE(LOWER(TRIM(D276)),"ё","е"),"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категории",""))="инженер",IF(AND(ISNUMBER(SEARCH("техническ",E276)),ISNUMBER(SEARCH("контрол",E276))),"инженер отк",IF(ISNUMBER(SEARCH("диспетч",E276)),"инженер пдо",TRIM(SUBSTITUTE(SUBSTITUTE(SUBSTITUTE(SUBSTITUTE(SUBSTITUTE(SUBSTITUTE(SUBSTITUTE(SUBSTITUTE(SUBSTITUTE(SUBSTITUTE(SUBSTITUTE(LOWER(TRIM(D276)),"ё","е"),"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инженер",IF(ISNUMBER(SEARCH("диспетч",E276)),"ведущий инженер пдо",TRIM(SUBSTITUTE(SUBSTITUTE(SUBSTITUTE(SUBSTITUTE(SUBSTITUTE(SUBSTITUTE(SUBSTITUTE(SUBSTITUTE(SUBSTITUTE(SUBSTITUTE(SUBSTITUTE(LOWER(TRIM(D276)),"ё","е"),"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отк",TRIM(SUBSTITUTE(SUBSTITUTE(SUBSTITUTE(SUBSTITUTE(SUBSTITUTE(SUBSTITUTE(SUBSTITUTE(SUBSTITUTE(SUBSTITUTE(SUBSTITUTE(SUBSTITUTE(LOWER(TRIM(D276)),"ё","е"),"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76" s="12" t="n">
        <f aca="false">IFERROR(INDEX(Соответствие!$B$2:$B$76,MATCH(G276,Соответствие!$A$2:$A$76,0)),"?")</f>
        <v>19</v>
      </c>
      <c r="I276" s="9" t="str">
        <f aca="false">IFERROR(INDEX('Перечень должностей'!$C$2:$C$46,MATCH(H276,'Перечень должностей'!$A$2:$A$46,0)),"")</f>
        <v>п.4.3.1, п.4.3.2, п.4.4, п.5.1, п.6.2, п.15</v>
      </c>
      <c r="J276" s="12" t="n">
        <f aca="false">IFERROR(INDEX('Перечень должностей'!$D$2:$D$46,MATCH(H276,'Перечень должностей'!$A$2:$A$46,0)),12)</f>
        <v>12</v>
      </c>
      <c r="K276" s="17" t="n">
        <v>46001</v>
      </c>
      <c r="L276" s="17"/>
      <c r="M276" s="16" t="n">
        <f aca="false">IF(K276="","",EDATE(IF(L276&lt;&gt;"",L276,K276),J276))</f>
        <v>46366</v>
      </c>
      <c r="N276" s="12" t="str">
        <f aca="false">IFERROR(INDEX('Перечень должностей'!$F$2:$F$46,MATCH(H276,'Перечень должностей'!$A$2:$A$46,0)),"")</f>
        <v>-</v>
      </c>
      <c r="O276" s="17"/>
      <c r="P276" s="16" t="str">
        <f aca="false">IF(O276="","",EDATE(O276,60))</f>
        <v/>
      </c>
      <c r="Q276" s="12" t="str">
        <f aca="false">IF(AND(K276&lt;&gt;"",F276&lt;&gt;"",K276&gt;F276),"ДА","")</f>
        <v/>
      </c>
      <c r="R276" s="9"/>
    </row>
    <row r="277" customFormat="false" ht="26.25" hidden="false" customHeight="true" outlineLevel="0" collapsed="false">
      <c r="A277" s="15" t="n">
        <v>276</v>
      </c>
      <c r="B277" s="12" t="s">
        <v>407</v>
      </c>
      <c r="C277" s="15" t="s">
        <v>738</v>
      </c>
      <c r="D277" s="15" t="s">
        <v>507</v>
      </c>
      <c r="E277" s="15" t="s">
        <v>732</v>
      </c>
      <c r="F277" s="16" t="n">
        <v>45958</v>
      </c>
      <c r="G277" s="5" t="str">
        <f aca="false">IF(TRIM(SUBSTITUTE(SUBSTITUTE(SUBSTITUTE(SUBSTITUTE(SUBSTITUTE(SUBSTITUTE(SUBSTITUTE(SUBSTITUTE(SUBSTITUTE(SUBSTITUTE(SUBSTITUTE(LOWER(TRIM(D277)),"ё","е"),"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категории",""))="инженер",IF(AND(ISNUMBER(SEARCH("техническ",E277)),ISNUMBER(SEARCH("контрол",E277))),"инженер отк",IF(ISNUMBER(SEARCH("диспетч",E277)),"инженер пдо",TRIM(SUBSTITUTE(SUBSTITUTE(SUBSTITUTE(SUBSTITUTE(SUBSTITUTE(SUBSTITUTE(SUBSTITUTE(SUBSTITUTE(SUBSTITUTE(SUBSTITUTE(SUBSTITUTE(LOWER(TRIM(D277)),"ё","е"),"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инженер",IF(ISNUMBER(SEARCH("диспетч",E277)),"ведущий инженер пдо",TRIM(SUBSTITUTE(SUBSTITUTE(SUBSTITUTE(SUBSTITUTE(SUBSTITUTE(SUBSTITUTE(SUBSTITUTE(SUBSTITUTE(SUBSTITUTE(SUBSTITUTE(SUBSTITUTE(LOWER(TRIM(D277)),"ё","е"),"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отк",TRIM(SUBSTITUTE(SUBSTITUTE(SUBSTITUTE(SUBSTITUTE(SUBSTITUTE(SUBSTITUTE(SUBSTITUTE(SUBSTITUTE(SUBSTITUTE(SUBSTITUTE(SUBSTITUTE(LOWER(TRIM(D277)),"ё","е"),"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77" s="12" t="n">
        <f aca="false">IFERROR(INDEX(Соответствие!$B$2:$B$76,MATCH(G277,Соответствие!$A$2:$A$76,0)),"?")</f>
        <v>19</v>
      </c>
      <c r="I277" s="9" t="str">
        <f aca="false">IFERROR(INDEX('Перечень должностей'!$C$2:$C$46,MATCH(H277,'Перечень должностей'!$A$2:$A$46,0)),"")</f>
        <v>п.4.3.1, п.4.3.2, п.4.4, п.5.1, п.6.2, п.15</v>
      </c>
      <c r="J277" s="12" t="n">
        <f aca="false">IFERROR(INDEX('Перечень должностей'!$D$2:$D$46,MATCH(H277,'Перечень должностей'!$A$2:$A$46,0)),12)</f>
        <v>12</v>
      </c>
      <c r="K277" s="17"/>
      <c r="L277" s="17"/>
      <c r="M277" s="16" t="str">
        <f aca="false">IF(K277="","",EDATE(IF(L277&lt;&gt;"",L277,K277),J277))</f>
        <v/>
      </c>
      <c r="N277" s="12" t="str">
        <f aca="false">IFERROR(INDEX('Перечень должностей'!$F$2:$F$46,MATCH(H277,'Перечень должностей'!$A$2:$A$46,0)),"")</f>
        <v>-</v>
      </c>
      <c r="O277" s="17"/>
      <c r="P277" s="16" t="str">
        <f aca="false">IF(O277="","",EDATE(O277,60))</f>
        <v/>
      </c>
      <c r="Q277" s="12" t="str">
        <f aca="false">IF(AND(K277&lt;&gt;"",F277&lt;&gt;"",K277&gt;F277),"ДА","")</f>
        <v/>
      </c>
      <c r="R277" s="9"/>
    </row>
    <row r="278" customFormat="false" ht="26.25" hidden="false" customHeight="true" outlineLevel="0" collapsed="false">
      <c r="A278" s="15" t="n">
        <v>277</v>
      </c>
      <c r="B278" s="12" t="s">
        <v>407</v>
      </c>
      <c r="C278" s="15" t="s">
        <v>739</v>
      </c>
      <c r="D278" s="15" t="s">
        <v>507</v>
      </c>
      <c r="E278" s="15" t="s">
        <v>732</v>
      </c>
      <c r="F278" s="16" t="n">
        <v>46056</v>
      </c>
      <c r="G278" s="5" t="str">
        <f aca="false">IF(TRIM(SUBSTITUTE(SUBSTITUTE(SUBSTITUTE(SUBSTITUTE(SUBSTITUTE(SUBSTITUTE(SUBSTITUTE(SUBSTITUTE(SUBSTITUTE(SUBSTITUTE(SUBSTITUTE(LOWER(TRIM(D278)),"ё","е"),"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категории",""))="инженер",IF(AND(ISNUMBER(SEARCH("техническ",E278)),ISNUMBER(SEARCH("контрол",E278))),"инженер отк",IF(ISNUMBER(SEARCH("диспетч",E278)),"инженер пдо",TRIM(SUBSTITUTE(SUBSTITUTE(SUBSTITUTE(SUBSTITUTE(SUBSTITUTE(SUBSTITUTE(SUBSTITUTE(SUBSTITUTE(SUBSTITUTE(SUBSTITUTE(SUBSTITUTE(LOWER(TRIM(D278)),"ё","е"),"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инженер",IF(ISNUMBER(SEARCH("диспетч",E278)),"ведущий инженер пдо",TRIM(SUBSTITUTE(SUBSTITUTE(SUBSTITUTE(SUBSTITUTE(SUBSTITUTE(SUBSTITUTE(SUBSTITUTE(SUBSTITUTE(SUBSTITUTE(SUBSTITUTE(SUBSTITUTE(LOWER(TRIM(D278)),"ё","е"),"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отк",TRIM(SUBSTITUTE(SUBSTITUTE(SUBSTITUTE(SUBSTITUTE(SUBSTITUTE(SUBSTITUTE(SUBSTITUTE(SUBSTITUTE(SUBSTITUTE(SUBSTITUTE(SUBSTITUTE(LOWER(TRIM(D278)),"ё","е"),"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78" s="12" t="n">
        <f aca="false">IFERROR(INDEX(Соответствие!$B$2:$B$76,MATCH(G278,Соответствие!$A$2:$A$76,0)),"?")</f>
        <v>19</v>
      </c>
      <c r="I278" s="9" t="str">
        <f aca="false">IFERROR(INDEX('Перечень должностей'!$C$2:$C$46,MATCH(H278,'Перечень должностей'!$A$2:$A$46,0)),"")</f>
        <v>п.4.3.1, п.4.3.2, п.4.4, п.5.1, п.6.2, п.15</v>
      </c>
      <c r="J278" s="12" t="n">
        <f aca="false">IFERROR(INDEX('Перечень должностей'!$D$2:$D$46,MATCH(H278,'Перечень должностей'!$A$2:$A$46,0)),12)</f>
        <v>12</v>
      </c>
      <c r="K278" s="17" t="n">
        <v>46051</v>
      </c>
      <c r="L278" s="17"/>
      <c r="M278" s="16" t="n">
        <f aca="false">IF(K278="","",EDATE(IF(L278&lt;&gt;"",L278,K278),J278))</f>
        <v>46416</v>
      </c>
      <c r="N278" s="12" t="str">
        <f aca="false">IFERROR(INDEX('Перечень должностей'!$F$2:$F$46,MATCH(H278,'Перечень должностей'!$A$2:$A$46,0)),"")</f>
        <v>-</v>
      </c>
      <c r="O278" s="17"/>
      <c r="P278" s="16" t="str">
        <f aca="false">IF(O278="","",EDATE(O278,60))</f>
        <v/>
      </c>
      <c r="Q278" s="12" t="str">
        <f aca="false">IF(AND(K278&lt;&gt;"",F278&lt;&gt;"",K278&gt;F278),"ДА","")</f>
        <v/>
      </c>
      <c r="R278" s="9"/>
    </row>
    <row r="279" customFormat="false" ht="26.25" hidden="false" customHeight="true" outlineLevel="0" collapsed="false">
      <c r="A279" s="15" t="n">
        <v>278</v>
      </c>
      <c r="B279" s="12" t="s">
        <v>407</v>
      </c>
      <c r="C279" s="15" t="s">
        <v>740</v>
      </c>
      <c r="D279" s="15" t="s">
        <v>741</v>
      </c>
      <c r="E279" s="15" t="s">
        <v>732</v>
      </c>
      <c r="F279" s="16" t="n">
        <v>45966</v>
      </c>
      <c r="G279" s="5" t="str">
        <f aca="false">IF(TRIM(SUBSTITUTE(SUBSTITUTE(SUBSTITUTE(SUBSTITUTE(SUBSTITUTE(SUBSTITUTE(SUBSTITUTE(SUBSTITUTE(SUBSTITUTE(SUBSTITUTE(SUBSTITUTE(LOWER(TRIM(D279)),"ё","е"),"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категории",""))="инженер",IF(AND(ISNUMBER(SEARCH("техническ",E279)),ISNUMBER(SEARCH("контрол",E279))),"инженер отк",IF(ISNUMBER(SEARCH("диспетч",E279)),"инженер пдо",TRIM(SUBSTITUTE(SUBSTITUTE(SUBSTITUTE(SUBSTITUTE(SUBSTITUTE(SUBSTITUTE(SUBSTITUTE(SUBSTITUTE(SUBSTITUTE(SUBSTITUTE(SUBSTITUTE(LOWER(TRIM(D279)),"ё","е"),"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инженер",IF(ISNUMBER(SEARCH("диспетч",E279)),"ведущий инженер пдо",TRIM(SUBSTITUTE(SUBSTITUTE(SUBSTITUTE(SUBSTITUTE(SUBSTITUTE(SUBSTITUTE(SUBSTITUTE(SUBSTITUTE(SUBSTITUTE(SUBSTITUTE(SUBSTITUTE(LOWER(TRIM(D279)),"ё","е"),"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отк",TRIM(SUBSTITUTE(SUBSTITUTE(SUBSTITUTE(SUBSTITUTE(SUBSTITUTE(SUBSTITUTE(SUBSTITUTE(SUBSTITUTE(SUBSTITUTE(SUBSTITUTE(SUBSTITUTE(LOWER(TRIM(D279)),"ё","е"),"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79" s="12" t="n">
        <f aca="false">IFERROR(INDEX(Соответствие!$B$2:$B$76,MATCH(G279,Соответствие!$A$2:$A$76,0)),"?")</f>
        <v>19</v>
      </c>
      <c r="I279" s="9" t="str">
        <f aca="false">IFERROR(INDEX('Перечень должностей'!$C$2:$C$46,MATCH(H279,'Перечень должностей'!$A$2:$A$46,0)),"")</f>
        <v>п.4.3.1, п.4.3.2, п.4.4, п.5.1, п.6.2, п.15</v>
      </c>
      <c r="J279" s="12" t="n">
        <f aca="false">IFERROR(INDEX('Перечень должностей'!$D$2:$D$46,MATCH(H279,'Перечень должностей'!$A$2:$A$46,0)),12)</f>
        <v>12</v>
      </c>
      <c r="K279" s="17"/>
      <c r="L279" s="17"/>
      <c r="M279" s="16" t="str">
        <f aca="false">IF(K279="","",EDATE(IF(L279&lt;&gt;"",L279,K279),J279))</f>
        <v/>
      </c>
      <c r="N279" s="12" t="str">
        <f aca="false">IFERROR(INDEX('Перечень должностей'!$F$2:$F$46,MATCH(H279,'Перечень должностей'!$A$2:$A$46,0)),"")</f>
        <v>-</v>
      </c>
      <c r="O279" s="17"/>
      <c r="P279" s="16" t="str">
        <f aca="false">IF(O279="","",EDATE(O279,60))</f>
        <v/>
      </c>
      <c r="Q279" s="12" t="str">
        <f aca="false">IF(AND(K279&lt;&gt;"",F279&lt;&gt;"",K279&gt;F279),"ДА","")</f>
        <v/>
      </c>
      <c r="R279" s="9"/>
    </row>
    <row r="280" customFormat="false" ht="26.25" hidden="false" customHeight="true" outlineLevel="0" collapsed="false">
      <c r="A280" s="15" t="n">
        <v>279</v>
      </c>
      <c r="B280" s="12" t="s">
        <v>407</v>
      </c>
      <c r="C280" s="15" t="s">
        <v>742</v>
      </c>
      <c r="D280" s="15" t="s">
        <v>741</v>
      </c>
      <c r="E280" s="15" t="s">
        <v>732</v>
      </c>
      <c r="F280" s="16" t="n">
        <v>46055</v>
      </c>
      <c r="G280" s="5" t="str">
        <f aca="false">IF(TRIM(SUBSTITUTE(SUBSTITUTE(SUBSTITUTE(SUBSTITUTE(SUBSTITUTE(SUBSTITUTE(SUBSTITUTE(SUBSTITUTE(SUBSTITUTE(SUBSTITUTE(SUBSTITUTE(LOWER(TRIM(D280)),"ё","е"),"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категории",""))="инженер",IF(AND(ISNUMBER(SEARCH("техническ",E280)),ISNUMBER(SEARCH("контрол",E280))),"инженер отк",IF(ISNUMBER(SEARCH("диспетч",E280)),"инженер пдо",TRIM(SUBSTITUTE(SUBSTITUTE(SUBSTITUTE(SUBSTITUTE(SUBSTITUTE(SUBSTITUTE(SUBSTITUTE(SUBSTITUTE(SUBSTITUTE(SUBSTITUTE(SUBSTITUTE(LOWER(TRIM(D280)),"ё","е"),"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инженер",IF(ISNUMBER(SEARCH("диспетч",E280)),"ведущий инженер пдо",TRIM(SUBSTITUTE(SUBSTITUTE(SUBSTITUTE(SUBSTITUTE(SUBSTITUTE(SUBSTITUTE(SUBSTITUTE(SUBSTITUTE(SUBSTITUTE(SUBSTITUTE(SUBSTITUTE(LOWER(TRIM(D280)),"ё","е"),"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отк",TRIM(SUBSTITUTE(SUBSTITUTE(SUBSTITUTE(SUBSTITUTE(SUBSTITUTE(SUBSTITUTE(SUBSTITUTE(SUBSTITUTE(SUBSTITUTE(SUBSTITUTE(SUBSTITUTE(LOWER(TRIM(D280)),"ё","е"),"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80" s="12" t="n">
        <f aca="false">IFERROR(INDEX(Соответствие!$B$2:$B$76,MATCH(G280,Соответствие!$A$2:$A$76,0)),"?")</f>
        <v>19</v>
      </c>
      <c r="I280" s="9" t="str">
        <f aca="false">IFERROR(INDEX('Перечень должностей'!$C$2:$C$46,MATCH(H280,'Перечень должностей'!$A$2:$A$46,0)),"")</f>
        <v>п.4.3.1, п.4.3.2, п.4.4, п.5.1, п.6.2, п.15</v>
      </c>
      <c r="J280" s="12" t="n">
        <f aca="false">IFERROR(INDEX('Перечень должностей'!$D$2:$D$46,MATCH(H280,'Перечень должностей'!$A$2:$A$46,0)),12)</f>
        <v>12</v>
      </c>
      <c r="K280" s="17" t="n">
        <v>46050</v>
      </c>
      <c r="L280" s="17"/>
      <c r="M280" s="16" t="n">
        <f aca="false">IF(K280="","",EDATE(IF(L280&lt;&gt;"",L280,K280),J280))</f>
        <v>46415</v>
      </c>
      <c r="N280" s="12" t="str">
        <f aca="false">IFERROR(INDEX('Перечень должностей'!$F$2:$F$46,MATCH(H280,'Перечень должностей'!$A$2:$A$46,0)),"")</f>
        <v>-</v>
      </c>
      <c r="O280" s="17"/>
      <c r="P280" s="16" t="str">
        <f aca="false">IF(O280="","",EDATE(O280,60))</f>
        <v/>
      </c>
      <c r="Q280" s="12" t="str">
        <f aca="false">IF(AND(K280&lt;&gt;"",F280&lt;&gt;"",K280&gt;F280),"ДА","")</f>
        <v/>
      </c>
      <c r="R280" s="9"/>
    </row>
    <row r="281" customFormat="false" ht="26.25" hidden="false" customHeight="true" outlineLevel="0" collapsed="false">
      <c r="A281" s="15" t="n">
        <v>280</v>
      </c>
      <c r="B281" s="12" t="s">
        <v>407</v>
      </c>
      <c r="C281" s="15" t="s">
        <v>743</v>
      </c>
      <c r="D281" s="15" t="s">
        <v>741</v>
      </c>
      <c r="E281" s="15" t="s">
        <v>732</v>
      </c>
      <c r="F281" s="16" t="n">
        <v>45932</v>
      </c>
      <c r="G281" s="5" t="str">
        <f aca="false">IF(TRIM(SUBSTITUTE(SUBSTITUTE(SUBSTITUTE(SUBSTITUTE(SUBSTITUTE(SUBSTITUTE(SUBSTITUTE(SUBSTITUTE(SUBSTITUTE(SUBSTITUTE(SUBSTITUTE(LOWER(TRIM(D281)),"ё","е"),"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категории",""))="инженер",IF(AND(ISNUMBER(SEARCH("техническ",E281)),ISNUMBER(SEARCH("контрол",E281))),"инженер отк",IF(ISNUMBER(SEARCH("диспетч",E281)),"инженер пдо",TRIM(SUBSTITUTE(SUBSTITUTE(SUBSTITUTE(SUBSTITUTE(SUBSTITUTE(SUBSTITUTE(SUBSTITUTE(SUBSTITUTE(SUBSTITUTE(SUBSTITUTE(SUBSTITUTE(LOWER(TRIM(D281)),"ё","е"),"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инженер",IF(ISNUMBER(SEARCH("диспетч",E281)),"ведущий инженер пдо",TRIM(SUBSTITUTE(SUBSTITUTE(SUBSTITUTE(SUBSTITUTE(SUBSTITUTE(SUBSTITUTE(SUBSTITUTE(SUBSTITUTE(SUBSTITUTE(SUBSTITUTE(SUBSTITUTE(LOWER(TRIM(D281)),"ё","е"),"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отк",TRIM(SUBSTITUTE(SUBSTITUTE(SUBSTITUTE(SUBSTITUTE(SUBSTITUTE(SUBSTITUTE(SUBSTITUTE(SUBSTITUTE(SUBSTITUTE(SUBSTITUTE(SUBSTITUTE(LOWER(TRIM(D281)),"ё","е"),"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281" s="12" t="n">
        <f aca="false">IFERROR(INDEX(Соответствие!$B$2:$B$76,MATCH(G281,Соответствие!$A$2:$A$76,0)),"?")</f>
        <v>19</v>
      </c>
      <c r="I281" s="9" t="str">
        <f aca="false">IFERROR(INDEX('Перечень должностей'!$C$2:$C$46,MATCH(H281,'Перечень должностей'!$A$2:$A$46,0)),"")</f>
        <v>п.4.3.1, п.4.3.2, п.4.4, п.5.1, п.6.2, п.15</v>
      </c>
      <c r="J281" s="12" t="n">
        <f aca="false">IFERROR(INDEX('Перечень должностей'!$D$2:$D$46,MATCH(H281,'Перечень должностей'!$A$2:$A$46,0)),12)</f>
        <v>12</v>
      </c>
      <c r="K281" s="17"/>
      <c r="L281" s="17"/>
      <c r="M281" s="16" t="str">
        <f aca="false">IF(K281="","",EDATE(IF(L281&lt;&gt;"",L281,K281),J281))</f>
        <v/>
      </c>
      <c r="N281" s="12" t="str">
        <f aca="false">IFERROR(INDEX('Перечень должностей'!$F$2:$F$46,MATCH(H281,'Перечень должностей'!$A$2:$A$46,0)),"")</f>
        <v>-</v>
      </c>
      <c r="O281" s="17"/>
      <c r="P281" s="16" t="str">
        <f aca="false">IF(O281="","",EDATE(O281,60))</f>
        <v/>
      </c>
      <c r="Q281" s="12" t="str">
        <f aca="false">IF(AND(K281&lt;&gt;"",F281&lt;&gt;"",K281&gt;F281),"ДА","")</f>
        <v/>
      </c>
      <c r="R281" s="9"/>
    </row>
    <row r="282" customFormat="false" ht="26.25" hidden="false" customHeight="true" outlineLevel="0" collapsed="false">
      <c r="A282" s="15" t="n">
        <v>281</v>
      </c>
      <c r="B282" s="12" t="s">
        <v>407</v>
      </c>
      <c r="C282" s="15" t="s">
        <v>744</v>
      </c>
      <c r="D282" s="15" t="s">
        <v>445</v>
      </c>
      <c r="E282" s="15" t="s">
        <v>745</v>
      </c>
      <c r="F282" s="16" t="n">
        <v>45918</v>
      </c>
      <c r="G282" s="5" t="str">
        <f aca="false">IF(TRIM(SUBSTITUTE(SUBSTITUTE(SUBSTITUTE(SUBSTITUTE(SUBSTITUTE(SUBSTITUTE(SUBSTITUTE(SUBSTITUTE(SUBSTITUTE(SUBSTITUTE(SUBSTITUTE(LOWER(TRIM(D282)),"ё","е"),"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категории",""))="инженер",IF(AND(ISNUMBER(SEARCH("техническ",E282)),ISNUMBER(SEARCH("контрол",E282))),"инженер отк",IF(ISNUMBER(SEARCH("диспетч",E282)),"инженер пдо",TRIM(SUBSTITUTE(SUBSTITUTE(SUBSTITUTE(SUBSTITUTE(SUBSTITUTE(SUBSTITUTE(SUBSTITUTE(SUBSTITUTE(SUBSTITUTE(SUBSTITUTE(SUBSTITUTE(LOWER(TRIM(D282)),"ё","е"),"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инженер",IF(ISNUMBER(SEARCH("диспетч",E282)),"ведущий инженер пдо",TRIM(SUBSTITUTE(SUBSTITUTE(SUBSTITUTE(SUBSTITUTE(SUBSTITUTE(SUBSTITUTE(SUBSTITUTE(SUBSTITUTE(SUBSTITUTE(SUBSTITUTE(SUBSTITUTE(LOWER(TRIM(D282)),"ё","е"),"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отк",TRIM(SUBSTITUTE(SUBSTITUTE(SUBSTITUTE(SUBSTITUTE(SUBSTITUTE(SUBSTITUTE(SUBSTITUTE(SUBSTITUTE(SUBSTITUTE(SUBSTITUTE(SUBSTITUTE(LOWER(TRIM(D282)),"ё","е"),"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282" s="12" t="n">
        <f aca="false">IFERROR(INDEX(Соответствие!$B$2:$B$76,MATCH(G282,Соответствие!$A$2:$A$76,0)),"?")</f>
        <v>20</v>
      </c>
      <c r="I282" s="9" t="str">
        <f aca="false">IFERROR(INDEX('Перечень должностей'!$C$2:$C$46,MATCH(H282,'Перечень должностей'!$A$2:$A$46,0)),"")</f>
        <v>п.4.3.1, п.4.3.2, п.4.4, п.4.9, п.5.1, п.5.2, п.6.2, п.9</v>
      </c>
      <c r="J282" s="12" t="n">
        <f aca="false">IFERROR(INDEX('Перечень должностей'!$D$2:$D$46,MATCH(H282,'Перечень должностей'!$A$2:$A$46,0)),12)</f>
        <v>12</v>
      </c>
      <c r="K282" s="17"/>
      <c r="L282" s="17"/>
      <c r="M282" s="16" t="str">
        <f aca="false">IF(K282="","",EDATE(IF(L282&lt;&gt;"",L282,K282),J282))</f>
        <v/>
      </c>
      <c r="N282" s="12" t="str">
        <f aca="false">IFERROR(INDEX('Перечень должностей'!$F$2:$F$46,MATCH(H282,'Перечень должностей'!$A$2:$A$46,0)),"")</f>
        <v>Проверить</v>
      </c>
      <c r="O282" s="17"/>
      <c r="P282" s="16" t="str">
        <f aca="false">IF(O282="","",EDATE(O282,60))</f>
        <v/>
      </c>
      <c r="Q282" s="12" t="str">
        <f aca="false">IF(AND(K282&lt;&gt;"",F282&lt;&gt;"",K282&gt;F282),"ДА","")</f>
        <v/>
      </c>
      <c r="R282" s="9"/>
    </row>
    <row r="283" customFormat="false" ht="26.25" hidden="false" customHeight="true" outlineLevel="0" collapsed="false">
      <c r="A283" s="15" t="n">
        <v>282</v>
      </c>
      <c r="B283" s="12" t="s">
        <v>407</v>
      </c>
      <c r="C283" s="15" t="s">
        <v>746</v>
      </c>
      <c r="D283" s="15" t="s">
        <v>79</v>
      </c>
      <c r="E283" s="15" t="s">
        <v>745</v>
      </c>
      <c r="F283" s="16" t="n">
        <v>45845</v>
      </c>
      <c r="G283" s="5" t="str">
        <f aca="false">IF(TRIM(SUBSTITUTE(SUBSTITUTE(SUBSTITUTE(SUBSTITUTE(SUBSTITUTE(SUBSTITUTE(SUBSTITUTE(SUBSTITUTE(SUBSTITUTE(SUBSTITUTE(SUBSTITUTE(LOWER(TRIM(D283)),"ё","е"),"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категории",""))="инженер",IF(AND(ISNUMBER(SEARCH("техническ",E283)),ISNUMBER(SEARCH("контрол",E283))),"инженер отк",IF(ISNUMBER(SEARCH("диспетч",E283)),"инженер пдо",TRIM(SUBSTITUTE(SUBSTITUTE(SUBSTITUTE(SUBSTITUTE(SUBSTITUTE(SUBSTITUTE(SUBSTITUTE(SUBSTITUTE(SUBSTITUTE(SUBSTITUTE(SUBSTITUTE(LOWER(TRIM(D283)),"ё","е"),"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инженер",IF(ISNUMBER(SEARCH("диспетч",E283)),"ведущий инженер пдо",TRIM(SUBSTITUTE(SUBSTITUTE(SUBSTITUTE(SUBSTITUTE(SUBSTITUTE(SUBSTITUTE(SUBSTITUTE(SUBSTITUTE(SUBSTITUTE(SUBSTITUTE(SUBSTITUTE(LOWER(TRIM(D283)),"ё","е"),"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отк",TRIM(SUBSTITUTE(SUBSTITUTE(SUBSTITUTE(SUBSTITUTE(SUBSTITUTE(SUBSTITUTE(SUBSTITUTE(SUBSTITUTE(SUBSTITUTE(SUBSTITUTE(SUBSTITUTE(LOWER(TRIM(D283)),"ё","е"),"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283" s="12" t="n">
        <f aca="false">IFERROR(INDEX(Соответствие!$B$2:$B$76,MATCH(G283,Соответствие!$A$2:$A$76,0)),"?")</f>
        <v>20</v>
      </c>
      <c r="I283" s="9" t="str">
        <f aca="false">IFERROR(INDEX('Перечень должностей'!$C$2:$C$46,MATCH(H283,'Перечень должностей'!$A$2:$A$46,0)),"")</f>
        <v>п.4.3.1, п.4.3.2, п.4.4, п.4.9, п.5.1, п.5.2, п.6.2, п.9</v>
      </c>
      <c r="J283" s="12" t="n">
        <f aca="false">IFERROR(INDEX('Перечень должностей'!$D$2:$D$46,MATCH(H283,'Перечень должностей'!$A$2:$A$46,0)),12)</f>
        <v>12</v>
      </c>
      <c r="K283" s="17"/>
      <c r="L283" s="17"/>
      <c r="M283" s="16" t="str">
        <f aca="false">IF(K283="","",EDATE(IF(L283&lt;&gt;"",L283,K283),J283))</f>
        <v/>
      </c>
      <c r="N283" s="12" t="str">
        <f aca="false">IFERROR(INDEX('Перечень должностей'!$F$2:$F$46,MATCH(H283,'Перечень должностей'!$A$2:$A$46,0)),"")</f>
        <v>Проверить</v>
      </c>
      <c r="O283" s="17"/>
      <c r="P283" s="16" t="str">
        <f aca="false">IF(O283="","",EDATE(O283,60))</f>
        <v/>
      </c>
      <c r="Q283" s="12" t="str">
        <f aca="false">IF(AND(K283&lt;&gt;"",F283&lt;&gt;"",K283&gt;F283),"ДА","")</f>
        <v/>
      </c>
      <c r="R283" s="9"/>
    </row>
    <row r="284" customFormat="false" ht="26.25" hidden="false" customHeight="true" outlineLevel="0" collapsed="false">
      <c r="A284" s="15" t="n">
        <v>283</v>
      </c>
      <c r="B284" s="12" t="s">
        <v>407</v>
      </c>
      <c r="C284" s="15" t="s">
        <v>747</v>
      </c>
      <c r="D284" s="15" t="s">
        <v>79</v>
      </c>
      <c r="E284" s="15" t="s">
        <v>745</v>
      </c>
      <c r="F284" s="16" t="n">
        <v>45875</v>
      </c>
      <c r="G284" s="5" t="str">
        <f aca="false">IF(TRIM(SUBSTITUTE(SUBSTITUTE(SUBSTITUTE(SUBSTITUTE(SUBSTITUTE(SUBSTITUTE(SUBSTITUTE(SUBSTITUTE(SUBSTITUTE(SUBSTITUTE(SUBSTITUTE(LOWER(TRIM(D284)),"ё","е"),"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категории",""))="инженер",IF(AND(ISNUMBER(SEARCH("техническ",E284)),ISNUMBER(SEARCH("контрол",E284))),"инженер отк",IF(ISNUMBER(SEARCH("диспетч",E284)),"инженер пдо",TRIM(SUBSTITUTE(SUBSTITUTE(SUBSTITUTE(SUBSTITUTE(SUBSTITUTE(SUBSTITUTE(SUBSTITUTE(SUBSTITUTE(SUBSTITUTE(SUBSTITUTE(SUBSTITUTE(LOWER(TRIM(D284)),"ё","е"),"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инженер",IF(ISNUMBER(SEARCH("диспетч",E284)),"ведущий инженер пдо",TRIM(SUBSTITUTE(SUBSTITUTE(SUBSTITUTE(SUBSTITUTE(SUBSTITUTE(SUBSTITUTE(SUBSTITUTE(SUBSTITUTE(SUBSTITUTE(SUBSTITUTE(SUBSTITUTE(LOWER(TRIM(D284)),"ё","е"),"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отк",TRIM(SUBSTITUTE(SUBSTITUTE(SUBSTITUTE(SUBSTITUTE(SUBSTITUTE(SUBSTITUTE(SUBSTITUTE(SUBSTITUTE(SUBSTITUTE(SUBSTITUTE(SUBSTITUTE(LOWER(TRIM(D284)),"ё","е"),"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284" s="12" t="n">
        <f aca="false">IFERROR(INDEX(Соответствие!$B$2:$B$76,MATCH(G284,Соответствие!$A$2:$A$76,0)),"?")</f>
        <v>20</v>
      </c>
      <c r="I284" s="9" t="str">
        <f aca="false">IFERROR(INDEX('Перечень должностей'!$C$2:$C$46,MATCH(H284,'Перечень должностей'!$A$2:$A$46,0)),"")</f>
        <v>п.4.3.1, п.4.3.2, п.4.4, п.4.9, п.5.1, п.5.2, п.6.2, п.9</v>
      </c>
      <c r="J284" s="12" t="n">
        <f aca="false">IFERROR(INDEX('Перечень должностей'!$D$2:$D$46,MATCH(H284,'Перечень должностей'!$A$2:$A$46,0)),12)</f>
        <v>12</v>
      </c>
      <c r="K284" s="17" t="n">
        <v>45874</v>
      </c>
      <c r="L284" s="17"/>
      <c r="M284" s="16" t="n">
        <f aca="false">IF(K284="","",EDATE(IF(L284&lt;&gt;"",L284,K284),J284))</f>
        <v>46239</v>
      </c>
      <c r="N284" s="12" t="str">
        <f aca="false">IFERROR(INDEX('Перечень должностей'!$F$2:$F$46,MATCH(H284,'Перечень должностей'!$A$2:$A$46,0)),"")</f>
        <v>Проверить</v>
      </c>
      <c r="O284" s="17"/>
      <c r="P284" s="16" t="str">
        <f aca="false">IF(O284="","",EDATE(O284,60))</f>
        <v/>
      </c>
      <c r="Q284" s="12" t="str">
        <f aca="false">IF(AND(K284&lt;&gt;"",F284&lt;&gt;"",K284&gt;F284),"ДА","")</f>
        <v/>
      </c>
      <c r="R284" s="9"/>
    </row>
    <row r="285" customFormat="false" ht="26.25" hidden="false" customHeight="true" outlineLevel="0" collapsed="false">
      <c r="A285" s="15" t="n">
        <v>284</v>
      </c>
      <c r="B285" s="12" t="s">
        <v>407</v>
      </c>
      <c r="C285" s="15" t="s">
        <v>748</v>
      </c>
      <c r="D285" s="15" t="s">
        <v>79</v>
      </c>
      <c r="E285" s="15" t="s">
        <v>745</v>
      </c>
      <c r="F285" s="16" t="n">
        <v>45838</v>
      </c>
      <c r="G285" s="5" t="str">
        <f aca="false">IF(TRIM(SUBSTITUTE(SUBSTITUTE(SUBSTITUTE(SUBSTITUTE(SUBSTITUTE(SUBSTITUTE(SUBSTITUTE(SUBSTITUTE(SUBSTITUTE(SUBSTITUTE(SUBSTITUTE(LOWER(TRIM(D285)),"ё","е"),"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категории",""))="инженер",IF(AND(ISNUMBER(SEARCH("техническ",E285)),ISNUMBER(SEARCH("контрол",E285))),"инженер отк",IF(ISNUMBER(SEARCH("диспетч",E285)),"инженер пдо",TRIM(SUBSTITUTE(SUBSTITUTE(SUBSTITUTE(SUBSTITUTE(SUBSTITUTE(SUBSTITUTE(SUBSTITUTE(SUBSTITUTE(SUBSTITUTE(SUBSTITUTE(SUBSTITUTE(LOWER(TRIM(D285)),"ё","е"),"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инженер",IF(ISNUMBER(SEARCH("диспетч",E285)),"ведущий инженер пдо",TRIM(SUBSTITUTE(SUBSTITUTE(SUBSTITUTE(SUBSTITUTE(SUBSTITUTE(SUBSTITUTE(SUBSTITUTE(SUBSTITUTE(SUBSTITUTE(SUBSTITUTE(SUBSTITUTE(LOWER(TRIM(D285)),"ё","е"),"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отк",TRIM(SUBSTITUTE(SUBSTITUTE(SUBSTITUTE(SUBSTITUTE(SUBSTITUTE(SUBSTITUTE(SUBSTITUTE(SUBSTITUTE(SUBSTITUTE(SUBSTITUTE(SUBSTITUTE(LOWER(TRIM(D285)),"ё","е"),"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285" s="12" t="n">
        <f aca="false">IFERROR(INDEX(Соответствие!$B$2:$B$76,MATCH(G285,Соответствие!$A$2:$A$76,0)),"?")</f>
        <v>20</v>
      </c>
      <c r="I285" s="9" t="str">
        <f aca="false">IFERROR(INDEX('Перечень должностей'!$C$2:$C$46,MATCH(H285,'Перечень должностей'!$A$2:$A$46,0)),"")</f>
        <v>п.4.3.1, п.4.3.2, п.4.4, п.4.9, п.5.1, п.5.2, п.6.2, п.9</v>
      </c>
      <c r="J285" s="12" t="n">
        <f aca="false">IFERROR(INDEX('Перечень должностей'!$D$2:$D$46,MATCH(H285,'Перечень должностей'!$A$2:$A$46,0)),12)</f>
        <v>12</v>
      </c>
      <c r="K285" s="17" t="n">
        <v>45832</v>
      </c>
      <c r="L285" s="17"/>
      <c r="M285" s="16" t="n">
        <f aca="false">IF(K285="","",EDATE(IF(L285&lt;&gt;"",L285,K285),J285))</f>
        <v>46197</v>
      </c>
      <c r="N285" s="12" t="str">
        <f aca="false">IFERROR(INDEX('Перечень должностей'!$F$2:$F$46,MATCH(H285,'Перечень должностей'!$A$2:$A$46,0)),"")</f>
        <v>Проверить</v>
      </c>
      <c r="O285" s="17"/>
      <c r="P285" s="16" t="str">
        <f aca="false">IF(O285="","",EDATE(O285,60))</f>
        <v/>
      </c>
      <c r="Q285" s="12" t="str">
        <f aca="false">IF(AND(K285&lt;&gt;"",F285&lt;&gt;"",K285&gt;F285),"ДА","")</f>
        <v/>
      </c>
      <c r="R285" s="9"/>
    </row>
    <row r="286" customFormat="false" ht="26.25" hidden="false" customHeight="true" outlineLevel="0" collapsed="false">
      <c r="A286" s="15" t="n">
        <v>285</v>
      </c>
      <c r="B286" s="12" t="s">
        <v>407</v>
      </c>
      <c r="C286" s="15" t="s">
        <v>749</v>
      </c>
      <c r="D286" s="15" t="s">
        <v>79</v>
      </c>
      <c r="E286" s="15" t="s">
        <v>745</v>
      </c>
      <c r="F286" s="16" t="n">
        <v>45992</v>
      </c>
      <c r="G286" s="5" t="str">
        <f aca="false">IF(TRIM(SUBSTITUTE(SUBSTITUTE(SUBSTITUTE(SUBSTITUTE(SUBSTITUTE(SUBSTITUTE(SUBSTITUTE(SUBSTITUTE(SUBSTITUTE(SUBSTITUTE(SUBSTITUTE(LOWER(TRIM(D286)),"ё","е"),"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категории",""))="инженер",IF(AND(ISNUMBER(SEARCH("техническ",E286)),ISNUMBER(SEARCH("контрол",E286))),"инженер отк",IF(ISNUMBER(SEARCH("диспетч",E286)),"инженер пдо",TRIM(SUBSTITUTE(SUBSTITUTE(SUBSTITUTE(SUBSTITUTE(SUBSTITUTE(SUBSTITUTE(SUBSTITUTE(SUBSTITUTE(SUBSTITUTE(SUBSTITUTE(SUBSTITUTE(LOWER(TRIM(D286)),"ё","е"),"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инженер",IF(ISNUMBER(SEARCH("диспетч",E286)),"ведущий инженер пдо",TRIM(SUBSTITUTE(SUBSTITUTE(SUBSTITUTE(SUBSTITUTE(SUBSTITUTE(SUBSTITUTE(SUBSTITUTE(SUBSTITUTE(SUBSTITUTE(SUBSTITUTE(SUBSTITUTE(LOWER(TRIM(D286)),"ё","е"),"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отк",TRIM(SUBSTITUTE(SUBSTITUTE(SUBSTITUTE(SUBSTITUTE(SUBSTITUTE(SUBSTITUTE(SUBSTITUTE(SUBSTITUTE(SUBSTITUTE(SUBSTITUTE(SUBSTITUTE(LOWER(TRIM(D286)),"ё","е"),"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286" s="12" t="n">
        <f aca="false">IFERROR(INDEX(Соответствие!$B$2:$B$76,MATCH(G286,Соответствие!$A$2:$A$76,0)),"?")</f>
        <v>20</v>
      </c>
      <c r="I286" s="9" t="str">
        <f aca="false">IFERROR(INDEX('Перечень должностей'!$C$2:$C$46,MATCH(H286,'Перечень должностей'!$A$2:$A$46,0)),"")</f>
        <v>п.4.3.1, п.4.3.2, п.4.4, п.4.9, п.5.1, п.5.2, п.6.2, п.9</v>
      </c>
      <c r="J286" s="12" t="n">
        <f aca="false">IFERROR(INDEX('Перечень должностей'!$D$2:$D$46,MATCH(H286,'Перечень должностей'!$A$2:$A$46,0)),12)</f>
        <v>12</v>
      </c>
      <c r="K286" s="17" t="n">
        <v>45967</v>
      </c>
      <c r="L286" s="17"/>
      <c r="M286" s="16" t="n">
        <f aca="false">IF(K286="","",EDATE(IF(L286&lt;&gt;"",L286,K286),J286))</f>
        <v>46332</v>
      </c>
      <c r="N286" s="12" t="str">
        <f aca="false">IFERROR(INDEX('Перечень должностей'!$F$2:$F$46,MATCH(H286,'Перечень должностей'!$A$2:$A$46,0)),"")</f>
        <v>Проверить</v>
      </c>
      <c r="O286" s="17"/>
      <c r="P286" s="16" t="str">
        <f aca="false">IF(O286="","",EDATE(O286,60))</f>
        <v/>
      </c>
      <c r="Q286" s="12" t="str">
        <f aca="false">IF(AND(K286&lt;&gt;"",F286&lt;&gt;"",K286&gt;F286),"ДА","")</f>
        <v/>
      </c>
      <c r="R286" s="9"/>
    </row>
    <row r="287" customFormat="false" ht="26.25" hidden="false" customHeight="true" outlineLevel="0" collapsed="false">
      <c r="A287" s="15" t="n">
        <v>286</v>
      </c>
      <c r="B287" s="12" t="s">
        <v>407</v>
      </c>
      <c r="C287" s="15" t="s">
        <v>750</v>
      </c>
      <c r="D287" s="15" t="s">
        <v>75</v>
      </c>
      <c r="E287" s="15" t="s">
        <v>751</v>
      </c>
      <c r="F287" s="16" t="n">
        <v>45989</v>
      </c>
      <c r="G287" s="5" t="str">
        <f aca="false">IF(TRIM(SUBSTITUTE(SUBSTITUTE(SUBSTITUTE(SUBSTITUTE(SUBSTITUTE(SUBSTITUTE(SUBSTITUTE(SUBSTITUTE(SUBSTITUTE(SUBSTITUTE(SUBSTITUTE(LOWER(TRIM(D287)),"ё","е"),"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категории",""))="инженер",IF(AND(ISNUMBER(SEARCH("техническ",E287)),ISNUMBER(SEARCH("контрол",E287))),"инженер отк",IF(ISNUMBER(SEARCH("диспетч",E287)),"инженер пдо",TRIM(SUBSTITUTE(SUBSTITUTE(SUBSTITUTE(SUBSTITUTE(SUBSTITUTE(SUBSTITUTE(SUBSTITUTE(SUBSTITUTE(SUBSTITUTE(SUBSTITUTE(SUBSTITUTE(LOWER(TRIM(D287)),"ё","е"),"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инженер",IF(ISNUMBER(SEARCH("диспетч",E287)),"ведущий инженер пдо",TRIM(SUBSTITUTE(SUBSTITUTE(SUBSTITUTE(SUBSTITUTE(SUBSTITUTE(SUBSTITUTE(SUBSTITUTE(SUBSTITUTE(SUBSTITUTE(SUBSTITUTE(SUBSTITUTE(LOWER(TRIM(D287)),"ё","е"),"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отк",TRIM(SUBSTITUTE(SUBSTITUTE(SUBSTITUTE(SUBSTITUTE(SUBSTITUTE(SUBSTITUTE(SUBSTITUTE(SUBSTITUTE(SUBSTITUTE(SUBSTITUTE(SUBSTITUTE(LOWER(TRIM(D287)),"ё","е"),"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287" s="12" t="n">
        <f aca="false">IFERROR(INDEX(Соответствие!$B$2:$B$76,MATCH(G287,Соответствие!$A$2:$A$76,0)),"?")</f>
        <v>14</v>
      </c>
      <c r="I287" s="9" t="str">
        <f aca="false">IFERROR(INDEX('Перечень должностей'!$C$2:$C$46,MATCH(H287,'Перечень должностей'!$A$2:$A$46,0)),"")</f>
        <v>п.4.4, п.5.1, п.6.2</v>
      </c>
      <c r="J287" s="12" t="n">
        <f aca="false">IFERROR(INDEX('Перечень должностей'!$D$2:$D$46,MATCH(H287,'Перечень должностей'!$A$2:$A$46,0)),12)</f>
        <v>12</v>
      </c>
      <c r="K287" s="17" t="n">
        <v>45987</v>
      </c>
      <c r="L287" s="17"/>
      <c r="M287" s="16" t="n">
        <f aca="false">IF(K287="","",EDATE(IF(L287&lt;&gt;"",L287,K287),J287))</f>
        <v>46352</v>
      </c>
      <c r="N287" s="12" t="str">
        <f aca="false">IFERROR(INDEX('Перечень должностей'!$F$2:$F$46,MATCH(H287,'Перечень должностей'!$A$2:$A$46,0)),"")</f>
        <v>-</v>
      </c>
      <c r="O287" s="17"/>
      <c r="P287" s="16" t="str">
        <f aca="false">IF(O287="","",EDATE(O287,60))</f>
        <v/>
      </c>
      <c r="Q287" s="12" t="str">
        <f aca="false">IF(AND(K287&lt;&gt;"",F287&lt;&gt;"",K287&gt;F287),"ДА","")</f>
        <v/>
      </c>
      <c r="R287" s="9"/>
    </row>
    <row r="288" customFormat="false" ht="26.25" hidden="false" customHeight="true" outlineLevel="0" collapsed="false">
      <c r="A288" s="15" t="n">
        <v>287</v>
      </c>
      <c r="B288" s="12" t="s">
        <v>407</v>
      </c>
      <c r="C288" s="15" t="s">
        <v>752</v>
      </c>
      <c r="D288" s="15" t="s">
        <v>753</v>
      </c>
      <c r="E288" s="15" t="s">
        <v>754</v>
      </c>
      <c r="F288" s="16" t="n">
        <v>46223</v>
      </c>
      <c r="G288" s="5" t="str">
        <f aca="false">IF(TRIM(SUBSTITUTE(SUBSTITUTE(SUBSTITUTE(SUBSTITUTE(SUBSTITUTE(SUBSTITUTE(SUBSTITUTE(SUBSTITUTE(SUBSTITUTE(SUBSTITUTE(SUBSTITUTE(LOWER(TRIM(D288)),"ё","е"),"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категории",""))="инженер",IF(AND(ISNUMBER(SEARCH("техническ",E288)),ISNUMBER(SEARCH("контрол",E288))),"инженер отк",IF(ISNUMBER(SEARCH("диспетч",E288)),"инженер пдо",TRIM(SUBSTITUTE(SUBSTITUTE(SUBSTITUTE(SUBSTITUTE(SUBSTITUTE(SUBSTITUTE(SUBSTITUTE(SUBSTITUTE(SUBSTITUTE(SUBSTITUTE(SUBSTITUTE(LOWER(TRIM(D288)),"ё","е"),"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инженер",IF(ISNUMBER(SEARCH("диспетч",E288)),"ведущий инженер пдо",TRIM(SUBSTITUTE(SUBSTITUTE(SUBSTITUTE(SUBSTITUTE(SUBSTITUTE(SUBSTITUTE(SUBSTITUTE(SUBSTITUTE(SUBSTITUTE(SUBSTITUTE(SUBSTITUTE(LOWER(TRIM(D288)),"ё","е"),"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отк",TRIM(SUBSTITUTE(SUBSTITUTE(SUBSTITUTE(SUBSTITUTE(SUBSTITUTE(SUBSTITUTE(SUBSTITUTE(SUBSTITUTE(SUBSTITUTE(SUBSTITUTE(SUBSTITUTE(LOWER(TRIM(D288)),"ё","е")," -","-"),"- ","-")," 2 разряда","")," 3 разряда","")," 4 разряда","")," 5 разряда","")," 6 разряда","")," 1 категории","")," 2 категории","")," 3 категории","")))))</f>
        <v>технический работник</v>
      </c>
      <c r="H288" s="12" t="n">
        <f aca="false">IFERROR(INDEX(Соответствие!$B$2:$B$76,MATCH(G288,Соответствие!$A$2:$A$76,0)),"?")</f>
        <v>10</v>
      </c>
      <c r="I288" s="9" t="str">
        <f aca="false">IFERROR(INDEX('Перечень должностей'!$C$2:$C$46,MATCH(H288,'Перечень должностей'!$A$2:$A$46,0)),"")</f>
        <v>п.1.48, п.4.3.1, п.4.4, п.5.1</v>
      </c>
      <c r="J288" s="12" t="n">
        <f aca="false">IFERROR(INDEX('Перечень должностей'!$D$2:$D$46,MATCH(H288,'Перечень должностей'!$A$2:$A$46,0)),12)</f>
        <v>12</v>
      </c>
      <c r="K288" s="17" t="n">
        <v>46212</v>
      </c>
      <c r="L288" s="17"/>
      <c r="M288" s="16" t="n">
        <f aca="false">IF(K288="","",EDATE(IF(L288&lt;&gt;"",L288,K288),J288))</f>
        <v>46577</v>
      </c>
      <c r="N288" s="12" t="str">
        <f aca="false">IFERROR(INDEX('Перечень должностей'!$F$2:$F$46,MATCH(H288,'Перечень должностей'!$A$2:$A$46,0)),"")</f>
        <v>-</v>
      </c>
      <c r="O288" s="17"/>
      <c r="P288" s="16" t="str">
        <f aca="false">IF(O288="","",EDATE(O288,60))</f>
        <v/>
      </c>
      <c r="Q288" s="12" t="str">
        <f aca="false">IF(AND(K288&lt;&gt;"",F288&lt;&gt;"",K288&gt;F288),"ДА","")</f>
        <v/>
      </c>
      <c r="R288" s="9"/>
    </row>
    <row r="289" customFormat="false" ht="14.25" hidden="false" customHeight="true" outlineLevel="0" collapsed="false">
      <c r="A289" s="15" t="n">
        <v>288</v>
      </c>
      <c r="B289" s="12" t="s">
        <v>755</v>
      </c>
      <c r="C289" s="15" t="s">
        <v>756</v>
      </c>
      <c r="D289" s="15" t="s">
        <v>753</v>
      </c>
      <c r="E289" s="15" t="s">
        <v>757</v>
      </c>
      <c r="F289" s="16" t="n">
        <v>46002</v>
      </c>
      <c r="G289" s="5" t="str">
        <f aca="false">IF(TRIM(SUBSTITUTE(SUBSTITUTE(SUBSTITUTE(SUBSTITUTE(SUBSTITUTE(SUBSTITUTE(SUBSTITUTE(SUBSTITUTE(SUBSTITUTE(SUBSTITUTE(SUBSTITUTE(LOWER(TRIM(D289)),"ё","е"),"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категории",""))="инженер",IF(AND(ISNUMBER(SEARCH("техническ",E289)),ISNUMBER(SEARCH("контрол",E289))),"инженер отк",IF(ISNUMBER(SEARCH("диспетч",E289)),"инженер пдо",TRIM(SUBSTITUTE(SUBSTITUTE(SUBSTITUTE(SUBSTITUTE(SUBSTITUTE(SUBSTITUTE(SUBSTITUTE(SUBSTITUTE(SUBSTITUTE(SUBSTITUTE(SUBSTITUTE(LOWER(TRIM(D289)),"ё","е"),"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инженер",IF(ISNUMBER(SEARCH("диспетч",E289)),"ведущий инженер пдо",TRIM(SUBSTITUTE(SUBSTITUTE(SUBSTITUTE(SUBSTITUTE(SUBSTITUTE(SUBSTITUTE(SUBSTITUTE(SUBSTITUTE(SUBSTITUTE(SUBSTITUTE(SUBSTITUTE(LOWER(TRIM(D289)),"ё","е"),"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отк",TRIM(SUBSTITUTE(SUBSTITUTE(SUBSTITUTE(SUBSTITUTE(SUBSTITUTE(SUBSTITUTE(SUBSTITUTE(SUBSTITUTE(SUBSTITUTE(SUBSTITUTE(SUBSTITUTE(LOWER(TRIM(D289)),"ё","е")," -","-"),"- ","-")," 2 разряда","")," 3 разряда","")," 4 разряда","")," 5 разряда","")," 6 разряда","")," 1 категории","")," 2 категории","")," 3 категории","")))))</f>
        <v>технический работник</v>
      </c>
      <c r="H289" s="12" t="n">
        <f aca="false">IFERROR(INDEX(Соответствие!$B$2:$B$76,MATCH(G289,Соответствие!$A$2:$A$76,0)),"?")</f>
        <v>10</v>
      </c>
      <c r="I289" s="9" t="str">
        <f aca="false">IFERROR(INDEX('Перечень должностей'!$C$2:$C$46,MATCH(H289,'Перечень должностей'!$A$2:$A$46,0)),"")</f>
        <v>п.1.48, п.4.3.1, п.4.4, п.5.1</v>
      </c>
      <c r="J289" s="12" t="n">
        <f aca="false">IFERROR(INDEX('Перечень должностей'!$D$2:$D$46,MATCH(H289,'Перечень должностей'!$A$2:$A$46,0)),12)</f>
        <v>12</v>
      </c>
      <c r="K289" s="17"/>
      <c r="L289" s="17"/>
      <c r="M289" s="16" t="str">
        <f aca="false">IF(K289="","",EDATE(IF(L289&lt;&gt;"",L289,K289),J289))</f>
        <v/>
      </c>
      <c r="N289" s="12" t="str">
        <f aca="false">IFERROR(INDEX('Перечень должностей'!$F$2:$F$46,MATCH(H289,'Перечень должностей'!$A$2:$A$46,0)),"")</f>
        <v>-</v>
      </c>
      <c r="O289" s="17"/>
      <c r="P289" s="16" t="str">
        <f aca="false">IF(O289="","",EDATE(O289,60))</f>
        <v/>
      </c>
      <c r="Q289" s="12" t="str">
        <f aca="false">IF(AND(K289&lt;&gt;"",F289&lt;&gt;"",K289&gt;F289),"ДА","")</f>
        <v/>
      </c>
      <c r="R289" s="9"/>
    </row>
    <row r="290" customFormat="false" ht="14.25" hidden="false" customHeight="true" outlineLevel="0" collapsed="false">
      <c r="A290" s="15" t="n">
        <v>289</v>
      </c>
      <c r="B290" s="12" t="s">
        <v>72</v>
      </c>
      <c r="C290" s="15" t="s">
        <v>758</v>
      </c>
      <c r="D290" s="15" t="s">
        <v>330</v>
      </c>
      <c r="E290" s="15" t="s">
        <v>759</v>
      </c>
      <c r="F290" s="16" t="n">
        <v>46191</v>
      </c>
      <c r="G290" s="5" t="str">
        <f aca="false">IF(TRIM(SUBSTITUTE(SUBSTITUTE(SUBSTITUTE(SUBSTITUTE(SUBSTITUTE(SUBSTITUTE(SUBSTITUTE(SUBSTITUTE(SUBSTITUTE(SUBSTITUTE(SUBSTITUTE(LOWER(TRIM(D290)),"ё","е"),"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категории",""))="инженер",IF(AND(ISNUMBER(SEARCH("техническ",E290)),ISNUMBER(SEARCH("контрол",E290))),"инженер отк",IF(ISNUMBER(SEARCH("диспетч",E290)),"инженер пдо",TRIM(SUBSTITUTE(SUBSTITUTE(SUBSTITUTE(SUBSTITUTE(SUBSTITUTE(SUBSTITUTE(SUBSTITUTE(SUBSTITUTE(SUBSTITUTE(SUBSTITUTE(SUBSTITUTE(LOWER(TRIM(D290)),"ё","е"),"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инженер",IF(ISNUMBER(SEARCH("диспетч",E290)),"ведущий инженер пдо",TRIM(SUBSTITUTE(SUBSTITUTE(SUBSTITUTE(SUBSTITUTE(SUBSTITUTE(SUBSTITUTE(SUBSTITUTE(SUBSTITUTE(SUBSTITUTE(SUBSTITUTE(SUBSTITUTE(LOWER(TRIM(D290)),"ё","е"),"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отк",TRIM(SUBSTITUTE(SUBSTITUTE(SUBSTITUTE(SUBSTITUTE(SUBSTITUTE(SUBSTITUTE(SUBSTITUTE(SUBSTITUTE(SUBSTITUTE(SUBSTITUTE(SUBSTITUTE(LOWER(TRIM(D290)),"ё","е")," -","-"),"- ","-")," 2 разряда","")," 3 разряда","")," 4 разряда","")," 5 разряда","")," 6 разряда","")," 1 категории","")," 2 категории","")," 3 категории","")))))</f>
        <v>специалист</v>
      </c>
      <c r="H290" s="12" t="n">
        <f aca="false">IFERROR(INDEX(Соответствие!$B$2:$B$76,MATCH(G290,Соответствие!$A$2:$A$76,0)),"?")</f>
        <v>12</v>
      </c>
      <c r="I290" s="9" t="str">
        <f aca="false">IFERROR(INDEX('Перечень должностей'!$C$2:$C$46,MATCH(H290,'Перечень должностей'!$A$2:$A$46,0)),"")</f>
        <v>п.4.4, п.5.1, п.5.2</v>
      </c>
      <c r="J290" s="12" t="n">
        <f aca="false">IFERROR(INDEX('Перечень должностей'!$D$2:$D$46,MATCH(H290,'Перечень должностей'!$A$2:$A$46,0)),12)</f>
        <v>12</v>
      </c>
      <c r="K290" s="17" t="n">
        <v>46189</v>
      </c>
      <c r="L290" s="17"/>
      <c r="M290" s="16" t="n">
        <f aca="false">IF(K290="","",EDATE(IF(L290&lt;&gt;"",L290,K290),J290))</f>
        <v>46554</v>
      </c>
      <c r="N290" s="12" t="str">
        <f aca="false">IFERROR(INDEX('Перечень должностей'!$F$2:$F$46,MATCH(H290,'Перечень должностей'!$A$2:$A$46,0)),"")</f>
        <v>-</v>
      </c>
      <c r="O290" s="17"/>
      <c r="P290" s="16" t="str">
        <f aca="false">IF(O290="","",EDATE(O290,60))</f>
        <v/>
      </c>
      <c r="Q290" s="12" t="str">
        <f aca="false">IF(AND(K290&lt;&gt;"",F290&lt;&gt;"",K290&gt;F290),"ДА","")</f>
        <v/>
      </c>
      <c r="R290" s="9"/>
    </row>
    <row r="291" customFormat="false" ht="23.25" hidden="false" customHeight="true" outlineLevel="0" collapsed="false">
      <c r="A291" s="15" t="n">
        <v>290</v>
      </c>
      <c r="B291" s="12" t="s">
        <v>72</v>
      </c>
      <c r="C291" s="15" t="s">
        <v>760</v>
      </c>
      <c r="D291" s="15" t="s">
        <v>319</v>
      </c>
      <c r="E291" s="15" t="s">
        <v>759</v>
      </c>
      <c r="F291" s="16" t="n">
        <v>46245</v>
      </c>
      <c r="G291" s="5" t="str">
        <f aca="false">IF(TRIM(SUBSTITUTE(SUBSTITUTE(SUBSTITUTE(SUBSTITUTE(SUBSTITUTE(SUBSTITUTE(SUBSTITUTE(SUBSTITUTE(SUBSTITUTE(SUBSTITUTE(SUBSTITUTE(LOWER(TRIM(D291)),"ё","е"),"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категории",""))="инженер",IF(AND(ISNUMBER(SEARCH("техническ",E291)),ISNUMBER(SEARCH("контрол",E291))),"инженер отк",IF(ISNUMBER(SEARCH("диспетч",E291)),"инженер пдо",TRIM(SUBSTITUTE(SUBSTITUTE(SUBSTITUTE(SUBSTITUTE(SUBSTITUTE(SUBSTITUTE(SUBSTITUTE(SUBSTITUTE(SUBSTITUTE(SUBSTITUTE(SUBSTITUTE(LOWER(TRIM(D291)),"ё","е"),"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инженер",IF(ISNUMBER(SEARCH("диспетч",E291)),"ведущий инженер пдо",TRIM(SUBSTITUTE(SUBSTITUTE(SUBSTITUTE(SUBSTITUTE(SUBSTITUTE(SUBSTITUTE(SUBSTITUTE(SUBSTITUTE(SUBSTITUTE(SUBSTITUTE(SUBSTITUTE(LOWER(TRIM(D291)),"ё","е"),"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отк",TRIM(SUBSTITUTE(SUBSTITUTE(SUBSTITUTE(SUBSTITUTE(SUBSTITUTE(SUBSTITUTE(SUBSTITUTE(SUBSTITUTE(SUBSTITUTE(SUBSTITUTE(SUBSTITUTE(LOWER(TRIM(D291)),"ё","е")," -","-"),"- ","-")," 2 разряда","")," 3 разряда","")," 4 разряда","")," 5 разряда","")," 6 разряда","")," 1 категории","")," 2 категории","")," 3 категории","")))))</f>
        <v>разнорабочий</v>
      </c>
      <c r="H291" s="12" t="n">
        <f aca="false">IFERROR(INDEX(Соответствие!$B$2:$B$76,MATCH(G291,Соответствие!$A$2:$A$76,0)),"?")</f>
        <v>7</v>
      </c>
      <c r="I291" s="9" t="str">
        <f aca="false">IFERROR(INDEX('Перечень должностей'!$C$2:$C$46,MATCH(H291,'Перечень должностей'!$A$2:$A$46,0)),"")</f>
        <v>п.4.3.1, п.4.4, п.4.7, п.4.8, п.5.1, п.6.1</v>
      </c>
      <c r="J291" s="12" t="n">
        <f aca="false">IFERROR(INDEX('Перечень должностей'!$D$2:$D$46,MATCH(H291,'Перечень должностей'!$A$2:$A$46,0)),12)</f>
        <v>12</v>
      </c>
      <c r="K291" s="17"/>
      <c r="L291" s="17"/>
      <c r="M291" s="16" t="str">
        <f aca="false">IF(K291="","",EDATE(IF(L291&lt;&gt;"",L291,K291),J291))</f>
        <v/>
      </c>
      <c r="N291" s="12" t="str">
        <f aca="false">IFERROR(INDEX('Перечень должностей'!$F$2:$F$46,MATCH(H291,'Перечень должностей'!$A$2:$A$46,0)),"")</f>
        <v>-</v>
      </c>
      <c r="O291" s="17"/>
      <c r="P291" s="16" t="str">
        <f aca="false">IF(O291="","",EDATE(O291,60))</f>
        <v/>
      </c>
      <c r="Q291" s="12" t="str">
        <f aca="false">IF(AND(K291&lt;&gt;"",F291&lt;&gt;"",K291&gt;F291),"ДА","")</f>
        <v/>
      </c>
      <c r="R291" s="9"/>
    </row>
    <row r="292" customFormat="false" ht="14.25" hidden="false" customHeight="true" outlineLevel="0" collapsed="false">
      <c r="A292" s="15" t="n">
        <v>291</v>
      </c>
      <c r="B292" s="12" t="s">
        <v>72</v>
      </c>
      <c r="C292" s="15" t="s">
        <v>761</v>
      </c>
      <c r="D292" s="15" t="s">
        <v>663</v>
      </c>
      <c r="E292" s="15" t="s">
        <v>759</v>
      </c>
      <c r="F292" s="16" t="n">
        <v>45944</v>
      </c>
      <c r="G292" s="5" t="str">
        <f aca="false">IF(TRIM(SUBSTITUTE(SUBSTITUTE(SUBSTITUTE(SUBSTITUTE(SUBSTITUTE(SUBSTITUTE(SUBSTITUTE(SUBSTITUTE(SUBSTITUTE(SUBSTITUTE(SUBSTITUTE(LOWER(TRIM(D292)),"ё","е"),"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категории",""))="инженер",IF(AND(ISNUMBER(SEARCH("техническ",E292)),ISNUMBER(SEARCH("контрол",E292))),"инженер отк",IF(ISNUMBER(SEARCH("диспетч",E292)),"инженер пдо",TRIM(SUBSTITUTE(SUBSTITUTE(SUBSTITUTE(SUBSTITUTE(SUBSTITUTE(SUBSTITUTE(SUBSTITUTE(SUBSTITUTE(SUBSTITUTE(SUBSTITUTE(SUBSTITUTE(LOWER(TRIM(D292)),"ё","е"),"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инженер",IF(ISNUMBER(SEARCH("диспетч",E292)),"ведущий инженер пдо",TRIM(SUBSTITUTE(SUBSTITUTE(SUBSTITUTE(SUBSTITUTE(SUBSTITUTE(SUBSTITUTE(SUBSTITUTE(SUBSTITUTE(SUBSTITUTE(SUBSTITUTE(SUBSTITUTE(LOWER(TRIM(D292)),"ё","е"),"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отк",TRIM(SUBSTITUTE(SUBSTITUTE(SUBSTITUTE(SUBSTITUTE(SUBSTITUTE(SUBSTITUTE(SUBSTITUTE(SUBSTITUTE(SUBSTITUTE(SUBSTITUTE(SUBSTITUTE(LOWER(TRIM(D292)),"ё","е")," -","-"),"- ","-")," 2 разряда","")," 3 разряда","")," 4 разряда","")," 5 разряда","")," 6 разряда","")," 1 категории","")," 2 категории","")," 3 категории","")))))</f>
        <v>уборщик производственных и служебных помещений</v>
      </c>
      <c r="H292" s="12" t="n">
        <f aca="false">IFERROR(INDEX(Соответствие!$B$2:$B$76,MATCH(G292,Соответствие!$A$2:$A$76,0)),"?")</f>
        <v>10</v>
      </c>
      <c r="I292" s="9" t="str">
        <f aca="false">IFERROR(INDEX('Перечень должностей'!$C$2:$C$46,MATCH(H292,'Перечень должностей'!$A$2:$A$46,0)),"")</f>
        <v>п.1.48, п.4.3.1, п.4.4, п.5.1</v>
      </c>
      <c r="J292" s="12" t="n">
        <f aca="false">IFERROR(INDEX('Перечень должностей'!$D$2:$D$46,MATCH(H292,'Перечень должностей'!$A$2:$A$46,0)),12)</f>
        <v>12</v>
      </c>
      <c r="K292" s="17"/>
      <c r="L292" s="17"/>
      <c r="M292" s="16" t="str">
        <f aca="false">IF(K292="","",EDATE(IF(L292&lt;&gt;"",L292,K292),J292))</f>
        <v/>
      </c>
      <c r="N292" s="12" t="str">
        <f aca="false">IFERROR(INDEX('Перечень должностей'!$F$2:$F$46,MATCH(H292,'Перечень должностей'!$A$2:$A$46,0)),"")</f>
        <v>-</v>
      </c>
      <c r="O292" s="17"/>
      <c r="P292" s="16" t="str">
        <f aca="false">IF(O292="","",EDATE(O292,60))</f>
        <v/>
      </c>
      <c r="Q292" s="12" t="str">
        <f aca="false">IF(AND(K292&lt;&gt;"",F292&lt;&gt;"",K292&gt;F292),"ДА","")</f>
        <v/>
      </c>
      <c r="R292" s="9"/>
    </row>
    <row r="293" customFormat="false" ht="26.25" hidden="false" customHeight="true" outlineLevel="0" collapsed="false">
      <c r="A293" s="15" t="n">
        <v>292</v>
      </c>
      <c r="B293" s="12" t="s">
        <v>72</v>
      </c>
      <c r="C293" s="15" t="s">
        <v>762</v>
      </c>
      <c r="D293" s="15" t="s">
        <v>663</v>
      </c>
      <c r="E293" s="15" t="s">
        <v>759</v>
      </c>
      <c r="F293" s="16" t="n">
        <v>46261</v>
      </c>
      <c r="G293" s="5" t="str">
        <f aca="false">IF(TRIM(SUBSTITUTE(SUBSTITUTE(SUBSTITUTE(SUBSTITUTE(SUBSTITUTE(SUBSTITUTE(SUBSTITUTE(SUBSTITUTE(SUBSTITUTE(SUBSTITUTE(SUBSTITUTE(LOWER(TRIM(D293)),"ё","е"),"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категории",""))="инженер",IF(AND(ISNUMBER(SEARCH("техническ",E293)),ISNUMBER(SEARCH("контрол",E293))),"инженер отк",IF(ISNUMBER(SEARCH("диспетч",E293)),"инженер пдо",TRIM(SUBSTITUTE(SUBSTITUTE(SUBSTITUTE(SUBSTITUTE(SUBSTITUTE(SUBSTITUTE(SUBSTITUTE(SUBSTITUTE(SUBSTITUTE(SUBSTITUTE(SUBSTITUTE(LOWER(TRIM(D293)),"ё","е"),"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инженер",IF(ISNUMBER(SEARCH("диспетч",E293)),"ведущий инженер пдо",TRIM(SUBSTITUTE(SUBSTITUTE(SUBSTITUTE(SUBSTITUTE(SUBSTITUTE(SUBSTITUTE(SUBSTITUTE(SUBSTITUTE(SUBSTITUTE(SUBSTITUTE(SUBSTITUTE(LOWER(TRIM(D293)),"ё","е"),"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отк",TRIM(SUBSTITUTE(SUBSTITUTE(SUBSTITUTE(SUBSTITUTE(SUBSTITUTE(SUBSTITUTE(SUBSTITUTE(SUBSTITUTE(SUBSTITUTE(SUBSTITUTE(SUBSTITUTE(LOWER(TRIM(D293)),"ё","е")," -","-"),"- ","-")," 2 разряда","")," 3 разряда","")," 4 разряда","")," 5 разряда","")," 6 разряда","")," 1 категории","")," 2 категории","")," 3 категории","")))))</f>
        <v>уборщик производственных и служебных помещений</v>
      </c>
      <c r="H293" s="12" t="n">
        <f aca="false">IFERROR(INDEX(Соответствие!$B$2:$B$76,MATCH(G293,Соответствие!$A$2:$A$76,0)),"?")</f>
        <v>10</v>
      </c>
      <c r="I293" s="9" t="str">
        <f aca="false">IFERROR(INDEX('Перечень должностей'!$C$2:$C$46,MATCH(H293,'Перечень должностей'!$A$2:$A$46,0)),"")</f>
        <v>п.1.48, п.4.3.1, п.4.4, п.5.1</v>
      </c>
      <c r="J293" s="12" t="n">
        <f aca="false">IFERROR(INDEX('Перечень должностей'!$D$2:$D$46,MATCH(H293,'Перечень должностей'!$A$2:$A$46,0)),12)</f>
        <v>12</v>
      </c>
      <c r="K293" s="17" t="n">
        <v>46258</v>
      </c>
      <c r="L293" s="17"/>
      <c r="M293" s="16" t="n">
        <f aca="false">IF(K293="","",EDATE(IF(L293&lt;&gt;"",L293,K293),J293))</f>
        <v>46623</v>
      </c>
      <c r="N293" s="12" t="str">
        <f aca="false">IFERROR(INDEX('Перечень должностей'!$F$2:$F$46,MATCH(H293,'Перечень должностей'!$A$2:$A$46,0)),"")</f>
        <v>-</v>
      </c>
      <c r="O293" s="17"/>
      <c r="P293" s="16" t="str">
        <f aca="false">IF(O293="","",EDATE(O293,60))</f>
        <v/>
      </c>
      <c r="Q293" s="12" t="str">
        <f aca="false">IF(AND(K293&lt;&gt;"",F293&lt;&gt;"",K293&gt;F293),"ДА","")</f>
        <v/>
      </c>
      <c r="R293" s="9"/>
    </row>
    <row r="294" customFormat="false" ht="14.25" hidden="false" customHeight="true" outlineLevel="0" collapsed="false">
      <c r="A294" s="15" t="n">
        <v>293</v>
      </c>
      <c r="B294" s="12" t="s">
        <v>72</v>
      </c>
      <c r="C294" s="15" t="s">
        <v>763</v>
      </c>
      <c r="D294" s="15" t="s">
        <v>663</v>
      </c>
      <c r="E294" s="15" t="s">
        <v>759</v>
      </c>
      <c r="F294" s="16" t="n">
        <v>46104</v>
      </c>
      <c r="G294" s="5" t="str">
        <f aca="false">IF(TRIM(SUBSTITUTE(SUBSTITUTE(SUBSTITUTE(SUBSTITUTE(SUBSTITUTE(SUBSTITUTE(SUBSTITUTE(SUBSTITUTE(SUBSTITUTE(SUBSTITUTE(SUBSTITUTE(LOWER(TRIM(D294)),"ё","е"),"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категории",""))="инженер",IF(AND(ISNUMBER(SEARCH("техническ",E294)),ISNUMBER(SEARCH("контрол",E294))),"инженер отк",IF(ISNUMBER(SEARCH("диспетч",E294)),"инженер пдо",TRIM(SUBSTITUTE(SUBSTITUTE(SUBSTITUTE(SUBSTITUTE(SUBSTITUTE(SUBSTITUTE(SUBSTITUTE(SUBSTITUTE(SUBSTITUTE(SUBSTITUTE(SUBSTITUTE(LOWER(TRIM(D294)),"ё","е"),"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инженер",IF(ISNUMBER(SEARCH("диспетч",E294)),"ведущий инженер пдо",TRIM(SUBSTITUTE(SUBSTITUTE(SUBSTITUTE(SUBSTITUTE(SUBSTITUTE(SUBSTITUTE(SUBSTITUTE(SUBSTITUTE(SUBSTITUTE(SUBSTITUTE(SUBSTITUTE(LOWER(TRIM(D294)),"ё","е"),"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отк",TRIM(SUBSTITUTE(SUBSTITUTE(SUBSTITUTE(SUBSTITUTE(SUBSTITUTE(SUBSTITUTE(SUBSTITUTE(SUBSTITUTE(SUBSTITUTE(SUBSTITUTE(SUBSTITUTE(LOWER(TRIM(D294)),"ё","е")," -","-"),"- ","-")," 2 разряда","")," 3 разряда","")," 4 разряда","")," 5 разряда","")," 6 разряда","")," 1 категории","")," 2 категории","")," 3 категории","")))))</f>
        <v>уборщик производственных и служебных помещений</v>
      </c>
      <c r="H294" s="12" t="n">
        <f aca="false">IFERROR(INDEX(Соответствие!$B$2:$B$76,MATCH(G294,Соответствие!$A$2:$A$76,0)),"?")</f>
        <v>10</v>
      </c>
      <c r="I294" s="9" t="str">
        <f aca="false">IFERROR(INDEX('Перечень должностей'!$C$2:$C$46,MATCH(H294,'Перечень должностей'!$A$2:$A$46,0)),"")</f>
        <v>п.1.48, п.4.3.1, п.4.4, п.5.1</v>
      </c>
      <c r="J294" s="12" t="n">
        <f aca="false">IFERROR(INDEX('Перечень должностей'!$D$2:$D$46,MATCH(H294,'Перечень должностей'!$A$2:$A$46,0)),12)</f>
        <v>12</v>
      </c>
      <c r="K294" s="17"/>
      <c r="L294" s="17"/>
      <c r="M294" s="16" t="str">
        <f aca="false">IF(K294="","",EDATE(IF(L294&lt;&gt;"",L294,K294),J294))</f>
        <v/>
      </c>
      <c r="N294" s="12" t="str">
        <f aca="false">IFERROR(INDEX('Перечень должностей'!$F$2:$F$46,MATCH(H294,'Перечень должностей'!$A$2:$A$46,0)),"")</f>
        <v>-</v>
      </c>
      <c r="O294" s="17"/>
      <c r="P294" s="16" t="str">
        <f aca="false">IF(O294="","",EDATE(O294,60))</f>
        <v/>
      </c>
      <c r="Q294" s="12" t="str">
        <f aca="false">IF(AND(K294&lt;&gt;"",F294&lt;&gt;"",K294&gt;F294),"ДА","")</f>
        <v/>
      </c>
      <c r="R294" s="9"/>
    </row>
    <row r="295" customFormat="false" ht="14.25" hidden="false" customHeight="true" outlineLevel="0" collapsed="false">
      <c r="A295" s="15" t="n">
        <v>294</v>
      </c>
      <c r="B295" s="12" t="s">
        <v>72</v>
      </c>
      <c r="C295" s="15" t="s">
        <v>764</v>
      </c>
      <c r="D295" s="15" t="s">
        <v>663</v>
      </c>
      <c r="E295" s="15" t="s">
        <v>759</v>
      </c>
      <c r="F295" s="16" t="n">
        <v>46113</v>
      </c>
      <c r="G295" s="5" t="str">
        <f aca="false">IF(TRIM(SUBSTITUTE(SUBSTITUTE(SUBSTITUTE(SUBSTITUTE(SUBSTITUTE(SUBSTITUTE(SUBSTITUTE(SUBSTITUTE(SUBSTITUTE(SUBSTITUTE(SUBSTITUTE(LOWER(TRIM(D295)),"ё","е"),"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категории",""))="инженер",IF(AND(ISNUMBER(SEARCH("техническ",E295)),ISNUMBER(SEARCH("контрол",E295))),"инженер отк",IF(ISNUMBER(SEARCH("диспетч",E295)),"инженер пдо",TRIM(SUBSTITUTE(SUBSTITUTE(SUBSTITUTE(SUBSTITUTE(SUBSTITUTE(SUBSTITUTE(SUBSTITUTE(SUBSTITUTE(SUBSTITUTE(SUBSTITUTE(SUBSTITUTE(LOWER(TRIM(D295)),"ё","е"),"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инженер",IF(ISNUMBER(SEARCH("диспетч",E295)),"ведущий инженер пдо",TRIM(SUBSTITUTE(SUBSTITUTE(SUBSTITUTE(SUBSTITUTE(SUBSTITUTE(SUBSTITUTE(SUBSTITUTE(SUBSTITUTE(SUBSTITUTE(SUBSTITUTE(SUBSTITUTE(LOWER(TRIM(D295)),"ё","е"),"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отк",TRIM(SUBSTITUTE(SUBSTITUTE(SUBSTITUTE(SUBSTITUTE(SUBSTITUTE(SUBSTITUTE(SUBSTITUTE(SUBSTITUTE(SUBSTITUTE(SUBSTITUTE(SUBSTITUTE(LOWER(TRIM(D295)),"ё","е")," -","-"),"- ","-")," 2 разряда","")," 3 разряда","")," 4 разряда","")," 5 разряда","")," 6 разряда","")," 1 категории","")," 2 категории","")," 3 категории","")))))</f>
        <v>уборщик производственных и служебных помещений</v>
      </c>
      <c r="H295" s="12" t="n">
        <f aca="false">IFERROR(INDEX(Соответствие!$B$2:$B$76,MATCH(G295,Соответствие!$A$2:$A$76,0)),"?")</f>
        <v>10</v>
      </c>
      <c r="I295" s="9" t="str">
        <f aca="false">IFERROR(INDEX('Перечень должностей'!$C$2:$C$46,MATCH(H295,'Перечень должностей'!$A$2:$A$46,0)),"")</f>
        <v>п.1.48, п.4.3.1, п.4.4, п.5.1</v>
      </c>
      <c r="J295" s="12" t="n">
        <f aca="false">IFERROR(INDEX('Перечень должностей'!$D$2:$D$46,MATCH(H295,'Перечень должностей'!$A$2:$A$46,0)),12)</f>
        <v>12</v>
      </c>
      <c r="K295" s="17"/>
      <c r="L295" s="17"/>
      <c r="M295" s="16" t="str">
        <f aca="false">IF(K295="","",EDATE(IF(L295&lt;&gt;"",L295,K295),J295))</f>
        <v/>
      </c>
      <c r="N295" s="12" t="str">
        <f aca="false">IFERROR(INDEX('Перечень должностей'!$F$2:$F$46,MATCH(H295,'Перечень должностей'!$A$2:$A$46,0)),"")</f>
        <v>-</v>
      </c>
      <c r="O295" s="17"/>
      <c r="P295" s="16" t="str">
        <f aca="false">IF(O295="","",EDATE(O295,60))</f>
        <v/>
      </c>
      <c r="Q295" s="12" t="str">
        <f aca="false">IF(AND(K295&lt;&gt;"",F295&lt;&gt;"",K295&gt;F295),"ДА","")</f>
        <v/>
      </c>
      <c r="R295" s="9"/>
    </row>
    <row r="296" customFormat="false" ht="14.25" hidden="false" customHeight="true" outlineLevel="0" collapsed="false">
      <c r="A296" s="15" t="n">
        <v>295</v>
      </c>
      <c r="B296" s="12" t="s">
        <v>72</v>
      </c>
      <c r="C296" s="15" t="s">
        <v>765</v>
      </c>
      <c r="D296" s="15" t="s">
        <v>766</v>
      </c>
      <c r="E296" s="15" t="s">
        <v>759</v>
      </c>
      <c r="F296" s="16" t="n">
        <v>45446</v>
      </c>
      <c r="G296" s="5" t="str">
        <f aca="false">IF(TRIM(SUBSTITUTE(SUBSTITUTE(SUBSTITUTE(SUBSTITUTE(SUBSTITUTE(SUBSTITUTE(SUBSTITUTE(SUBSTITUTE(SUBSTITUTE(SUBSTITUTE(SUBSTITUTE(LOWER(TRIM(D296)),"ё","е"),"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категории",""))="инженер",IF(AND(ISNUMBER(SEARCH("техническ",E296)),ISNUMBER(SEARCH("контрол",E296))),"инженер отк",IF(ISNUMBER(SEARCH("диспетч",E296)),"инженер пдо",TRIM(SUBSTITUTE(SUBSTITUTE(SUBSTITUTE(SUBSTITUTE(SUBSTITUTE(SUBSTITUTE(SUBSTITUTE(SUBSTITUTE(SUBSTITUTE(SUBSTITUTE(SUBSTITUTE(LOWER(TRIM(D296)),"ё","е"),"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инженер",IF(ISNUMBER(SEARCH("диспетч",E296)),"ведущий инженер пдо",TRIM(SUBSTITUTE(SUBSTITUTE(SUBSTITUTE(SUBSTITUTE(SUBSTITUTE(SUBSTITUTE(SUBSTITUTE(SUBSTITUTE(SUBSTITUTE(SUBSTITUTE(SUBSTITUTE(LOWER(TRIM(D296)),"ё","е"),"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отк",TRIM(SUBSTITUTE(SUBSTITUTE(SUBSTITUTE(SUBSTITUTE(SUBSTITUTE(SUBSTITUTE(SUBSTITUTE(SUBSTITUTE(SUBSTITUTE(SUBSTITUTE(SUBSTITUTE(LOWER(TRIM(D296)),"ё","е")," -","-"),"- ","-")," 2 разряда","")," 3 разряда","")," 4 разряда","")," 5 разряда","")," 6 разряда","")," 1 категории","")," 2 категории","")," 3 категории","")))))</f>
        <v>уборщик служебных помещений</v>
      </c>
      <c r="H296" s="12" t="n">
        <f aca="false">IFERROR(INDEX(Соответствие!$B$2:$B$76,MATCH(G296,Соответствие!$A$2:$A$76,0)),"?")</f>
        <v>10</v>
      </c>
      <c r="I296" s="9" t="str">
        <f aca="false">IFERROR(INDEX('Перечень должностей'!$C$2:$C$46,MATCH(H296,'Перечень должностей'!$A$2:$A$46,0)),"")</f>
        <v>п.1.48, п.4.3.1, п.4.4, п.5.1</v>
      </c>
      <c r="J296" s="12" t="n">
        <f aca="false">IFERROR(INDEX('Перечень должностей'!$D$2:$D$46,MATCH(H296,'Перечень должностей'!$A$2:$A$46,0)),12)</f>
        <v>12</v>
      </c>
      <c r="K296" s="17"/>
      <c r="L296" s="17"/>
      <c r="M296" s="16" t="str">
        <f aca="false">IF(K296="","",EDATE(IF(L296&lt;&gt;"",L296,K296),J296))</f>
        <v/>
      </c>
      <c r="N296" s="12" t="str">
        <f aca="false">IFERROR(INDEX('Перечень должностей'!$F$2:$F$46,MATCH(H296,'Перечень должностей'!$A$2:$A$46,0)),"")</f>
        <v>-</v>
      </c>
      <c r="O296" s="17"/>
      <c r="P296" s="16" t="str">
        <f aca="false">IF(O296="","",EDATE(O296,60))</f>
        <v/>
      </c>
      <c r="Q296" s="12" t="str">
        <f aca="false">IF(AND(K296&lt;&gt;"",F296&lt;&gt;"",K296&gt;F296),"ДА","")</f>
        <v/>
      </c>
      <c r="R296" s="9"/>
    </row>
    <row r="297" customFormat="false" ht="23.25" hidden="false" customHeight="true" outlineLevel="0" collapsed="false">
      <c r="A297" s="15" t="n">
        <v>296</v>
      </c>
      <c r="B297" s="12" t="s">
        <v>72</v>
      </c>
      <c r="C297" s="15" t="s">
        <v>767</v>
      </c>
      <c r="D297" s="15" t="s">
        <v>651</v>
      </c>
      <c r="E297" s="15" t="s">
        <v>71</v>
      </c>
      <c r="F297" s="16" t="n">
        <v>46246</v>
      </c>
      <c r="G297" s="5" t="str">
        <f aca="false">IF(TRIM(SUBSTITUTE(SUBSTITUTE(SUBSTITUTE(SUBSTITUTE(SUBSTITUTE(SUBSTITUTE(SUBSTITUTE(SUBSTITUTE(SUBSTITUTE(SUBSTITUTE(SUBSTITUTE(LOWER(TRIM(D297)),"ё","е"),"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категории",""))="инженер",IF(AND(ISNUMBER(SEARCH("техническ",E297)),ISNUMBER(SEARCH("контрол",E297))),"инженер отк",IF(ISNUMBER(SEARCH("диспетч",E297)),"инженер пдо",TRIM(SUBSTITUTE(SUBSTITUTE(SUBSTITUTE(SUBSTITUTE(SUBSTITUTE(SUBSTITUTE(SUBSTITUTE(SUBSTITUTE(SUBSTITUTE(SUBSTITUTE(SUBSTITUTE(LOWER(TRIM(D297)),"ё","е"),"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инженер",IF(ISNUMBER(SEARCH("диспетч",E297)),"ведущий инженер пдо",TRIM(SUBSTITUTE(SUBSTITUTE(SUBSTITUTE(SUBSTITUTE(SUBSTITUTE(SUBSTITUTE(SUBSTITUTE(SUBSTITUTE(SUBSTITUTE(SUBSTITUTE(SUBSTITUTE(LOWER(TRIM(D297)),"ё","е"),"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отк",TRIM(SUBSTITUTE(SUBSTITUTE(SUBSTITUTE(SUBSTITUTE(SUBSTITUTE(SUBSTITUTE(SUBSTITUTE(SUBSTITUTE(SUBSTITUTE(SUBSTITUTE(SUBSTITUTE(LOWER(TRIM(D297)),"ё","е"),"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электромонтер по ремонту и обслуживанию электрооборудования</v>
      </c>
      <c r="H297" s="12" t="n">
        <f aca="false">IFERROR(INDEX(Соответствие!$B$2:$B$76,MATCH(G297,Соответствие!$A$2:$A$76,0)),"?")</f>
        <v>2</v>
      </c>
      <c r="I297" s="9" t="str">
        <f aca="false">IFERROR(INDEX('Перечень должностей'!$C$2:$C$46,MATCH(H297,'Перечень должностей'!$A$2:$A$46,0)),"")</f>
        <v>п.4.2.3, п.4.3.1, п.4.3.2, п.4.4, п.5.1, п.5.2, п.6.2, п.9</v>
      </c>
      <c r="J297" s="12" t="n">
        <f aca="false">IFERROR(INDEX('Перечень должностей'!$D$2:$D$46,MATCH(H297,'Перечень должностей'!$A$2:$A$46,0)),12)</f>
        <v>12</v>
      </c>
      <c r="K297" s="17"/>
      <c r="L297" s="17"/>
      <c r="M297" s="16" t="str">
        <f aca="false">IF(K297="","",EDATE(IF(L297&lt;&gt;"",L297,K297),J297))</f>
        <v/>
      </c>
      <c r="N297" s="12" t="str">
        <f aca="false">IFERROR(INDEX('Перечень должностей'!$F$2:$F$46,MATCH(H297,'Перечень должностей'!$A$2:$A$46,0)),"")</f>
        <v>Да</v>
      </c>
      <c r="O297" s="17"/>
      <c r="P297" s="16" t="str">
        <f aca="false">IF(O297="","",EDATE(O297,60))</f>
        <v/>
      </c>
      <c r="Q297" s="12" t="str">
        <f aca="false">IF(AND(K297&lt;&gt;"",F297&lt;&gt;"",K297&gt;F297),"ДА","")</f>
        <v/>
      </c>
      <c r="R297" s="9"/>
    </row>
    <row r="298" customFormat="false" ht="14.25" hidden="false" customHeight="true" outlineLevel="0" collapsed="false">
      <c r="A298" s="15" t="n">
        <v>297</v>
      </c>
      <c r="B298" s="12" t="s">
        <v>72</v>
      </c>
      <c r="C298" s="15" t="s">
        <v>768</v>
      </c>
      <c r="D298" s="15" t="s">
        <v>769</v>
      </c>
      <c r="E298" s="15" t="s">
        <v>71</v>
      </c>
      <c r="F298" s="16" t="n">
        <v>46055</v>
      </c>
      <c r="G298" s="5" t="str">
        <f aca="false">IF(TRIM(SUBSTITUTE(SUBSTITUTE(SUBSTITUTE(SUBSTITUTE(SUBSTITUTE(SUBSTITUTE(SUBSTITUTE(SUBSTITUTE(SUBSTITUTE(SUBSTITUTE(SUBSTITUTE(LOWER(TRIM(D298)),"ё","е"),"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категории",""))="инженер",IF(AND(ISNUMBER(SEARCH("техническ",E298)),ISNUMBER(SEARCH("контрол",E298))),"инженер отк",IF(ISNUMBER(SEARCH("диспетч",E298)),"инженер пдо",TRIM(SUBSTITUTE(SUBSTITUTE(SUBSTITUTE(SUBSTITUTE(SUBSTITUTE(SUBSTITUTE(SUBSTITUTE(SUBSTITUTE(SUBSTITUTE(SUBSTITUTE(SUBSTITUTE(LOWER(TRIM(D298)),"ё","е"),"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инженер",IF(ISNUMBER(SEARCH("диспетч",E298)),"ведущий инженер пдо",TRIM(SUBSTITUTE(SUBSTITUTE(SUBSTITUTE(SUBSTITUTE(SUBSTITUTE(SUBSTITUTE(SUBSTITUTE(SUBSTITUTE(SUBSTITUTE(SUBSTITUTE(SUBSTITUTE(LOWER(TRIM(D298)),"ё","е"),"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отк",TRIM(SUBSTITUTE(SUBSTITUTE(SUBSTITUTE(SUBSTITUTE(SUBSTITUTE(SUBSTITUTE(SUBSTITUTE(SUBSTITUTE(SUBSTITUTE(SUBSTITUTE(SUBSTITUTE(LOWER(TRIM(D298)),"ё","е")," -","-"),"- ","-")," 2 разряда","")," 3 разряда","")," 4 разряда","")," 5 разряда","")," 6 разряда","")," 1 категории","")," 2 категории","")," 3 категории","")))))</f>
        <v>слесарь-ремонтник</v>
      </c>
      <c r="H298" s="12" t="n">
        <f aca="false">IFERROR(INDEX(Соответствие!$B$2:$B$76,MATCH(G298,Соответствие!$A$2:$A$76,0)),"?")</f>
        <v>8</v>
      </c>
      <c r="I298" s="9" t="str">
        <f aca="false">IFERROR(INDEX('Перечень должностей'!$C$2:$C$46,MATCH(H298,'Перечень должностей'!$A$2:$A$46,0)),"")</f>
        <v>п.4.3.1, п.4.4, п.5.1, п.6.2, п.15</v>
      </c>
      <c r="J298" s="12" t="n">
        <f aca="false">IFERROR(INDEX('Перечень должностей'!$D$2:$D$46,MATCH(H298,'Перечень должностей'!$A$2:$A$46,0)),12)</f>
        <v>12</v>
      </c>
      <c r="K298" s="17"/>
      <c r="L298" s="17"/>
      <c r="M298" s="16" t="str">
        <f aca="false">IF(K298="","",EDATE(IF(L298&lt;&gt;"",L298,K298),J298))</f>
        <v/>
      </c>
      <c r="N298" s="12" t="str">
        <f aca="false">IFERROR(INDEX('Перечень должностей'!$F$2:$F$46,MATCH(H298,'Перечень должностей'!$A$2:$A$46,0)),"")</f>
        <v>-</v>
      </c>
      <c r="O298" s="17"/>
      <c r="P298" s="16" t="str">
        <f aca="false">IF(O298="","",EDATE(O298,60))</f>
        <v/>
      </c>
      <c r="Q298" s="12" t="str">
        <f aca="false">IF(AND(K298&lt;&gt;"",F298&lt;&gt;"",K298&gt;F298),"ДА","")</f>
        <v/>
      </c>
      <c r="R298" s="9"/>
    </row>
    <row r="299" customFormat="false" ht="26.25" hidden="false" customHeight="true" outlineLevel="0" collapsed="false">
      <c r="A299" s="15" t="n">
        <v>298</v>
      </c>
      <c r="B299" s="12" t="s">
        <v>72</v>
      </c>
      <c r="C299" s="15" t="s">
        <v>770</v>
      </c>
      <c r="D299" s="15" t="s">
        <v>99</v>
      </c>
      <c r="E299" s="15" t="s">
        <v>771</v>
      </c>
      <c r="F299" s="16" t="n">
        <v>46148</v>
      </c>
      <c r="G299" s="5" t="str">
        <f aca="false">IF(TRIM(SUBSTITUTE(SUBSTITUTE(SUBSTITUTE(SUBSTITUTE(SUBSTITUTE(SUBSTITUTE(SUBSTITUTE(SUBSTITUTE(SUBSTITUTE(SUBSTITUTE(SUBSTITUTE(LOWER(TRIM(D299)),"ё","е"),"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категории",""))="инженер",IF(AND(ISNUMBER(SEARCH("техническ",E299)),ISNUMBER(SEARCH("контрол",E299))),"инженер отк",IF(ISNUMBER(SEARCH("диспетч",E299)),"инженер пдо",TRIM(SUBSTITUTE(SUBSTITUTE(SUBSTITUTE(SUBSTITUTE(SUBSTITUTE(SUBSTITUTE(SUBSTITUTE(SUBSTITUTE(SUBSTITUTE(SUBSTITUTE(SUBSTITUTE(LOWER(TRIM(D299)),"ё","е"),"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инженер",IF(ISNUMBER(SEARCH("диспетч",E299)),"ведущий инженер пдо",TRIM(SUBSTITUTE(SUBSTITUTE(SUBSTITUTE(SUBSTITUTE(SUBSTITUTE(SUBSTITUTE(SUBSTITUTE(SUBSTITUTE(SUBSTITUTE(SUBSTITUTE(SUBSTITUTE(LOWER(TRIM(D299)),"ё","е"),"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отк",TRIM(SUBSTITUTE(SUBSTITUTE(SUBSTITUTE(SUBSTITUTE(SUBSTITUTE(SUBSTITUTE(SUBSTITUTE(SUBSTITUTE(SUBSTITUTE(SUBSTITUTE(SUBSTITUTE(LOWER(TRIM(D299)),"ё","е"),"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станка с чпу</v>
      </c>
      <c r="H299" s="12" t="n">
        <f aca="false">IFERROR(INDEX(Соответствие!$B$2:$B$76,MATCH(G299,Соответствие!$A$2:$A$76,0)),"?")</f>
        <v>30</v>
      </c>
      <c r="I299" s="9" t="str">
        <f aca="false">IFERROR(INDEX('Перечень должностей'!$C$2:$C$46,MATCH(H299,'Перечень должностей'!$A$2:$A$46,0)),"")</f>
        <v>п.4.3.1, п.4.3.2, п.4.4, п.5.1, п.5.2, п.15</v>
      </c>
      <c r="J299" s="12" t="n">
        <f aca="false">IFERROR(INDEX('Перечень должностей'!$D$2:$D$46,MATCH(H299,'Перечень должностей'!$A$2:$A$46,0)),12)</f>
        <v>12</v>
      </c>
      <c r="K299" s="17"/>
      <c r="L299" s="17"/>
      <c r="M299" s="16" t="str">
        <f aca="false">IF(K299="","",EDATE(IF(L299&lt;&gt;"",L299,K299),J299))</f>
        <v/>
      </c>
      <c r="N299" s="12" t="str">
        <f aca="false">IFERROR(INDEX('Перечень должностей'!$F$2:$F$46,MATCH(H299,'Перечень должностей'!$A$2:$A$46,0)),"")</f>
        <v>-</v>
      </c>
      <c r="O299" s="17"/>
      <c r="P299" s="16" t="str">
        <f aca="false">IF(O299="","",EDATE(O299,60))</f>
        <v/>
      </c>
      <c r="Q299" s="12" t="str">
        <f aca="false">IF(AND(K299&lt;&gt;"",F299&lt;&gt;"",K299&gt;F299),"ДА","")</f>
        <v/>
      </c>
      <c r="R299" s="9"/>
    </row>
    <row r="300" customFormat="false" ht="23.25" hidden="false" customHeight="true" outlineLevel="0" collapsed="false">
      <c r="A300" s="15" t="n">
        <v>299</v>
      </c>
      <c r="B300" s="12" t="s">
        <v>72</v>
      </c>
      <c r="C300" s="15" t="s">
        <v>772</v>
      </c>
      <c r="D300" s="15" t="s">
        <v>99</v>
      </c>
      <c r="E300" s="15" t="s">
        <v>771</v>
      </c>
      <c r="F300" s="16" t="n">
        <v>46195</v>
      </c>
      <c r="G300" s="5" t="str">
        <f aca="false">IF(TRIM(SUBSTITUTE(SUBSTITUTE(SUBSTITUTE(SUBSTITUTE(SUBSTITUTE(SUBSTITUTE(SUBSTITUTE(SUBSTITUTE(SUBSTITUTE(SUBSTITUTE(SUBSTITUTE(LOWER(TRIM(D300)),"ё","е"),"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категории",""))="инженер",IF(AND(ISNUMBER(SEARCH("техническ",E300)),ISNUMBER(SEARCH("контрол",E300))),"инженер отк",IF(ISNUMBER(SEARCH("диспетч",E300)),"инженер пдо",TRIM(SUBSTITUTE(SUBSTITUTE(SUBSTITUTE(SUBSTITUTE(SUBSTITUTE(SUBSTITUTE(SUBSTITUTE(SUBSTITUTE(SUBSTITUTE(SUBSTITUTE(SUBSTITUTE(LOWER(TRIM(D300)),"ё","е"),"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инженер",IF(ISNUMBER(SEARCH("диспетч",E300)),"ведущий инженер пдо",TRIM(SUBSTITUTE(SUBSTITUTE(SUBSTITUTE(SUBSTITUTE(SUBSTITUTE(SUBSTITUTE(SUBSTITUTE(SUBSTITUTE(SUBSTITUTE(SUBSTITUTE(SUBSTITUTE(LOWER(TRIM(D300)),"ё","е"),"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отк",TRIM(SUBSTITUTE(SUBSTITUTE(SUBSTITUTE(SUBSTITUTE(SUBSTITUTE(SUBSTITUTE(SUBSTITUTE(SUBSTITUTE(SUBSTITUTE(SUBSTITUTE(SUBSTITUTE(LOWER(TRIM(D300)),"ё","е"),"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станка с чпу</v>
      </c>
      <c r="H300" s="12" t="n">
        <f aca="false">IFERROR(INDEX(Соответствие!$B$2:$B$76,MATCH(G300,Соответствие!$A$2:$A$76,0)),"?")</f>
        <v>30</v>
      </c>
      <c r="I300" s="9" t="str">
        <f aca="false">IFERROR(INDEX('Перечень должностей'!$C$2:$C$46,MATCH(H300,'Перечень должностей'!$A$2:$A$46,0)),"")</f>
        <v>п.4.3.1, п.4.3.2, п.4.4, п.5.1, п.5.2, п.15</v>
      </c>
      <c r="J300" s="12" t="n">
        <f aca="false">IFERROR(INDEX('Перечень должностей'!$D$2:$D$46,MATCH(H300,'Перечень должностей'!$A$2:$A$46,0)),12)</f>
        <v>12</v>
      </c>
      <c r="K300" s="17" t="n">
        <v>46191</v>
      </c>
      <c r="L300" s="17"/>
      <c r="M300" s="16" t="n">
        <f aca="false">IF(K300="","",EDATE(IF(L300&lt;&gt;"",L300,K300),J300))</f>
        <v>46556</v>
      </c>
      <c r="N300" s="12" t="str">
        <f aca="false">IFERROR(INDEX('Перечень должностей'!$F$2:$F$46,MATCH(H300,'Перечень должностей'!$A$2:$A$46,0)),"")</f>
        <v>-</v>
      </c>
      <c r="O300" s="17"/>
      <c r="P300" s="16" t="str">
        <f aca="false">IF(O300="","",EDATE(O300,60))</f>
        <v/>
      </c>
      <c r="Q300" s="12" t="str">
        <f aca="false">IF(AND(K300&lt;&gt;"",F300&lt;&gt;"",K300&gt;F300),"ДА","")</f>
        <v/>
      </c>
      <c r="R300" s="9"/>
    </row>
    <row r="301" customFormat="false" ht="26.25" hidden="false" customHeight="true" outlineLevel="0" collapsed="false">
      <c r="A301" s="15" t="n">
        <v>300</v>
      </c>
      <c r="B301" s="12" t="s">
        <v>72</v>
      </c>
      <c r="C301" s="15" t="s">
        <v>773</v>
      </c>
      <c r="D301" s="15" t="s">
        <v>99</v>
      </c>
      <c r="E301" s="15" t="s">
        <v>771</v>
      </c>
      <c r="F301" s="16" t="n">
        <v>46034</v>
      </c>
      <c r="G301" s="5" t="str">
        <f aca="false">IF(TRIM(SUBSTITUTE(SUBSTITUTE(SUBSTITUTE(SUBSTITUTE(SUBSTITUTE(SUBSTITUTE(SUBSTITUTE(SUBSTITUTE(SUBSTITUTE(SUBSTITUTE(SUBSTITUTE(LOWER(TRIM(D301)),"ё","е"),"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категории",""))="инженер",IF(AND(ISNUMBER(SEARCH("техническ",E301)),ISNUMBER(SEARCH("контрол",E301))),"инженер отк",IF(ISNUMBER(SEARCH("диспетч",E301)),"инженер пдо",TRIM(SUBSTITUTE(SUBSTITUTE(SUBSTITUTE(SUBSTITUTE(SUBSTITUTE(SUBSTITUTE(SUBSTITUTE(SUBSTITUTE(SUBSTITUTE(SUBSTITUTE(SUBSTITUTE(LOWER(TRIM(D301)),"ё","е"),"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инженер",IF(ISNUMBER(SEARCH("диспетч",E301)),"ведущий инженер пдо",TRIM(SUBSTITUTE(SUBSTITUTE(SUBSTITUTE(SUBSTITUTE(SUBSTITUTE(SUBSTITUTE(SUBSTITUTE(SUBSTITUTE(SUBSTITUTE(SUBSTITUTE(SUBSTITUTE(LOWER(TRIM(D301)),"ё","е"),"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отк",TRIM(SUBSTITUTE(SUBSTITUTE(SUBSTITUTE(SUBSTITUTE(SUBSTITUTE(SUBSTITUTE(SUBSTITUTE(SUBSTITUTE(SUBSTITUTE(SUBSTITUTE(SUBSTITUTE(LOWER(TRIM(D301)),"ё","е"),"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станка с чпу</v>
      </c>
      <c r="H301" s="12" t="n">
        <f aca="false">IFERROR(INDEX(Соответствие!$B$2:$B$76,MATCH(G301,Соответствие!$A$2:$A$76,0)),"?")</f>
        <v>30</v>
      </c>
      <c r="I301" s="9" t="str">
        <f aca="false">IFERROR(INDEX('Перечень должностей'!$C$2:$C$46,MATCH(H301,'Перечень должностей'!$A$2:$A$46,0)),"")</f>
        <v>п.4.3.1, п.4.3.2, п.4.4, п.5.1, п.5.2, п.15</v>
      </c>
      <c r="J301" s="12" t="n">
        <f aca="false">IFERROR(INDEX('Перечень должностей'!$D$2:$D$46,MATCH(H301,'Перечень должностей'!$A$2:$A$46,0)),12)</f>
        <v>12</v>
      </c>
      <c r="K301" s="17"/>
      <c r="L301" s="17"/>
      <c r="M301" s="16" t="str">
        <f aca="false">IF(K301="","",EDATE(IF(L301&lt;&gt;"",L301,K301),J301))</f>
        <v/>
      </c>
      <c r="N301" s="12" t="str">
        <f aca="false">IFERROR(INDEX('Перечень должностей'!$F$2:$F$46,MATCH(H301,'Перечень должностей'!$A$2:$A$46,0)),"")</f>
        <v>-</v>
      </c>
      <c r="O301" s="17"/>
      <c r="P301" s="16" t="str">
        <f aca="false">IF(O301="","",EDATE(O301,60))</f>
        <v/>
      </c>
      <c r="Q301" s="12" t="str">
        <f aca="false">IF(AND(K301&lt;&gt;"",F301&lt;&gt;"",K301&gt;F301),"ДА","")</f>
        <v/>
      </c>
      <c r="R301" s="9"/>
    </row>
    <row r="302" customFormat="false" ht="26.25" hidden="false" customHeight="true" outlineLevel="0" collapsed="false">
      <c r="A302" s="15" t="n">
        <v>301</v>
      </c>
      <c r="B302" s="12" t="s">
        <v>72</v>
      </c>
      <c r="C302" s="15" t="s">
        <v>774</v>
      </c>
      <c r="D302" s="15" t="s">
        <v>565</v>
      </c>
      <c r="E302" s="15" t="s">
        <v>771</v>
      </c>
      <c r="F302" s="16" t="n">
        <v>45924</v>
      </c>
      <c r="G302" s="5" t="str">
        <f aca="false">IF(TRIM(SUBSTITUTE(SUBSTITUTE(SUBSTITUTE(SUBSTITUTE(SUBSTITUTE(SUBSTITUTE(SUBSTITUTE(SUBSTITUTE(SUBSTITUTE(SUBSTITUTE(SUBSTITUTE(LOWER(TRIM(D302)),"ё","е"),"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категории",""))="инженер",IF(AND(ISNUMBER(SEARCH("техническ",E302)),ISNUMBER(SEARCH("контрол",E302))),"инженер отк",IF(ISNUMBER(SEARCH("диспетч",E302)),"инженер пдо",TRIM(SUBSTITUTE(SUBSTITUTE(SUBSTITUTE(SUBSTITUTE(SUBSTITUTE(SUBSTITUTE(SUBSTITUTE(SUBSTITUTE(SUBSTITUTE(SUBSTITUTE(SUBSTITUTE(LOWER(TRIM(D302)),"ё","е"),"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инженер",IF(ISNUMBER(SEARCH("диспетч",E302)),"ведущий инженер пдо",TRIM(SUBSTITUTE(SUBSTITUTE(SUBSTITUTE(SUBSTITUTE(SUBSTITUTE(SUBSTITUTE(SUBSTITUTE(SUBSTITUTE(SUBSTITUTE(SUBSTITUTE(SUBSTITUTE(LOWER(TRIM(D302)),"ё","е"),"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отк",TRIM(SUBSTITUTE(SUBSTITUTE(SUBSTITUTE(SUBSTITUTE(SUBSTITUTE(SUBSTITUTE(SUBSTITUTE(SUBSTITUTE(SUBSTITUTE(SUBSTITUTE(SUBSTITUTE(LOWER(TRIM(D302)),"ё","е"),"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станка с чпу</v>
      </c>
      <c r="H302" s="12" t="n">
        <f aca="false">IFERROR(INDEX(Соответствие!$B$2:$B$76,MATCH(G302,Соответствие!$A$2:$A$76,0)),"?")</f>
        <v>30</v>
      </c>
      <c r="I302" s="9" t="str">
        <f aca="false">IFERROR(INDEX('Перечень должностей'!$C$2:$C$46,MATCH(H302,'Перечень должностей'!$A$2:$A$46,0)),"")</f>
        <v>п.4.3.1, п.4.3.2, п.4.4, п.5.1, п.5.2, п.15</v>
      </c>
      <c r="J302" s="12" t="n">
        <f aca="false">IFERROR(INDEX('Перечень должностей'!$D$2:$D$46,MATCH(H302,'Перечень должностей'!$A$2:$A$46,0)),12)</f>
        <v>12</v>
      </c>
      <c r="K302" s="17" t="n">
        <v>45922</v>
      </c>
      <c r="L302" s="17"/>
      <c r="M302" s="16" t="n">
        <f aca="false">IF(K302="","",EDATE(IF(L302&lt;&gt;"",L302,K302),J302))</f>
        <v>46287</v>
      </c>
      <c r="N302" s="12" t="str">
        <f aca="false">IFERROR(INDEX('Перечень должностей'!$F$2:$F$46,MATCH(H302,'Перечень должностей'!$A$2:$A$46,0)),"")</f>
        <v>-</v>
      </c>
      <c r="O302" s="17"/>
      <c r="P302" s="16" t="str">
        <f aca="false">IF(O302="","",EDATE(O302,60))</f>
        <v/>
      </c>
      <c r="Q302" s="12" t="str">
        <f aca="false">IF(AND(K302&lt;&gt;"",F302&lt;&gt;"",K302&gt;F302),"ДА","")</f>
        <v/>
      </c>
      <c r="R302" s="9"/>
    </row>
    <row r="303" customFormat="false" ht="26.25" hidden="false" customHeight="true" outlineLevel="0" collapsed="false">
      <c r="A303" s="15" t="n">
        <v>302</v>
      </c>
      <c r="B303" s="12" t="s">
        <v>72</v>
      </c>
      <c r="C303" s="15" t="s">
        <v>775</v>
      </c>
      <c r="D303" s="15" t="s">
        <v>565</v>
      </c>
      <c r="E303" s="15" t="s">
        <v>771</v>
      </c>
      <c r="F303" s="16" t="n">
        <v>45922</v>
      </c>
      <c r="G303" s="5" t="str">
        <f aca="false">IF(TRIM(SUBSTITUTE(SUBSTITUTE(SUBSTITUTE(SUBSTITUTE(SUBSTITUTE(SUBSTITUTE(SUBSTITUTE(SUBSTITUTE(SUBSTITUTE(SUBSTITUTE(SUBSTITUTE(LOWER(TRIM(D303)),"ё","е"),"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категории",""))="инженер",IF(AND(ISNUMBER(SEARCH("техническ",E303)),ISNUMBER(SEARCH("контрол",E303))),"инженер отк",IF(ISNUMBER(SEARCH("диспетч",E303)),"инженер пдо",TRIM(SUBSTITUTE(SUBSTITUTE(SUBSTITUTE(SUBSTITUTE(SUBSTITUTE(SUBSTITUTE(SUBSTITUTE(SUBSTITUTE(SUBSTITUTE(SUBSTITUTE(SUBSTITUTE(LOWER(TRIM(D303)),"ё","е"),"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инженер",IF(ISNUMBER(SEARCH("диспетч",E303)),"ведущий инженер пдо",TRIM(SUBSTITUTE(SUBSTITUTE(SUBSTITUTE(SUBSTITUTE(SUBSTITUTE(SUBSTITUTE(SUBSTITUTE(SUBSTITUTE(SUBSTITUTE(SUBSTITUTE(SUBSTITUTE(LOWER(TRIM(D303)),"ё","е"),"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отк",TRIM(SUBSTITUTE(SUBSTITUTE(SUBSTITUTE(SUBSTITUTE(SUBSTITUTE(SUBSTITUTE(SUBSTITUTE(SUBSTITUTE(SUBSTITUTE(SUBSTITUTE(SUBSTITUTE(LOWER(TRIM(D303)),"ё","е"),"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станка с чпу</v>
      </c>
      <c r="H303" s="12" t="n">
        <f aca="false">IFERROR(INDEX(Соответствие!$B$2:$B$76,MATCH(G303,Соответствие!$A$2:$A$76,0)),"?")</f>
        <v>30</v>
      </c>
      <c r="I303" s="9" t="str">
        <f aca="false">IFERROR(INDEX('Перечень должностей'!$C$2:$C$46,MATCH(H303,'Перечень должностей'!$A$2:$A$46,0)),"")</f>
        <v>п.4.3.1, п.4.3.2, п.4.4, п.5.1, п.5.2, п.15</v>
      </c>
      <c r="J303" s="12" t="n">
        <f aca="false">IFERROR(INDEX('Перечень должностей'!$D$2:$D$46,MATCH(H303,'Перечень должностей'!$A$2:$A$46,0)),12)</f>
        <v>12</v>
      </c>
      <c r="K303" s="17" t="n">
        <v>45919</v>
      </c>
      <c r="L303" s="17"/>
      <c r="M303" s="16" t="n">
        <f aca="false">IF(K303="","",EDATE(IF(L303&lt;&gt;"",L303,K303),J303))</f>
        <v>46284</v>
      </c>
      <c r="N303" s="12" t="str">
        <f aca="false">IFERROR(INDEX('Перечень должностей'!$F$2:$F$46,MATCH(H303,'Перечень должностей'!$A$2:$A$46,0)),"")</f>
        <v>-</v>
      </c>
      <c r="O303" s="17"/>
      <c r="P303" s="16" t="str">
        <f aca="false">IF(O303="","",EDATE(O303,60))</f>
        <v/>
      </c>
      <c r="Q303" s="12" t="str">
        <f aca="false">IF(AND(K303&lt;&gt;"",F303&lt;&gt;"",K303&gt;F303),"ДА","")</f>
        <v/>
      </c>
      <c r="R303" s="9"/>
    </row>
    <row r="304" customFormat="false" ht="26.25" hidden="false" customHeight="true" outlineLevel="0" collapsed="false">
      <c r="A304" s="15" t="n">
        <v>303</v>
      </c>
      <c r="B304" s="12" t="s">
        <v>72</v>
      </c>
      <c r="C304" s="15" t="s">
        <v>776</v>
      </c>
      <c r="D304" s="15" t="s">
        <v>565</v>
      </c>
      <c r="E304" s="15" t="s">
        <v>771</v>
      </c>
      <c r="F304" s="16" t="n">
        <v>46044</v>
      </c>
      <c r="G304" s="5" t="str">
        <f aca="false">IF(TRIM(SUBSTITUTE(SUBSTITUTE(SUBSTITUTE(SUBSTITUTE(SUBSTITUTE(SUBSTITUTE(SUBSTITUTE(SUBSTITUTE(SUBSTITUTE(SUBSTITUTE(SUBSTITUTE(LOWER(TRIM(D304)),"ё","е"),"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категории",""))="инженер",IF(AND(ISNUMBER(SEARCH("техническ",E304)),ISNUMBER(SEARCH("контрол",E304))),"инженер отк",IF(ISNUMBER(SEARCH("диспетч",E304)),"инженер пдо",TRIM(SUBSTITUTE(SUBSTITUTE(SUBSTITUTE(SUBSTITUTE(SUBSTITUTE(SUBSTITUTE(SUBSTITUTE(SUBSTITUTE(SUBSTITUTE(SUBSTITUTE(SUBSTITUTE(LOWER(TRIM(D304)),"ё","е"),"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инженер",IF(ISNUMBER(SEARCH("диспетч",E304)),"ведущий инженер пдо",TRIM(SUBSTITUTE(SUBSTITUTE(SUBSTITUTE(SUBSTITUTE(SUBSTITUTE(SUBSTITUTE(SUBSTITUTE(SUBSTITUTE(SUBSTITUTE(SUBSTITUTE(SUBSTITUTE(LOWER(TRIM(D304)),"ё","е"),"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отк",TRIM(SUBSTITUTE(SUBSTITUTE(SUBSTITUTE(SUBSTITUTE(SUBSTITUTE(SUBSTITUTE(SUBSTITUTE(SUBSTITUTE(SUBSTITUTE(SUBSTITUTE(SUBSTITUTE(LOWER(TRIM(D304)),"ё","е"),"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станка с чпу</v>
      </c>
      <c r="H304" s="12" t="n">
        <f aca="false">IFERROR(INDEX(Соответствие!$B$2:$B$76,MATCH(G304,Соответствие!$A$2:$A$76,0)),"?")</f>
        <v>30</v>
      </c>
      <c r="I304" s="9" t="str">
        <f aca="false">IFERROR(INDEX('Перечень должностей'!$C$2:$C$46,MATCH(H304,'Перечень должностей'!$A$2:$A$46,0)),"")</f>
        <v>п.4.3.1, п.4.3.2, п.4.4, п.5.1, п.5.2, п.15</v>
      </c>
      <c r="J304" s="12" t="n">
        <f aca="false">IFERROR(INDEX('Перечень должностей'!$D$2:$D$46,MATCH(H304,'Перечень должностей'!$A$2:$A$46,0)),12)</f>
        <v>12</v>
      </c>
      <c r="K304" s="17"/>
      <c r="L304" s="17"/>
      <c r="M304" s="16" t="str">
        <f aca="false">IF(K304="","",EDATE(IF(L304&lt;&gt;"",L304,K304),J304))</f>
        <v/>
      </c>
      <c r="N304" s="12" t="str">
        <f aca="false">IFERROR(INDEX('Перечень должностей'!$F$2:$F$46,MATCH(H304,'Перечень должностей'!$A$2:$A$46,0)),"")</f>
        <v>-</v>
      </c>
      <c r="O304" s="17"/>
      <c r="P304" s="16" t="str">
        <f aca="false">IF(O304="","",EDATE(O304,60))</f>
        <v/>
      </c>
      <c r="Q304" s="12" t="str">
        <f aca="false">IF(AND(K304&lt;&gt;"",F304&lt;&gt;"",K304&gt;F304),"ДА","")</f>
        <v/>
      </c>
      <c r="R304" s="9"/>
    </row>
    <row r="305" customFormat="false" ht="23.25" hidden="false" customHeight="true" outlineLevel="0" collapsed="false">
      <c r="A305" s="15" t="n">
        <v>304</v>
      </c>
      <c r="B305" s="12" t="s">
        <v>72</v>
      </c>
      <c r="C305" s="15" t="s">
        <v>777</v>
      </c>
      <c r="D305" s="15" t="s">
        <v>567</v>
      </c>
      <c r="E305" s="15" t="s">
        <v>771</v>
      </c>
      <c r="F305" s="16" t="n">
        <v>45993</v>
      </c>
      <c r="G305" s="5" t="str">
        <f aca="false">IF(TRIM(SUBSTITUTE(SUBSTITUTE(SUBSTITUTE(SUBSTITUTE(SUBSTITUTE(SUBSTITUTE(SUBSTITUTE(SUBSTITUTE(SUBSTITUTE(SUBSTITUTE(SUBSTITUTE(LOWER(TRIM(D305)),"ё","е"),"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категории",""))="инженер",IF(AND(ISNUMBER(SEARCH("техническ",E305)),ISNUMBER(SEARCH("контрол",E305))),"инженер отк",IF(ISNUMBER(SEARCH("диспетч",E305)),"инженер пдо",TRIM(SUBSTITUTE(SUBSTITUTE(SUBSTITUTE(SUBSTITUTE(SUBSTITUTE(SUBSTITUTE(SUBSTITUTE(SUBSTITUTE(SUBSTITUTE(SUBSTITUTE(SUBSTITUTE(LOWER(TRIM(D305)),"ё","е"),"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инженер",IF(ISNUMBER(SEARCH("диспетч",E305)),"ведущий инженер пдо",TRIM(SUBSTITUTE(SUBSTITUTE(SUBSTITUTE(SUBSTITUTE(SUBSTITUTE(SUBSTITUTE(SUBSTITUTE(SUBSTITUTE(SUBSTITUTE(SUBSTITUTE(SUBSTITUTE(LOWER(TRIM(D305)),"ё","е"),"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отк",TRIM(SUBSTITUTE(SUBSTITUTE(SUBSTITUTE(SUBSTITUTE(SUBSTITUTE(SUBSTITUTE(SUBSTITUTE(SUBSTITUTE(SUBSTITUTE(SUBSTITUTE(SUBSTITUTE(LOWER(TRIM(D305)),"ё","е")," -","-"),"- ","-")," 2 разряда","")," 3 разряда","")," 4 разряда","")," 5 разряда","")," 6 разряда","")," 1 категории","")," 2 категории","")," 3 категории","")))))</f>
        <v>токарь</v>
      </c>
      <c r="H305" s="12" t="n">
        <f aca="false">IFERROR(INDEX(Соответствие!$B$2:$B$76,MATCH(G305,Соответствие!$A$2:$A$76,0)),"?")</f>
        <v>34</v>
      </c>
      <c r="I305" s="9" t="str">
        <f aca="false">IFERROR(INDEX('Перечень должностей'!$C$2:$C$46,MATCH(H305,'Перечень должностей'!$A$2:$A$46,0)),"")</f>
        <v>п.4.3.1, п.4.3.2, п.4.4, п.5.1, п.5.2, п.15</v>
      </c>
      <c r="J305" s="12" t="n">
        <f aca="false">IFERROR(INDEX('Перечень должностей'!$D$2:$D$46,MATCH(H305,'Перечень должностей'!$A$2:$A$46,0)),12)</f>
        <v>12</v>
      </c>
      <c r="K305" s="17"/>
      <c r="L305" s="17"/>
      <c r="M305" s="16" t="str">
        <f aca="false">IF(K305="","",EDATE(IF(L305&lt;&gt;"",L305,K305),J305))</f>
        <v/>
      </c>
      <c r="N305" s="12" t="str">
        <f aca="false">IFERROR(INDEX('Перечень должностей'!$F$2:$F$46,MATCH(H305,'Перечень должностей'!$A$2:$A$46,0)),"")</f>
        <v>-</v>
      </c>
      <c r="O305" s="17"/>
      <c r="P305" s="16" t="str">
        <f aca="false">IF(O305="","",EDATE(O305,60))</f>
        <v/>
      </c>
      <c r="Q305" s="12" t="str">
        <f aca="false">IF(AND(K305&lt;&gt;"",F305&lt;&gt;"",K305&gt;F305),"ДА","")</f>
        <v/>
      </c>
      <c r="R305" s="9"/>
    </row>
    <row r="306" customFormat="false" ht="26.25" hidden="false" customHeight="true" outlineLevel="0" collapsed="false">
      <c r="A306" s="15" t="n">
        <v>305</v>
      </c>
      <c r="B306" s="12" t="s">
        <v>72</v>
      </c>
      <c r="C306" s="15" t="s">
        <v>778</v>
      </c>
      <c r="D306" s="15" t="s">
        <v>567</v>
      </c>
      <c r="E306" s="15" t="s">
        <v>771</v>
      </c>
      <c r="F306" s="16" t="n">
        <v>46001</v>
      </c>
      <c r="G306" s="5" t="str">
        <f aca="false">IF(TRIM(SUBSTITUTE(SUBSTITUTE(SUBSTITUTE(SUBSTITUTE(SUBSTITUTE(SUBSTITUTE(SUBSTITUTE(SUBSTITUTE(SUBSTITUTE(SUBSTITUTE(SUBSTITUTE(LOWER(TRIM(D306)),"ё","е"),"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категории",""))="инженер",IF(AND(ISNUMBER(SEARCH("техническ",E306)),ISNUMBER(SEARCH("контрол",E306))),"инженер отк",IF(ISNUMBER(SEARCH("диспетч",E306)),"инженер пдо",TRIM(SUBSTITUTE(SUBSTITUTE(SUBSTITUTE(SUBSTITUTE(SUBSTITUTE(SUBSTITUTE(SUBSTITUTE(SUBSTITUTE(SUBSTITUTE(SUBSTITUTE(SUBSTITUTE(LOWER(TRIM(D306)),"ё","е"),"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инженер",IF(ISNUMBER(SEARCH("диспетч",E306)),"ведущий инженер пдо",TRIM(SUBSTITUTE(SUBSTITUTE(SUBSTITUTE(SUBSTITUTE(SUBSTITUTE(SUBSTITUTE(SUBSTITUTE(SUBSTITUTE(SUBSTITUTE(SUBSTITUTE(SUBSTITUTE(LOWER(TRIM(D306)),"ё","е"),"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отк",TRIM(SUBSTITUTE(SUBSTITUTE(SUBSTITUTE(SUBSTITUTE(SUBSTITUTE(SUBSTITUTE(SUBSTITUTE(SUBSTITUTE(SUBSTITUTE(SUBSTITUTE(SUBSTITUTE(LOWER(TRIM(D306)),"ё","е")," -","-"),"- ","-")," 2 разряда","")," 3 разряда","")," 4 разряда","")," 5 разряда","")," 6 разряда","")," 1 категории","")," 2 категории","")," 3 категории","")))))</f>
        <v>токарь</v>
      </c>
      <c r="H306" s="12" t="n">
        <f aca="false">IFERROR(INDEX(Соответствие!$B$2:$B$76,MATCH(G306,Соответствие!$A$2:$A$76,0)),"?")</f>
        <v>34</v>
      </c>
      <c r="I306" s="9" t="str">
        <f aca="false">IFERROR(INDEX('Перечень должностей'!$C$2:$C$46,MATCH(H306,'Перечень должностей'!$A$2:$A$46,0)),"")</f>
        <v>п.4.3.1, п.4.3.2, п.4.4, п.5.1, п.5.2, п.15</v>
      </c>
      <c r="J306" s="12" t="n">
        <f aca="false">IFERROR(INDEX('Перечень должностей'!$D$2:$D$46,MATCH(H306,'Перечень должностей'!$A$2:$A$46,0)),12)</f>
        <v>12</v>
      </c>
      <c r="K306" s="17"/>
      <c r="L306" s="17"/>
      <c r="M306" s="16" t="str">
        <f aca="false">IF(K306="","",EDATE(IF(L306&lt;&gt;"",L306,K306),J306))</f>
        <v/>
      </c>
      <c r="N306" s="12" t="str">
        <f aca="false">IFERROR(INDEX('Перечень должностей'!$F$2:$F$46,MATCH(H306,'Перечень должностей'!$A$2:$A$46,0)),"")</f>
        <v>-</v>
      </c>
      <c r="O306" s="17"/>
      <c r="P306" s="16" t="str">
        <f aca="false">IF(O306="","",EDATE(O306,60))</f>
        <v/>
      </c>
      <c r="Q306" s="12" t="str">
        <f aca="false">IF(AND(K306&lt;&gt;"",F306&lt;&gt;"",K306&gt;F306),"ДА","")</f>
        <v/>
      </c>
      <c r="R306" s="9"/>
    </row>
    <row r="307" customFormat="false" ht="26.25" hidden="false" customHeight="true" outlineLevel="0" collapsed="false">
      <c r="A307" s="15" t="n">
        <v>306</v>
      </c>
      <c r="B307" s="12" t="s">
        <v>72</v>
      </c>
      <c r="C307" s="15" t="s">
        <v>779</v>
      </c>
      <c r="D307" s="15" t="s">
        <v>567</v>
      </c>
      <c r="E307" s="15" t="s">
        <v>771</v>
      </c>
      <c r="F307" s="16" t="n">
        <v>45993</v>
      </c>
      <c r="G307" s="5" t="str">
        <f aca="false">IF(TRIM(SUBSTITUTE(SUBSTITUTE(SUBSTITUTE(SUBSTITUTE(SUBSTITUTE(SUBSTITUTE(SUBSTITUTE(SUBSTITUTE(SUBSTITUTE(SUBSTITUTE(SUBSTITUTE(LOWER(TRIM(D307)),"ё","е"),"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категории",""))="инженер",IF(AND(ISNUMBER(SEARCH("техническ",E307)),ISNUMBER(SEARCH("контрол",E307))),"инженер отк",IF(ISNUMBER(SEARCH("диспетч",E307)),"инженер пдо",TRIM(SUBSTITUTE(SUBSTITUTE(SUBSTITUTE(SUBSTITUTE(SUBSTITUTE(SUBSTITUTE(SUBSTITUTE(SUBSTITUTE(SUBSTITUTE(SUBSTITUTE(SUBSTITUTE(LOWER(TRIM(D307)),"ё","е"),"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инженер",IF(ISNUMBER(SEARCH("диспетч",E307)),"ведущий инженер пдо",TRIM(SUBSTITUTE(SUBSTITUTE(SUBSTITUTE(SUBSTITUTE(SUBSTITUTE(SUBSTITUTE(SUBSTITUTE(SUBSTITUTE(SUBSTITUTE(SUBSTITUTE(SUBSTITUTE(LOWER(TRIM(D307)),"ё","е"),"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отк",TRIM(SUBSTITUTE(SUBSTITUTE(SUBSTITUTE(SUBSTITUTE(SUBSTITUTE(SUBSTITUTE(SUBSTITUTE(SUBSTITUTE(SUBSTITUTE(SUBSTITUTE(SUBSTITUTE(LOWER(TRIM(D307)),"ё","е")," -","-"),"- ","-")," 2 разряда","")," 3 разряда","")," 4 разряда","")," 5 разряда","")," 6 разряда","")," 1 категории","")," 2 категории","")," 3 категории","")))))</f>
        <v>токарь</v>
      </c>
      <c r="H307" s="12" t="n">
        <f aca="false">IFERROR(INDEX(Соответствие!$B$2:$B$76,MATCH(G307,Соответствие!$A$2:$A$76,0)),"?")</f>
        <v>34</v>
      </c>
      <c r="I307" s="9" t="str">
        <f aca="false">IFERROR(INDEX('Перечень должностей'!$C$2:$C$46,MATCH(H307,'Перечень должностей'!$A$2:$A$46,0)),"")</f>
        <v>п.4.3.1, п.4.3.2, п.4.4, п.5.1, п.5.2, п.15</v>
      </c>
      <c r="J307" s="12" t="n">
        <f aca="false">IFERROR(INDEX('Перечень должностей'!$D$2:$D$46,MATCH(H307,'Перечень должностей'!$A$2:$A$46,0)),12)</f>
        <v>12</v>
      </c>
      <c r="K307" s="17"/>
      <c r="L307" s="17"/>
      <c r="M307" s="16" t="str">
        <f aca="false">IF(K307="","",EDATE(IF(L307&lt;&gt;"",L307,K307),J307))</f>
        <v/>
      </c>
      <c r="N307" s="12" t="str">
        <f aca="false">IFERROR(INDEX('Перечень должностей'!$F$2:$F$46,MATCH(H307,'Перечень должностей'!$A$2:$A$46,0)),"")</f>
        <v>-</v>
      </c>
      <c r="O307" s="17"/>
      <c r="P307" s="16" t="str">
        <f aca="false">IF(O307="","",EDATE(O307,60))</f>
        <v/>
      </c>
      <c r="Q307" s="12" t="str">
        <f aca="false">IF(AND(K307&lt;&gt;"",F307&lt;&gt;"",K307&gt;F307),"ДА","")</f>
        <v/>
      </c>
      <c r="R307" s="9"/>
    </row>
    <row r="308" customFormat="false" ht="26.25" hidden="false" customHeight="true" outlineLevel="0" collapsed="false">
      <c r="A308" s="15" t="n">
        <v>307</v>
      </c>
      <c r="B308" s="12" t="s">
        <v>72</v>
      </c>
      <c r="C308" s="15" t="s">
        <v>780</v>
      </c>
      <c r="D308" s="15" t="s">
        <v>572</v>
      </c>
      <c r="E308" s="15" t="s">
        <v>781</v>
      </c>
      <c r="F308" s="16" t="n">
        <v>46119</v>
      </c>
      <c r="G308" s="5" t="str">
        <f aca="false">IF(TRIM(SUBSTITUTE(SUBSTITUTE(SUBSTITUTE(SUBSTITUTE(SUBSTITUTE(SUBSTITUTE(SUBSTITUTE(SUBSTITUTE(SUBSTITUTE(SUBSTITUTE(SUBSTITUTE(LOWER(TRIM(D308)),"ё","е"),"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категории",""))="инженер",IF(AND(ISNUMBER(SEARCH("техническ",E308)),ISNUMBER(SEARCH("контрол",E308))),"инженер отк",IF(ISNUMBER(SEARCH("диспетч",E308)),"инженер пдо",TRIM(SUBSTITUTE(SUBSTITUTE(SUBSTITUTE(SUBSTITUTE(SUBSTITUTE(SUBSTITUTE(SUBSTITUTE(SUBSTITUTE(SUBSTITUTE(SUBSTITUTE(SUBSTITUTE(LOWER(TRIM(D308)),"ё","е"),"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инженер",IF(ISNUMBER(SEARCH("диспетч",E308)),"ведущий инженер пдо",TRIM(SUBSTITUTE(SUBSTITUTE(SUBSTITUTE(SUBSTITUTE(SUBSTITUTE(SUBSTITUTE(SUBSTITUTE(SUBSTITUTE(SUBSTITUTE(SUBSTITUTE(SUBSTITUTE(LOWER(TRIM(D308)),"ё","е"),"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отк",TRIM(SUBSTITUTE(SUBSTITUTE(SUBSTITUTE(SUBSTITUTE(SUBSTITUTE(SUBSTITUTE(SUBSTITUTE(SUBSTITUTE(SUBSTITUTE(SUBSTITUTE(SUBSTITUTE(LOWER(TRIM(D308)),"ё","е"),"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308" s="12" t="n">
        <f aca="false">IFERROR(INDEX(Соответствие!$B$2:$B$76,MATCH(G308,Соответствие!$A$2:$A$76,0)),"?")</f>
        <v>32</v>
      </c>
      <c r="I308" s="9" t="str">
        <f aca="false">IFERROR(INDEX('Перечень должностей'!$C$2:$C$46,MATCH(H308,'Перечень должностей'!$A$2:$A$46,0)),"")</f>
        <v>п.4.3.1, п.4.3.2, п.4.4, п.5.1, п.15</v>
      </c>
      <c r="J308" s="12" t="n">
        <f aca="false">IFERROR(INDEX('Перечень должностей'!$D$2:$D$46,MATCH(H308,'Перечень должностей'!$A$2:$A$46,0)),12)</f>
        <v>12</v>
      </c>
      <c r="K308" s="17"/>
      <c r="L308" s="17"/>
      <c r="M308" s="16" t="str">
        <f aca="false">IF(K308="","",EDATE(IF(L308&lt;&gt;"",L308,K308),J308))</f>
        <v/>
      </c>
      <c r="N308" s="12" t="str">
        <f aca="false">IFERROR(INDEX('Перечень должностей'!$F$2:$F$46,MATCH(H308,'Перечень должностей'!$A$2:$A$46,0)),"")</f>
        <v>-</v>
      </c>
      <c r="O308" s="17"/>
      <c r="P308" s="16" t="str">
        <f aca="false">IF(O308="","",EDATE(O308,60))</f>
        <v/>
      </c>
      <c r="Q308" s="12" t="str">
        <f aca="false">IF(AND(K308&lt;&gt;"",F308&lt;&gt;"",K308&gt;F308),"ДА","")</f>
        <v/>
      </c>
      <c r="R308" s="9" t="s">
        <v>782</v>
      </c>
    </row>
    <row r="309" customFormat="false" ht="26.25" hidden="false" customHeight="true" outlineLevel="0" collapsed="false">
      <c r="A309" s="15" t="n">
        <v>308</v>
      </c>
      <c r="B309" s="12" t="s">
        <v>72</v>
      </c>
      <c r="C309" s="15" t="s">
        <v>783</v>
      </c>
      <c r="D309" s="15" t="s">
        <v>579</v>
      </c>
      <c r="E309" s="15" t="s">
        <v>781</v>
      </c>
      <c r="F309" s="16" t="n">
        <v>46094</v>
      </c>
      <c r="G309" s="5" t="str">
        <f aca="false">IF(TRIM(SUBSTITUTE(SUBSTITUTE(SUBSTITUTE(SUBSTITUTE(SUBSTITUTE(SUBSTITUTE(SUBSTITUTE(SUBSTITUTE(SUBSTITUTE(SUBSTITUTE(SUBSTITUTE(LOWER(TRIM(D309)),"ё","е"),"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категории",""))="инженер",IF(AND(ISNUMBER(SEARCH("техническ",E309)),ISNUMBER(SEARCH("контрол",E309))),"инженер отк",IF(ISNUMBER(SEARCH("диспетч",E309)),"инженер пдо",TRIM(SUBSTITUTE(SUBSTITUTE(SUBSTITUTE(SUBSTITUTE(SUBSTITUTE(SUBSTITUTE(SUBSTITUTE(SUBSTITUTE(SUBSTITUTE(SUBSTITUTE(SUBSTITUTE(LOWER(TRIM(D309)),"ё","е"),"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инженер",IF(ISNUMBER(SEARCH("диспетч",E309)),"ведущий инженер пдо",TRIM(SUBSTITUTE(SUBSTITUTE(SUBSTITUTE(SUBSTITUTE(SUBSTITUTE(SUBSTITUTE(SUBSTITUTE(SUBSTITUTE(SUBSTITUTE(SUBSTITUTE(SUBSTITUTE(LOWER(TRIM(D309)),"ё","е"),"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отк",TRIM(SUBSTITUTE(SUBSTITUTE(SUBSTITUTE(SUBSTITUTE(SUBSTITUTE(SUBSTITUTE(SUBSTITUTE(SUBSTITUTE(SUBSTITUTE(SUBSTITUTE(SUBSTITUTE(LOWER(TRIM(D309)),"ё","е"),"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309" s="12" t="n">
        <f aca="false">IFERROR(INDEX(Соответствие!$B$2:$B$76,MATCH(G309,Соответствие!$A$2:$A$76,0)),"?")</f>
        <v>32</v>
      </c>
      <c r="I309" s="9" t="str">
        <f aca="false">IFERROR(INDEX('Перечень должностей'!$C$2:$C$46,MATCH(H309,'Перечень должностей'!$A$2:$A$46,0)),"")</f>
        <v>п.4.3.1, п.4.3.2, п.4.4, п.5.1, п.15</v>
      </c>
      <c r="J309" s="12" t="n">
        <f aca="false">IFERROR(INDEX('Перечень должностей'!$D$2:$D$46,MATCH(H309,'Перечень должностей'!$A$2:$A$46,0)),12)</f>
        <v>12</v>
      </c>
      <c r="K309" s="17"/>
      <c r="L309" s="17"/>
      <c r="M309" s="16" t="str">
        <f aca="false">IF(K309="","",EDATE(IF(L309&lt;&gt;"",L309,K309),J309))</f>
        <v/>
      </c>
      <c r="N309" s="12" t="str">
        <f aca="false">IFERROR(INDEX('Перечень должностей'!$F$2:$F$46,MATCH(H309,'Перечень должностей'!$A$2:$A$46,0)),"")</f>
        <v>-</v>
      </c>
      <c r="O309" s="17"/>
      <c r="P309" s="16" t="str">
        <f aca="false">IF(O309="","",EDATE(O309,60))</f>
        <v/>
      </c>
      <c r="Q309" s="12" t="str">
        <f aca="false">IF(AND(K309&lt;&gt;"",F309&lt;&gt;"",K309&gt;F309),"ДА","")</f>
        <v/>
      </c>
      <c r="R309" s="9" t="s">
        <v>782</v>
      </c>
    </row>
    <row r="310" customFormat="false" ht="26.25" hidden="false" customHeight="true" outlineLevel="0" collapsed="false">
      <c r="A310" s="15" t="n">
        <v>309</v>
      </c>
      <c r="B310" s="12" t="s">
        <v>72</v>
      </c>
      <c r="C310" s="15" t="s">
        <v>784</v>
      </c>
      <c r="D310" s="15" t="s">
        <v>785</v>
      </c>
      <c r="E310" s="15" t="s">
        <v>771</v>
      </c>
      <c r="F310" s="16" t="n">
        <v>45798</v>
      </c>
      <c r="G310" s="5" t="str">
        <f aca="false">IF(TRIM(SUBSTITUTE(SUBSTITUTE(SUBSTITUTE(SUBSTITUTE(SUBSTITUTE(SUBSTITUTE(SUBSTITUTE(SUBSTITUTE(SUBSTITUTE(SUBSTITUTE(SUBSTITUTE(LOWER(TRIM(D310)),"ё","е"),"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категории",""))="инженер",IF(AND(ISNUMBER(SEARCH("техническ",E310)),ISNUMBER(SEARCH("контрол",E310))),"инженер отк",IF(ISNUMBER(SEARCH("диспетч",E310)),"инженер пдо",TRIM(SUBSTITUTE(SUBSTITUTE(SUBSTITUTE(SUBSTITUTE(SUBSTITUTE(SUBSTITUTE(SUBSTITUTE(SUBSTITUTE(SUBSTITUTE(SUBSTITUTE(SUBSTITUTE(LOWER(TRIM(D310)),"ё","е"),"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инженер",IF(ISNUMBER(SEARCH("диспетч",E310)),"ведущий инженер пдо",TRIM(SUBSTITUTE(SUBSTITUTE(SUBSTITUTE(SUBSTITUTE(SUBSTITUTE(SUBSTITUTE(SUBSTITUTE(SUBSTITUTE(SUBSTITUTE(SUBSTITUTE(SUBSTITUTE(LOWER(TRIM(D310)),"ё","е"),"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отк",TRIM(SUBSTITUTE(SUBSTITUTE(SUBSTITUTE(SUBSTITUTE(SUBSTITUTE(SUBSTITUTE(SUBSTITUTE(SUBSTITUTE(SUBSTITUTE(SUBSTITUTE(SUBSTITUTE(LOWER(TRIM(D310)),"ё","е")," -","-"),"- ","-")," 2 разряда","")," 3 разряда","")," 4 разряда","")," 5 разряда","")," 6 разряда","")," 1 категории","")," 2 категории","")," 3 категории","")))))</f>
        <v>оператор листогибочного оборудования</v>
      </c>
      <c r="H310" s="12" t="n">
        <f aca="false">IFERROR(INDEX(Соответствие!$B$2:$B$76,MATCH(G310,Соответствие!$A$2:$A$76,0)),"?")</f>
        <v>35</v>
      </c>
      <c r="I310" s="9" t="str">
        <f aca="false">IFERROR(INDEX('Перечень должностей'!$C$2:$C$46,MATCH(H310,'Перечень должностей'!$A$2:$A$46,0)),"")</f>
        <v>п.4.3.1, п.4.3.2, п.4.4, п.5.1, п.5.2, п.15</v>
      </c>
      <c r="J310" s="12" t="n">
        <f aca="false">IFERROR(INDEX('Перечень должностей'!$D$2:$D$46,MATCH(H310,'Перечень должностей'!$A$2:$A$46,0)),12)</f>
        <v>12</v>
      </c>
      <c r="K310" s="17"/>
      <c r="L310" s="17"/>
      <c r="M310" s="16" t="str">
        <f aca="false">IF(K310="","",EDATE(IF(L310&lt;&gt;"",L310,K310),J310))</f>
        <v/>
      </c>
      <c r="N310" s="12" t="str">
        <f aca="false">IFERROR(INDEX('Перечень должностей'!$F$2:$F$46,MATCH(H310,'Перечень должностей'!$A$2:$A$46,0)),"")</f>
        <v>-</v>
      </c>
      <c r="O310" s="17"/>
      <c r="P310" s="16" t="str">
        <f aca="false">IF(O310="","",EDATE(O310,60))</f>
        <v/>
      </c>
      <c r="Q310" s="12" t="str">
        <f aca="false">IF(AND(K310&lt;&gt;"",F310&lt;&gt;"",K310&gt;F310),"ДА","")</f>
        <v/>
      </c>
      <c r="R310" s="9"/>
    </row>
    <row r="311" customFormat="false" ht="26.25" hidden="false" customHeight="true" outlineLevel="0" collapsed="false">
      <c r="A311" s="15" t="n">
        <v>310</v>
      </c>
      <c r="B311" s="12" t="s">
        <v>72</v>
      </c>
      <c r="C311" s="15" t="s">
        <v>786</v>
      </c>
      <c r="D311" s="15" t="s">
        <v>785</v>
      </c>
      <c r="E311" s="15" t="s">
        <v>771</v>
      </c>
      <c r="F311" s="16" t="n">
        <v>45744</v>
      </c>
      <c r="G311" s="5" t="str">
        <f aca="false">IF(TRIM(SUBSTITUTE(SUBSTITUTE(SUBSTITUTE(SUBSTITUTE(SUBSTITUTE(SUBSTITUTE(SUBSTITUTE(SUBSTITUTE(SUBSTITUTE(SUBSTITUTE(SUBSTITUTE(LOWER(TRIM(D311)),"ё","е"),"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категории",""))="инженер",IF(AND(ISNUMBER(SEARCH("техническ",E311)),ISNUMBER(SEARCH("контрол",E311))),"инженер отк",IF(ISNUMBER(SEARCH("диспетч",E311)),"инженер пдо",TRIM(SUBSTITUTE(SUBSTITUTE(SUBSTITUTE(SUBSTITUTE(SUBSTITUTE(SUBSTITUTE(SUBSTITUTE(SUBSTITUTE(SUBSTITUTE(SUBSTITUTE(SUBSTITUTE(LOWER(TRIM(D311)),"ё","е"),"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инженер",IF(ISNUMBER(SEARCH("диспетч",E311)),"ведущий инженер пдо",TRIM(SUBSTITUTE(SUBSTITUTE(SUBSTITUTE(SUBSTITUTE(SUBSTITUTE(SUBSTITUTE(SUBSTITUTE(SUBSTITUTE(SUBSTITUTE(SUBSTITUTE(SUBSTITUTE(LOWER(TRIM(D311)),"ё","е"),"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отк",TRIM(SUBSTITUTE(SUBSTITUTE(SUBSTITUTE(SUBSTITUTE(SUBSTITUTE(SUBSTITUTE(SUBSTITUTE(SUBSTITUTE(SUBSTITUTE(SUBSTITUTE(SUBSTITUTE(LOWER(TRIM(D311)),"ё","е")," -","-"),"- ","-")," 2 разряда","")," 3 разряда","")," 4 разряда","")," 5 разряда","")," 6 разряда","")," 1 категории","")," 2 категории","")," 3 категории","")))))</f>
        <v>оператор листогибочного оборудования</v>
      </c>
      <c r="H311" s="12" t="n">
        <f aca="false">IFERROR(INDEX(Соответствие!$B$2:$B$76,MATCH(G311,Соответствие!$A$2:$A$76,0)),"?")</f>
        <v>35</v>
      </c>
      <c r="I311" s="9" t="str">
        <f aca="false">IFERROR(INDEX('Перечень должностей'!$C$2:$C$46,MATCH(H311,'Перечень должностей'!$A$2:$A$46,0)),"")</f>
        <v>п.4.3.1, п.4.3.2, п.4.4, п.5.1, п.5.2, п.15</v>
      </c>
      <c r="J311" s="12" t="n">
        <f aca="false">IFERROR(INDEX('Перечень должностей'!$D$2:$D$46,MATCH(H311,'Перечень должностей'!$A$2:$A$46,0)),12)</f>
        <v>12</v>
      </c>
      <c r="K311" s="17"/>
      <c r="L311" s="17"/>
      <c r="M311" s="16" t="str">
        <f aca="false">IF(K311="","",EDATE(IF(L311&lt;&gt;"",L311,K311),J311))</f>
        <v/>
      </c>
      <c r="N311" s="12" t="str">
        <f aca="false">IFERROR(INDEX('Перечень должностей'!$F$2:$F$46,MATCH(H311,'Перечень должностей'!$A$2:$A$46,0)),"")</f>
        <v>-</v>
      </c>
      <c r="O311" s="17"/>
      <c r="P311" s="16" t="str">
        <f aca="false">IF(O311="","",EDATE(O311,60))</f>
        <v/>
      </c>
      <c r="Q311" s="12" t="str">
        <f aca="false">IF(AND(K311&lt;&gt;"",F311&lt;&gt;"",K311&gt;F311),"ДА","")</f>
        <v/>
      </c>
      <c r="R311" s="9"/>
    </row>
    <row r="312" customFormat="false" ht="23.25" hidden="false" customHeight="true" outlineLevel="0" collapsed="false">
      <c r="A312" s="15" t="n">
        <v>311</v>
      </c>
      <c r="B312" s="12" t="s">
        <v>72</v>
      </c>
      <c r="C312" s="15" t="s">
        <v>787</v>
      </c>
      <c r="D312" s="15" t="s">
        <v>788</v>
      </c>
      <c r="E312" s="15" t="s">
        <v>771</v>
      </c>
      <c r="F312" s="16" t="n">
        <v>45812</v>
      </c>
      <c r="G312" s="5" t="str">
        <f aca="false">IF(TRIM(SUBSTITUTE(SUBSTITUTE(SUBSTITUTE(SUBSTITUTE(SUBSTITUTE(SUBSTITUTE(SUBSTITUTE(SUBSTITUTE(SUBSTITUTE(SUBSTITUTE(SUBSTITUTE(LOWER(TRIM(D312)),"ё","е"),"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категории",""))="инженер",IF(AND(ISNUMBER(SEARCH("техническ",E312)),ISNUMBER(SEARCH("контрол",E312))),"инженер отк",IF(ISNUMBER(SEARCH("диспетч",E312)),"инженер пдо",TRIM(SUBSTITUTE(SUBSTITUTE(SUBSTITUTE(SUBSTITUTE(SUBSTITUTE(SUBSTITUTE(SUBSTITUTE(SUBSTITUTE(SUBSTITUTE(SUBSTITUTE(SUBSTITUTE(LOWER(TRIM(D312)),"ё","е"),"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инженер",IF(ISNUMBER(SEARCH("диспетч",E312)),"ведущий инженер пдо",TRIM(SUBSTITUTE(SUBSTITUTE(SUBSTITUTE(SUBSTITUTE(SUBSTITUTE(SUBSTITUTE(SUBSTITUTE(SUBSTITUTE(SUBSTITUTE(SUBSTITUTE(SUBSTITUTE(LOWER(TRIM(D312)),"ё","е"),"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отк",TRIM(SUBSTITUTE(SUBSTITUTE(SUBSTITUTE(SUBSTITUTE(SUBSTITUTE(SUBSTITUTE(SUBSTITUTE(SUBSTITUTE(SUBSTITUTE(SUBSTITUTE(SUBSTITUTE(LOWER(TRIM(D312)),"ё","е")," -","-"),"- ","-")," 2 разряда","")," 3 разряда","")," 4 разряда","")," 5 разряда","")," 6 разряда","")," 1 категории","")," 2 категории","")," 3 категории","")))))</f>
        <v>оператор лазерных установок</v>
      </c>
      <c r="H312" s="12" t="n">
        <f aca="false">IFERROR(INDEX(Соответствие!$B$2:$B$76,MATCH(G312,Соответствие!$A$2:$A$76,0)),"?")</f>
        <v>31</v>
      </c>
      <c r="I312" s="9" t="str">
        <f aca="false">IFERROR(INDEX('Перечень должностей'!$C$2:$C$46,MATCH(H312,'Перечень должностей'!$A$2:$A$46,0)),"")</f>
        <v>п.4.2.1, п.4.3.1, п.4.3.2, п.4.4, п.5.1, п.5.2, п.15</v>
      </c>
      <c r="J312" s="12" t="n">
        <f aca="false">IFERROR(INDEX('Перечень должностей'!$D$2:$D$46,MATCH(H312,'Перечень должностей'!$A$2:$A$46,0)),12)</f>
        <v>12</v>
      </c>
      <c r="K312" s="17"/>
      <c r="L312" s="17"/>
      <c r="M312" s="16" t="str">
        <f aca="false">IF(K312="","",EDATE(IF(L312&lt;&gt;"",L312,K312),J312))</f>
        <v/>
      </c>
      <c r="N312" s="12" t="str">
        <f aca="false">IFERROR(INDEX('Перечень должностей'!$F$2:$F$46,MATCH(H312,'Перечень должностей'!$A$2:$A$46,0)),"")</f>
        <v>-</v>
      </c>
      <c r="O312" s="17"/>
      <c r="P312" s="16" t="str">
        <f aca="false">IF(O312="","",EDATE(O312,60))</f>
        <v/>
      </c>
      <c r="Q312" s="12" t="str">
        <f aca="false">IF(AND(K312&lt;&gt;"",F312&lt;&gt;"",K312&gt;F312),"ДА","")</f>
        <v/>
      </c>
      <c r="R312" s="9"/>
    </row>
    <row r="313" customFormat="false" ht="23.25" hidden="false" customHeight="true" outlineLevel="0" collapsed="false">
      <c r="A313" s="15" t="n">
        <v>312</v>
      </c>
      <c r="B313" s="12" t="s">
        <v>50</v>
      </c>
      <c r="C313" s="15" t="s">
        <v>789</v>
      </c>
      <c r="D313" s="15" t="s">
        <v>353</v>
      </c>
      <c r="E313" s="15" t="s">
        <v>771</v>
      </c>
      <c r="F313" s="16" t="n">
        <v>45938</v>
      </c>
      <c r="G313" s="5" t="str">
        <f aca="false">IF(TRIM(SUBSTITUTE(SUBSTITUTE(SUBSTITUTE(SUBSTITUTE(SUBSTITUTE(SUBSTITUTE(SUBSTITUTE(SUBSTITUTE(SUBSTITUTE(SUBSTITUTE(SUBSTITUTE(LOWER(TRIM(D313)),"ё","е"),"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категории",""))="инженер",IF(AND(ISNUMBER(SEARCH("техническ",E313)),ISNUMBER(SEARCH("контрол",E313))),"инженер отк",IF(ISNUMBER(SEARCH("диспетч",E313)),"инженер пдо",TRIM(SUBSTITUTE(SUBSTITUTE(SUBSTITUTE(SUBSTITUTE(SUBSTITUTE(SUBSTITUTE(SUBSTITUTE(SUBSTITUTE(SUBSTITUTE(SUBSTITUTE(SUBSTITUTE(LOWER(TRIM(D313)),"ё","е"),"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инженер",IF(ISNUMBER(SEARCH("диспетч",E313)),"ведущий инженер пдо",TRIM(SUBSTITUTE(SUBSTITUTE(SUBSTITUTE(SUBSTITUTE(SUBSTITUTE(SUBSTITUTE(SUBSTITUTE(SUBSTITUTE(SUBSTITUTE(SUBSTITUTE(SUBSTITUTE(LOWER(TRIM(D313)),"ё","е"),"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отк",TRIM(SUBSTITUTE(SUBSTITUTE(SUBSTITUTE(SUBSTITUTE(SUBSTITUTE(SUBSTITUTE(SUBSTITUTE(SUBSTITUTE(SUBSTITUTE(SUBSTITUTE(SUBSTITUTE(LOWER(TRIM(D313)),"ё","е")," -","-"),"- ","-")," 2 разряда","")," 3 разряда","")," 4 разряда","")," 5 разряда","")," 6 разряда","")," 1 категории","")," 2 категории","")," 3 категории","")))))</f>
        <v>оператор-наладчик станков с чпу</v>
      </c>
      <c r="H313" s="12" t="n">
        <f aca="false">IFERROR(INDEX(Соответствие!$B$2:$B$76,MATCH(G313,Соответствие!$A$2:$A$76,0)),"?")</f>
        <v>25</v>
      </c>
      <c r="I313" s="9" t="str">
        <f aca="false">IFERROR(INDEX('Перечень должностей'!$C$2:$C$46,MATCH(H313,'Перечень должностей'!$A$2:$A$46,0)),"")</f>
        <v>п.4.3.1, п.4.3.2, п.4.4, п.5.1, п.5.2, п.15</v>
      </c>
      <c r="J313" s="12" t="n">
        <f aca="false">IFERROR(INDEX('Перечень должностей'!$D$2:$D$46,MATCH(H313,'Перечень должностей'!$A$2:$A$46,0)),12)</f>
        <v>12</v>
      </c>
      <c r="K313" s="17"/>
      <c r="L313" s="17"/>
      <c r="M313" s="16" t="str">
        <f aca="false">IF(K313="","",EDATE(IF(L313&lt;&gt;"",L313,K313),J313))</f>
        <v/>
      </c>
      <c r="N313" s="12" t="str">
        <f aca="false">IFERROR(INDEX('Перечень должностей'!$F$2:$F$46,MATCH(H313,'Перечень должностей'!$A$2:$A$46,0)),"")</f>
        <v>-</v>
      </c>
      <c r="O313" s="17"/>
      <c r="P313" s="16" t="str">
        <f aca="false">IF(O313="","",EDATE(O313,60))</f>
        <v/>
      </c>
      <c r="Q313" s="12" t="str">
        <f aca="false">IF(AND(K313&lt;&gt;"",F313&lt;&gt;"",K313&gt;F313),"ДА","")</f>
        <v/>
      </c>
      <c r="R313" s="9"/>
    </row>
    <row r="314" customFormat="false" ht="26.25" hidden="false" customHeight="true" outlineLevel="0" collapsed="false">
      <c r="A314" s="15" t="n">
        <v>313</v>
      </c>
      <c r="B314" s="12" t="s">
        <v>72</v>
      </c>
      <c r="C314" s="15" t="s">
        <v>790</v>
      </c>
      <c r="D314" s="15" t="s">
        <v>353</v>
      </c>
      <c r="E314" s="15" t="s">
        <v>771</v>
      </c>
      <c r="F314" s="16" t="n">
        <v>45910</v>
      </c>
      <c r="G314" s="5" t="str">
        <f aca="false">IF(TRIM(SUBSTITUTE(SUBSTITUTE(SUBSTITUTE(SUBSTITUTE(SUBSTITUTE(SUBSTITUTE(SUBSTITUTE(SUBSTITUTE(SUBSTITUTE(SUBSTITUTE(SUBSTITUTE(LOWER(TRIM(D314)),"ё","е"),"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категории",""))="инженер",IF(AND(ISNUMBER(SEARCH("техническ",E314)),ISNUMBER(SEARCH("контрол",E314))),"инженер отк",IF(ISNUMBER(SEARCH("диспетч",E314)),"инженер пдо",TRIM(SUBSTITUTE(SUBSTITUTE(SUBSTITUTE(SUBSTITUTE(SUBSTITUTE(SUBSTITUTE(SUBSTITUTE(SUBSTITUTE(SUBSTITUTE(SUBSTITUTE(SUBSTITUTE(LOWER(TRIM(D314)),"ё","е"),"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инженер",IF(ISNUMBER(SEARCH("диспетч",E314)),"ведущий инженер пдо",TRIM(SUBSTITUTE(SUBSTITUTE(SUBSTITUTE(SUBSTITUTE(SUBSTITUTE(SUBSTITUTE(SUBSTITUTE(SUBSTITUTE(SUBSTITUTE(SUBSTITUTE(SUBSTITUTE(LOWER(TRIM(D314)),"ё","е"),"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отк",TRIM(SUBSTITUTE(SUBSTITUTE(SUBSTITUTE(SUBSTITUTE(SUBSTITUTE(SUBSTITUTE(SUBSTITUTE(SUBSTITUTE(SUBSTITUTE(SUBSTITUTE(SUBSTITUTE(LOWER(TRIM(D314)),"ё","е")," -","-"),"- ","-")," 2 разряда","")," 3 разряда","")," 4 разряда","")," 5 разряда","")," 6 разряда","")," 1 категории","")," 2 категории","")," 3 категории","")))))</f>
        <v>оператор-наладчик станков с чпу</v>
      </c>
      <c r="H314" s="12" t="n">
        <f aca="false">IFERROR(INDEX(Соответствие!$B$2:$B$76,MATCH(G314,Соответствие!$A$2:$A$76,0)),"?")</f>
        <v>25</v>
      </c>
      <c r="I314" s="9" t="str">
        <f aca="false">IFERROR(INDEX('Перечень должностей'!$C$2:$C$46,MATCH(H314,'Перечень должностей'!$A$2:$A$46,0)),"")</f>
        <v>п.4.3.1, п.4.3.2, п.4.4, п.5.1, п.5.2, п.15</v>
      </c>
      <c r="J314" s="12" t="n">
        <f aca="false">IFERROR(INDEX('Перечень должностей'!$D$2:$D$46,MATCH(H314,'Перечень должностей'!$A$2:$A$46,0)),12)</f>
        <v>12</v>
      </c>
      <c r="K314" s="17"/>
      <c r="L314" s="17"/>
      <c r="M314" s="16" t="str">
        <f aca="false">IF(K314="","",EDATE(IF(L314&lt;&gt;"",L314,K314),J314))</f>
        <v/>
      </c>
      <c r="N314" s="12" t="str">
        <f aca="false">IFERROR(INDEX('Перечень должностей'!$F$2:$F$46,MATCH(H314,'Перечень должностей'!$A$2:$A$46,0)),"")</f>
        <v>-</v>
      </c>
      <c r="O314" s="17"/>
      <c r="P314" s="16" t="str">
        <f aca="false">IF(O314="","",EDATE(O314,60))</f>
        <v/>
      </c>
      <c r="Q314" s="12" t="str">
        <f aca="false">IF(AND(K314&lt;&gt;"",F314&lt;&gt;"",K314&gt;F314),"ДА","")</f>
        <v/>
      </c>
      <c r="R314" s="9"/>
    </row>
    <row r="315" customFormat="false" ht="26.25" hidden="false" customHeight="true" outlineLevel="0" collapsed="false">
      <c r="A315" s="15" t="n">
        <v>314</v>
      </c>
      <c r="B315" s="12" t="s">
        <v>72</v>
      </c>
      <c r="C315" s="15" t="s">
        <v>791</v>
      </c>
      <c r="D315" s="15" t="s">
        <v>792</v>
      </c>
      <c r="E315" s="15" t="s">
        <v>771</v>
      </c>
      <c r="F315" s="16" t="n">
        <v>46084</v>
      </c>
      <c r="G315" s="5" t="str">
        <f aca="false">IF(TRIM(SUBSTITUTE(SUBSTITUTE(SUBSTITUTE(SUBSTITUTE(SUBSTITUTE(SUBSTITUTE(SUBSTITUTE(SUBSTITUTE(SUBSTITUTE(SUBSTITUTE(SUBSTITUTE(LOWER(TRIM(D315)),"ё","е"),"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категории",""))="инженер",IF(AND(ISNUMBER(SEARCH("техническ",E315)),ISNUMBER(SEARCH("контрол",E315))),"инженер отк",IF(ISNUMBER(SEARCH("диспетч",E315)),"инженер пдо",TRIM(SUBSTITUTE(SUBSTITUTE(SUBSTITUTE(SUBSTITUTE(SUBSTITUTE(SUBSTITUTE(SUBSTITUTE(SUBSTITUTE(SUBSTITUTE(SUBSTITUTE(SUBSTITUTE(LOWER(TRIM(D315)),"ё","е"),"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инженер",IF(ISNUMBER(SEARCH("диспетч",E315)),"ведущий инженер пдо",TRIM(SUBSTITUTE(SUBSTITUTE(SUBSTITUTE(SUBSTITUTE(SUBSTITUTE(SUBSTITUTE(SUBSTITUTE(SUBSTITUTE(SUBSTITUTE(SUBSTITUTE(SUBSTITUTE(LOWER(TRIM(D315)),"ё","е"),"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отк",TRIM(SUBSTITUTE(SUBSTITUTE(SUBSTITUTE(SUBSTITUTE(SUBSTITUTE(SUBSTITUTE(SUBSTITUTE(SUBSTITUTE(SUBSTITUTE(SUBSTITUTE(SUBSTITUTE(LOWER(TRIM(D315)),"ё","е"),"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станка с чпу</v>
      </c>
      <c r="H315" s="12" t="n">
        <f aca="false">IFERROR(INDEX(Соответствие!$B$2:$B$76,MATCH(G315,Соответствие!$A$2:$A$76,0)),"?")</f>
        <v>30</v>
      </c>
      <c r="I315" s="9" t="str">
        <f aca="false">IFERROR(INDEX('Перечень должностей'!$C$2:$C$46,MATCH(H315,'Перечень должностей'!$A$2:$A$46,0)),"")</f>
        <v>п.4.3.1, п.4.3.2, п.4.4, п.5.1, п.5.2, п.15</v>
      </c>
      <c r="J315" s="12" t="n">
        <f aca="false">IFERROR(INDEX('Перечень должностей'!$D$2:$D$46,MATCH(H315,'Перечень должностей'!$A$2:$A$46,0)),12)</f>
        <v>12</v>
      </c>
      <c r="K315" s="17"/>
      <c r="L315" s="17"/>
      <c r="M315" s="16" t="str">
        <f aca="false">IF(K315="","",EDATE(IF(L315&lt;&gt;"",L315,K315),J315))</f>
        <v/>
      </c>
      <c r="N315" s="12" t="str">
        <f aca="false">IFERROR(INDEX('Перечень должностей'!$F$2:$F$46,MATCH(H315,'Перечень должностей'!$A$2:$A$46,0)),"")</f>
        <v>-</v>
      </c>
      <c r="O315" s="17"/>
      <c r="P315" s="16" t="str">
        <f aca="false">IF(O315="","",EDATE(O315,60))</f>
        <v/>
      </c>
      <c r="Q315" s="12" t="str">
        <f aca="false">IF(AND(K315&lt;&gt;"",F315&lt;&gt;"",K315&gt;F315),"ДА","")</f>
        <v/>
      </c>
      <c r="R315" s="9"/>
    </row>
    <row r="316" customFormat="false" ht="26.25" hidden="false" customHeight="true" outlineLevel="0" collapsed="false">
      <c r="A316" s="15" t="n">
        <v>315</v>
      </c>
      <c r="B316" s="12" t="s">
        <v>72</v>
      </c>
      <c r="C316" s="15" t="s">
        <v>172</v>
      </c>
      <c r="D316" s="15" t="s">
        <v>579</v>
      </c>
      <c r="E316" s="15" t="s">
        <v>771</v>
      </c>
      <c r="F316" s="16" t="n">
        <v>45931</v>
      </c>
      <c r="G316" s="5" t="str">
        <f aca="false">IF(TRIM(SUBSTITUTE(SUBSTITUTE(SUBSTITUTE(SUBSTITUTE(SUBSTITUTE(SUBSTITUTE(SUBSTITUTE(SUBSTITUTE(SUBSTITUTE(SUBSTITUTE(SUBSTITUTE(LOWER(TRIM(D316)),"ё","е"),"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категории",""))="инженер",IF(AND(ISNUMBER(SEARCH("техническ",E316)),ISNUMBER(SEARCH("контрол",E316))),"инженер отк",IF(ISNUMBER(SEARCH("диспетч",E316)),"инженер пдо",TRIM(SUBSTITUTE(SUBSTITUTE(SUBSTITUTE(SUBSTITUTE(SUBSTITUTE(SUBSTITUTE(SUBSTITUTE(SUBSTITUTE(SUBSTITUTE(SUBSTITUTE(SUBSTITUTE(LOWER(TRIM(D316)),"ё","е"),"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инженер",IF(ISNUMBER(SEARCH("диспетч",E316)),"ведущий инженер пдо",TRIM(SUBSTITUTE(SUBSTITUTE(SUBSTITUTE(SUBSTITUTE(SUBSTITUTE(SUBSTITUTE(SUBSTITUTE(SUBSTITUTE(SUBSTITUTE(SUBSTITUTE(SUBSTITUTE(LOWER(TRIM(D316)),"ё","е"),"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отк",TRIM(SUBSTITUTE(SUBSTITUTE(SUBSTITUTE(SUBSTITUTE(SUBSTITUTE(SUBSTITUTE(SUBSTITUTE(SUBSTITUTE(SUBSTITUTE(SUBSTITUTE(SUBSTITUTE(LOWER(TRIM(D316)),"ё","е"),"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316" s="12" t="n">
        <f aca="false">IFERROR(INDEX(Соответствие!$B$2:$B$76,MATCH(G316,Соответствие!$A$2:$A$76,0)),"?")</f>
        <v>32</v>
      </c>
      <c r="I316" s="9" t="str">
        <f aca="false">IFERROR(INDEX('Перечень должностей'!$C$2:$C$46,MATCH(H316,'Перечень должностей'!$A$2:$A$46,0)),"")</f>
        <v>п.4.3.1, п.4.3.2, п.4.4, п.5.1, п.15</v>
      </c>
      <c r="J316" s="12" t="n">
        <f aca="false">IFERROR(INDEX('Перечень должностей'!$D$2:$D$46,MATCH(H316,'Перечень должностей'!$A$2:$A$46,0)),12)</f>
        <v>12</v>
      </c>
      <c r="K316" s="17" t="n">
        <v>45922</v>
      </c>
      <c r="L316" s="17"/>
      <c r="M316" s="16" t="n">
        <f aca="false">IF(K316="","",EDATE(IF(L316&lt;&gt;"",L316,K316),J316))</f>
        <v>46287</v>
      </c>
      <c r="N316" s="12" t="str">
        <f aca="false">IFERROR(INDEX('Перечень должностей'!$F$2:$F$46,MATCH(H316,'Перечень должностей'!$A$2:$A$46,0)),"")</f>
        <v>-</v>
      </c>
      <c r="O316" s="17"/>
      <c r="P316" s="16" t="str">
        <f aca="false">IF(O316="","",EDATE(O316,60))</f>
        <v/>
      </c>
      <c r="Q316" s="12" t="str">
        <f aca="false">IF(AND(K316&lt;&gt;"",F316&lt;&gt;"",K316&gt;F316),"ДА","")</f>
        <v/>
      </c>
      <c r="R316" s="18" t="s">
        <v>173</v>
      </c>
    </row>
    <row r="317" customFormat="false" ht="26.25" hidden="false" customHeight="true" outlineLevel="0" collapsed="false">
      <c r="A317" s="15" t="n">
        <v>316</v>
      </c>
      <c r="B317" s="12" t="s">
        <v>72</v>
      </c>
      <c r="C317" s="15" t="s">
        <v>174</v>
      </c>
      <c r="D317" s="15" t="s">
        <v>572</v>
      </c>
      <c r="E317" s="15" t="s">
        <v>771</v>
      </c>
      <c r="F317" s="16" t="n">
        <v>45932</v>
      </c>
      <c r="G317" s="5" t="str">
        <f aca="false">IF(TRIM(SUBSTITUTE(SUBSTITUTE(SUBSTITUTE(SUBSTITUTE(SUBSTITUTE(SUBSTITUTE(SUBSTITUTE(SUBSTITUTE(SUBSTITUTE(SUBSTITUTE(SUBSTITUTE(LOWER(TRIM(D317)),"ё","е"),"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категории",""))="инженер",IF(AND(ISNUMBER(SEARCH("техническ",E317)),ISNUMBER(SEARCH("контрол",E317))),"инженер отк",IF(ISNUMBER(SEARCH("диспетч",E317)),"инженер пдо",TRIM(SUBSTITUTE(SUBSTITUTE(SUBSTITUTE(SUBSTITUTE(SUBSTITUTE(SUBSTITUTE(SUBSTITUTE(SUBSTITUTE(SUBSTITUTE(SUBSTITUTE(SUBSTITUTE(LOWER(TRIM(D317)),"ё","е"),"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инженер",IF(ISNUMBER(SEARCH("диспетч",E317)),"ведущий инженер пдо",TRIM(SUBSTITUTE(SUBSTITUTE(SUBSTITUTE(SUBSTITUTE(SUBSTITUTE(SUBSTITUTE(SUBSTITUTE(SUBSTITUTE(SUBSTITUTE(SUBSTITUTE(SUBSTITUTE(LOWER(TRIM(D317)),"ё","е"),"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отк",TRIM(SUBSTITUTE(SUBSTITUTE(SUBSTITUTE(SUBSTITUTE(SUBSTITUTE(SUBSTITUTE(SUBSTITUTE(SUBSTITUTE(SUBSTITUTE(SUBSTITUTE(SUBSTITUTE(LOWER(TRIM(D317)),"ё","е")," -","-"),"- ","-")," 2 разряда","")," 3 разряда","")," 4 разряда","")," 5 разряда","")," 6 разряда","")," 1 категории","")," 2 категории","")," 3 категории","")))))</f>
        <v>слесарь механосборочных работ</v>
      </c>
      <c r="H317" s="12" t="n">
        <f aca="false">IFERROR(INDEX(Соответствие!$B$2:$B$76,MATCH(G317,Соответствие!$A$2:$A$76,0)),"?")</f>
        <v>32</v>
      </c>
      <c r="I317" s="9" t="str">
        <f aca="false">IFERROR(INDEX('Перечень должностей'!$C$2:$C$46,MATCH(H317,'Перечень должностей'!$A$2:$A$46,0)),"")</f>
        <v>п.4.3.1, п.4.3.2, п.4.4, п.5.1, п.15</v>
      </c>
      <c r="J317" s="12" t="n">
        <f aca="false">IFERROR(INDEX('Перечень должностей'!$D$2:$D$46,MATCH(H317,'Перечень должностей'!$A$2:$A$46,0)),12)</f>
        <v>12</v>
      </c>
      <c r="K317" s="17" t="n">
        <v>45926</v>
      </c>
      <c r="L317" s="17"/>
      <c r="M317" s="16" t="n">
        <f aca="false">IF(K317="","",EDATE(IF(L317&lt;&gt;"",L317,K317),J317))</f>
        <v>46291</v>
      </c>
      <c r="N317" s="12" t="str">
        <f aca="false">IFERROR(INDEX('Перечень должностей'!$F$2:$F$46,MATCH(H317,'Перечень должностей'!$A$2:$A$46,0)),"")</f>
        <v>-</v>
      </c>
      <c r="O317" s="17"/>
      <c r="P317" s="16" t="str">
        <f aca="false">IF(O317="","",EDATE(O317,60))</f>
        <v/>
      </c>
      <c r="Q317" s="12" t="str">
        <f aca="false">IF(AND(K317&lt;&gt;"",F317&lt;&gt;"",K317&gt;F317),"ДА","")</f>
        <v/>
      </c>
      <c r="R317" s="18" t="s">
        <v>175</v>
      </c>
    </row>
    <row r="318" customFormat="false" ht="26.25" hidden="false" customHeight="true" outlineLevel="0" collapsed="false">
      <c r="A318" s="15" t="n">
        <v>317</v>
      </c>
      <c r="B318" s="12" t="s">
        <v>72</v>
      </c>
      <c r="C318" s="15" t="s">
        <v>793</v>
      </c>
      <c r="D318" s="15" t="s">
        <v>447</v>
      </c>
      <c r="E318" s="15" t="s">
        <v>204</v>
      </c>
      <c r="F318" s="16" t="n">
        <v>42494</v>
      </c>
      <c r="G318" s="5" t="str">
        <f aca="false">IF(TRIM(SUBSTITUTE(SUBSTITUTE(SUBSTITUTE(SUBSTITUTE(SUBSTITUTE(SUBSTITUTE(SUBSTITUTE(SUBSTITUTE(SUBSTITUTE(SUBSTITUTE(SUBSTITUTE(LOWER(TRIM(D318)),"ё","е"),"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категории",""))="инженер",IF(AND(ISNUMBER(SEARCH("техническ",E318)),ISNUMBER(SEARCH("контрол",E318))),"инженер отк",IF(ISNUMBER(SEARCH("диспетч",E318)),"инженер пдо",TRIM(SUBSTITUTE(SUBSTITUTE(SUBSTITUTE(SUBSTITUTE(SUBSTITUTE(SUBSTITUTE(SUBSTITUTE(SUBSTITUTE(SUBSTITUTE(SUBSTITUTE(SUBSTITUTE(LOWER(TRIM(D318)),"ё","е"),"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инженер",IF(ISNUMBER(SEARCH("диспетч",E318)),"ведущий инженер пдо",TRIM(SUBSTITUTE(SUBSTITUTE(SUBSTITUTE(SUBSTITUTE(SUBSTITUTE(SUBSTITUTE(SUBSTITUTE(SUBSTITUTE(SUBSTITUTE(SUBSTITUTE(SUBSTITUTE(LOWER(TRIM(D318)),"ё","е"),"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отк",TRIM(SUBSTITUTE(SUBSTITUTE(SUBSTITUTE(SUBSTITUTE(SUBSTITUTE(SUBSTITUTE(SUBSTITUTE(SUBSTITUTE(SUBSTITUTE(SUBSTITUTE(SUBSTITUTE(LOWER(TRIM(D318)),"ё","е"),"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18" s="12" t="n">
        <f aca="false">IFERROR(INDEX(Соответствие!$B$2:$B$76,MATCH(G318,Соответствие!$A$2:$A$76,0)),"?")</f>
        <v>19</v>
      </c>
      <c r="I318" s="9" t="str">
        <f aca="false">IFERROR(INDEX('Перечень должностей'!$C$2:$C$46,MATCH(H318,'Перечень должностей'!$A$2:$A$46,0)),"")</f>
        <v>п.4.3.1, п.4.3.2, п.4.4, п.5.1, п.6.2, п.15</v>
      </c>
      <c r="J318" s="12" t="n">
        <f aca="false">IFERROR(INDEX('Перечень должностей'!$D$2:$D$46,MATCH(H318,'Перечень должностей'!$A$2:$A$46,0)),12)</f>
        <v>12</v>
      </c>
      <c r="K318" s="17"/>
      <c r="L318" s="17"/>
      <c r="M318" s="16" t="str">
        <f aca="false">IF(K318="","",EDATE(IF(L318&lt;&gt;"",L318,K318),J318))</f>
        <v/>
      </c>
      <c r="N318" s="12" t="str">
        <f aca="false">IFERROR(INDEX('Перечень должностей'!$F$2:$F$46,MATCH(H318,'Перечень должностей'!$A$2:$A$46,0)),"")</f>
        <v>-</v>
      </c>
      <c r="O318" s="17"/>
      <c r="P318" s="16" t="str">
        <f aca="false">IF(O318="","",EDATE(O318,60))</f>
        <v/>
      </c>
      <c r="Q318" s="12" t="str">
        <f aca="false">IF(AND(K318&lt;&gt;"",F318&lt;&gt;"",K318&gt;F318),"ДА","")</f>
        <v/>
      </c>
      <c r="R318" s="9"/>
    </row>
    <row r="319" customFormat="false" ht="26.25" hidden="false" customHeight="true" outlineLevel="0" collapsed="false">
      <c r="A319" s="15" t="n">
        <v>318</v>
      </c>
      <c r="B319" s="12" t="s">
        <v>72</v>
      </c>
      <c r="C319" s="15" t="s">
        <v>794</v>
      </c>
      <c r="D319" s="15" t="s">
        <v>507</v>
      </c>
      <c r="E319" s="15" t="s">
        <v>204</v>
      </c>
      <c r="F319" s="16" t="n">
        <v>45560</v>
      </c>
      <c r="G319" s="5" t="str">
        <f aca="false">IF(TRIM(SUBSTITUTE(SUBSTITUTE(SUBSTITUTE(SUBSTITUTE(SUBSTITUTE(SUBSTITUTE(SUBSTITUTE(SUBSTITUTE(SUBSTITUTE(SUBSTITUTE(SUBSTITUTE(LOWER(TRIM(D319)),"ё","е"),"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категории",""))="инженер",IF(AND(ISNUMBER(SEARCH("техническ",E319)),ISNUMBER(SEARCH("контрол",E319))),"инженер отк",IF(ISNUMBER(SEARCH("диспетч",E319)),"инженер пдо",TRIM(SUBSTITUTE(SUBSTITUTE(SUBSTITUTE(SUBSTITUTE(SUBSTITUTE(SUBSTITUTE(SUBSTITUTE(SUBSTITUTE(SUBSTITUTE(SUBSTITUTE(SUBSTITUTE(LOWER(TRIM(D319)),"ё","е"),"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инженер",IF(ISNUMBER(SEARCH("диспетч",E319)),"ведущий инженер пдо",TRIM(SUBSTITUTE(SUBSTITUTE(SUBSTITUTE(SUBSTITUTE(SUBSTITUTE(SUBSTITUTE(SUBSTITUTE(SUBSTITUTE(SUBSTITUTE(SUBSTITUTE(SUBSTITUTE(LOWER(TRIM(D319)),"ё","е"),"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отк",TRIM(SUBSTITUTE(SUBSTITUTE(SUBSTITUTE(SUBSTITUTE(SUBSTITUTE(SUBSTITUTE(SUBSTITUTE(SUBSTITUTE(SUBSTITUTE(SUBSTITUTE(SUBSTITUTE(LOWER(TRIM(D319)),"ё","е"),"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19" s="12" t="n">
        <f aca="false">IFERROR(INDEX(Соответствие!$B$2:$B$76,MATCH(G319,Соответствие!$A$2:$A$76,0)),"?")</f>
        <v>19</v>
      </c>
      <c r="I319" s="9" t="str">
        <f aca="false">IFERROR(INDEX('Перечень должностей'!$C$2:$C$46,MATCH(H319,'Перечень должностей'!$A$2:$A$46,0)),"")</f>
        <v>п.4.3.1, п.4.3.2, п.4.4, п.5.1, п.6.2, п.15</v>
      </c>
      <c r="J319" s="12" t="n">
        <f aca="false">IFERROR(INDEX('Перечень должностей'!$D$2:$D$46,MATCH(H319,'Перечень должностей'!$A$2:$A$46,0)),12)</f>
        <v>12</v>
      </c>
      <c r="K319" s="17"/>
      <c r="L319" s="17"/>
      <c r="M319" s="16" t="str">
        <f aca="false">IF(K319="","",EDATE(IF(L319&lt;&gt;"",L319,K319),J319))</f>
        <v/>
      </c>
      <c r="N319" s="12" t="str">
        <f aca="false">IFERROR(INDEX('Перечень должностей'!$F$2:$F$46,MATCH(H319,'Перечень должностей'!$A$2:$A$46,0)),"")</f>
        <v>-</v>
      </c>
      <c r="O319" s="17"/>
      <c r="P319" s="16" t="str">
        <f aca="false">IF(O319="","",EDATE(O319,60))</f>
        <v/>
      </c>
      <c r="Q319" s="12" t="str">
        <f aca="false">IF(AND(K319&lt;&gt;"",F319&lt;&gt;"",K319&gt;F319),"ДА","")</f>
        <v/>
      </c>
      <c r="R319" s="9"/>
    </row>
    <row r="320" customFormat="false" ht="26.25" hidden="false" customHeight="true" outlineLevel="0" collapsed="false">
      <c r="A320" s="15" t="n">
        <v>319</v>
      </c>
      <c r="B320" s="12" t="s">
        <v>72</v>
      </c>
      <c r="C320" s="15" t="s">
        <v>795</v>
      </c>
      <c r="D320" s="15" t="s">
        <v>507</v>
      </c>
      <c r="E320" s="15" t="s">
        <v>204</v>
      </c>
      <c r="F320" s="16" t="n">
        <v>45937</v>
      </c>
      <c r="G320" s="5" t="str">
        <f aca="false">IF(TRIM(SUBSTITUTE(SUBSTITUTE(SUBSTITUTE(SUBSTITUTE(SUBSTITUTE(SUBSTITUTE(SUBSTITUTE(SUBSTITUTE(SUBSTITUTE(SUBSTITUTE(SUBSTITUTE(LOWER(TRIM(D320)),"ё","е"),"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категории",""))="инженер",IF(AND(ISNUMBER(SEARCH("техническ",E320)),ISNUMBER(SEARCH("контрол",E320))),"инженер отк",IF(ISNUMBER(SEARCH("диспетч",E320)),"инженер пдо",TRIM(SUBSTITUTE(SUBSTITUTE(SUBSTITUTE(SUBSTITUTE(SUBSTITUTE(SUBSTITUTE(SUBSTITUTE(SUBSTITUTE(SUBSTITUTE(SUBSTITUTE(SUBSTITUTE(LOWER(TRIM(D320)),"ё","е"),"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инженер",IF(ISNUMBER(SEARCH("диспетч",E320)),"ведущий инженер пдо",TRIM(SUBSTITUTE(SUBSTITUTE(SUBSTITUTE(SUBSTITUTE(SUBSTITUTE(SUBSTITUTE(SUBSTITUTE(SUBSTITUTE(SUBSTITUTE(SUBSTITUTE(SUBSTITUTE(LOWER(TRIM(D320)),"ё","е"),"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отк",TRIM(SUBSTITUTE(SUBSTITUTE(SUBSTITUTE(SUBSTITUTE(SUBSTITUTE(SUBSTITUTE(SUBSTITUTE(SUBSTITUTE(SUBSTITUTE(SUBSTITUTE(SUBSTITUTE(LOWER(TRIM(D320)),"ё","е"),"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20" s="12" t="n">
        <f aca="false">IFERROR(INDEX(Соответствие!$B$2:$B$76,MATCH(G320,Соответствие!$A$2:$A$76,0)),"?")</f>
        <v>19</v>
      </c>
      <c r="I320" s="9" t="str">
        <f aca="false">IFERROR(INDEX('Перечень должностей'!$C$2:$C$46,MATCH(H320,'Перечень должностей'!$A$2:$A$46,0)),"")</f>
        <v>п.4.3.1, п.4.3.2, п.4.4, п.5.1, п.6.2, п.15</v>
      </c>
      <c r="J320" s="12" t="n">
        <f aca="false">IFERROR(INDEX('Перечень должностей'!$D$2:$D$46,MATCH(H320,'Перечень должностей'!$A$2:$A$46,0)),12)</f>
        <v>12</v>
      </c>
      <c r="K320" s="17" t="n">
        <v>45932</v>
      </c>
      <c r="L320" s="17"/>
      <c r="M320" s="16" t="n">
        <f aca="false">IF(K320="","",EDATE(IF(L320&lt;&gt;"",L320,K320),J320))</f>
        <v>46297</v>
      </c>
      <c r="N320" s="12" t="str">
        <f aca="false">IFERROR(INDEX('Перечень должностей'!$F$2:$F$46,MATCH(H320,'Перечень должностей'!$A$2:$A$46,0)),"")</f>
        <v>-</v>
      </c>
      <c r="O320" s="17"/>
      <c r="P320" s="16" t="str">
        <f aca="false">IF(O320="","",EDATE(O320,60))</f>
        <v/>
      </c>
      <c r="Q320" s="12" t="str">
        <f aca="false">IF(AND(K320&lt;&gt;"",F320&lt;&gt;"",K320&gt;F320),"ДА","")</f>
        <v/>
      </c>
      <c r="R320" s="9"/>
    </row>
    <row r="321" customFormat="false" ht="26.25" hidden="false" customHeight="true" outlineLevel="0" collapsed="false">
      <c r="A321" s="15" t="n">
        <v>320</v>
      </c>
      <c r="B321" s="12" t="s">
        <v>72</v>
      </c>
      <c r="C321" s="15" t="s">
        <v>796</v>
      </c>
      <c r="D321" s="15" t="s">
        <v>507</v>
      </c>
      <c r="E321" s="15" t="s">
        <v>204</v>
      </c>
      <c r="F321" s="16" t="n">
        <v>46167</v>
      </c>
      <c r="G321" s="5" t="str">
        <f aca="false">IF(TRIM(SUBSTITUTE(SUBSTITUTE(SUBSTITUTE(SUBSTITUTE(SUBSTITUTE(SUBSTITUTE(SUBSTITUTE(SUBSTITUTE(SUBSTITUTE(SUBSTITUTE(SUBSTITUTE(LOWER(TRIM(D321)),"ё","е"),"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категории",""))="инженер",IF(AND(ISNUMBER(SEARCH("техническ",E321)),ISNUMBER(SEARCH("контрол",E321))),"инженер отк",IF(ISNUMBER(SEARCH("диспетч",E321)),"инженер пдо",TRIM(SUBSTITUTE(SUBSTITUTE(SUBSTITUTE(SUBSTITUTE(SUBSTITUTE(SUBSTITUTE(SUBSTITUTE(SUBSTITUTE(SUBSTITUTE(SUBSTITUTE(SUBSTITUTE(LOWER(TRIM(D321)),"ё","е"),"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инженер",IF(ISNUMBER(SEARCH("диспетч",E321)),"ведущий инженер пдо",TRIM(SUBSTITUTE(SUBSTITUTE(SUBSTITUTE(SUBSTITUTE(SUBSTITUTE(SUBSTITUTE(SUBSTITUTE(SUBSTITUTE(SUBSTITUTE(SUBSTITUTE(SUBSTITUTE(LOWER(TRIM(D321)),"ё","е"),"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отк",TRIM(SUBSTITUTE(SUBSTITUTE(SUBSTITUTE(SUBSTITUTE(SUBSTITUTE(SUBSTITUTE(SUBSTITUTE(SUBSTITUTE(SUBSTITUTE(SUBSTITUTE(SUBSTITUTE(LOWER(TRIM(D321)),"ё","е"),"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21" s="12" t="n">
        <f aca="false">IFERROR(INDEX(Соответствие!$B$2:$B$76,MATCH(G321,Соответствие!$A$2:$A$76,0)),"?")</f>
        <v>19</v>
      </c>
      <c r="I321" s="9" t="str">
        <f aca="false">IFERROR(INDEX('Перечень должностей'!$C$2:$C$46,MATCH(H321,'Перечень должностей'!$A$2:$A$46,0)),"")</f>
        <v>п.4.3.1, п.4.3.2, п.4.4, п.5.1, п.6.2, п.15</v>
      </c>
      <c r="J321" s="12" t="n">
        <f aca="false">IFERROR(INDEX('Перечень должностей'!$D$2:$D$46,MATCH(H321,'Перечень должностей'!$A$2:$A$46,0)),12)</f>
        <v>12</v>
      </c>
      <c r="K321" s="17" t="n">
        <v>46161</v>
      </c>
      <c r="L321" s="17"/>
      <c r="M321" s="16" t="n">
        <f aca="false">IF(K321="","",EDATE(IF(L321&lt;&gt;"",L321,K321),J321))</f>
        <v>46526</v>
      </c>
      <c r="N321" s="12" t="str">
        <f aca="false">IFERROR(INDEX('Перечень должностей'!$F$2:$F$46,MATCH(H321,'Перечень должностей'!$A$2:$A$46,0)),"")</f>
        <v>-</v>
      </c>
      <c r="O321" s="17"/>
      <c r="P321" s="16" t="str">
        <f aca="false">IF(O321="","",EDATE(O321,60))</f>
        <v/>
      </c>
      <c r="Q321" s="12" t="str">
        <f aca="false">IF(AND(K321&lt;&gt;"",F321&lt;&gt;"",K321&gt;F321),"ДА","")</f>
        <v/>
      </c>
      <c r="R321" s="9"/>
    </row>
    <row r="322" customFormat="false" ht="26.25" hidden="false" customHeight="true" outlineLevel="0" collapsed="false">
      <c r="A322" s="15" t="n">
        <v>321</v>
      </c>
      <c r="B322" s="12" t="s">
        <v>72</v>
      </c>
      <c r="C322" s="15" t="s">
        <v>797</v>
      </c>
      <c r="D322" s="15" t="s">
        <v>507</v>
      </c>
      <c r="E322" s="15" t="s">
        <v>204</v>
      </c>
      <c r="F322" s="16" t="n">
        <v>45545</v>
      </c>
      <c r="G322" s="5" t="str">
        <f aca="false">IF(TRIM(SUBSTITUTE(SUBSTITUTE(SUBSTITUTE(SUBSTITUTE(SUBSTITUTE(SUBSTITUTE(SUBSTITUTE(SUBSTITUTE(SUBSTITUTE(SUBSTITUTE(SUBSTITUTE(LOWER(TRIM(D322)),"ё","е"),"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категории",""))="инженер",IF(AND(ISNUMBER(SEARCH("техническ",E322)),ISNUMBER(SEARCH("контрол",E322))),"инженер отк",IF(ISNUMBER(SEARCH("диспетч",E322)),"инженер пдо",TRIM(SUBSTITUTE(SUBSTITUTE(SUBSTITUTE(SUBSTITUTE(SUBSTITUTE(SUBSTITUTE(SUBSTITUTE(SUBSTITUTE(SUBSTITUTE(SUBSTITUTE(SUBSTITUTE(LOWER(TRIM(D322)),"ё","е"),"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инженер",IF(ISNUMBER(SEARCH("диспетч",E322)),"ведущий инженер пдо",TRIM(SUBSTITUTE(SUBSTITUTE(SUBSTITUTE(SUBSTITUTE(SUBSTITUTE(SUBSTITUTE(SUBSTITUTE(SUBSTITUTE(SUBSTITUTE(SUBSTITUTE(SUBSTITUTE(LOWER(TRIM(D322)),"ё","е"),"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отк",TRIM(SUBSTITUTE(SUBSTITUTE(SUBSTITUTE(SUBSTITUTE(SUBSTITUTE(SUBSTITUTE(SUBSTITUTE(SUBSTITUTE(SUBSTITUTE(SUBSTITUTE(SUBSTITUTE(LOWER(TRIM(D322)),"ё","е"),"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22" s="12" t="n">
        <f aca="false">IFERROR(INDEX(Соответствие!$B$2:$B$76,MATCH(G322,Соответствие!$A$2:$A$76,0)),"?")</f>
        <v>19</v>
      </c>
      <c r="I322" s="9" t="str">
        <f aca="false">IFERROR(INDEX('Перечень должностей'!$C$2:$C$46,MATCH(H322,'Перечень должностей'!$A$2:$A$46,0)),"")</f>
        <v>п.4.3.1, п.4.3.2, п.4.4, п.5.1, п.6.2, п.15</v>
      </c>
      <c r="J322" s="12" t="n">
        <f aca="false">IFERROR(INDEX('Перечень должностей'!$D$2:$D$46,MATCH(H322,'Перечень должностей'!$A$2:$A$46,0)),12)</f>
        <v>12</v>
      </c>
      <c r="K322" s="17"/>
      <c r="L322" s="17"/>
      <c r="M322" s="16" t="str">
        <f aca="false">IF(K322="","",EDATE(IF(L322&lt;&gt;"",L322,K322),J322))</f>
        <v/>
      </c>
      <c r="N322" s="12" t="str">
        <f aca="false">IFERROR(INDEX('Перечень должностей'!$F$2:$F$46,MATCH(H322,'Перечень должностей'!$A$2:$A$46,0)),"")</f>
        <v>-</v>
      </c>
      <c r="O322" s="17"/>
      <c r="P322" s="16" t="str">
        <f aca="false">IF(O322="","",EDATE(O322,60))</f>
        <v/>
      </c>
      <c r="Q322" s="12" t="str">
        <f aca="false">IF(AND(K322&lt;&gt;"",F322&lt;&gt;"",K322&gt;F322),"ДА","")</f>
        <v/>
      </c>
      <c r="R322" s="9"/>
    </row>
    <row r="323" customFormat="false" ht="23.25" hidden="false" customHeight="true" outlineLevel="0" collapsed="false">
      <c r="A323" s="15" t="n">
        <v>322</v>
      </c>
      <c r="B323" s="12" t="s">
        <v>72</v>
      </c>
      <c r="C323" s="15" t="s">
        <v>798</v>
      </c>
      <c r="D323" s="15" t="s">
        <v>84</v>
      </c>
      <c r="E323" s="15" t="s">
        <v>204</v>
      </c>
      <c r="F323" s="16" t="n">
        <v>44602</v>
      </c>
      <c r="G323" s="5" t="str">
        <f aca="false">IF(TRIM(SUBSTITUTE(SUBSTITUTE(SUBSTITUTE(SUBSTITUTE(SUBSTITUTE(SUBSTITUTE(SUBSTITUTE(SUBSTITUTE(SUBSTITUTE(SUBSTITUTE(SUBSTITUTE(LOWER(TRIM(D323)),"ё","е"),"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категории",""))="инженер",IF(AND(ISNUMBER(SEARCH("техническ",E323)),ISNUMBER(SEARCH("контрол",E323))),"инженер отк",IF(ISNUMBER(SEARCH("диспетч",E323)),"инженер пдо",TRIM(SUBSTITUTE(SUBSTITUTE(SUBSTITUTE(SUBSTITUTE(SUBSTITUTE(SUBSTITUTE(SUBSTITUTE(SUBSTITUTE(SUBSTITUTE(SUBSTITUTE(SUBSTITUTE(LOWER(TRIM(D323)),"ё","е"),"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инженер",IF(ISNUMBER(SEARCH("диспетч",E323)),"ведущий инженер пдо",TRIM(SUBSTITUTE(SUBSTITUTE(SUBSTITUTE(SUBSTITUTE(SUBSTITUTE(SUBSTITUTE(SUBSTITUTE(SUBSTITUTE(SUBSTITUTE(SUBSTITUTE(SUBSTITUTE(LOWER(TRIM(D323)),"ё","е"),"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отк",TRIM(SUBSTITUTE(SUBSTITUTE(SUBSTITUTE(SUBSTITUTE(SUBSTITUTE(SUBSTITUTE(SUBSTITUTE(SUBSTITUTE(SUBSTITUTE(SUBSTITUTE(SUBSTITUTE(LOWER(TRIM(D323)),"ё","е"),"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23" s="12" t="n">
        <f aca="false">IFERROR(INDEX(Соответствие!$B$2:$B$76,MATCH(G323,Соответствие!$A$2:$A$76,0)),"?")</f>
        <v>19</v>
      </c>
      <c r="I323" s="9" t="str">
        <f aca="false">IFERROR(INDEX('Перечень должностей'!$C$2:$C$46,MATCH(H323,'Перечень должностей'!$A$2:$A$46,0)),"")</f>
        <v>п.4.3.1, п.4.3.2, п.4.4, п.5.1, п.6.2, п.15</v>
      </c>
      <c r="J323" s="12" t="n">
        <f aca="false">IFERROR(INDEX('Перечень должностей'!$D$2:$D$46,MATCH(H323,'Перечень должностей'!$A$2:$A$46,0)),12)</f>
        <v>12</v>
      </c>
      <c r="K323" s="17"/>
      <c r="L323" s="17"/>
      <c r="M323" s="16" t="str">
        <f aca="false">IF(K323="","",EDATE(IF(L323&lt;&gt;"",L323,K323),J323))</f>
        <v/>
      </c>
      <c r="N323" s="12" t="str">
        <f aca="false">IFERROR(INDEX('Перечень должностей'!$F$2:$F$46,MATCH(H323,'Перечень должностей'!$A$2:$A$46,0)),"")</f>
        <v>-</v>
      </c>
      <c r="O323" s="17"/>
      <c r="P323" s="16" t="str">
        <f aca="false">IF(O323="","",EDATE(O323,60))</f>
        <v/>
      </c>
      <c r="Q323" s="12" t="str">
        <f aca="false">IF(AND(K323&lt;&gt;"",F323&lt;&gt;"",K323&gt;F323),"ДА","")</f>
        <v/>
      </c>
      <c r="R323" s="9"/>
    </row>
    <row r="324" customFormat="false" ht="26.25" hidden="false" customHeight="true" outlineLevel="0" collapsed="false">
      <c r="A324" s="15" t="n">
        <v>323</v>
      </c>
      <c r="B324" s="12" t="s">
        <v>72</v>
      </c>
      <c r="C324" s="15" t="s">
        <v>799</v>
      </c>
      <c r="D324" s="15" t="s">
        <v>84</v>
      </c>
      <c r="E324" s="15" t="s">
        <v>204</v>
      </c>
      <c r="F324" s="16" t="n">
        <v>45250</v>
      </c>
      <c r="G324" s="5" t="str">
        <f aca="false">IF(TRIM(SUBSTITUTE(SUBSTITUTE(SUBSTITUTE(SUBSTITUTE(SUBSTITUTE(SUBSTITUTE(SUBSTITUTE(SUBSTITUTE(SUBSTITUTE(SUBSTITUTE(SUBSTITUTE(LOWER(TRIM(D324)),"ё","е"),"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категории",""))="инженер",IF(AND(ISNUMBER(SEARCH("техническ",E324)),ISNUMBER(SEARCH("контрол",E324))),"инженер отк",IF(ISNUMBER(SEARCH("диспетч",E324)),"инженер пдо",TRIM(SUBSTITUTE(SUBSTITUTE(SUBSTITUTE(SUBSTITUTE(SUBSTITUTE(SUBSTITUTE(SUBSTITUTE(SUBSTITUTE(SUBSTITUTE(SUBSTITUTE(SUBSTITUTE(LOWER(TRIM(D324)),"ё","е"),"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инженер",IF(ISNUMBER(SEARCH("диспетч",E324)),"ведущий инженер пдо",TRIM(SUBSTITUTE(SUBSTITUTE(SUBSTITUTE(SUBSTITUTE(SUBSTITUTE(SUBSTITUTE(SUBSTITUTE(SUBSTITUTE(SUBSTITUTE(SUBSTITUTE(SUBSTITUTE(LOWER(TRIM(D324)),"ё","е"),"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отк",TRIM(SUBSTITUTE(SUBSTITUTE(SUBSTITUTE(SUBSTITUTE(SUBSTITUTE(SUBSTITUTE(SUBSTITUTE(SUBSTITUTE(SUBSTITUTE(SUBSTITUTE(SUBSTITUTE(LOWER(TRIM(D324)),"ё","е"),"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24" s="12" t="n">
        <f aca="false">IFERROR(INDEX(Соответствие!$B$2:$B$76,MATCH(G324,Соответствие!$A$2:$A$76,0)),"?")</f>
        <v>19</v>
      </c>
      <c r="I324" s="9" t="str">
        <f aca="false">IFERROR(INDEX('Перечень должностей'!$C$2:$C$46,MATCH(H324,'Перечень должностей'!$A$2:$A$46,0)),"")</f>
        <v>п.4.3.1, п.4.3.2, п.4.4, п.5.1, п.6.2, п.15</v>
      </c>
      <c r="J324" s="12" t="n">
        <f aca="false">IFERROR(INDEX('Перечень должностей'!$D$2:$D$46,MATCH(H324,'Перечень должностей'!$A$2:$A$46,0)),12)</f>
        <v>12</v>
      </c>
      <c r="K324" s="17"/>
      <c r="L324" s="17"/>
      <c r="M324" s="16" t="str">
        <f aca="false">IF(K324="","",EDATE(IF(L324&lt;&gt;"",L324,K324),J324))</f>
        <v/>
      </c>
      <c r="N324" s="12" t="str">
        <f aca="false">IFERROR(INDEX('Перечень должностей'!$F$2:$F$46,MATCH(H324,'Перечень должностей'!$A$2:$A$46,0)),"")</f>
        <v>-</v>
      </c>
      <c r="O324" s="17"/>
      <c r="P324" s="16" t="str">
        <f aca="false">IF(O324="","",EDATE(O324,60))</f>
        <v/>
      </c>
      <c r="Q324" s="12" t="str">
        <f aca="false">IF(AND(K324&lt;&gt;"",F324&lt;&gt;"",K324&gt;F324),"ДА","")</f>
        <v/>
      </c>
      <c r="R324" s="9"/>
    </row>
    <row r="325" customFormat="false" ht="26.25" hidden="false" customHeight="true" outlineLevel="0" collapsed="false">
      <c r="A325" s="15" t="n">
        <v>324</v>
      </c>
      <c r="B325" s="12" t="s">
        <v>72</v>
      </c>
      <c r="C325" s="15" t="s">
        <v>800</v>
      </c>
      <c r="D325" s="15" t="s">
        <v>453</v>
      </c>
      <c r="E325" s="15" t="s">
        <v>204</v>
      </c>
      <c r="F325" s="16" t="n">
        <v>45516</v>
      </c>
      <c r="G325" s="5" t="str">
        <f aca="false">IF(TRIM(SUBSTITUTE(SUBSTITUTE(SUBSTITUTE(SUBSTITUTE(SUBSTITUTE(SUBSTITUTE(SUBSTITUTE(SUBSTITUTE(SUBSTITUTE(SUBSTITUTE(SUBSTITUTE(LOWER(TRIM(D325)),"ё","е"),"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категории",""))="инженер",IF(AND(ISNUMBER(SEARCH("техническ",E325)),ISNUMBER(SEARCH("контрол",E325))),"инженер отк",IF(ISNUMBER(SEARCH("диспетч",E325)),"инженер пдо",TRIM(SUBSTITUTE(SUBSTITUTE(SUBSTITUTE(SUBSTITUTE(SUBSTITUTE(SUBSTITUTE(SUBSTITUTE(SUBSTITUTE(SUBSTITUTE(SUBSTITUTE(SUBSTITUTE(LOWER(TRIM(D325)),"ё","е"),"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инженер",IF(ISNUMBER(SEARCH("диспетч",E325)),"ведущий инженер пдо",TRIM(SUBSTITUTE(SUBSTITUTE(SUBSTITUTE(SUBSTITUTE(SUBSTITUTE(SUBSTITUTE(SUBSTITUTE(SUBSTITUTE(SUBSTITUTE(SUBSTITUTE(SUBSTITUTE(LOWER(TRIM(D325)),"ё","е"),"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отк",TRIM(SUBSTITUTE(SUBSTITUTE(SUBSTITUTE(SUBSTITUTE(SUBSTITUTE(SUBSTITUTE(SUBSTITUTE(SUBSTITUTE(SUBSTITUTE(SUBSTITUTE(SUBSTITUTE(LOWER(TRIM(D325)),"ё","е"),"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25" s="12" t="n">
        <f aca="false">IFERROR(INDEX(Соответствие!$B$2:$B$76,MATCH(G325,Соответствие!$A$2:$A$76,0)),"?")</f>
        <v>19</v>
      </c>
      <c r="I325" s="9" t="str">
        <f aca="false">IFERROR(INDEX('Перечень должностей'!$C$2:$C$46,MATCH(H325,'Перечень должностей'!$A$2:$A$46,0)),"")</f>
        <v>п.4.3.1, п.4.3.2, п.4.4, п.5.1, п.6.2, п.15</v>
      </c>
      <c r="J325" s="12" t="n">
        <f aca="false">IFERROR(INDEX('Перечень должностей'!$D$2:$D$46,MATCH(H325,'Перечень должностей'!$A$2:$A$46,0)),12)</f>
        <v>12</v>
      </c>
      <c r="K325" s="17"/>
      <c r="L325" s="17"/>
      <c r="M325" s="16" t="str">
        <f aca="false">IF(K325="","",EDATE(IF(L325&lt;&gt;"",L325,K325),J325))</f>
        <v/>
      </c>
      <c r="N325" s="12" t="str">
        <f aca="false">IFERROR(INDEX('Перечень должностей'!$F$2:$F$46,MATCH(H325,'Перечень должностей'!$A$2:$A$46,0)),"")</f>
        <v>-</v>
      </c>
      <c r="O325" s="17"/>
      <c r="P325" s="16" t="str">
        <f aca="false">IF(O325="","",EDATE(O325,60))</f>
        <v/>
      </c>
      <c r="Q325" s="12" t="str">
        <f aca="false">IF(AND(K325&lt;&gt;"",F325&lt;&gt;"",K325&gt;F325),"ДА","")</f>
        <v/>
      </c>
      <c r="R325" s="9"/>
    </row>
    <row r="326" customFormat="false" ht="26.25" hidden="false" customHeight="true" outlineLevel="0" collapsed="false">
      <c r="A326" s="15" t="n">
        <v>325</v>
      </c>
      <c r="B326" s="12" t="s">
        <v>72</v>
      </c>
      <c r="C326" s="15" t="s">
        <v>801</v>
      </c>
      <c r="D326" s="15" t="s">
        <v>453</v>
      </c>
      <c r="E326" s="15" t="s">
        <v>204</v>
      </c>
      <c r="F326" s="16" t="n">
        <v>45243</v>
      </c>
      <c r="G326" s="5" t="str">
        <f aca="false">IF(TRIM(SUBSTITUTE(SUBSTITUTE(SUBSTITUTE(SUBSTITUTE(SUBSTITUTE(SUBSTITUTE(SUBSTITUTE(SUBSTITUTE(SUBSTITUTE(SUBSTITUTE(SUBSTITUTE(LOWER(TRIM(D326)),"ё","е"),"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категории",""))="инженер",IF(AND(ISNUMBER(SEARCH("техническ",E326)),ISNUMBER(SEARCH("контрол",E326))),"инженер отк",IF(ISNUMBER(SEARCH("диспетч",E326)),"инженер пдо",TRIM(SUBSTITUTE(SUBSTITUTE(SUBSTITUTE(SUBSTITUTE(SUBSTITUTE(SUBSTITUTE(SUBSTITUTE(SUBSTITUTE(SUBSTITUTE(SUBSTITUTE(SUBSTITUTE(LOWER(TRIM(D326)),"ё","е"),"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инженер",IF(ISNUMBER(SEARCH("диспетч",E326)),"ведущий инженер пдо",TRIM(SUBSTITUTE(SUBSTITUTE(SUBSTITUTE(SUBSTITUTE(SUBSTITUTE(SUBSTITUTE(SUBSTITUTE(SUBSTITUTE(SUBSTITUTE(SUBSTITUTE(SUBSTITUTE(LOWER(TRIM(D326)),"ё","е"),"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отк",TRIM(SUBSTITUTE(SUBSTITUTE(SUBSTITUTE(SUBSTITUTE(SUBSTITUTE(SUBSTITUTE(SUBSTITUTE(SUBSTITUTE(SUBSTITUTE(SUBSTITUTE(SUBSTITUTE(LOWER(TRIM(D326)),"ё","е"),"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26" s="12" t="n">
        <f aca="false">IFERROR(INDEX(Соответствие!$B$2:$B$76,MATCH(G326,Соответствие!$A$2:$A$76,0)),"?")</f>
        <v>19</v>
      </c>
      <c r="I326" s="9" t="str">
        <f aca="false">IFERROR(INDEX('Перечень должностей'!$C$2:$C$46,MATCH(H326,'Перечень должностей'!$A$2:$A$46,0)),"")</f>
        <v>п.4.3.1, п.4.3.2, п.4.4, п.5.1, п.6.2, п.15</v>
      </c>
      <c r="J326" s="12" t="n">
        <f aca="false">IFERROR(INDEX('Перечень должностей'!$D$2:$D$46,MATCH(H326,'Перечень должностей'!$A$2:$A$46,0)),12)</f>
        <v>12</v>
      </c>
      <c r="K326" s="17"/>
      <c r="L326" s="17"/>
      <c r="M326" s="16" t="str">
        <f aca="false">IF(K326="","",EDATE(IF(L326&lt;&gt;"",L326,K326),J326))</f>
        <v/>
      </c>
      <c r="N326" s="12" t="str">
        <f aca="false">IFERROR(INDEX('Перечень должностей'!$F$2:$F$46,MATCH(H326,'Перечень должностей'!$A$2:$A$46,0)),"")</f>
        <v>-</v>
      </c>
      <c r="O326" s="17"/>
      <c r="P326" s="16" t="str">
        <f aca="false">IF(O326="","",EDATE(O326,60))</f>
        <v/>
      </c>
      <c r="Q326" s="12" t="str">
        <f aca="false">IF(AND(K326&lt;&gt;"",F326&lt;&gt;"",K326&gt;F326),"ДА","")</f>
        <v/>
      </c>
      <c r="R326" s="9"/>
    </row>
    <row r="327" customFormat="false" ht="26.25" hidden="false" customHeight="true" outlineLevel="0" collapsed="false">
      <c r="A327" s="15" t="n">
        <v>326</v>
      </c>
      <c r="B327" s="12" t="s">
        <v>72</v>
      </c>
      <c r="C327" s="15" t="s">
        <v>802</v>
      </c>
      <c r="D327" s="15" t="s">
        <v>453</v>
      </c>
      <c r="E327" s="15" t="s">
        <v>204</v>
      </c>
      <c r="F327" s="16" t="n">
        <v>45544</v>
      </c>
      <c r="G327" s="5" t="str">
        <f aca="false">IF(TRIM(SUBSTITUTE(SUBSTITUTE(SUBSTITUTE(SUBSTITUTE(SUBSTITUTE(SUBSTITUTE(SUBSTITUTE(SUBSTITUTE(SUBSTITUTE(SUBSTITUTE(SUBSTITUTE(LOWER(TRIM(D327)),"ё","е"),"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категории",""))="инженер",IF(AND(ISNUMBER(SEARCH("техническ",E327)),ISNUMBER(SEARCH("контрол",E327))),"инженер отк",IF(ISNUMBER(SEARCH("диспетч",E327)),"инженер пдо",TRIM(SUBSTITUTE(SUBSTITUTE(SUBSTITUTE(SUBSTITUTE(SUBSTITUTE(SUBSTITUTE(SUBSTITUTE(SUBSTITUTE(SUBSTITUTE(SUBSTITUTE(SUBSTITUTE(LOWER(TRIM(D327)),"ё","е"),"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инженер",IF(ISNUMBER(SEARCH("диспетч",E327)),"ведущий инженер пдо",TRIM(SUBSTITUTE(SUBSTITUTE(SUBSTITUTE(SUBSTITUTE(SUBSTITUTE(SUBSTITUTE(SUBSTITUTE(SUBSTITUTE(SUBSTITUTE(SUBSTITUTE(SUBSTITUTE(LOWER(TRIM(D327)),"ё","е"),"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отк",TRIM(SUBSTITUTE(SUBSTITUTE(SUBSTITUTE(SUBSTITUTE(SUBSTITUTE(SUBSTITUTE(SUBSTITUTE(SUBSTITUTE(SUBSTITUTE(SUBSTITUTE(SUBSTITUTE(LOWER(TRIM(D327)),"ё","е"),"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27" s="12" t="n">
        <f aca="false">IFERROR(INDEX(Соответствие!$B$2:$B$76,MATCH(G327,Соответствие!$A$2:$A$76,0)),"?")</f>
        <v>19</v>
      </c>
      <c r="I327" s="9" t="str">
        <f aca="false">IFERROR(INDEX('Перечень должностей'!$C$2:$C$46,MATCH(H327,'Перечень должностей'!$A$2:$A$46,0)),"")</f>
        <v>п.4.3.1, п.4.3.2, п.4.4, п.5.1, п.6.2, п.15</v>
      </c>
      <c r="J327" s="12" t="n">
        <f aca="false">IFERROR(INDEX('Перечень должностей'!$D$2:$D$46,MATCH(H327,'Перечень должностей'!$A$2:$A$46,0)),12)</f>
        <v>12</v>
      </c>
      <c r="K327" s="17"/>
      <c r="L327" s="17"/>
      <c r="M327" s="16" t="str">
        <f aca="false">IF(K327="","",EDATE(IF(L327&lt;&gt;"",L327,K327),J327))</f>
        <v/>
      </c>
      <c r="N327" s="12" t="str">
        <f aca="false">IFERROR(INDEX('Перечень должностей'!$F$2:$F$46,MATCH(H327,'Перечень должностей'!$A$2:$A$46,0)),"")</f>
        <v>-</v>
      </c>
      <c r="O327" s="17"/>
      <c r="P327" s="16" t="str">
        <f aca="false">IF(O327="","",EDATE(O327,60))</f>
        <v/>
      </c>
      <c r="Q327" s="12" t="str">
        <f aca="false">IF(AND(K327&lt;&gt;"",F327&lt;&gt;"",K327&gt;F327),"ДА","")</f>
        <v/>
      </c>
      <c r="R327" s="9"/>
    </row>
    <row r="328" customFormat="false" ht="26.25" hidden="false" customHeight="true" outlineLevel="0" collapsed="false">
      <c r="A328" s="15" t="n">
        <v>327</v>
      </c>
      <c r="B328" s="12" t="s">
        <v>72</v>
      </c>
      <c r="C328" s="15" t="s">
        <v>803</v>
      </c>
      <c r="D328" s="15" t="s">
        <v>453</v>
      </c>
      <c r="E328" s="15" t="s">
        <v>204</v>
      </c>
      <c r="F328" s="16" t="n">
        <v>45551</v>
      </c>
      <c r="G328" s="5" t="str">
        <f aca="false">IF(TRIM(SUBSTITUTE(SUBSTITUTE(SUBSTITUTE(SUBSTITUTE(SUBSTITUTE(SUBSTITUTE(SUBSTITUTE(SUBSTITUTE(SUBSTITUTE(SUBSTITUTE(SUBSTITUTE(LOWER(TRIM(D328)),"ё","е"),"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категории",""))="инженер",IF(AND(ISNUMBER(SEARCH("техническ",E328)),ISNUMBER(SEARCH("контрол",E328))),"инженер отк",IF(ISNUMBER(SEARCH("диспетч",E328)),"инженер пдо",TRIM(SUBSTITUTE(SUBSTITUTE(SUBSTITUTE(SUBSTITUTE(SUBSTITUTE(SUBSTITUTE(SUBSTITUTE(SUBSTITUTE(SUBSTITUTE(SUBSTITUTE(SUBSTITUTE(LOWER(TRIM(D328)),"ё","е"),"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инженер",IF(ISNUMBER(SEARCH("диспетч",E328)),"ведущий инженер пдо",TRIM(SUBSTITUTE(SUBSTITUTE(SUBSTITUTE(SUBSTITUTE(SUBSTITUTE(SUBSTITUTE(SUBSTITUTE(SUBSTITUTE(SUBSTITUTE(SUBSTITUTE(SUBSTITUTE(LOWER(TRIM(D328)),"ё","е"),"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отк",TRIM(SUBSTITUTE(SUBSTITUTE(SUBSTITUTE(SUBSTITUTE(SUBSTITUTE(SUBSTITUTE(SUBSTITUTE(SUBSTITUTE(SUBSTITUTE(SUBSTITUTE(SUBSTITUTE(LOWER(TRIM(D328)),"ё","е"),"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28" s="12" t="n">
        <f aca="false">IFERROR(INDEX(Соответствие!$B$2:$B$76,MATCH(G328,Соответствие!$A$2:$A$76,0)),"?")</f>
        <v>19</v>
      </c>
      <c r="I328" s="9" t="str">
        <f aca="false">IFERROR(INDEX('Перечень должностей'!$C$2:$C$46,MATCH(H328,'Перечень должностей'!$A$2:$A$46,0)),"")</f>
        <v>п.4.3.1, п.4.3.2, п.4.4, п.5.1, п.6.2, п.15</v>
      </c>
      <c r="J328" s="12" t="n">
        <f aca="false">IFERROR(INDEX('Перечень должностей'!$D$2:$D$46,MATCH(H328,'Перечень должностей'!$A$2:$A$46,0)),12)</f>
        <v>12</v>
      </c>
      <c r="K328" s="17"/>
      <c r="L328" s="17"/>
      <c r="M328" s="16" t="str">
        <f aca="false">IF(K328="","",EDATE(IF(L328&lt;&gt;"",L328,K328),J328))</f>
        <v/>
      </c>
      <c r="N328" s="12" t="str">
        <f aca="false">IFERROR(INDEX('Перечень должностей'!$F$2:$F$46,MATCH(H328,'Перечень должностей'!$A$2:$A$46,0)),"")</f>
        <v>-</v>
      </c>
      <c r="O328" s="17"/>
      <c r="P328" s="16" t="str">
        <f aca="false">IF(O328="","",EDATE(O328,60))</f>
        <v/>
      </c>
      <c r="Q328" s="12" t="str">
        <f aca="false">IF(AND(K328&lt;&gt;"",F328&lt;&gt;"",K328&gt;F328),"ДА","")</f>
        <v/>
      </c>
      <c r="R328" s="9"/>
    </row>
    <row r="329" customFormat="false" ht="26.25" hidden="false" customHeight="true" outlineLevel="0" collapsed="false">
      <c r="A329" s="15" t="n">
        <v>328</v>
      </c>
      <c r="B329" s="12" t="s">
        <v>72</v>
      </c>
      <c r="C329" s="15" t="s">
        <v>804</v>
      </c>
      <c r="D329" s="15" t="s">
        <v>805</v>
      </c>
      <c r="E329" s="15" t="s">
        <v>806</v>
      </c>
      <c r="F329" s="16" t="n">
        <v>44718</v>
      </c>
      <c r="G329" s="5" t="str">
        <f aca="false">IF(TRIM(SUBSTITUTE(SUBSTITUTE(SUBSTITUTE(SUBSTITUTE(SUBSTITUTE(SUBSTITUTE(SUBSTITUTE(SUBSTITUTE(SUBSTITUTE(SUBSTITUTE(SUBSTITUTE(LOWER(TRIM(D329)),"ё","е"),"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категории",""))="инженер",IF(AND(ISNUMBER(SEARCH("техническ",E329)),ISNUMBER(SEARCH("контрол",E329))),"инженер отк",IF(ISNUMBER(SEARCH("диспетч",E329)),"инженер пдо",TRIM(SUBSTITUTE(SUBSTITUTE(SUBSTITUTE(SUBSTITUTE(SUBSTITUTE(SUBSTITUTE(SUBSTITUTE(SUBSTITUTE(SUBSTITUTE(SUBSTITUTE(SUBSTITUTE(LOWER(TRIM(D329)),"ё","е"),"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инженер",IF(ISNUMBER(SEARCH("диспетч",E329)),"ведущий инженер пдо",TRIM(SUBSTITUTE(SUBSTITUTE(SUBSTITUTE(SUBSTITUTE(SUBSTITUTE(SUBSTITUTE(SUBSTITUTE(SUBSTITUTE(SUBSTITUTE(SUBSTITUTE(SUBSTITUTE(LOWER(TRIM(D329)),"ё","е"),"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отк",TRIM(SUBSTITUTE(SUBSTITUTE(SUBSTITUTE(SUBSTITUTE(SUBSTITUTE(SUBSTITUTE(SUBSTITUTE(SUBSTITUTE(SUBSTITUTE(SUBSTITUTE(SUBSTITUTE(LOWER(TRIM(D329)),"ё","е")," -","-"),"- ","-")," 2 разряда","")," 3 разряда","")," 4 разряда","")," 5 разряда","")," 6 разряда","")," 1 категории","")," 2 категории","")," 3 категории","")))))</f>
        <v>старший специалист по пошиву</v>
      </c>
      <c r="H329" s="12" t="n">
        <f aca="false">IFERROR(INDEX(Соответствие!$B$2:$B$76,MATCH(G329,Соответствие!$A$2:$A$76,0)),"?")</f>
        <v>44</v>
      </c>
      <c r="I329" s="9" t="str">
        <f aca="false">IFERROR(INDEX('Перечень должностей'!$C$2:$C$46,MATCH(H329,'Перечень должностей'!$A$2:$A$46,0)),"")</f>
        <v>п.4.3.1, п.4.3.2, п.4.4, п.5.1, п.5.2, п.15</v>
      </c>
      <c r="J329" s="12" t="n">
        <f aca="false">IFERROR(INDEX('Перечень должностей'!$D$2:$D$46,MATCH(H329,'Перечень должностей'!$A$2:$A$46,0)),12)</f>
        <v>12</v>
      </c>
      <c r="K329" s="17"/>
      <c r="L329" s="17"/>
      <c r="M329" s="16" t="str">
        <f aca="false">IF(K329="","",EDATE(IF(L329&lt;&gt;"",L329,K329),J329))</f>
        <v/>
      </c>
      <c r="N329" s="12" t="str">
        <f aca="false">IFERROR(INDEX('Перечень должностей'!$F$2:$F$46,MATCH(H329,'Перечень должностей'!$A$2:$A$46,0)),"")</f>
        <v>-</v>
      </c>
      <c r="O329" s="17"/>
      <c r="P329" s="16" t="str">
        <f aca="false">IF(O329="","",EDATE(O329,60))</f>
        <v/>
      </c>
      <c r="Q329" s="12" t="str">
        <f aca="false">IF(AND(K329&lt;&gt;"",F329&lt;&gt;"",K329&gt;F329),"ДА","")</f>
        <v/>
      </c>
      <c r="R329" s="9"/>
    </row>
    <row r="330" customFormat="false" ht="26.25" hidden="false" customHeight="true" outlineLevel="0" collapsed="false">
      <c r="A330" s="15" t="n">
        <v>329</v>
      </c>
      <c r="B330" s="12" t="s">
        <v>72</v>
      </c>
      <c r="C330" s="15" t="s">
        <v>807</v>
      </c>
      <c r="D330" s="15" t="s">
        <v>805</v>
      </c>
      <c r="E330" s="15" t="s">
        <v>806</v>
      </c>
      <c r="F330" s="16" t="n">
        <v>45194</v>
      </c>
      <c r="G330" s="5" t="str">
        <f aca="false">IF(TRIM(SUBSTITUTE(SUBSTITUTE(SUBSTITUTE(SUBSTITUTE(SUBSTITUTE(SUBSTITUTE(SUBSTITUTE(SUBSTITUTE(SUBSTITUTE(SUBSTITUTE(SUBSTITUTE(LOWER(TRIM(D330)),"ё","е"),"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категории",""))="инженер",IF(AND(ISNUMBER(SEARCH("техническ",E330)),ISNUMBER(SEARCH("контрол",E330))),"инженер отк",IF(ISNUMBER(SEARCH("диспетч",E330)),"инженер пдо",TRIM(SUBSTITUTE(SUBSTITUTE(SUBSTITUTE(SUBSTITUTE(SUBSTITUTE(SUBSTITUTE(SUBSTITUTE(SUBSTITUTE(SUBSTITUTE(SUBSTITUTE(SUBSTITUTE(LOWER(TRIM(D330)),"ё","е"),"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инженер",IF(ISNUMBER(SEARCH("диспетч",E330)),"ведущий инженер пдо",TRIM(SUBSTITUTE(SUBSTITUTE(SUBSTITUTE(SUBSTITUTE(SUBSTITUTE(SUBSTITUTE(SUBSTITUTE(SUBSTITUTE(SUBSTITUTE(SUBSTITUTE(SUBSTITUTE(LOWER(TRIM(D330)),"ё","е"),"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отк",TRIM(SUBSTITUTE(SUBSTITUTE(SUBSTITUTE(SUBSTITUTE(SUBSTITUTE(SUBSTITUTE(SUBSTITUTE(SUBSTITUTE(SUBSTITUTE(SUBSTITUTE(SUBSTITUTE(LOWER(TRIM(D330)),"ё","е")," -","-"),"- ","-")," 2 разряда","")," 3 разряда","")," 4 разряда","")," 5 разряда","")," 6 разряда","")," 1 категории","")," 2 категории","")," 3 категории","")))))</f>
        <v>старший специалист по пошиву</v>
      </c>
      <c r="H330" s="12" t="n">
        <f aca="false">IFERROR(INDEX(Соответствие!$B$2:$B$76,MATCH(G330,Соответствие!$A$2:$A$76,0)),"?")</f>
        <v>44</v>
      </c>
      <c r="I330" s="9" t="str">
        <f aca="false">IFERROR(INDEX('Перечень должностей'!$C$2:$C$46,MATCH(H330,'Перечень должностей'!$A$2:$A$46,0)),"")</f>
        <v>п.4.3.1, п.4.3.2, п.4.4, п.5.1, п.5.2, п.15</v>
      </c>
      <c r="J330" s="12" t="n">
        <f aca="false">IFERROR(INDEX('Перечень должностей'!$D$2:$D$46,MATCH(H330,'Перечень должностей'!$A$2:$A$46,0)),12)</f>
        <v>12</v>
      </c>
      <c r="K330" s="17"/>
      <c r="L330" s="17"/>
      <c r="M330" s="16" t="str">
        <f aca="false">IF(K330="","",EDATE(IF(L330&lt;&gt;"",L330,K330),J330))</f>
        <v/>
      </c>
      <c r="N330" s="12" t="str">
        <f aca="false">IFERROR(INDEX('Перечень должностей'!$F$2:$F$46,MATCH(H330,'Перечень должностей'!$A$2:$A$46,0)),"")</f>
        <v>-</v>
      </c>
      <c r="O330" s="17"/>
      <c r="P330" s="16" t="str">
        <f aca="false">IF(O330="","",EDATE(O330,60))</f>
        <v/>
      </c>
      <c r="Q330" s="12" t="str">
        <f aca="false">IF(AND(K330&lt;&gt;"",F330&lt;&gt;"",K330&gt;F330),"ДА","")</f>
        <v/>
      </c>
      <c r="R330" s="9"/>
    </row>
    <row r="331" customFormat="false" ht="26.25" hidden="false" customHeight="true" outlineLevel="0" collapsed="false">
      <c r="A331" s="15" t="n">
        <v>330</v>
      </c>
      <c r="B331" s="12" t="s">
        <v>72</v>
      </c>
      <c r="C331" s="15" t="s">
        <v>808</v>
      </c>
      <c r="D331" s="15" t="s">
        <v>805</v>
      </c>
      <c r="E331" s="15" t="s">
        <v>806</v>
      </c>
      <c r="F331" s="16" t="n">
        <v>44621</v>
      </c>
      <c r="G331" s="5" t="str">
        <f aca="false">IF(TRIM(SUBSTITUTE(SUBSTITUTE(SUBSTITUTE(SUBSTITUTE(SUBSTITUTE(SUBSTITUTE(SUBSTITUTE(SUBSTITUTE(SUBSTITUTE(SUBSTITUTE(SUBSTITUTE(LOWER(TRIM(D331)),"ё","е"),"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категории",""))="инженер",IF(AND(ISNUMBER(SEARCH("техническ",E331)),ISNUMBER(SEARCH("контрол",E331))),"инженер отк",IF(ISNUMBER(SEARCH("диспетч",E331)),"инженер пдо",TRIM(SUBSTITUTE(SUBSTITUTE(SUBSTITUTE(SUBSTITUTE(SUBSTITUTE(SUBSTITUTE(SUBSTITUTE(SUBSTITUTE(SUBSTITUTE(SUBSTITUTE(SUBSTITUTE(LOWER(TRIM(D331)),"ё","е"),"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инженер",IF(ISNUMBER(SEARCH("диспетч",E331)),"ведущий инженер пдо",TRIM(SUBSTITUTE(SUBSTITUTE(SUBSTITUTE(SUBSTITUTE(SUBSTITUTE(SUBSTITUTE(SUBSTITUTE(SUBSTITUTE(SUBSTITUTE(SUBSTITUTE(SUBSTITUTE(LOWER(TRIM(D331)),"ё","е"),"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отк",TRIM(SUBSTITUTE(SUBSTITUTE(SUBSTITUTE(SUBSTITUTE(SUBSTITUTE(SUBSTITUTE(SUBSTITUTE(SUBSTITUTE(SUBSTITUTE(SUBSTITUTE(SUBSTITUTE(LOWER(TRIM(D331)),"ё","е")," -","-"),"- ","-")," 2 разряда","")," 3 разряда","")," 4 разряда","")," 5 разряда","")," 6 разряда","")," 1 категории","")," 2 категории","")," 3 категории","")))))</f>
        <v>старший специалист по пошиву</v>
      </c>
      <c r="H331" s="12" t="n">
        <f aca="false">IFERROR(INDEX(Соответствие!$B$2:$B$76,MATCH(G331,Соответствие!$A$2:$A$76,0)),"?")</f>
        <v>44</v>
      </c>
      <c r="I331" s="9" t="str">
        <f aca="false">IFERROR(INDEX('Перечень должностей'!$C$2:$C$46,MATCH(H331,'Перечень должностей'!$A$2:$A$46,0)),"")</f>
        <v>п.4.3.1, п.4.3.2, п.4.4, п.5.1, п.5.2, п.15</v>
      </c>
      <c r="J331" s="12" t="n">
        <f aca="false">IFERROR(INDEX('Перечень должностей'!$D$2:$D$46,MATCH(H331,'Перечень должностей'!$A$2:$A$46,0)),12)</f>
        <v>12</v>
      </c>
      <c r="K331" s="17"/>
      <c r="L331" s="17"/>
      <c r="M331" s="16" t="str">
        <f aca="false">IF(K331="","",EDATE(IF(L331&lt;&gt;"",L331,K331),J331))</f>
        <v/>
      </c>
      <c r="N331" s="12" t="str">
        <f aca="false">IFERROR(INDEX('Перечень должностей'!$F$2:$F$46,MATCH(H331,'Перечень должностей'!$A$2:$A$46,0)),"")</f>
        <v>-</v>
      </c>
      <c r="O331" s="17"/>
      <c r="P331" s="16" t="str">
        <f aca="false">IF(O331="","",EDATE(O331,60))</f>
        <v/>
      </c>
      <c r="Q331" s="12" t="str">
        <f aca="false">IF(AND(K331&lt;&gt;"",F331&lt;&gt;"",K331&gt;F331),"ДА","")</f>
        <v/>
      </c>
      <c r="R331" s="9"/>
    </row>
    <row r="332" customFormat="false" ht="26.25" hidden="false" customHeight="true" outlineLevel="0" collapsed="false">
      <c r="A332" s="15" t="n">
        <v>331</v>
      </c>
      <c r="B332" s="12" t="s">
        <v>72</v>
      </c>
      <c r="C332" s="15" t="s">
        <v>809</v>
      </c>
      <c r="D332" s="15" t="s">
        <v>805</v>
      </c>
      <c r="E332" s="15" t="s">
        <v>806</v>
      </c>
      <c r="F332" s="16" t="n">
        <v>43132</v>
      </c>
      <c r="G332" s="5" t="str">
        <f aca="false">IF(TRIM(SUBSTITUTE(SUBSTITUTE(SUBSTITUTE(SUBSTITUTE(SUBSTITUTE(SUBSTITUTE(SUBSTITUTE(SUBSTITUTE(SUBSTITUTE(SUBSTITUTE(SUBSTITUTE(LOWER(TRIM(D332)),"ё","е"),"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категории",""))="инженер",IF(AND(ISNUMBER(SEARCH("техническ",E332)),ISNUMBER(SEARCH("контрол",E332))),"инженер отк",IF(ISNUMBER(SEARCH("диспетч",E332)),"инженер пдо",TRIM(SUBSTITUTE(SUBSTITUTE(SUBSTITUTE(SUBSTITUTE(SUBSTITUTE(SUBSTITUTE(SUBSTITUTE(SUBSTITUTE(SUBSTITUTE(SUBSTITUTE(SUBSTITUTE(LOWER(TRIM(D332)),"ё","е"),"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инженер",IF(ISNUMBER(SEARCH("диспетч",E332)),"ведущий инженер пдо",TRIM(SUBSTITUTE(SUBSTITUTE(SUBSTITUTE(SUBSTITUTE(SUBSTITUTE(SUBSTITUTE(SUBSTITUTE(SUBSTITUTE(SUBSTITUTE(SUBSTITUTE(SUBSTITUTE(LOWER(TRIM(D332)),"ё","е"),"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отк",TRIM(SUBSTITUTE(SUBSTITUTE(SUBSTITUTE(SUBSTITUTE(SUBSTITUTE(SUBSTITUTE(SUBSTITUTE(SUBSTITUTE(SUBSTITUTE(SUBSTITUTE(SUBSTITUTE(LOWER(TRIM(D332)),"ё","е")," -","-"),"- ","-")," 2 разряда","")," 3 разряда","")," 4 разряда","")," 5 разряда","")," 6 разряда","")," 1 категории","")," 2 категории","")," 3 категории","")))))</f>
        <v>старший специалист по пошиву</v>
      </c>
      <c r="H332" s="12" t="n">
        <f aca="false">IFERROR(INDEX(Соответствие!$B$2:$B$76,MATCH(G332,Соответствие!$A$2:$A$76,0)),"?")</f>
        <v>44</v>
      </c>
      <c r="I332" s="9" t="str">
        <f aca="false">IFERROR(INDEX('Перечень должностей'!$C$2:$C$46,MATCH(H332,'Перечень должностей'!$A$2:$A$46,0)),"")</f>
        <v>п.4.3.1, п.4.3.2, п.4.4, п.5.1, п.5.2, п.15</v>
      </c>
      <c r="J332" s="12" t="n">
        <f aca="false">IFERROR(INDEX('Перечень должностей'!$D$2:$D$46,MATCH(H332,'Перечень должностей'!$A$2:$A$46,0)),12)</f>
        <v>12</v>
      </c>
      <c r="K332" s="17"/>
      <c r="L332" s="17"/>
      <c r="M332" s="16" t="str">
        <f aca="false">IF(K332="","",EDATE(IF(L332&lt;&gt;"",L332,K332),J332))</f>
        <v/>
      </c>
      <c r="N332" s="12" t="str">
        <f aca="false">IFERROR(INDEX('Перечень должностей'!$F$2:$F$46,MATCH(H332,'Перечень должностей'!$A$2:$A$46,0)),"")</f>
        <v>-</v>
      </c>
      <c r="O332" s="17"/>
      <c r="P332" s="16" t="str">
        <f aca="false">IF(O332="","",EDATE(O332,60))</f>
        <v/>
      </c>
      <c r="Q332" s="12" t="str">
        <f aca="false">IF(AND(K332&lt;&gt;"",F332&lt;&gt;"",K332&gt;F332),"ДА","")</f>
        <v/>
      </c>
      <c r="R332" s="9"/>
    </row>
    <row r="333" customFormat="false" ht="26.25" hidden="false" customHeight="true" outlineLevel="0" collapsed="false">
      <c r="A333" s="15" t="n">
        <v>332</v>
      </c>
      <c r="B333" s="12" t="s">
        <v>72</v>
      </c>
      <c r="C333" s="15" t="s">
        <v>810</v>
      </c>
      <c r="D333" s="15" t="s">
        <v>805</v>
      </c>
      <c r="E333" s="15" t="s">
        <v>806</v>
      </c>
      <c r="F333" s="16" t="n">
        <v>40088</v>
      </c>
      <c r="G333" s="5" t="str">
        <f aca="false">IF(TRIM(SUBSTITUTE(SUBSTITUTE(SUBSTITUTE(SUBSTITUTE(SUBSTITUTE(SUBSTITUTE(SUBSTITUTE(SUBSTITUTE(SUBSTITUTE(SUBSTITUTE(SUBSTITUTE(LOWER(TRIM(D333)),"ё","е"),"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категории",""))="инженер",IF(AND(ISNUMBER(SEARCH("техническ",E333)),ISNUMBER(SEARCH("контрол",E333))),"инженер отк",IF(ISNUMBER(SEARCH("диспетч",E333)),"инженер пдо",TRIM(SUBSTITUTE(SUBSTITUTE(SUBSTITUTE(SUBSTITUTE(SUBSTITUTE(SUBSTITUTE(SUBSTITUTE(SUBSTITUTE(SUBSTITUTE(SUBSTITUTE(SUBSTITUTE(LOWER(TRIM(D333)),"ё","е"),"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инженер",IF(ISNUMBER(SEARCH("диспетч",E333)),"ведущий инженер пдо",TRIM(SUBSTITUTE(SUBSTITUTE(SUBSTITUTE(SUBSTITUTE(SUBSTITUTE(SUBSTITUTE(SUBSTITUTE(SUBSTITUTE(SUBSTITUTE(SUBSTITUTE(SUBSTITUTE(LOWER(TRIM(D333)),"ё","е"),"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отк",TRIM(SUBSTITUTE(SUBSTITUTE(SUBSTITUTE(SUBSTITUTE(SUBSTITUTE(SUBSTITUTE(SUBSTITUTE(SUBSTITUTE(SUBSTITUTE(SUBSTITUTE(SUBSTITUTE(LOWER(TRIM(D333)),"ё","е")," -","-"),"- ","-")," 2 разряда","")," 3 разряда","")," 4 разряда","")," 5 разряда","")," 6 разряда","")," 1 категории","")," 2 категории","")," 3 категории","")))))</f>
        <v>старший специалист по пошиву</v>
      </c>
      <c r="H333" s="12" t="n">
        <f aca="false">IFERROR(INDEX(Соответствие!$B$2:$B$76,MATCH(G333,Соответствие!$A$2:$A$76,0)),"?")</f>
        <v>44</v>
      </c>
      <c r="I333" s="9" t="str">
        <f aca="false">IFERROR(INDEX('Перечень должностей'!$C$2:$C$46,MATCH(H333,'Перечень должностей'!$A$2:$A$46,0)),"")</f>
        <v>п.4.3.1, п.4.3.2, п.4.4, п.5.1, п.5.2, п.15</v>
      </c>
      <c r="J333" s="12" t="n">
        <f aca="false">IFERROR(INDEX('Перечень должностей'!$D$2:$D$46,MATCH(H333,'Перечень должностей'!$A$2:$A$46,0)),12)</f>
        <v>12</v>
      </c>
      <c r="K333" s="17"/>
      <c r="L333" s="17"/>
      <c r="M333" s="16" t="str">
        <f aca="false">IF(K333="","",EDATE(IF(L333&lt;&gt;"",L333,K333),J333))</f>
        <v/>
      </c>
      <c r="N333" s="12" t="str">
        <f aca="false">IFERROR(INDEX('Перечень должностей'!$F$2:$F$46,MATCH(H333,'Перечень должностей'!$A$2:$A$46,0)),"")</f>
        <v>-</v>
      </c>
      <c r="O333" s="17"/>
      <c r="P333" s="16" t="str">
        <f aca="false">IF(O333="","",EDATE(O333,60))</f>
        <v/>
      </c>
      <c r="Q333" s="12" t="str">
        <f aca="false">IF(AND(K333&lt;&gt;"",F333&lt;&gt;"",K333&gt;F333),"ДА","")</f>
        <v/>
      </c>
      <c r="R333" s="9"/>
    </row>
    <row r="334" customFormat="false" ht="26.25" hidden="false" customHeight="true" outlineLevel="0" collapsed="false">
      <c r="A334" s="15" t="n">
        <v>333</v>
      </c>
      <c r="B334" s="12" t="s">
        <v>72</v>
      </c>
      <c r="C334" s="15" t="s">
        <v>811</v>
      </c>
      <c r="D334" s="15" t="s">
        <v>812</v>
      </c>
      <c r="E334" s="15" t="s">
        <v>806</v>
      </c>
      <c r="F334" s="16" t="n">
        <v>45497</v>
      </c>
      <c r="G334" s="5" t="str">
        <f aca="false">IF(TRIM(SUBSTITUTE(SUBSTITUTE(SUBSTITUTE(SUBSTITUTE(SUBSTITUTE(SUBSTITUTE(SUBSTITUTE(SUBSTITUTE(SUBSTITUTE(SUBSTITUTE(SUBSTITUTE(LOWER(TRIM(D334)),"ё","е"),"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категории",""))="инженер",IF(AND(ISNUMBER(SEARCH("техническ",E334)),ISNUMBER(SEARCH("контрол",E334))),"инженер отк",IF(ISNUMBER(SEARCH("диспетч",E334)),"инженер пдо",TRIM(SUBSTITUTE(SUBSTITUTE(SUBSTITUTE(SUBSTITUTE(SUBSTITUTE(SUBSTITUTE(SUBSTITUTE(SUBSTITUTE(SUBSTITUTE(SUBSTITUTE(SUBSTITUTE(LOWER(TRIM(D334)),"ё","е"),"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инженер",IF(ISNUMBER(SEARCH("диспетч",E334)),"ведущий инженер пдо",TRIM(SUBSTITUTE(SUBSTITUTE(SUBSTITUTE(SUBSTITUTE(SUBSTITUTE(SUBSTITUTE(SUBSTITUTE(SUBSTITUTE(SUBSTITUTE(SUBSTITUTE(SUBSTITUTE(LOWER(TRIM(D334)),"ё","е"),"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отк",TRIM(SUBSTITUTE(SUBSTITUTE(SUBSTITUTE(SUBSTITUTE(SUBSTITUTE(SUBSTITUTE(SUBSTITUTE(SUBSTITUTE(SUBSTITUTE(SUBSTITUTE(SUBSTITUTE(LOWER(TRIM(D334)),"ё","е")," -","-"),"- ","-")," 2 разряда","")," 3 разряда","")," 4 разряда","")," 5 разряда","")," 6 разряда","")," 1 категории","")," 2 категории","")," 3 категории","")))))</f>
        <v>специалист по пошиву</v>
      </c>
      <c r="H334" s="12" t="n">
        <f aca="false">IFERROR(INDEX(Соответствие!$B$2:$B$76,MATCH(G334,Соответствие!$A$2:$A$76,0)),"?")</f>
        <v>44</v>
      </c>
      <c r="I334" s="9" t="str">
        <f aca="false">IFERROR(INDEX('Перечень должностей'!$C$2:$C$46,MATCH(H334,'Перечень должностей'!$A$2:$A$46,0)),"")</f>
        <v>п.4.3.1, п.4.3.2, п.4.4, п.5.1, п.5.2, п.15</v>
      </c>
      <c r="J334" s="12" t="n">
        <f aca="false">IFERROR(INDEX('Перечень должностей'!$D$2:$D$46,MATCH(H334,'Перечень должностей'!$A$2:$A$46,0)),12)</f>
        <v>12</v>
      </c>
      <c r="K334" s="17"/>
      <c r="L334" s="17"/>
      <c r="M334" s="16" t="str">
        <f aca="false">IF(K334="","",EDATE(IF(L334&lt;&gt;"",L334,K334),J334))</f>
        <v/>
      </c>
      <c r="N334" s="12" t="str">
        <f aca="false">IFERROR(INDEX('Перечень должностей'!$F$2:$F$46,MATCH(H334,'Перечень должностей'!$A$2:$A$46,0)),"")</f>
        <v>-</v>
      </c>
      <c r="O334" s="17"/>
      <c r="P334" s="16" t="str">
        <f aca="false">IF(O334="","",EDATE(O334,60))</f>
        <v/>
      </c>
      <c r="Q334" s="12" t="str">
        <f aca="false">IF(AND(K334&lt;&gt;"",F334&lt;&gt;"",K334&gt;F334),"ДА","")</f>
        <v/>
      </c>
      <c r="R334" s="9"/>
    </row>
    <row r="335" customFormat="false" ht="26.25" hidden="false" customHeight="true" outlineLevel="0" collapsed="false">
      <c r="A335" s="15" t="n">
        <v>334</v>
      </c>
      <c r="B335" s="12" t="s">
        <v>72</v>
      </c>
      <c r="C335" s="15" t="s">
        <v>813</v>
      </c>
      <c r="D335" s="15" t="s">
        <v>812</v>
      </c>
      <c r="E335" s="15" t="s">
        <v>806</v>
      </c>
      <c r="F335" s="16" t="n">
        <v>46057</v>
      </c>
      <c r="G335" s="5" t="str">
        <f aca="false">IF(TRIM(SUBSTITUTE(SUBSTITUTE(SUBSTITUTE(SUBSTITUTE(SUBSTITUTE(SUBSTITUTE(SUBSTITUTE(SUBSTITUTE(SUBSTITUTE(SUBSTITUTE(SUBSTITUTE(LOWER(TRIM(D335)),"ё","е"),"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категории",""))="инженер",IF(AND(ISNUMBER(SEARCH("техническ",E335)),ISNUMBER(SEARCH("контрол",E335))),"инженер отк",IF(ISNUMBER(SEARCH("диспетч",E335)),"инженер пдо",TRIM(SUBSTITUTE(SUBSTITUTE(SUBSTITUTE(SUBSTITUTE(SUBSTITUTE(SUBSTITUTE(SUBSTITUTE(SUBSTITUTE(SUBSTITUTE(SUBSTITUTE(SUBSTITUTE(LOWER(TRIM(D335)),"ё","е"),"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инженер",IF(ISNUMBER(SEARCH("диспетч",E335)),"ведущий инженер пдо",TRIM(SUBSTITUTE(SUBSTITUTE(SUBSTITUTE(SUBSTITUTE(SUBSTITUTE(SUBSTITUTE(SUBSTITUTE(SUBSTITUTE(SUBSTITUTE(SUBSTITUTE(SUBSTITUTE(LOWER(TRIM(D335)),"ё","е"),"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отк",TRIM(SUBSTITUTE(SUBSTITUTE(SUBSTITUTE(SUBSTITUTE(SUBSTITUTE(SUBSTITUTE(SUBSTITUTE(SUBSTITUTE(SUBSTITUTE(SUBSTITUTE(SUBSTITUTE(LOWER(TRIM(D335)),"ё","е")," -","-"),"- ","-")," 2 разряда","")," 3 разряда","")," 4 разряда","")," 5 разряда","")," 6 разряда","")," 1 категории","")," 2 категории","")," 3 категории","")))))</f>
        <v>специалист по пошиву</v>
      </c>
      <c r="H335" s="12" t="n">
        <f aca="false">IFERROR(INDEX(Соответствие!$B$2:$B$76,MATCH(G335,Соответствие!$A$2:$A$76,0)),"?")</f>
        <v>44</v>
      </c>
      <c r="I335" s="9" t="str">
        <f aca="false">IFERROR(INDEX('Перечень должностей'!$C$2:$C$46,MATCH(H335,'Перечень должностей'!$A$2:$A$46,0)),"")</f>
        <v>п.4.3.1, п.4.3.2, п.4.4, п.5.1, п.5.2, п.15</v>
      </c>
      <c r="J335" s="12" t="n">
        <f aca="false">IFERROR(INDEX('Перечень должностей'!$D$2:$D$46,MATCH(H335,'Перечень должностей'!$A$2:$A$46,0)),12)</f>
        <v>12</v>
      </c>
      <c r="K335" s="17"/>
      <c r="L335" s="17"/>
      <c r="M335" s="16" t="str">
        <f aca="false">IF(K335="","",EDATE(IF(L335&lt;&gt;"",L335,K335),J335))</f>
        <v/>
      </c>
      <c r="N335" s="12" t="str">
        <f aca="false">IFERROR(INDEX('Перечень должностей'!$F$2:$F$46,MATCH(H335,'Перечень должностей'!$A$2:$A$46,0)),"")</f>
        <v>-</v>
      </c>
      <c r="O335" s="17"/>
      <c r="P335" s="16" t="str">
        <f aca="false">IF(O335="","",EDATE(O335,60))</f>
        <v/>
      </c>
      <c r="Q335" s="12" t="str">
        <f aca="false">IF(AND(K335&lt;&gt;"",F335&lt;&gt;"",K335&gt;F335),"ДА","")</f>
        <v/>
      </c>
      <c r="R335" s="9"/>
    </row>
    <row r="336" customFormat="false" ht="26.25" hidden="false" customHeight="true" outlineLevel="0" collapsed="false">
      <c r="A336" s="15" t="n">
        <v>335</v>
      </c>
      <c r="B336" s="12" t="s">
        <v>72</v>
      </c>
      <c r="C336" s="15" t="s">
        <v>814</v>
      </c>
      <c r="D336" s="15" t="s">
        <v>812</v>
      </c>
      <c r="E336" s="15" t="s">
        <v>806</v>
      </c>
      <c r="F336" s="16" t="n">
        <v>42156</v>
      </c>
      <c r="G336" s="5" t="str">
        <f aca="false">IF(TRIM(SUBSTITUTE(SUBSTITUTE(SUBSTITUTE(SUBSTITUTE(SUBSTITUTE(SUBSTITUTE(SUBSTITUTE(SUBSTITUTE(SUBSTITUTE(SUBSTITUTE(SUBSTITUTE(LOWER(TRIM(D336)),"ё","е"),"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категории",""))="инженер",IF(AND(ISNUMBER(SEARCH("техническ",E336)),ISNUMBER(SEARCH("контрол",E336))),"инженер отк",IF(ISNUMBER(SEARCH("диспетч",E336)),"инженер пдо",TRIM(SUBSTITUTE(SUBSTITUTE(SUBSTITUTE(SUBSTITUTE(SUBSTITUTE(SUBSTITUTE(SUBSTITUTE(SUBSTITUTE(SUBSTITUTE(SUBSTITUTE(SUBSTITUTE(LOWER(TRIM(D336)),"ё","е"),"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инженер",IF(ISNUMBER(SEARCH("диспетч",E336)),"ведущий инженер пдо",TRIM(SUBSTITUTE(SUBSTITUTE(SUBSTITUTE(SUBSTITUTE(SUBSTITUTE(SUBSTITUTE(SUBSTITUTE(SUBSTITUTE(SUBSTITUTE(SUBSTITUTE(SUBSTITUTE(LOWER(TRIM(D336)),"ё","е"),"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отк",TRIM(SUBSTITUTE(SUBSTITUTE(SUBSTITUTE(SUBSTITUTE(SUBSTITUTE(SUBSTITUTE(SUBSTITUTE(SUBSTITUTE(SUBSTITUTE(SUBSTITUTE(SUBSTITUTE(LOWER(TRIM(D336)),"ё","е")," -","-"),"- ","-")," 2 разряда","")," 3 разряда","")," 4 разряда","")," 5 разряда","")," 6 разряда","")," 1 категории","")," 2 категории","")," 3 категории","")))))</f>
        <v>специалист по пошиву</v>
      </c>
      <c r="H336" s="12" t="n">
        <f aca="false">IFERROR(INDEX(Соответствие!$B$2:$B$76,MATCH(G336,Соответствие!$A$2:$A$76,0)),"?")</f>
        <v>44</v>
      </c>
      <c r="I336" s="9" t="str">
        <f aca="false">IFERROR(INDEX('Перечень должностей'!$C$2:$C$46,MATCH(H336,'Перечень должностей'!$A$2:$A$46,0)),"")</f>
        <v>п.4.3.1, п.4.3.2, п.4.4, п.5.1, п.5.2, п.15</v>
      </c>
      <c r="J336" s="12" t="n">
        <f aca="false">IFERROR(INDEX('Перечень должностей'!$D$2:$D$46,MATCH(H336,'Перечень должностей'!$A$2:$A$46,0)),12)</f>
        <v>12</v>
      </c>
      <c r="K336" s="17"/>
      <c r="L336" s="17"/>
      <c r="M336" s="16" t="str">
        <f aca="false">IF(K336="","",EDATE(IF(L336&lt;&gt;"",L336,K336),J336))</f>
        <v/>
      </c>
      <c r="N336" s="12" t="str">
        <f aca="false">IFERROR(INDEX('Перечень должностей'!$F$2:$F$46,MATCH(H336,'Перечень должностей'!$A$2:$A$46,0)),"")</f>
        <v>-</v>
      </c>
      <c r="O336" s="17"/>
      <c r="P336" s="16" t="str">
        <f aca="false">IF(O336="","",EDATE(O336,60))</f>
        <v/>
      </c>
      <c r="Q336" s="12" t="str">
        <f aca="false">IF(AND(K336&lt;&gt;"",F336&lt;&gt;"",K336&gt;F336),"ДА","")</f>
        <v/>
      </c>
      <c r="R336" s="9"/>
    </row>
    <row r="337" customFormat="false" ht="26.25" hidden="false" customHeight="true" outlineLevel="0" collapsed="false">
      <c r="A337" s="15" t="n">
        <v>336</v>
      </c>
      <c r="B337" s="12" t="s">
        <v>72</v>
      </c>
      <c r="C337" s="15" t="s">
        <v>815</v>
      </c>
      <c r="D337" s="15" t="s">
        <v>812</v>
      </c>
      <c r="E337" s="15" t="s">
        <v>806</v>
      </c>
      <c r="F337" s="16" t="n">
        <v>45819</v>
      </c>
      <c r="G337" s="5" t="str">
        <f aca="false">IF(TRIM(SUBSTITUTE(SUBSTITUTE(SUBSTITUTE(SUBSTITUTE(SUBSTITUTE(SUBSTITUTE(SUBSTITUTE(SUBSTITUTE(SUBSTITUTE(SUBSTITUTE(SUBSTITUTE(LOWER(TRIM(D337)),"ё","е"),"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категории",""))="инженер",IF(AND(ISNUMBER(SEARCH("техническ",E337)),ISNUMBER(SEARCH("контрол",E337))),"инженер отк",IF(ISNUMBER(SEARCH("диспетч",E337)),"инженер пдо",TRIM(SUBSTITUTE(SUBSTITUTE(SUBSTITUTE(SUBSTITUTE(SUBSTITUTE(SUBSTITUTE(SUBSTITUTE(SUBSTITUTE(SUBSTITUTE(SUBSTITUTE(SUBSTITUTE(LOWER(TRIM(D337)),"ё","е"),"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инженер",IF(ISNUMBER(SEARCH("диспетч",E337)),"ведущий инженер пдо",TRIM(SUBSTITUTE(SUBSTITUTE(SUBSTITUTE(SUBSTITUTE(SUBSTITUTE(SUBSTITUTE(SUBSTITUTE(SUBSTITUTE(SUBSTITUTE(SUBSTITUTE(SUBSTITUTE(LOWER(TRIM(D337)),"ё","е"),"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отк",TRIM(SUBSTITUTE(SUBSTITUTE(SUBSTITUTE(SUBSTITUTE(SUBSTITUTE(SUBSTITUTE(SUBSTITUTE(SUBSTITUTE(SUBSTITUTE(SUBSTITUTE(SUBSTITUTE(LOWER(TRIM(D337)),"ё","е")," -","-"),"- ","-")," 2 разряда","")," 3 разряда","")," 4 разряда","")," 5 разряда","")," 6 разряда","")," 1 категории","")," 2 категории","")," 3 категории","")))))</f>
        <v>специалист по пошиву</v>
      </c>
      <c r="H337" s="12" t="n">
        <f aca="false">IFERROR(INDEX(Соответствие!$B$2:$B$76,MATCH(G337,Соответствие!$A$2:$A$76,0)),"?")</f>
        <v>44</v>
      </c>
      <c r="I337" s="9" t="str">
        <f aca="false">IFERROR(INDEX('Перечень должностей'!$C$2:$C$46,MATCH(H337,'Перечень должностей'!$A$2:$A$46,0)),"")</f>
        <v>п.4.3.1, п.4.3.2, п.4.4, п.5.1, п.5.2, п.15</v>
      </c>
      <c r="J337" s="12" t="n">
        <f aca="false">IFERROR(INDEX('Перечень должностей'!$D$2:$D$46,MATCH(H337,'Перечень должностей'!$A$2:$A$46,0)),12)</f>
        <v>12</v>
      </c>
      <c r="K337" s="17"/>
      <c r="L337" s="17"/>
      <c r="M337" s="16" t="str">
        <f aca="false">IF(K337="","",EDATE(IF(L337&lt;&gt;"",L337,K337),J337))</f>
        <v/>
      </c>
      <c r="N337" s="12" t="str">
        <f aca="false">IFERROR(INDEX('Перечень должностей'!$F$2:$F$46,MATCH(H337,'Перечень должностей'!$A$2:$A$46,0)),"")</f>
        <v>-</v>
      </c>
      <c r="O337" s="17"/>
      <c r="P337" s="16" t="str">
        <f aca="false">IF(O337="","",EDATE(O337,60))</f>
        <v/>
      </c>
      <c r="Q337" s="12" t="str">
        <f aca="false">IF(AND(K337&lt;&gt;"",F337&lt;&gt;"",K337&gt;F337),"ДА","")</f>
        <v/>
      </c>
      <c r="R337" s="9"/>
    </row>
    <row r="338" customFormat="false" ht="26.25" hidden="false" customHeight="true" outlineLevel="0" collapsed="false">
      <c r="A338" s="15" t="n">
        <v>337</v>
      </c>
      <c r="B338" s="12" t="s">
        <v>72</v>
      </c>
      <c r="C338" s="15" t="s">
        <v>816</v>
      </c>
      <c r="D338" s="15" t="s">
        <v>812</v>
      </c>
      <c r="E338" s="15" t="s">
        <v>806</v>
      </c>
      <c r="F338" s="16" t="n">
        <v>45968</v>
      </c>
      <c r="G338" s="5" t="str">
        <f aca="false">IF(TRIM(SUBSTITUTE(SUBSTITUTE(SUBSTITUTE(SUBSTITUTE(SUBSTITUTE(SUBSTITUTE(SUBSTITUTE(SUBSTITUTE(SUBSTITUTE(SUBSTITUTE(SUBSTITUTE(LOWER(TRIM(D338)),"ё","е"),"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категории",""))="инженер",IF(AND(ISNUMBER(SEARCH("техническ",E338)),ISNUMBER(SEARCH("контрол",E338))),"инженер отк",IF(ISNUMBER(SEARCH("диспетч",E338)),"инженер пдо",TRIM(SUBSTITUTE(SUBSTITUTE(SUBSTITUTE(SUBSTITUTE(SUBSTITUTE(SUBSTITUTE(SUBSTITUTE(SUBSTITUTE(SUBSTITUTE(SUBSTITUTE(SUBSTITUTE(LOWER(TRIM(D338)),"ё","е"),"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инженер",IF(ISNUMBER(SEARCH("диспетч",E338)),"ведущий инженер пдо",TRIM(SUBSTITUTE(SUBSTITUTE(SUBSTITUTE(SUBSTITUTE(SUBSTITUTE(SUBSTITUTE(SUBSTITUTE(SUBSTITUTE(SUBSTITUTE(SUBSTITUTE(SUBSTITUTE(LOWER(TRIM(D338)),"ё","е"),"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отк",TRIM(SUBSTITUTE(SUBSTITUTE(SUBSTITUTE(SUBSTITUTE(SUBSTITUTE(SUBSTITUTE(SUBSTITUTE(SUBSTITUTE(SUBSTITUTE(SUBSTITUTE(SUBSTITUTE(LOWER(TRIM(D338)),"ё","е")," -","-"),"- ","-")," 2 разряда","")," 3 разряда","")," 4 разряда","")," 5 разряда","")," 6 разряда","")," 1 категории","")," 2 категории","")," 3 категории","")))))</f>
        <v>специалист по пошиву</v>
      </c>
      <c r="H338" s="12" t="n">
        <f aca="false">IFERROR(INDEX(Соответствие!$B$2:$B$76,MATCH(G338,Соответствие!$A$2:$A$76,0)),"?")</f>
        <v>44</v>
      </c>
      <c r="I338" s="9" t="str">
        <f aca="false">IFERROR(INDEX('Перечень должностей'!$C$2:$C$46,MATCH(H338,'Перечень должностей'!$A$2:$A$46,0)),"")</f>
        <v>п.4.3.1, п.4.3.2, п.4.4, п.5.1, п.5.2, п.15</v>
      </c>
      <c r="J338" s="12" t="n">
        <f aca="false">IFERROR(INDEX('Перечень должностей'!$D$2:$D$46,MATCH(H338,'Перечень должностей'!$A$2:$A$46,0)),12)</f>
        <v>12</v>
      </c>
      <c r="K338" s="17" t="n">
        <v>45957</v>
      </c>
      <c r="L338" s="17"/>
      <c r="M338" s="16" t="n">
        <f aca="false">IF(K338="","",EDATE(IF(L338&lt;&gt;"",L338,K338),J338))</f>
        <v>46322</v>
      </c>
      <c r="N338" s="12" t="str">
        <f aca="false">IFERROR(INDEX('Перечень должностей'!$F$2:$F$46,MATCH(H338,'Перечень должностей'!$A$2:$A$46,0)),"")</f>
        <v>-</v>
      </c>
      <c r="O338" s="17"/>
      <c r="P338" s="16" t="str">
        <f aca="false">IF(O338="","",EDATE(O338,60))</f>
        <v/>
      </c>
      <c r="Q338" s="12" t="str">
        <f aca="false">IF(AND(K338&lt;&gt;"",F338&lt;&gt;"",K338&gt;F338),"ДА","")</f>
        <v/>
      </c>
      <c r="R338" s="9"/>
    </row>
    <row r="339" customFormat="false" ht="26.25" hidden="false" customHeight="true" outlineLevel="0" collapsed="false">
      <c r="A339" s="15" t="n">
        <v>338</v>
      </c>
      <c r="B339" s="12" t="s">
        <v>72</v>
      </c>
      <c r="C339" s="15" t="s">
        <v>817</v>
      </c>
      <c r="D339" s="15" t="s">
        <v>812</v>
      </c>
      <c r="E339" s="15" t="s">
        <v>806</v>
      </c>
      <c r="F339" s="16" t="n">
        <v>46077</v>
      </c>
      <c r="G339" s="5" t="str">
        <f aca="false">IF(TRIM(SUBSTITUTE(SUBSTITUTE(SUBSTITUTE(SUBSTITUTE(SUBSTITUTE(SUBSTITUTE(SUBSTITUTE(SUBSTITUTE(SUBSTITUTE(SUBSTITUTE(SUBSTITUTE(LOWER(TRIM(D339)),"ё","е"),"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категории",""))="инженер",IF(AND(ISNUMBER(SEARCH("техническ",E339)),ISNUMBER(SEARCH("контрол",E339))),"инженер отк",IF(ISNUMBER(SEARCH("диспетч",E339)),"инженер пдо",TRIM(SUBSTITUTE(SUBSTITUTE(SUBSTITUTE(SUBSTITUTE(SUBSTITUTE(SUBSTITUTE(SUBSTITUTE(SUBSTITUTE(SUBSTITUTE(SUBSTITUTE(SUBSTITUTE(LOWER(TRIM(D339)),"ё","е"),"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инженер",IF(ISNUMBER(SEARCH("диспетч",E339)),"ведущий инженер пдо",TRIM(SUBSTITUTE(SUBSTITUTE(SUBSTITUTE(SUBSTITUTE(SUBSTITUTE(SUBSTITUTE(SUBSTITUTE(SUBSTITUTE(SUBSTITUTE(SUBSTITUTE(SUBSTITUTE(LOWER(TRIM(D339)),"ё","е"),"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отк",TRIM(SUBSTITUTE(SUBSTITUTE(SUBSTITUTE(SUBSTITUTE(SUBSTITUTE(SUBSTITUTE(SUBSTITUTE(SUBSTITUTE(SUBSTITUTE(SUBSTITUTE(SUBSTITUTE(LOWER(TRIM(D339)),"ё","е")," -","-"),"- ","-")," 2 разряда","")," 3 разряда","")," 4 разряда","")," 5 разряда","")," 6 разряда","")," 1 категории","")," 2 категории","")," 3 категории","")))))</f>
        <v>специалист по пошиву</v>
      </c>
      <c r="H339" s="12" t="n">
        <f aca="false">IFERROR(INDEX(Соответствие!$B$2:$B$76,MATCH(G339,Соответствие!$A$2:$A$76,0)),"?")</f>
        <v>44</v>
      </c>
      <c r="I339" s="9" t="str">
        <f aca="false">IFERROR(INDEX('Перечень должностей'!$C$2:$C$46,MATCH(H339,'Перечень должностей'!$A$2:$A$46,0)),"")</f>
        <v>п.4.3.1, п.4.3.2, п.4.4, п.5.1, п.5.2, п.15</v>
      </c>
      <c r="J339" s="12" t="n">
        <f aca="false">IFERROR(INDEX('Перечень должностей'!$D$2:$D$46,MATCH(H339,'Перечень должностей'!$A$2:$A$46,0)),12)</f>
        <v>12</v>
      </c>
      <c r="K339" s="17"/>
      <c r="L339" s="17"/>
      <c r="M339" s="16" t="str">
        <f aca="false">IF(K339="","",EDATE(IF(L339&lt;&gt;"",L339,K339),J339))</f>
        <v/>
      </c>
      <c r="N339" s="12" t="str">
        <f aca="false">IFERROR(INDEX('Перечень должностей'!$F$2:$F$46,MATCH(H339,'Перечень должностей'!$A$2:$A$46,0)),"")</f>
        <v>-</v>
      </c>
      <c r="O339" s="17"/>
      <c r="P339" s="16" t="str">
        <f aca="false">IF(O339="","",EDATE(O339,60))</f>
        <v/>
      </c>
      <c r="Q339" s="12" t="str">
        <f aca="false">IF(AND(K339&lt;&gt;"",F339&lt;&gt;"",K339&gt;F339),"ДА","")</f>
        <v/>
      </c>
      <c r="R339" s="9"/>
    </row>
    <row r="340" customFormat="false" ht="26.25" hidden="false" customHeight="true" outlineLevel="0" collapsed="false">
      <c r="A340" s="15" t="n">
        <v>339</v>
      </c>
      <c r="B340" s="12" t="s">
        <v>72</v>
      </c>
      <c r="C340" s="15" t="s">
        <v>818</v>
      </c>
      <c r="D340" s="15" t="s">
        <v>812</v>
      </c>
      <c r="E340" s="15" t="s">
        <v>806</v>
      </c>
      <c r="F340" s="16" t="n">
        <v>42380</v>
      </c>
      <c r="G340" s="5" t="str">
        <f aca="false">IF(TRIM(SUBSTITUTE(SUBSTITUTE(SUBSTITUTE(SUBSTITUTE(SUBSTITUTE(SUBSTITUTE(SUBSTITUTE(SUBSTITUTE(SUBSTITUTE(SUBSTITUTE(SUBSTITUTE(LOWER(TRIM(D340)),"ё","е"),"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категории",""))="инженер",IF(AND(ISNUMBER(SEARCH("техническ",E340)),ISNUMBER(SEARCH("контрол",E340))),"инженер отк",IF(ISNUMBER(SEARCH("диспетч",E340)),"инженер пдо",TRIM(SUBSTITUTE(SUBSTITUTE(SUBSTITUTE(SUBSTITUTE(SUBSTITUTE(SUBSTITUTE(SUBSTITUTE(SUBSTITUTE(SUBSTITUTE(SUBSTITUTE(SUBSTITUTE(LOWER(TRIM(D340)),"ё","е"),"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инженер",IF(ISNUMBER(SEARCH("диспетч",E340)),"ведущий инженер пдо",TRIM(SUBSTITUTE(SUBSTITUTE(SUBSTITUTE(SUBSTITUTE(SUBSTITUTE(SUBSTITUTE(SUBSTITUTE(SUBSTITUTE(SUBSTITUTE(SUBSTITUTE(SUBSTITUTE(LOWER(TRIM(D340)),"ё","е"),"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отк",TRIM(SUBSTITUTE(SUBSTITUTE(SUBSTITUTE(SUBSTITUTE(SUBSTITUTE(SUBSTITUTE(SUBSTITUTE(SUBSTITUTE(SUBSTITUTE(SUBSTITUTE(SUBSTITUTE(LOWER(TRIM(D340)),"ё","е")," -","-"),"- ","-")," 2 разряда","")," 3 разряда","")," 4 разряда","")," 5 разряда","")," 6 разряда","")," 1 категории","")," 2 категории","")," 3 категории","")))))</f>
        <v>специалист по пошиву</v>
      </c>
      <c r="H340" s="12" t="n">
        <f aca="false">IFERROR(INDEX(Соответствие!$B$2:$B$76,MATCH(G340,Соответствие!$A$2:$A$76,0)),"?")</f>
        <v>44</v>
      </c>
      <c r="I340" s="9" t="str">
        <f aca="false">IFERROR(INDEX('Перечень должностей'!$C$2:$C$46,MATCH(H340,'Перечень должностей'!$A$2:$A$46,0)),"")</f>
        <v>п.4.3.1, п.4.3.2, п.4.4, п.5.1, п.5.2, п.15</v>
      </c>
      <c r="J340" s="12" t="n">
        <f aca="false">IFERROR(INDEX('Перечень должностей'!$D$2:$D$46,MATCH(H340,'Перечень должностей'!$A$2:$A$46,0)),12)</f>
        <v>12</v>
      </c>
      <c r="K340" s="17"/>
      <c r="L340" s="17"/>
      <c r="M340" s="16" t="str">
        <f aca="false">IF(K340="","",EDATE(IF(L340&lt;&gt;"",L340,K340),J340))</f>
        <v/>
      </c>
      <c r="N340" s="12" t="str">
        <f aca="false">IFERROR(INDEX('Перечень должностей'!$F$2:$F$46,MATCH(H340,'Перечень должностей'!$A$2:$A$46,0)),"")</f>
        <v>-</v>
      </c>
      <c r="O340" s="17"/>
      <c r="P340" s="16" t="str">
        <f aca="false">IF(O340="","",EDATE(O340,60))</f>
        <v/>
      </c>
      <c r="Q340" s="12" t="str">
        <f aca="false">IF(AND(K340&lt;&gt;"",F340&lt;&gt;"",K340&gt;F340),"ДА","")</f>
        <v/>
      </c>
      <c r="R340" s="9"/>
    </row>
    <row r="341" customFormat="false" ht="26.25" hidden="false" customHeight="true" outlineLevel="0" collapsed="false">
      <c r="A341" s="15" t="n">
        <v>340</v>
      </c>
      <c r="B341" s="12" t="s">
        <v>72</v>
      </c>
      <c r="C341" s="15" t="s">
        <v>819</v>
      </c>
      <c r="D341" s="15" t="s">
        <v>820</v>
      </c>
      <c r="E341" s="15" t="s">
        <v>806</v>
      </c>
      <c r="F341" s="16" t="n">
        <v>45859</v>
      </c>
      <c r="G341" s="5" t="str">
        <f aca="false">IF(TRIM(SUBSTITUTE(SUBSTITUTE(SUBSTITUTE(SUBSTITUTE(SUBSTITUTE(SUBSTITUTE(SUBSTITUTE(SUBSTITUTE(SUBSTITUTE(SUBSTITUTE(SUBSTITUTE(LOWER(TRIM(D341)),"ё","е"),"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категории",""))="инженер",IF(AND(ISNUMBER(SEARCH("техническ",E341)),ISNUMBER(SEARCH("контрол",E341))),"инженер отк",IF(ISNUMBER(SEARCH("диспетч",E341)),"инженер пдо",TRIM(SUBSTITUTE(SUBSTITUTE(SUBSTITUTE(SUBSTITUTE(SUBSTITUTE(SUBSTITUTE(SUBSTITUTE(SUBSTITUTE(SUBSTITUTE(SUBSTITUTE(SUBSTITUTE(LOWER(TRIM(D341)),"ё","е"),"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инженер",IF(ISNUMBER(SEARCH("диспетч",E341)),"ведущий инженер пдо",TRIM(SUBSTITUTE(SUBSTITUTE(SUBSTITUTE(SUBSTITUTE(SUBSTITUTE(SUBSTITUTE(SUBSTITUTE(SUBSTITUTE(SUBSTITUTE(SUBSTITUTE(SUBSTITUTE(LOWER(TRIM(D341)),"ё","е"),"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отк",TRIM(SUBSTITUTE(SUBSTITUTE(SUBSTITUTE(SUBSTITUTE(SUBSTITUTE(SUBSTITUTE(SUBSTITUTE(SUBSTITUTE(SUBSTITUTE(SUBSTITUTE(SUBSTITUTE(LOWER(TRIM(D341)),"ё","е")," -","-"),"- ","-")," 2 разряда","")," 3 разряда","")," 4 разряда","")," 5 разряда","")," 6 разряда","")," 1 категории","")," 2 категории","")," 3 категории","")))))</f>
        <v>специалист по пошиву</v>
      </c>
      <c r="H341" s="12" t="n">
        <f aca="false">IFERROR(INDEX(Соответствие!$B$2:$B$76,MATCH(G341,Соответствие!$A$2:$A$76,0)),"?")</f>
        <v>44</v>
      </c>
      <c r="I341" s="9" t="str">
        <f aca="false">IFERROR(INDEX('Перечень должностей'!$C$2:$C$46,MATCH(H341,'Перечень должностей'!$A$2:$A$46,0)),"")</f>
        <v>п.4.3.1, п.4.3.2, п.4.4, п.5.1, п.5.2, п.15</v>
      </c>
      <c r="J341" s="12" t="n">
        <f aca="false">IFERROR(INDEX('Перечень должностей'!$D$2:$D$46,MATCH(H341,'Перечень должностей'!$A$2:$A$46,0)),12)</f>
        <v>12</v>
      </c>
      <c r="K341" s="17"/>
      <c r="L341" s="17"/>
      <c r="M341" s="16" t="str">
        <f aca="false">IF(K341="","",EDATE(IF(L341&lt;&gt;"",L341,K341),J341))</f>
        <v/>
      </c>
      <c r="N341" s="12" t="str">
        <f aca="false">IFERROR(INDEX('Перечень должностей'!$F$2:$F$46,MATCH(H341,'Перечень должностей'!$A$2:$A$46,0)),"")</f>
        <v>-</v>
      </c>
      <c r="O341" s="17"/>
      <c r="P341" s="16" t="str">
        <f aca="false">IF(O341="","",EDATE(O341,60))</f>
        <v/>
      </c>
      <c r="Q341" s="12" t="str">
        <f aca="false">IF(AND(K341&lt;&gt;"",F341&lt;&gt;"",K341&gt;F341),"ДА","")</f>
        <v/>
      </c>
      <c r="R341" s="9"/>
    </row>
    <row r="342" customFormat="false" ht="26.25" hidden="false" customHeight="true" outlineLevel="0" collapsed="false">
      <c r="A342" s="15" t="n">
        <v>341</v>
      </c>
      <c r="B342" s="12" t="s">
        <v>72</v>
      </c>
      <c r="C342" s="15" t="s">
        <v>821</v>
      </c>
      <c r="D342" s="15" t="s">
        <v>820</v>
      </c>
      <c r="E342" s="15" t="s">
        <v>806</v>
      </c>
      <c r="F342" s="16" t="n">
        <v>45034</v>
      </c>
      <c r="G342" s="5" t="str">
        <f aca="false">IF(TRIM(SUBSTITUTE(SUBSTITUTE(SUBSTITUTE(SUBSTITUTE(SUBSTITUTE(SUBSTITUTE(SUBSTITUTE(SUBSTITUTE(SUBSTITUTE(SUBSTITUTE(SUBSTITUTE(LOWER(TRIM(D342)),"ё","е"),"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категории",""))="инженер",IF(AND(ISNUMBER(SEARCH("техническ",E342)),ISNUMBER(SEARCH("контрол",E342))),"инженер отк",IF(ISNUMBER(SEARCH("диспетч",E342)),"инженер пдо",TRIM(SUBSTITUTE(SUBSTITUTE(SUBSTITUTE(SUBSTITUTE(SUBSTITUTE(SUBSTITUTE(SUBSTITUTE(SUBSTITUTE(SUBSTITUTE(SUBSTITUTE(SUBSTITUTE(LOWER(TRIM(D342)),"ё","е"),"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инженер",IF(ISNUMBER(SEARCH("диспетч",E342)),"ведущий инженер пдо",TRIM(SUBSTITUTE(SUBSTITUTE(SUBSTITUTE(SUBSTITUTE(SUBSTITUTE(SUBSTITUTE(SUBSTITUTE(SUBSTITUTE(SUBSTITUTE(SUBSTITUTE(SUBSTITUTE(LOWER(TRIM(D342)),"ё","е"),"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отк",TRIM(SUBSTITUTE(SUBSTITUTE(SUBSTITUTE(SUBSTITUTE(SUBSTITUTE(SUBSTITUTE(SUBSTITUTE(SUBSTITUTE(SUBSTITUTE(SUBSTITUTE(SUBSTITUTE(LOWER(TRIM(D342)),"ё","е")," -","-"),"- ","-")," 2 разряда","")," 3 разряда","")," 4 разряда","")," 5 разряда","")," 6 разряда","")," 1 категории","")," 2 категории","")," 3 категории","")))))</f>
        <v>специалист по пошиву</v>
      </c>
      <c r="H342" s="12" t="n">
        <f aca="false">IFERROR(INDEX(Соответствие!$B$2:$B$76,MATCH(G342,Соответствие!$A$2:$A$76,0)),"?")</f>
        <v>44</v>
      </c>
      <c r="I342" s="9" t="str">
        <f aca="false">IFERROR(INDEX('Перечень должностей'!$C$2:$C$46,MATCH(H342,'Перечень должностей'!$A$2:$A$46,0)),"")</f>
        <v>п.4.3.1, п.4.3.2, п.4.4, п.5.1, п.5.2, п.15</v>
      </c>
      <c r="J342" s="12" t="n">
        <f aca="false">IFERROR(INDEX('Перечень должностей'!$D$2:$D$46,MATCH(H342,'Перечень должностей'!$A$2:$A$46,0)),12)</f>
        <v>12</v>
      </c>
      <c r="K342" s="17"/>
      <c r="L342" s="17"/>
      <c r="M342" s="16" t="str">
        <f aca="false">IF(K342="","",EDATE(IF(L342&lt;&gt;"",L342,K342),J342))</f>
        <v/>
      </c>
      <c r="N342" s="12" t="str">
        <f aca="false">IFERROR(INDEX('Перечень должностей'!$F$2:$F$46,MATCH(H342,'Перечень должностей'!$A$2:$A$46,0)),"")</f>
        <v>-</v>
      </c>
      <c r="O342" s="17"/>
      <c r="P342" s="16" t="str">
        <f aca="false">IF(O342="","",EDATE(O342,60))</f>
        <v/>
      </c>
      <c r="Q342" s="12" t="str">
        <f aca="false">IF(AND(K342&lt;&gt;"",F342&lt;&gt;"",K342&gt;F342),"ДА","")</f>
        <v/>
      </c>
      <c r="R342" s="9"/>
    </row>
    <row r="343" customFormat="false" ht="26.25" hidden="false" customHeight="true" outlineLevel="0" collapsed="false">
      <c r="A343" s="15" t="n">
        <v>342</v>
      </c>
      <c r="B343" s="12" t="s">
        <v>72</v>
      </c>
      <c r="C343" s="15" t="s">
        <v>822</v>
      </c>
      <c r="D343" s="15" t="s">
        <v>540</v>
      </c>
      <c r="E343" s="15" t="s">
        <v>823</v>
      </c>
      <c r="F343" s="16" t="n">
        <v>46223</v>
      </c>
      <c r="G343" s="5" t="str">
        <f aca="false">IF(TRIM(SUBSTITUTE(SUBSTITUTE(SUBSTITUTE(SUBSTITUTE(SUBSTITUTE(SUBSTITUTE(SUBSTITUTE(SUBSTITUTE(SUBSTITUTE(SUBSTITUTE(SUBSTITUTE(LOWER(TRIM(D343)),"ё","е"),"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категории",""))="инженер",IF(AND(ISNUMBER(SEARCH("техническ",E343)),ISNUMBER(SEARCH("контрол",E343))),"инженер отк",IF(ISNUMBER(SEARCH("диспетч",E343)),"инженер пдо",TRIM(SUBSTITUTE(SUBSTITUTE(SUBSTITUTE(SUBSTITUTE(SUBSTITUTE(SUBSTITUTE(SUBSTITUTE(SUBSTITUTE(SUBSTITUTE(SUBSTITUTE(SUBSTITUTE(LOWER(TRIM(D343)),"ё","е"),"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инженер",IF(ISNUMBER(SEARCH("диспетч",E343)),"ведущий инженер пдо",TRIM(SUBSTITUTE(SUBSTITUTE(SUBSTITUTE(SUBSTITUTE(SUBSTITUTE(SUBSTITUTE(SUBSTITUTE(SUBSTITUTE(SUBSTITUTE(SUBSTITUTE(SUBSTITUTE(LOWER(TRIM(D343)),"ё","е"),"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отк",TRIM(SUBSTITUTE(SUBSTITUTE(SUBSTITUTE(SUBSTITUTE(SUBSTITUTE(SUBSTITUTE(SUBSTITUTE(SUBSTITUTE(SUBSTITUTE(SUBSTITUTE(SUBSTITUTE(LOWER(TRIM(D343)),"ё","е")," -","-"),"- ","-")," 2 разряда","")," 3 разряда","")," 4 разряда","")," 5 разряда","")," 6 разряда","")," 1 категории","")," 2 категории","")," 3 категории","")))))</f>
        <v>диспетчер</v>
      </c>
      <c r="H343" s="12" t="n">
        <f aca="false">IFERROR(INDEX(Соответствие!$B$2:$B$76,MATCH(G343,Соответствие!$A$2:$A$76,0)),"?")</f>
        <v>28</v>
      </c>
      <c r="I343" s="9" t="str">
        <f aca="false">IFERROR(INDEX('Перечень должностей'!$C$2:$C$46,MATCH(H343,'Перечень должностей'!$A$2:$A$46,0)),"")</f>
        <v>п.4.4, п.5.1, п.5.2</v>
      </c>
      <c r="J343" s="12" t="n">
        <f aca="false">IFERROR(INDEX('Перечень должностей'!$D$2:$D$46,MATCH(H343,'Перечень должностей'!$A$2:$A$46,0)),12)</f>
        <v>12</v>
      </c>
      <c r="K343" s="17" t="n">
        <v>46219</v>
      </c>
      <c r="L343" s="17"/>
      <c r="M343" s="16" t="n">
        <f aca="false">IF(K343="","",EDATE(IF(L343&lt;&gt;"",L343,K343),J343))</f>
        <v>46584</v>
      </c>
      <c r="N343" s="12" t="str">
        <f aca="false">IFERROR(INDEX('Перечень должностей'!$F$2:$F$46,MATCH(H343,'Перечень должностей'!$A$2:$A$46,0)),"")</f>
        <v>-</v>
      </c>
      <c r="O343" s="17"/>
      <c r="P343" s="16" t="str">
        <f aca="false">IF(O343="","",EDATE(O343,60))</f>
        <v/>
      </c>
      <c r="Q343" s="12" t="str">
        <f aca="false">IF(AND(K343&lt;&gt;"",F343&lt;&gt;"",K343&gt;F343),"ДА","")</f>
        <v/>
      </c>
      <c r="R343" s="9"/>
    </row>
    <row r="344" customFormat="false" ht="26.25" hidden="false" customHeight="true" outlineLevel="0" collapsed="false">
      <c r="A344" s="15" t="n">
        <v>343</v>
      </c>
      <c r="B344" s="12" t="s">
        <v>72</v>
      </c>
      <c r="C344" s="15" t="s">
        <v>824</v>
      </c>
      <c r="D344" s="15" t="s">
        <v>540</v>
      </c>
      <c r="E344" s="15" t="s">
        <v>823</v>
      </c>
      <c r="F344" s="16" t="n">
        <v>46155</v>
      </c>
      <c r="G344" s="5" t="str">
        <f aca="false">IF(TRIM(SUBSTITUTE(SUBSTITUTE(SUBSTITUTE(SUBSTITUTE(SUBSTITUTE(SUBSTITUTE(SUBSTITUTE(SUBSTITUTE(SUBSTITUTE(SUBSTITUTE(SUBSTITUTE(LOWER(TRIM(D344)),"ё","е"),"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категории",""))="инженер",IF(AND(ISNUMBER(SEARCH("техническ",E344)),ISNUMBER(SEARCH("контрол",E344))),"инженер отк",IF(ISNUMBER(SEARCH("диспетч",E344)),"инженер пдо",TRIM(SUBSTITUTE(SUBSTITUTE(SUBSTITUTE(SUBSTITUTE(SUBSTITUTE(SUBSTITUTE(SUBSTITUTE(SUBSTITUTE(SUBSTITUTE(SUBSTITUTE(SUBSTITUTE(LOWER(TRIM(D344)),"ё","е"),"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инженер",IF(ISNUMBER(SEARCH("диспетч",E344)),"ведущий инженер пдо",TRIM(SUBSTITUTE(SUBSTITUTE(SUBSTITUTE(SUBSTITUTE(SUBSTITUTE(SUBSTITUTE(SUBSTITUTE(SUBSTITUTE(SUBSTITUTE(SUBSTITUTE(SUBSTITUTE(LOWER(TRIM(D344)),"ё","е"),"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отк",TRIM(SUBSTITUTE(SUBSTITUTE(SUBSTITUTE(SUBSTITUTE(SUBSTITUTE(SUBSTITUTE(SUBSTITUTE(SUBSTITUTE(SUBSTITUTE(SUBSTITUTE(SUBSTITUTE(LOWER(TRIM(D344)),"ё","е")," -","-"),"- ","-")," 2 разряда","")," 3 разряда","")," 4 разряда","")," 5 разряда","")," 6 разряда","")," 1 категории","")," 2 категории","")," 3 категории","")))))</f>
        <v>диспетчер</v>
      </c>
      <c r="H344" s="12" t="n">
        <f aca="false">IFERROR(INDEX(Соответствие!$B$2:$B$76,MATCH(G344,Соответствие!$A$2:$A$76,0)),"?")</f>
        <v>28</v>
      </c>
      <c r="I344" s="9" t="str">
        <f aca="false">IFERROR(INDEX('Перечень должностей'!$C$2:$C$46,MATCH(H344,'Перечень должностей'!$A$2:$A$46,0)),"")</f>
        <v>п.4.4, п.5.1, п.5.2</v>
      </c>
      <c r="J344" s="12" t="n">
        <f aca="false">IFERROR(INDEX('Перечень должностей'!$D$2:$D$46,MATCH(H344,'Перечень должностей'!$A$2:$A$46,0)),12)</f>
        <v>12</v>
      </c>
      <c r="K344" s="17"/>
      <c r="L344" s="17"/>
      <c r="M344" s="16" t="str">
        <f aca="false">IF(K344="","",EDATE(IF(L344&lt;&gt;"",L344,K344),J344))</f>
        <v/>
      </c>
      <c r="N344" s="12" t="str">
        <f aca="false">IFERROR(INDEX('Перечень должностей'!$F$2:$F$46,MATCH(H344,'Перечень должностей'!$A$2:$A$46,0)),"")</f>
        <v>-</v>
      </c>
      <c r="O344" s="17"/>
      <c r="P344" s="16" t="str">
        <f aca="false">IF(O344="","",EDATE(O344,60))</f>
        <v/>
      </c>
      <c r="Q344" s="12" t="str">
        <f aca="false">IF(AND(K344&lt;&gt;"",F344&lt;&gt;"",K344&gt;F344),"ДА","")</f>
        <v/>
      </c>
      <c r="R344" s="9"/>
    </row>
    <row r="345" customFormat="false" ht="26.25" hidden="false" customHeight="true" outlineLevel="0" collapsed="false">
      <c r="A345" s="15" t="n">
        <v>344</v>
      </c>
      <c r="B345" s="12" t="s">
        <v>72</v>
      </c>
      <c r="C345" s="15" t="s">
        <v>825</v>
      </c>
      <c r="D345" s="15" t="s">
        <v>95</v>
      </c>
      <c r="E345" s="15" t="s">
        <v>823</v>
      </c>
      <c r="F345" s="16" t="n">
        <v>46156</v>
      </c>
      <c r="G345" s="5" t="str">
        <f aca="false">IF(TRIM(SUBSTITUTE(SUBSTITUTE(SUBSTITUTE(SUBSTITUTE(SUBSTITUTE(SUBSTITUTE(SUBSTITUTE(SUBSTITUTE(SUBSTITUTE(SUBSTITUTE(SUBSTITUTE(LOWER(TRIM(D345)),"ё","е"),"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категории",""))="инженер",IF(AND(ISNUMBER(SEARCH("техническ",E345)),ISNUMBER(SEARCH("контрол",E345))),"инженер отк",IF(ISNUMBER(SEARCH("диспетч",E345)),"инженер пдо",TRIM(SUBSTITUTE(SUBSTITUTE(SUBSTITUTE(SUBSTITUTE(SUBSTITUTE(SUBSTITUTE(SUBSTITUTE(SUBSTITUTE(SUBSTITUTE(SUBSTITUTE(SUBSTITUTE(LOWER(TRIM(D345)),"ё","е"),"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инженер",IF(ISNUMBER(SEARCH("диспетч",E345)),"ведущий инженер пдо",TRIM(SUBSTITUTE(SUBSTITUTE(SUBSTITUTE(SUBSTITUTE(SUBSTITUTE(SUBSTITUTE(SUBSTITUTE(SUBSTITUTE(SUBSTITUTE(SUBSTITUTE(SUBSTITUTE(LOWER(TRIM(D345)),"ё","е"),"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отк",TRIM(SUBSTITUTE(SUBSTITUTE(SUBSTITUTE(SUBSTITUTE(SUBSTITUTE(SUBSTITUTE(SUBSTITUTE(SUBSTITUTE(SUBSTITUTE(SUBSTITUTE(SUBSTITUTE(LOWER(TRIM(D345)),"ё","е")," -","-"),"- ","-")," 2 разряда","")," 3 разряда","")," 4 разряда","")," 5 разряда","")," 6 разряда","")," 1 категории","")," 2 категории","")," 3 категории","")))))</f>
        <v>ведущий диспетчер</v>
      </c>
      <c r="H345" s="12" t="n">
        <f aca="false">IFERROR(INDEX(Соответствие!$B$2:$B$76,MATCH(G345,Соответствие!$A$2:$A$76,0)),"?")</f>
        <v>28</v>
      </c>
      <c r="I345" s="9" t="str">
        <f aca="false">IFERROR(INDEX('Перечень должностей'!$C$2:$C$46,MATCH(H345,'Перечень должностей'!$A$2:$A$46,0)),"")</f>
        <v>п.4.4, п.5.1, п.5.2</v>
      </c>
      <c r="J345" s="12" t="n">
        <f aca="false">IFERROR(INDEX('Перечень должностей'!$D$2:$D$46,MATCH(H345,'Перечень должностей'!$A$2:$A$46,0)),12)</f>
        <v>12</v>
      </c>
      <c r="K345" s="17"/>
      <c r="L345" s="17"/>
      <c r="M345" s="16" t="str">
        <f aca="false">IF(K345="","",EDATE(IF(L345&lt;&gt;"",L345,K345),J345))</f>
        <v/>
      </c>
      <c r="N345" s="12" t="str">
        <f aca="false">IFERROR(INDEX('Перечень должностей'!$F$2:$F$46,MATCH(H345,'Перечень должностей'!$A$2:$A$46,0)),"")</f>
        <v>-</v>
      </c>
      <c r="O345" s="17"/>
      <c r="P345" s="16" t="str">
        <f aca="false">IF(O345="","",EDATE(O345,60))</f>
        <v/>
      </c>
      <c r="Q345" s="12" t="str">
        <f aca="false">IF(AND(K345&lt;&gt;"",F345&lt;&gt;"",K345&gt;F345),"ДА","")</f>
        <v/>
      </c>
      <c r="R345" s="9"/>
    </row>
    <row r="346" customFormat="false" ht="26.25" hidden="false" customHeight="true" outlineLevel="0" collapsed="false">
      <c r="A346" s="15" t="n">
        <v>345</v>
      </c>
      <c r="B346" s="12" t="s">
        <v>72</v>
      </c>
      <c r="C346" s="15" t="s">
        <v>826</v>
      </c>
      <c r="D346" s="15" t="s">
        <v>95</v>
      </c>
      <c r="E346" s="15" t="s">
        <v>823</v>
      </c>
      <c r="F346" s="16" t="n">
        <v>45793</v>
      </c>
      <c r="G346" s="5" t="str">
        <f aca="false">IF(TRIM(SUBSTITUTE(SUBSTITUTE(SUBSTITUTE(SUBSTITUTE(SUBSTITUTE(SUBSTITUTE(SUBSTITUTE(SUBSTITUTE(SUBSTITUTE(SUBSTITUTE(SUBSTITUTE(LOWER(TRIM(D346)),"ё","е"),"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категории",""))="инженер",IF(AND(ISNUMBER(SEARCH("техническ",E346)),ISNUMBER(SEARCH("контрол",E346))),"инженер отк",IF(ISNUMBER(SEARCH("диспетч",E346)),"инженер пдо",TRIM(SUBSTITUTE(SUBSTITUTE(SUBSTITUTE(SUBSTITUTE(SUBSTITUTE(SUBSTITUTE(SUBSTITUTE(SUBSTITUTE(SUBSTITUTE(SUBSTITUTE(SUBSTITUTE(LOWER(TRIM(D346)),"ё","е"),"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инженер",IF(ISNUMBER(SEARCH("диспетч",E346)),"ведущий инженер пдо",TRIM(SUBSTITUTE(SUBSTITUTE(SUBSTITUTE(SUBSTITUTE(SUBSTITUTE(SUBSTITUTE(SUBSTITUTE(SUBSTITUTE(SUBSTITUTE(SUBSTITUTE(SUBSTITUTE(LOWER(TRIM(D346)),"ё","е"),"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отк",TRIM(SUBSTITUTE(SUBSTITUTE(SUBSTITUTE(SUBSTITUTE(SUBSTITUTE(SUBSTITUTE(SUBSTITUTE(SUBSTITUTE(SUBSTITUTE(SUBSTITUTE(SUBSTITUTE(LOWER(TRIM(D346)),"ё","е")," -","-"),"- ","-")," 2 разряда","")," 3 разряда","")," 4 разряда","")," 5 разряда","")," 6 разряда","")," 1 категории","")," 2 категории","")," 3 категории","")))))</f>
        <v>ведущий диспетчер</v>
      </c>
      <c r="H346" s="12" t="n">
        <f aca="false">IFERROR(INDEX(Соответствие!$B$2:$B$76,MATCH(G346,Соответствие!$A$2:$A$76,0)),"?")</f>
        <v>28</v>
      </c>
      <c r="I346" s="9" t="str">
        <f aca="false">IFERROR(INDEX('Перечень должностей'!$C$2:$C$46,MATCH(H346,'Перечень должностей'!$A$2:$A$46,0)),"")</f>
        <v>п.4.4, п.5.1, п.5.2</v>
      </c>
      <c r="J346" s="12" t="n">
        <f aca="false">IFERROR(INDEX('Перечень должностей'!$D$2:$D$46,MATCH(H346,'Перечень должностей'!$A$2:$A$46,0)),12)</f>
        <v>12</v>
      </c>
      <c r="K346" s="17"/>
      <c r="L346" s="17"/>
      <c r="M346" s="16" t="str">
        <f aca="false">IF(K346="","",EDATE(IF(L346&lt;&gt;"",L346,K346),J346))</f>
        <v/>
      </c>
      <c r="N346" s="12" t="str">
        <f aca="false">IFERROR(INDEX('Перечень должностей'!$F$2:$F$46,MATCH(H346,'Перечень должностей'!$A$2:$A$46,0)),"")</f>
        <v>-</v>
      </c>
      <c r="O346" s="17"/>
      <c r="P346" s="16" t="str">
        <f aca="false">IF(O346="","",EDATE(O346,60))</f>
        <v/>
      </c>
      <c r="Q346" s="12" t="str">
        <f aca="false">IF(AND(K346&lt;&gt;"",F346&lt;&gt;"",K346&gt;F346),"ДА","")</f>
        <v/>
      </c>
      <c r="R346" s="9"/>
    </row>
    <row r="347" customFormat="false" ht="26.25" hidden="false" customHeight="true" outlineLevel="0" collapsed="false">
      <c r="A347" s="15" t="n">
        <v>346</v>
      </c>
      <c r="B347" s="12" t="s">
        <v>72</v>
      </c>
      <c r="C347" s="15" t="s">
        <v>827</v>
      </c>
      <c r="D347" s="15" t="s">
        <v>551</v>
      </c>
      <c r="E347" s="15" t="s">
        <v>823</v>
      </c>
      <c r="F347" s="16" t="n">
        <v>40931</v>
      </c>
      <c r="G347" s="5" t="str">
        <f aca="false">IF(TRIM(SUBSTITUTE(SUBSTITUTE(SUBSTITUTE(SUBSTITUTE(SUBSTITUTE(SUBSTITUTE(SUBSTITUTE(SUBSTITUTE(SUBSTITUTE(SUBSTITUTE(SUBSTITUTE(LOWER(TRIM(D347)),"ё","е"),"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категории",""))="инженер",IF(AND(ISNUMBER(SEARCH("техническ",E347)),ISNUMBER(SEARCH("контрол",E347))),"инженер отк",IF(ISNUMBER(SEARCH("диспетч",E347)),"инженер пдо",TRIM(SUBSTITUTE(SUBSTITUTE(SUBSTITUTE(SUBSTITUTE(SUBSTITUTE(SUBSTITUTE(SUBSTITUTE(SUBSTITUTE(SUBSTITUTE(SUBSTITUTE(SUBSTITUTE(LOWER(TRIM(D347)),"ё","е"),"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инженер",IF(ISNUMBER(SEARCH("диспетч",E347)),"ведущий инженер пдо",TRIM(SUBSTITUTE(SUBSTITUTE(SUBSTITUTE(SUBSTITUTE(SUBSTITUTE(SUBSTITUTE(SUBSTITUTE(SUBSTITUTE(SUBSTITUTE(SUBSTITUTE(SUBSTITUTE(LOWER(TRIM(D347)),"ё","е"),"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отк",TRIM(SUBSTITUTE(SUBSTITUTE(SUBSTITUTE(SUBSTITUTE(SUBSTITUTE(SUBSTITUTE(SUBSTITUTE(SUBSTITUTE(SUBSTITUTE(SUBSTITUTE(SUBSTITUTE(LOWER(TRIM(D347)),"ё","е")," -","-"),"- ","-")," 2 разряда","")," 3 разряда","")," 4 разряда","")," 5 разряда","")," 6 разряда","")," 1 категории","")," 2 категории","")," 3 категории","")))))</f>
        <v>ведущий инженер пдо</v>
      </c>
      <c r="H347" s="12" t="n">
        <f aca="false">IFERROR(INDEX(Соответствие!$B$2:$B$76,MATCH(G347,Соответствие!$A$2:$A$76,0)),"?")</f>
        <v>27</v>
      </c>
      <c r="I347" s="9" t="str">
        <f aca="false">IFERROR(INDEX('Перечень должностей'!$C$2:$C$46,MATCH(H347,'Перечень должностей'!$A$2:$A$46,0)),"")</f>
        <v>п.4.4, п.5.1, п.5.2</v>
      </c>
      <c r="J347" s="12" t="n">
        <f aca="false">IFERROR(INDEX('Перечень должностей'!$D$2:$D$46,MATCH(H347,'Перечень должностей'!$A$2:$A$46,0)),12)</f>
        <v>12</v>
      </c>
      <c r="K347" s="17"/>
      <c r="L347" s="17"/>
      <c r="M347" s="16" t="str">
        <f aca="false">IF(K347="","",EDATE(IF(L347&lt;&gt;"",L347,K347),J347))</f>
        <v/>
      </c>
      <c r="N347" s="12" t="str">
        <f aca="false">IFERROR(INDEX('Перечень должностей'!$F$2:$F$46,MATCH(H347,'Перечень должностей'!$A$2:$A$46,0)),"")</f>
        <v>-</v>
      </c>
      <c r="O347" s="17"/>
      <c r="P347" s="16" t="str">
        <f aca="false">IF(O347="","",EDATE(O347,60))</f>
        <v/>
      </c>
      <c r="Q347" s="12" t="str">
        <f aca="false">IF(AND(K347&lt;&gt;"",F347&lt;&gt;"",K347&gt;F347),"ДА","")</f>
        <v/>
      </c>
      <c r="R347" s="9"/>
    </row>
    <row r="348" customFormat="false" ht="26.25" hidden="false" customHeight="true" outlineLevel="0" collapsed="false">
      <c r="A348" s="15" t="n">
        <v>347</v>
      </c>
      <c r="B348" s="12" t="s">
        <v>72</v>
      </c>
      <c r="C348" s="15" t="s">
        <v>828</v>
      </c>
      <c r="D348" s="15" t="s">
        <v>683</v>
      </c>
      <c r="E348" s="15" t="s">
        <v>76</v>
      </c>
      <c r="F348" s="16" t="n">
        <v>45265</v>
      </c>
      <c r="G348" s="5" t="str">
        <f aca="false">IF(TRIM(SUBSTITUTE(SUBSTITUTE(SUBSTITUTE(SUBSTITUTE(SUBSTITUTE(SUBSTITUTE(SUBSTITUTE(SUBSTITUTE(SUBSTITUTE(SUBSTITUTE(SUBSTITUTE(LOWER(TRIM(D348)),"ё","е"),"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категории",""))="инженер",IF(AND(ISNUMBER(SEARCH("техническ",E348)),ISNUMBER(SEARCH("контрол",E348))),"инженер отк",IF(ISNUMBER(SEARCH("диспетч",E348)),"инженер пдо",TRIM(SUBSTITUTE(SUBSTITUTE(SUBSTITUTE(SUBSTITUTE(SUBSTITUTE(SUBSTITUTE(SUBSTITUTE(SUBSTITUTE(SUBSTITUTE(SUBSTITUTE(SUBSTITUTE(LOWER(TRIM(D348)),"ё","е"),"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инженер",IF(ISNUMBER(SEARCH("диспетч",E348)),"ведущий инженер пдо",TRIM(SUBSTITUTE(SUBSTITUTE(SUBSTITUTE(SUBSTITUTE(SUBSTITUTE(SUBSTITUTE(SUBSTITUTE(SUBSTITUTE(SUBSTITUTE(SUBSTITUTE(SUBSTITUTE(LOWER(TRIM(D348)),"ё","е"),"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отк",TRIM(SUBSTITUTE(SUBSTITUTE(SUBSTITUTE(SUBSTITUTE(SUBSTITUTE(SUBSTITUTE(SUBSTITUTE(SUBSTITUTE(SUBSTITUTE(SUBSTITUTE(SUBSTITUTE(LOWER(TRIM(D348)),"ё","е")," -","-"),"- ","-")," 2 разряда","")," 3 разряда","")," 4 разряда","")," 5 разряда","")," 6 разряда","")," 1 категории","")," 2 категории","")," 3 категории","")))))</f>
        <v>старший кладовщик</v>
      </c>
      <c r="H348" s="12" t="n">
        <f aca="false">IFERROR(INDEX(Соответствие!$B$2:$B$76,MATCH(G348,Соответствие!$A$2:$A$76,0)),"?")</f>
        <v>14</v>
      </c>
      <c r="I348" s="9" t="str">
        <f aca="false">IFERROR(INDEX('Перечень должностей'!$C$2:$C$46,MATCH(H348,'Перечень должностей'!$A$2:$A$46,0)),"")</f>
        <v>п.4.4, п.5.1, п.6.2</v>
      </c>
      <c r="J348" s="12" t="n">
        <f aca="false">IFERROR(INDEX('Перечень должностей'!$D$2:$D$46,MATCH(H348,'Перечень должностей'!$A$2:$A$46,0)),12)</f>
        <v>12</v>
      </c>
      <c r="K348" s="17"/>
      <c r="L348" s="17"/>
      <c r="M348" s="16" t="str">
        <f aca="false">IF(K348="","",EDATE(IF(L348&lt;&gt;"",L348,K348),J348))</f>
        <v/>
      </c>
      <c r="N348" s="12" t="str">
        <f aca="false">IFERROR(INDEX('Перечень должностей'!$F$2:$F$46,MATCH(H348,'Перечень должностей'!$A$2:$A$46,0)),"")</f>
        <v>-</v>
      </c>
      <c r="O348" s="17"/>
      <c r="P348" s="16" t="str">
        <f aca="false">IF(O348="","",EDATE(O348,60))</f>
        <v/>
      </c>
      <c r="Q348" s="12" t="str">
        <f aca="false">IF(AND(K348&lt;&gt;"",F348&lt;&gt;"",K348&gt;F348),"ДА","")</f>
        <v/>
      </c>
      <c r="R348" s="9"/>
    </row>
    <row r="349" customFormat="false" ht="14.25" hidden="false" customHeight="true" outlineLevel="0" collapsed="false">
      <c r="A349" s="15" t="n">
        <v>348</v>
      </c>
      <c r="B349" s="12" t="s">
        <v>72</v>
      </c>
      <c r="C349" s="15" t="s">
        <v>829</v>
      </c>
      <c r="D349" s="15" t="s">
        <v>75</v>
      </c>
      <c r="E349" s="15" t="s">
        <v>76</v>
      </c>
      <c r="F349" s="16" t="n">
        <v>45252</v>
      </c>
      <c r="G349" s="5" t="str">
        <f aca="false">IF(TRIM(SUBSTITUTE(SUBSTITUTE(SUBSTITUTE(SUBSTITUTE(SUBSTITUTE(SUBSTITUTE(SUBSTITUTE(SUBSTITUTE(SUBSTITUTE(SUBSTITUTE(SUBSTITUTE(LOWER(TRIM(D349)),"ё","е"),"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категории",""))="инженер",IF(AND(ISNUMBER(SEARCH("техническ",E349)),ISNUMBER(SEARCH("контрол",E349))),"инженер отк",IF(ISNUMBER(SEARCH("диспетч",E349)),"инженер пдо",TRIM(SUBSTITUTE(SUBSTITUTE(SUBSTITUTE(SUBSTITUTE(SUBSTITUTE(SUBSTITUTE(SUBSTITUTE(SUBSTITUTE(SUBSTITUTE(SUBSTITUTE(SUBSTITUTE(LOWER(TRIM(D349)),"ё","е"),"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инженер",IF(ISNUMBER(SEARCH("диспетч",E349)),"ведущий инженер пдо",TRIM(SUBSTITUTE(SUBSTITUTE(SUBSTITUTE(SUBSTITUTE(SUBSTITUTE(SUBSTITUTE(SUBSTITUTE(SUBSTITUTE(SUBSTITUTE(SUBSTITUTE(SUBSTITUTE(LOWER(TRIM(D349)),"ё","е"),"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отк",TRIM(SUBSTITUTE(SUBSTITUTE(SUBSTITUTE(SUBSTITUTE(SUBSTITUTE(SUBSTITUTE(SUBSTITUTE(SUBSTITUTE(SUBSTITUTE(SUBSTITUTE(SUBSTITUTE(LOWER(TRIM(D349)),"ё","е"),"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349" s="12" t="n">
        <f aca="false">IFERROR(INDEX(Соответствие!$B$2:$B$76,MATCH(G349,Соответствие!$A$2:$A$76,0)),"?")</f>
        <v>14</v>
      </c>
      <c r="I349" s="9" t="str">
        <f aca="false">IFERROR(INDEX('Перечень должностей'!$C$2:$C$46,MATCH(H349,'Перечень должностей'!$A$2:$A$46,0)),"")</f>
        <v>п.4.4, п.5.1, п.6.2</v>
      </c>
      <c r="J349" s="12" t="n">
        <f aca="false">IFERROR(INDEX('Перечень должностей'!$D$2:$D$46,MATCH(H349,'Перечень должностей'!$A$2:$A$46,0)),12)</f>
        <v>12</v>
      </c>
      <c r="K349" s="17"/>
      <c r="L349" s="17"/>
      <c r="M349" s="16" t="str">
        <f aca="false">IF(K349="","",EDATE(IF(L349&lt;&gt;"",L349,K349),J349))</f>
        <v/>
      </c>
      <c r="N349" s="12" t="str">
        <f aca="false">IFERROR(INDEX('Перечень должностей'!$F$2:$F$46,MATCH(H349,'Перечень должностей'!$A$2:$A$46,0)),"")</f>
        <v>-</v>
      </c>
      <c r="O349" s="17"/>
      <c r="P349" s="16" t="str">
        <f aca="false">IF(O349="","",EDATE(O349,60))</f>
        <v/>
      </c>
      <c r="Q349" s="12" t="str">
        <f aca="false">IF(AND(K349&lt;&gt;"",F349&lt;&gt;"",K349&gt;F349),"ДА","")</f>
        <v/>
      </c>
      <c r="R349" s="9"/>
    </row>
    <row r="350" customFormat="false" ht="14.25" hidden="false" customHeight="true" outlineLevel="0" collapsed="false">
      <c r="A350" s="15" t="n">
        <v>349</v>
      </c>
      <c r="B350" s="12" t="s">
        <v>72</v>
      </c>
      <c r="C350" s="15" t="s">
        <v>830</v>
      </c>
      <c r="D350" s="15" t="s">
        <v>75</v>
      </c>
      <c r="E350" s="15" t="s">
        <v>76</v>
      </c>
      <c r="F350" s="16" t="n">
        <v>46141</v>
      </c>
      <c r="G350" s="5" t="str">
        <f aca="false">IF(TRIM(SUBSTITUTE(SUBSTITUTE(SUBSTITUTE(SUBSTITUTE(SUBSTITUTE(SUBSTITUTE(SUBSTITUTE(SUBSTITUTE(SUBSTITUTE(SUBSTITUTE(SUBSTITUTE(LOWER(TRIM(D350)),"ё","е"),"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категории",""))="инженер",IF(AND(ISNUMBER(SEARCH("техническ",E350)),ISNUMBER(SEARCH("контрол",E350))),"инженер отк",IF(ISNUMBER(SEARCH("диспетч",E350)),"инженер пдо",TRIM(SUBSTITUTE(SUBSTITUTE(SUBSTITUTE(SUBSTITUTE(SUBSTITUTE(SUBSTITUTE(SUBSTITUTE(SUBSTITUTE(SUBSTITUTE(SUBSTITUTE(SUBSTITUTE(LOWER(TRIM(D350)),"ё","е"),"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инженер",IF(ISNUMBER(SEARCH("диспетч",E350)),"ведущий инженер пдо",TRIM(SUBSTITUTE(SUBSTITUTE(SUBSTITUTE(SUBSTITUTE(SUBSTITUTE(SUBSTITUTE(SUBSTITUTE(SUBSTITUTE(SUBSTITUTE(SUBSTITUTE(SUBSTITUTE(LOWER(TRIM(D350)),"ё","е"),"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отк",TRIM(SUBSTITUTE(SUBSTITUTE(SUBSTITUTE(SUBSTITUTE(SUBSTITUTE(SUBSTITUTE(SUBSTITUTE(SUBSTITUTE(SUBSTITUTE(SUBSTITUTE(SUBSTITUTE(LOWER(TRIM(D350)),"ё","е"),"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350" s="12" t="n">
        <f aca="false">IFERROR(INDEX(Соответствие!$B$2:$B$76,MATCH(G350,Соответствие!$A$2:$A$76,0)),"?")</f>
        <v>14</v>
      </c>
      <c r="I350" s="9" t="str">
        <f aca="false">IFERROR(INDEX('Перечень должностей'!$C$2:$C$46,MATCH(H350,'Перечень должностей'!$A$2:$A$46,0)),"")</f>
        <v>п.4.4, п.5.1, п.6.2</v>
      </c>
      <c r="J350" s="12" t="n">
        <f aca="false">IFERROR(INDEX('Перечень должностей'!$D$2:$D$46,MATCH(H350,'Перечень должностей'!$A$2:$A$46,0)),12)</f>
        <v>12</v>
      </c>
      <c r="K350" s="17" t="n">
        <v>46139</v>
      </c>
      <c r="L350" s="17"/>
      <c r="M350" s="16" t="n">
        <f aca="false">IF(K350="","",EDATE(IF(L350&lt;&gt;"",L350,K350),J350))</f>
        <v>46504</v>
      </c>
      <c r="N350" s="12" t="str">
        <f aca="false">IFERROR(INDEX('Перечень должностей'!$F$2:$F$46,MATCH(H350,'Перечень должностей'!$A$2:$A$46,0)),"")</f>
        <v>-</v>
      </c>
      <c r="O350" s="17"/>
      <c r="P350" s="16" t="str">
        <f aca="false">IF(O350="","",EDATE(O350,60))</f>
        <v/>
      </c>
      <c r="Q350" s="12" t="str">
        <f aca="false">IF(AND(K350&lt;&gt;"",F350&lt;&gt;"",K350&gt;F350),"ДА","")</f>
        <v/>
      </c>
      <c r="R350" s="9"/>
    </row>
    <row r="351" customFormat="false" ht="14.25" hidden="false" customHeight="true" outlineLevel="0" collapsed="false">
      <c r="A351" s="15" t="n">
        <v>350</v>
      </c>
      <c r="B351" s="12" t="s">
        <v>72</v>
      </c>
      <c r="C351" s="15" t="s">
        <v>831</v>
      </c>
      <c r="D351" s="15" t="s">
        <v>694</v>
      </c>
      <c r="E351" s="15" t="s">
        <v>76</v>
      </c>
      <c r="F351" s="16" t="n">
        <v>46268</v>
      </c>
      <c r="G351" s="5" t="str">
        <f aca="false">IF(TRIM(SUBSTITUTE(SUBSTITUTE(SUBSTITUTE(SUBSTITUTE(SUBSTITUTE(SUBSTITUTE(SUBSTITUTE(SUBSTITUTE(SUBSTITUTE(SUBSTITUTE(SUBSTITUTE(LOWER(TRIM(D351)),"ё","е"),"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категории",""))="инженер",IF(AND(ISNUMBER(SEARCH("техническ",E351)),ISNUMBER(SEARCH("контрол",E351))),"инженер отк",IF(ISNUMBER(SEARCH("диспетч",E351)),"инженер пдо",TRIM(SUBSTITUTE(SUBSTITUTE(SUBSTITUTE(SUBSTITUTE(SUBSTITUTE(SUBSTITUTE(SUBSTITUTE(SUBSTITUTE(SUBSTITUTE(SUBSTITUTE(SUBSTITUTE(LOWER(TRIM(D351)),"ё","е"),"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инженер",IF(ISNUMBER(SEARCH("диспетч",E351)),"ведущий инженер пдо",TRIM(SUBSTITUTE(SUBSTITUTE(SUBSTITUTE(SUBSTITUTE(SUBSTITUTE(SUBSTITUTE(SUBSTITUTE(SUBSTITUTE(SUBSTITUTE(SUBSTITUTE(SUBSTITUTE(LOWER(TRIM(D351)),"ё","е"),"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отк",TRIM(SUBSTITUTE(SUBSTITUTE(SUBSTITUTE(SUBSTITUTE(SUBSTITUTE(SUBSTITUTE(SUBSTITUTE(SUBSTITUTE(SUBSTITUTE(SUBSTITUTE(SUBSTITUTE(LOWER(TRIM(D351)),"ё","е")," -","-"),"- ","-")," 2 разряда","")," 3 разряда","")," 4 разряда","")," 5 разряда","")," 6 разряда","")," 1 категории","")," 2 категории","")," 3 категории","")))))</f>
        <v>кладовщик-комплектовщик</v>
      </c>
      <c r="H351" s="12" t="n">
        <f aca="false">IFERROR(INDEX(Соответствие!$B$2:$B$76,MATCH(G351,Соответствие!$A$2:$A$76,0)),"?")</f>
        <v>14</v>
      </c>
      <c r="I351" s="9" t="str">
        <f aca="false">IFERROR(INDEX('Перечень должностей'!$C$2:$C$46,MATCH(H351,'Перечень должностей'!$A$2:$A$46,0)),"")</f>
        <v>п.4.4, п.5.1, п.6.2</v>
      </c>
      <c r="J351" s="12" t="n">
        <f aca="false">IFERROR(INDEX('Перечень должностей'!$D$2:$D$46,MATCH(H351,'Перечень должностей'!$A$2:$A$46,0)),12)</f>
        <v>12</v>
      </c>
      <c r="K351" s="17" t="n">
        <v>46266</v>
      </c>
      <c r="L351" s="17"/>
      <c r="M351" s="16" t="n">
        <f aca="false">IF(K351="","",EDATE(IF(L351&lt;&gt;"",L351,K351),J351))</f>
        <v>46631</v>
      </c>
      <c r="N351" s="12" t="str">
        <f aca="false">IFERROR(INDEX('Перечень должностей'!$F$2:$F$46,MATCH(H351,'Перечень должностей'!$A$2:$A$46,0)),"")</f>
        <v>-</v>
      </c>
      <c r="O351" s="17"/>
      <c r="P351" s="16" t="str">
        <f aca="false">IF(O351="","",EDATE(O351,60))</f>
        <v/>
      </c>
      <c r="Q351" s="12" t="str">
        <f aca="false">IF(AND(K351&lt;&gt;"",F351&lt;&gt;"",K351&gt;F351),"ДА","")</f>
        <v/>
      </c>
      <c r="R351" s="9"/>
    </row>
    <row r="352" customFormat="false" ht="14.25" hidden="false" customHeight="true" outlineLevel="0" collapsed="false">
      <c r="A352" s="15" t="n">
        <v>351</v>
      </c>
      <c r="B352" s="12" t="s">
        <v>72</v>
      </c>
      <c r="C352" s="15" t="s">
        <v>832</v>
      </c>
      <c r="D352" s="15" t="s">
        <v>694</v>
      </c>
      <c r="E352" s="15" t="s">
        <v>76</v>
      </c>
      <c r="F352" s="16" t="n">
        <v>46140</v>
      </c>
      <c r="G352" s="5" t="str">
        <f aca="false">IF(TRIM(SUBSTITUTE(SUBSTITUTE(SUBSTITUTE(SUBSTITUTE(SUBSTITUTE(SUBSTITUTE(SUBSTITUTE(SUBSTITUTE(SUBSTITUTE(SUBSTITUTE(SUBSTITUTE(LOWER(TRIM(D352)),"ё","е"),"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категории",""))="инженер",IF(AND(ISNUMBER(SEARCH("техническ",E352)),ISNUMBER(SEARCH("контрол",E352))),"инженер отк",IF(ISNUMBER(SEARCH("диспетч",E352)),"инженер пдо",TRIM(SUBSTITUTE(SUBSTITUTE(SUBSTITUTE(SUBSTITUTE(SUBSTITUTE(SUBSTITUTE(SUBSTITUTE(SUBSTITUTE(SUBSTITUTE(SUBSTITUTE(SUBSTITUTE(LOWER(TRIM(D352)),"ё","е"),"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инженер",IF(ISNUMBER(SEARCH("диспетч",E352)),"ведущий инженер пдо",TRIM(SUBSTITUTE(SUBSTITUTE(SUBSTITUTE(SUBSTITUTE(SUBSTITUTE(SUBSTITUTE(SUBSTITUTE(SUBSTITUTE(SUBSTITUTE(SUBSTITUTE(SUBSTITUTE(LOWER(TRIM(D352)),"ё","е"),"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отк",TRIM(SUBSTITUTE(SUBSTITUTE(SUBSTITUTE(SUBSTITUTE(SUBSTITUTE(SUBSTITUTE(SUBSTITUTE(SUBSTITUTE(SUBSTITUTE(SUBSTITUTE(SUBSTITUTE(LOWER(TRIM(D352)),"ё","е")," -","-"),"- ","-")," 2 разряда","")," 3 разряда","")," 4 разряда","")," 5 разряда","")," 6 разряда","")," 1 категории","")," 2 категории","")," 3 категории","")))))</f>
        <v>кладовщик-комплектовщик</v>
      </c>
      <c r="H352" s="12" t="n">
        <f aca="false">IFERROR(INDEX(Соответствие!$B$2:$B$76,MATCH(G352,Соответствие!$A$2:$A$76,0)),"?")</f>
        <v>14</v>
      </c>
      <c r="I352" s="9" t="str">
        <f aca="false">IFERROR(INDEX('Перечень должностей'!$C$2:$C$46,MATCH(H352,'Перечень должностей'!$A$2:$A$46,0)),"")</f>
        <v>п.4.4, п.5.1, п.6.2</v>
      </c>
      <c r="J352" s="12" t="n">
        <f aca="false">IFERROR(INDEX('Перечень должностей'!$D$2:$D$46,MATCH(H352,'Перечень должностей'!$A$2:$A$46,0)),12)</f>
        <v>12</v>
      </c>
      <c r="K352" s="17" t="n">
        <v>46139</v>
      </c>
      <c r="L352" s="17"/>
      <c r="M352" s="16" t="n">
        <f aca="false">IF(K352="","",EDATE(IF(L352&lt;&gt;"",L352,K352),J352))</f>
        <v>46504</v>
      </c>
      <c r="N352" s="12" t="str">
        <f aca="false">IFERROR(INDEX('Перечень должностей'!$F$2:$F$46,MATCH(H352,'Перечень должностей'!$A$2:$A$46,0)),"")</f>
        <v>-</v>
      </c>
      <c r="O352" s="17"/>
      <c r="P352" s="16" t="str">
        <f aca="false">IF(O352="","",EDATE(O352,60))</f>
        <v/>
      </c>
      <c r="Q352" s="12" t="str">
        <f aca="false">IF(AND(K352&lt;&gt;"",F352&lt;&gt;"",K352&gt;F352),"ДА","")</f>
        <v/>
      </c>
      <c r="R352" s="9"/>
    </row>
    <row r="353" customFormat="false" ht="14.25" hidden="false" customHeight="true" outlineLevel="0" collapsed="false">
      <c r="A353" s="15" t="n">
        <v>352</v>
      </c>
      <c r="B353" s="12" t="s">
        <v>72</v>
      </c>
      <c r="C353" s="15" t="s">
        <v>833</v>
      </c>
      <c r="D353" s="15" t="s">
        <v>694</v>
      </c>
      <c r="E353" s="15" t="s">
        <v>76</v>
      </c>
      <c r="F353" s="16" t="n">
        <v>46246</v>
      </c>
      <c r="G353" s="5" t="str">
        <f aca="false">IF(TRIM(SUBSTITUTE(SUBSTITUTE(SUBSTITUTE(SUBSTITUTE(SUBSTITUTE(SUBSTITUTE(SUBSTITUTE(SUBSTITUTE(SUBSTITUTE(SUBSTITUTE(SUBSTITUTE(LOWER(TRIM(D353)),"ё","е"),"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категории",""))="инженер",IF(AND(ISNUMBER(SEARCH("техническ",E353)),ISNUMBER(SEARCH("контрол",E353))),"инженер отк",IF(ISNUMBER(SEARCH("диспетч",E353)),"инженер пдо",TRIM(SUBSTITUTE(SUBSTITUTE(SUBSTITUTE(SUBSTITUTE(SUBSTITUTE(SUBSTITUTE(SUBSTITUTE(SUBSTITUTE(SUBSTITUTE(SUBSTITUTE(SUBSTITUTE(LOWER(TRIM(D353)),"ё","е"),"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инженер",IF(ISNUMBER(SEARCH("диспетч",E353)),"ведущий инженер пдо",TRIM(SUBSTITUTE(SUBSTITUTE(SUBSTITUTE(SUBSTITUTE(SUBSTITUTE(SUBSTITUTE(SUBSTITUTE(SUBSTITUTE(SUBSTITUTE(SUBSTITUTE(SUBSTITUTE(LOWER(TRIM(D353)),"ё","е"),"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отк",TRIM(SUBSTITUTE(SUBSTITUTE(SUBSTITUTE(SUBSTITUTE(SUBSTITUTE(SUBSTITUTE(SUBSTITUTE(SUBSTITUTE(SUBSTITUTE(SUBSTITUTE(SUBSTITUTE(LOWER(TRIM(D353)),"ё","е")," -","-"),"- ","-")," 2 разряда","")," 3 разряда","")," 4 разряда","")," 5 разряда","")," 6 разряда","")," 1 категории","")," 2 категории","")," 3 категории","")))))</f>
        <v>кладовщик-комплектовщик</v>
      </c>
      <c r="H353" s="12" t="n">
        <f aca="false">IFERROR(INDEX(Соответствие!$B$2:$B$76,MATCH(G353,Соответствие!$A$2:$A$76,0)),"?")</f>
        <v>14</v>
      </c>
      <c r="I353" s="9" t="str">
        <f aca="false">IFERROR(INDEX('Перечень должностей'!$C$2:$C$46,MATCH(H353,'Перечень должностей'!$A$2:$A$46,0)),"")</f>
        <v>п.4.4, п.5.1, п.6.2</v>
      </c>
      <c r="J353" s="12" t="n">
        <f aca="false">IFERROR(INDEX('Перечень должностей'!$D$2:$D$46,MATCH(H353,'Перечень должностей'!$A$2:$A$46,0)),12)</f>
        <v>12</v>
      </c>
      <c r="K353" s="17"/>
      <c r="L353" s="17"/>
      <c r="M353" s="16" t="str">
        <f aca="false">IF(K353="","",EDATE(IF(L353&lt;&gt;"",L353,K353),J353))</f>
        <v/>
      </c>
      <c r="N353" s="12" t="str">
        <f aca="false">IFERROR(INDEX('Перечень должностей'!$F$2:$F$46,MATCH(H353,'Перечень должностей'!$A$2:$A$46,0)),"")</f>
        <v>-</v>
      </c>
      <c r="O353" s="17"/>
      <c r="P353" s="16" t="str">
        <f aca="false">IF(O353="","",EDATE(O353,60))</f>
        <v/>
      </c>
      <c r="Q353" s="12" t="str">
        <f aca="false">IF(AND(K353&lt;&gt;"",F353&lt;&gt;"",K353&gt;F353),"ДА","")</f>
        <v/>
      </c>
      <c r="R353" s="9"/>
    </row>
    <row r="354" customFormat="false" ht="14.25" hidden="false" customHeight="true" outlineLevel="0" collapsed="false">
      <c r="A354" s="15" t="n">
        <v>353</v>
      </c>
      <c r="B354" s="12" t="s">
        <v>72</v>
      </c>
      <c r="C354" s="15" t="s">
        <v>834</v>
      </c>
      <c r="D354" s="15" t="s">
        <v>409</v>
      </c>
      <c r="E354" s="15" t="s">
        <v>835</v>
      </c>
      <c r="F354" s="16" t="n">
        <v>46162</v>
      </c>
      <c r="G354" s="5" t="str">
        <f aca="false">IF(TRIM(SUBSTITUTE(SUBSTITUTE(SUBSTITUTE(SUBSTITUTE(SUBSTITUTE(SUBSTITUTE(SUBSTITUTE(SUBSTITUTE(SUBSTITUTE(SUBSTITUTE(SUBSTITUTE(LOWER(TRIM(D354)),"ё","е"),"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категории",""))="инженер",IF(AND(ISNUMBER(SEARCH("техническ",E354)),ISNUMBER(SEARCH("контрол",E354))),"инженер отк",IF(ISNUMBER(SEARCH("диспетч",E354)),"инженер пдо",TRIM(SUBSTITUTE(SUBSTITUTE(SUBSTITUTE(SUBSTITUTE(SUBSTITUTE(SUBSTITUTE(SUBSTITUTE(SUBSTITUTE(SUBSTITUTE(SUBSTITUTE(SUBSTITUTE(LOWER(TRIM(D354)),"ё","е"),"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инженер",IF(ISNUMBER(SEARCH("диспетч",E354)),"ведущий инженер пдо",TRIM(SUBSTITUTE(SUBSTITUTE(SUBSTITUTE(SUBSTITUTE(SUBSTITUTE(SUBSTITUTE(SUBSTITUTE(SUBSTITUTE(SUBSTITUTE(SUBSTITUTE(SUBSTITUTE(LOWER(TRIM(D354)),"ё","е"),"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отк",TRIM(SUBSTITUTE(SUBSTITUTE(SUBSTITUTE(SUBSTITUTE(SUBSTITUTE(SUBSTITUTE(SUBSTITUTE(SUBSTITUTE(SUBSTITUTE(SUBSTITUTE(SUBSTITUTE(LOWER(TRIM(D354)),"ё","е")," -","-"),"- ","-")," 2 разряда","")," 3 разряда","")," 4 разряда","")," 5 разряда","")," 6 разряда","")," 1 категории","")," 2 категории","")," 3 категории","")))))</f>
        <v>инженер отк</v>
      </c>
      <c r="H354" s="12" t="n">
        <f aca="false">IFERROR(INDEX(Соответствие!$B$2:$B$76,MATCH(G354,Соответствие!$A$2:$A$76,0)),"?")</f>
        <v>13</v>
      </c>
      <c r="I354" s="9" t="str">
        <f aca="false">IFERROR(INDEX('Перечень должностей'!$C$2:$C$46,MATCH(H354,'Перечень должностей'!$A$2:$A$46,0)),"")</f>
        <v>п.4.4, п.5.1, п.5.2</v>
      </c>
      <c r="J354" s="12" t="n">
        <f aca="false">IFERROR(INDEX('Перечень должностей'!$D$2:$D$46,MATCH(H354,'Перечень должностей'!$A$2:$A$46,0)),12)</f>
        <v>12</v>
      </c>
      <c r="K354" s="17" t="n">
        <v>46146</v>
      </c>
      <c r="L354" s="17"/>
      <c r="M354" s="16" t="n">
        <f aca="false">IF(K354="","",EDATE(IF(L354&lt;&gt;"",L354,K354),J354))</f>
        <v>46511</v>
      </c>
      <c r="N354" s="12" t="str">
        <f aca="false">IFERROR(INDEX('Перечень должностей'!$F$2:$F$46,MATCH(H354,'Перечень должностей'!$A$2:$A$46,0)),"")</f>
        <v>-</v>
      </c>
      <c r="O354" s="17"/>
      <c r="P354" s="16" t="str">
        <f aca="false">IF(O354="","",EDATE(O354,60))</f>
        <v/>
      </c>
      <c r="Q354" s="12" t="str">
        <f aca="false">IF(AND(K354&lt;&gt;"",F354&lt;&gt;"",K354&gt;F354),"ДА","")</f>
        <v/>
      </c>
      <c r="R354" s="9"/>
    </row>
    <row r="355" customFormat="false" ht="14.25" hidden="false" customHeight="true" outlineLevel="0" collapsed="false">
      <c r="A355" s="15" t="n">
        <v>354</v>
      </c>
      <c r="B355" s="12" t="s">
        <v>72</v>
      </c>
      <c r="C355" s="15" t="s">
        <v>836</v>
      </c>
      <c r="D355" s="15" t="s">
        <v>413</v>
      </c>
      <c r="E355" s="15" t="s">
        <v>835</v>
      </c>
      <c r="F355" s="16" t="n">
        <v>44713</v>
      </c>
      <c r="G355" s="5" t="str">
        <f aca="false">IF(TRIM(SUBSTITUTE(SUBSTITUTE(SUBSTITUTE(SUBSTITUTE(SUBSTITUTE(SUBSTITUTE(SUBSTITUTE(SUBSTITUTE(SUBSTITUTE(SUBSTITUTE(SUBSTITUTE(LOWER(TRIM(D355)),"ё","е"),"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категории",""))="инженер",IF(AND(ISNUMBER(SEARCH("техническ",E355)),ISNUMBER(SEARCH("контрол",E355))),"инженер отк",IF(ISNUMBER(SEARCH("диспетч",E355)),"инженер пдо",TRIM(SUBSTITUTE(SUBSTITUTE(SUBSTITUTE(SUBSTITUTE(SUBSTITUTE(SUBSTITUTE(SUBSTITUTE(SUBSTITUTE(SUBSTITUTE(SUBSTITUTE(SUBSTITUTE(LOWER(TRIM(D355)),"ё","е"),"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инженер",IF(ISNUMBER(SEARCH("диспетч",E355)),"ведущий инженер пдо",TRIM(SUBSTITUTE(SUBSTITUTE(SUBSTITUTE(SUBSTITUTE(SUBSTITUTE(SUBSTITUTE(SUBSTITUTE(SUBSTITUTE(SUBSTITUTE(SUBSTITUTE(SUBSTITUTE(LOWER(TRIM(D355)),"ё","е"),"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отк",TRIM(SUBSTITUTE(SUBSTITUTE(SUBSTITUTE(SUBSTITUTE(SUBSTITUTE(SUBSTITUTE(SUBSTITUTE(SUBSTITUTE(SUBSTITUTE(SUBSTITUTE(SUBSTITUTE(LOWER(TRIM(D355)),"ё","е")," -","-"),"- ","-")," 2 разряда","")," 3 разряда","")," 4 разряда","")," 5 разряда","")," 6 разряда","")," 1 категории","")," 2 категории","")," 3 категории","")))))</f>
        <v>инженер отк</v>
      </c>
      <c r="H355" s="12" t="n">
        <f aca="false">IFERROR(INDEX(Соответствие!$B$2:$B$76,MATCH(G355,Соответствие!$A$2:$A$76,0)),"?")</f>
        <v>13</v>
      </c>
      <c r="I355" s="9" t="str">
        <f aca="false">IFERROR(INDEX('Перечень должностей'!$C$2:$C$46,MATCH(H355,'Перечень должностей'!$A$2:$A$46,0)),"")</f>
        <v>п.4.4, п.5.1, п.5.2</v>
      </c>
      <c r="J355" s="12" t="n">
        <f aca="false">IFERROR(INDEX('Перечень должностей'!$D$2:$D$46,MATCH(H355,'Перечень должностей'!$A$2:$A$46,0)),12)</f>
        <v>12</v>
      </c>
      <c r="K355" s="17"/>
      <c r="L355" s="17"/>
      <c r="M355" s="16" t="str">
        <f aca="false">IF(K355="","",EDATE(IF(L355&lt;&gt;"",L355,K355),J355))</f>
        <v/>
      </c>
      <c r="N355" s="12" t="str">
        <f aca="false">IFERROR(INDEX('Перечень должностей'!$F$2:$F$46,MATCH(H355,'Перечень должностей'!$A$2:$A$46,0)),"")</f>
        <v>-</v>
      </c>
      <c r="O355" s="17"/>
      <c r="P355" s="16" t="str">
        <f aca="false">IF(O355="","",EDATE(O355,60))</f>
        <v/>
      </c>
      <c r="Q355" s="12" t="str">
        <f aca="false">IF(AND(K355&lt;&gt;"",F355&lt;&gt;"",K355&gt;F355),"ДА","")</f>
        <v/>
      </c>
      <c r="R355" s="9"/>
    </row>
    <row r="356" customFormat="false" ht="14.25" hidden="false" customHeight="true" outlineLevel="0" collapsed="false">
      <c r="A356" s="15" t="n">
        <v>355</v>
      </c>
      <c r="B356" s="12" t="s">
        <v>72</v>
      </c>
      <c r="C356" s="15" t="s">
        <v>837</v>
      </c>
      <c r="D356" s="15" t="s">
        <v>417</v>
      </c>
      <c r="E356" s="15" t="s">
        <v>835</v>
      </c>
      <c r="F356" s="16" t="n">
        <v>46162</v>
      </c>
      <c r="G356" s="5" t="str">
        <f aca="false">IF(TRIM(SUBSTITUTE(SUBSTITUTE(SUBSTITUTE(SUBSTITUTE(SUBSTITUTE(SUBSTITUTE(SUBSTITUTE(SUBSTITUTE(SUBSTITUTE(SUBSTITUTE(SUBSTITUTE(LOWER(TRIM(D356)),"ё","е"),"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категории",""))="инженер",IF(AND(ISNUMBER(SEARCH("техническ",E356)),ISNUMBER(SEARCH("контрол",E356))),"инженер отк",IF(ISNUMBER(SEARCH("диспетч",E356)),"инженер пдо",TRIM(SUBSTITUTE(SUBSTITUTE(SUBSTITUTE(SUBSTITUTE(SUBSTITUTE(SUBSTITUTE(SUBSTITUTE(SUBSTITUTE(SUBSTITUTE(SUBSTITUTE(SUBSTITUTE(LOWER(TRIM(D356)),"ё","е"),"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инженер",IF(ISNUMBER(SEARCH("диспетч",E356)),"ведущий инженер пдо",TRIM(SUBSTITUTE(SUBSTITUTE(SUBSTITUTE(SUBSTITUTE(SUBSTITUTE(SUBSTITUTE(SUBSTITUTE(SUBSTITUTE(SUBSTITUTE(SUBSTITUTE(SUBSTITUTE(LOWER(TRIM(D356)),"ё","е"),"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отк",TRIM(SUBSTITUTE(SUBSTITUTE(SUBSTITUTE(SUBSTITUTE(SUBSTITUTE(SUBSTITUTE(SUBSTITUTE(SUBSTITUTE(SUBSTITUTE(SUBSTITUTE(SUBSTITUTE(LOWER(TRIM(D356)),"ё","е")," -","-"),"- ","-")," 2 разряда","")," 3 разряда","")," 4 разряда","")," 5 разряда","")," 6 разряда","")," 1 категории","")," 2 категории","")," 3 категории","")))))</f>
        <v>инженер отк</v>
      </c>
      <c r="H356" s="12" t="n">
        <f aca="false">IFERROR(INDEX(Соответствие!$B$2:$B$76,MATCH(G356,Соответствие!$A$2:$A$76,0)),"?")</f>
        <v>13</v>
      </c>
      <c r="I356" s="9" t="str">
        <f aca="false">IFERROR(INDEX('Перечень должностей'!$C$2:$C$46,MATCH(H356,'Перечень должностей'!$A$2:$A$46,0)),"")</f>
        <v>п.4.4, п.5.1, п.5.2</v>
      </c>
      <c r="J356" s="12" t="n">
        <f aca="false">IFERROR(INDEX('Перечень должностей'!$D$2:$D$46,MATCH(H356,'Перечень должностей'!$A$2:$A$46,0)),12)</f>
        <v>12</v>
      </c>
      <c r="K356" s="17" t="n">
        <v>46148</v>
      </c>
      <c r="L356" s="17"/>
      <c r="M356" s="16" t="n">
        <f aca="false">IF(K356="","",EDATE(IF(L356&lt;&gt;"",L356,K356),J356))</f>
        <v>46513</v>
      </c>
      <c r="N356" s="12" t="str">
        <f aca="false">IFERROR(INDEX('Перечень должностей'!$F$2:$F$46,MATCH(H356,'Перечень должностей'!$A$2:$A$46,0)),"")</f>
        <v>-</v>
      </c>
      <c r="O356" s="17"/>
      <c r="P356" s="16" t="str">
        <f aca="false">IF(O356="","",EDATE(O356,60))</f>
        <v/>
      </c>
      <c r="Q356" s="12" t="str">
        <f aca="false">IF(AND(K356&lt;&gt;"",F356&lt;&gt;"",K356&gt;F356),"ДА","")</f>
        <v/>
      </c>
      <c r="R356" s="9"/>
    </row>
    <row r="357" customFormat="false" ht="14.25" hidden="false" customHeight="true" outlineLevel="0" collapsed="false">
      <c r="A357" s="15" t="n">
        <v>356</v>
      </c>
      <c r="B357" s="12" t="s">
        <v>81</v>
      </c>
      <c r="C357" s="15" t="s">
        <v>838</v>
      </c>
      <c r="D357" s="15" t="s">
        <v>540</v>
      </c>
      <c r="E357" s="15" t="s">
        <v>839</v>
      </c>
      <c r="F357" s="16" t="n">
        <v>46245</v>
      </c>
      <c r="G357" s="5" t="str">
        <f aca="false">IF(TRIM(SUBSTITUTE(SUBSTITUTE(SUBSTITUTE(SUBSTITUTE(SUBSTITUTE(SUBSTITUTE(SUBSTITUTE(SUBSTITUTE(SUBSTITUTE(SUBSTITUTE(SUBSTITUTE(LOWER(TRIM(D357)),"ё","е"),"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категории",""))="инженер",IF(AND(ISNUMBER(SEARCH("техническ",E357)),ISNUMBER(SEARCH("контрол",E357))),"инженер отк",IF(ISNUMBER(SEARCH("диспетч",E357)),"инженер пдо",TRIM(SUBSTITUTE(SUBSTITUTE(SUBSTITUTE(SUBSTITUTE(SUBSTITUTE(SUBSTITUTE(SUBSTITUTE(SUBSTITUTE(SUBSTITUTE(SUBSTITUTE(SUBSTITUTE(LOWER(TRIM(D357)),"ё","е"),"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инженер",IF(ISNUMBER(SEARCH("диспетч",E357)),"ведущий инженер пдо",TRIM(SUBSTITUTE(SUBSTITUTE(SUBSTITUTE(SUBSTITUTE(SUBSTITUTE(SUBSTITUTE(SUBSTITUTE(SUBSTITUTE(SUBSTITUTE(SUBSTITUTE(SUBSTITUTE(LOWER(TRIM(D357)),"ё","е"),"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отк",TRIM(SUBSTITUTE(SUBSTITUTE(SUBSTITUTE(SUBSTITUTE(SUBSTITUTE(SUBSTITUTE(SUBSTITUTE(SUBSTITUTE(SUBSTITUTE(SUBSTITUTE(SUBSTITUTE(LOWER(TRIM(D357)),"ё","е")," -","-"),"- ","-")," 2 разряда","")," 3 разряда","")," 4 разряда","")," 5 разряда","")," 6 разряда","")," 1 категории","")," 2 категории","")," 3 категории","")))))</f>
        <v>диспетчер</v>
      </c>
      <c r="H357" s="12" t="n">
        <f aca="false">IFERROR(INDEX(Соответствие!$B$2:$B$76,MATCH(G357,Соответствие!$A$2:$A$76,0)),"?")</f>
        <v>28</v>
      </c>
      <c r="I357" s="9" t="str">
        <f aca="false">IFERROR(INDEX('Перечень должностей'!$C$2:$C$46,MATCH(H357,'Перечень должностей'!$A$2:$A$46,0)),"")</f>
        <v>п.4.4, п.5.1, п.5.2</v>
      </c>
      <c r="J357" s="12" t="n">
        <f aca="false">IFERROR(INDEX('Перечень должностей'!$D$2:$D$46,MATCH(H357,'Перечень должностей'!$A$2:$A$46,0)),12)</f>
        <v>12</v>
      </c>
      <c r="K357" s="17"/>
      <c r="L357" s="17"/>
      <c r="M357" s="16" t="str">
        <f aca="false">IF(K357="","",EDATE(IF(L357&lt;&gt;"",L357,K357),J357))</f>
        <v/>
      </c>
      <c r="N357" s="12" t="str">
        <f aca="false">IFERROR(INDEX('Перечень должностей'!$F$2:$F$46,MATCH(H357,'Перечень должностей'!$A$2:$A$46,0)),"")</f>
        <v>-</v>
      </c>
      <c r="O357" s="17"/>
      <c r="P357" s="16" t="str">
        <f aca="false">IF(O357="","",EDATE(O357,60))</f>
        <v/>
      </c>
      <c r="Q357" s="12" t="str">
        <f aca="false">IF(AND(K357&lt;&gt;"",F357&lt;&gt;"",K357&gt;F357),"ДА","")</f>
        <v/>
      </c>
      <c r="R357" s="9"/>
    </row>
    <row r="358" customFormat="false" ht="14.25" hidden="false" customHeight="true" outlineLevel="0" collapsed="false">
      <c r="A358" s="15" t="n">
        <v>357</v>
      </c>
      <c r="B358" s="12" t="s">
        <v>81</v>
      </c>
      <c r="C358" s="15" t="s">
        <v>840</v>
      </c>
      <c r="D358" s="15" t="s">
        <v>75</v>
      </c>
      <c r="E358" s="15" t="s">
        <v>88</v>
      </c>
      <c r="F358" s="16" t="n">
        <v>46260</v>
      </c>
      <c r="G358" s="5" t="str">
        <f aca="false">IF(TRIM(SUBSTITUTE(SUBSTITUTE(SUBSTITUTE(SUBSTITUTE(SUBSTITUTE(SUBSTITUTE(SUBSTITUTE(SUBSTITUTE(SUBSTITUTE(SUBSTITUTE(SUBSTITUTE(LOWER(TRIM(D358)),"ё","е"),"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категории",""))="инженер",IF(AND(ISNUMBER(SEARCH("техническ",E358)),ISNUMBER(SEARCH("контрол",E358))),"инженер отк",IF(ISNUMBER(SEARCH("диспетч",E358)),"инженер пдо",TRIM(SUBSTITUTE(SUBSTITUTE(SUBSTITUTE(SUBSTITUTE(SUBSTITUTE(SUBSTITUTE(SUBSTITUTE(SUBSTITUTE(SUBSTITUTE(SUBSTITUTE(SUBSTITUTE(LOWER(TRIM(D358)),"ё","е"),"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инженер",IF(ISNUMBER(SEARCH("диспетч",E358)),"ведущий инженер пдо",TRIM(SUBSTITUTE(SUBSTITUTE(SUBSTITUTE(SUBSTITUTE(SUBSTITUTE(SUBSTITUTE(SUBSTITUTE(SUBSTITUTE(SUBSTITUTE(SUBSTITUTE(SUBSTITUTE(LOWER(TRIM(D358)),"ё","е"),"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отк",TRIM(SUBSTITUTE(SUBSTITUTE(SUBSTITUTE(SUBSTITUTE(SUBSTITUTE(SUBSTITUTE(SUBSTITUTE(SUBSTITUTE(SUBSTITUTE(SUBSTITUTE(SUBSTITUTE(LOWER(TRIM(D358)),"ё","е"),"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358" s="12" t="n">
        <f aca="false">IFERROR(INDEX(Соответствие!$B$2:$B$76,MATCH(G358,Соответствие!$A$2:$A$76,0)),"?")</f>
        <v>14</v>
      </c>
      <c r="I358" s="9" t="str">
        <f aca="false">IFERROR(INDEX('Перечень должностей'!$C$2:$C$46,MATCH(H358,'Перечень должностей'!$A$2:$A$46,0)),"")</f>
        <v>п.4.4, п.5.1, п.6.2</v>
      </c>
      <c r="J358" s="12" t="n">
        <f aca="false">IFERROR(INDEX('Перечень должностей'!$D$2:$D$46,MATCH(H358,'Перечень должностей'!$A$2:$A$46,0)),12)</f>
        <v>12</v>
      </c>
      <c r="K358" s="17"/>
      <c r="L358" s="17"/>
      <c r="M358" s="16" t="str">
        <f aca="false">IF(K358="","",EDATE(IF(L358&lt;&gt;"",L358,K358),J358))</f>
        <v/>
      </c>
      <c r="N358" s="12" t="str">
        <f aca="false">IFERROR(INDEX('Перечень должностей'!$F$2:$F$46,MATCH(H358,'Перечень должностей'!$A$2:$A$46,0)),"")</f>
        <v>-</v>
      </c>
      <c r="O358" s="17"/>
      <c r="P358" s="16" t="str">
        <f aca="false">IF(O358="","",EDATE(O358,60))</f>
        <v/>
      </c>
      <c r="Q358" s="12" t="str">
        <f aca="false">IF(AND(K358&lt;&gt;"",F358&lt;&gt;"",K358&gt;F358),"ДА","")</f>
        <v/>
      </c>
      <c r="R358" s="9"/>
    </row>
    <row r="359" customFormat="false" ht="14.25" hidden="false" customHeight="true" outlineLevel="0" collapsed="false">
      <c r="A359" s="15" t="n">
        <v>358</v>
      </c>
      <c r="B359" s="12" t="s">
        <v>81</v>
      </c>
      <c r="C359" s="15" t="s">
        <v>841</v>
      </c>
      <c r="D359" s="15" t="s">
        <v>409</v>
      </c>
      <c r="E359" s="15" t="s">
        <v>842</v>
      </c>
      <c r="F359" s="16" t="n">
        <v>41351</v>
      </c>
      <c r="G359" s="5" t="str">
        <f aca="false">IF(TRIM(SUBSTITUTE(SUBSTITUTE(SUBSTITUTE(SUBSTITUTE(SUBSTITUTE(SUBSTITUTE(SUBSTITUTE(SUBSTITUTE(SUBSTITUTE(SUBSTITUTE(SUBSTITUTE(LOWER(TRIM(D359)),"ё","е"),"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категории",""))="инженер",IF(AND(ISNUMBER(SEARCH("техническ",E359)),ISNUMBER(SEARCH("контрол",E359))),"инженер отк",IF(ISNUMBER(SEARCH("диспетч",E359)),"инженер пдо",TRIM(SUBSTITUTE(SUBSTITUTE(SUBSTITUTE(SUBSTITUTE(SUBSTITUTE(SUBSTITUTE(SUBSTITUTE(SUBSTITUTE(SUBSTITUTE(SUBSTITUTE(SUBSTITUTE(LOWER(TRIM(D359)),"ё","е"),"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инженер",IF(ISNUMBER(SEARCH("диспетч",E359)),"ведущий инженер пдо",TRIM(SUBSTITUTE(SUBSTITUTE(SUBSTITUTE(SUBSTITUTE(SUBSTITUTE(SUBSTITUTE(SUBSTITUTE(SUBSTITUTE(SUBSTITUTE(SUBSTITUTE(SUBSTITUTE(LOWER(TRIM(D359)),"ё","е"),"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отк",TRIM(SUBSTITUTE(SUBSTITUTE(SUBSTITUTE(SUBSTITUTE(SUBSTITUTE(SUBSTITUTE(SUBSTITUTE(SUBSTITUTE(SUBSTITUTE(SUBSTITUTE(SUBSTITUTE(LOWER(TRIM(D359)),"ё","е")," -","-"),"- ","-")," 2 разряда","")," 3 разряда","")," 4 разряда","")," 5 разряда","")," 6 разряда","")," 1 категории","")," 2 категории","")," 3 категории","")))))</f>
        <v>инженер отк</v>
      </c>
      <c r="H359" s="12" t="n">
        <f aca="false">IFERROR(INDEX(Соответствие!$B$2:$B$76,MATCH(G359,Соответствие!$A$2:$A$76,0)),"?")</f>
        <v>13</v>
      </c>
      <c r="I359" s="9" t="str">
        <f aca="false">IFERROR(INDEX('Перечень должностей'!$C$2:$C$46,MATCH(H359,'Перечень должностей'!$A$2:$A$46,0)),"")</f>
        <v>п.4.4, п.5.1, п.5.2</v>
      </c>
      <c r="J359" s="12" t="n">
        <f aca="false">IFERROR(INDEX('Перечень должностей'!$D$2:$D$46,MATCH(H359,'Перечень должностей'!$A$2:$A$46,0)),12)</f>
        <v>12</v>
      </c>
      <c r="K359" s="17"/>
      <c r="L359" s="17"/>
      <c r="M359" s="16" t="str">
        <f aca="false">IF(K359="","",EDATE(IF(L359&lt;&gt;"",L359,K359),J359))</f>
        <v/>
      </c>
      <c r="N359" s="12" t="str">
        <f aca="false">IFERROR(INDEX('Перечень должностей'!$F$2:$F$46,MATCH(H359,'Перечень должностей'!$A$2:$A$46,0)),"")</f>
        <v>-</v>
      </c>
      <c r="O359" s="17"/>
      <c r="P359" s="16" t="str">
        <f aca="false">IF(O359="","",EDATE(O359,60))</f>
        <v/>
      </c>
      <c r="Q359" s="12" t="str">
        <f aca="false">IF(AND(K359&lt;&gt;"",F359&lt;&gt;"",K359&gt;F359),"ДА","")</f>
        <v/>
      </c>
      <c r="R359" s="9"/>
    </row>
    <row r="360" customFormat="false" ht="14.25" hidden="false" customHeight="true" outlineLevel="0" collapsed="false">
      <c r="A360" s="15" t="n">
        <v>359</v>
      </c>
      <c r="B360" s="12" t="s">
        <v>81</v>
      </c>
      <c r="C360" s="15" t="s">
        <v>843</v>
      </c>
      <c r="D360" s="15" t="s">
        <v>419</v>
      </c>
      <c r="E360" s="15" t="s">
        <v>842</v>
      </c>
      <c r="F360" s="16" t="n">
        <v>45852</v>
      </c>
      <c r="G360" s="5" t="str">
        <f aca="false">IF(TRIM(SUBSTITUTE(SUBSTITUTE(SUBSTITUTE(SUBSTITUTE(SUBSTITUTE(SUBSTITUTE(SUBSTITUTE(SUBSTITUTE(SUBSTITUTE(SUBSTITUTE(SUBSTITUTE(LOWER(TRIM(D360)),"ё","е"),"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категории",""))="инженер",IF(AND(ISNUMBER(SEARCH("техническ",E360)),ISNUMBER(SEARCH("контрол",E360))),"инженер отк",IF(ISNUMBER(SEARCH("диспетч",E360)),"инженер пдо",TRIM(SUBSTITUTE(SUBSTITUTE(SUBSTITUTE(SUBSTITUTE(SUBSTITUTE(SUBSTITUTE(SUBSTITUTE(SUBSTITUTE(SUBSTITUTE(SUBSTITUTE(SUBSTITUTE(LOWER(TRIM(D360)),"ё","е"),"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инженер",IF(ISNUMBER(SEARCH("диспетч",E360)),"ведущий инженер пдо",TRIM(SUBSTITUTE(SUBSTITUTE(SUBSTITUTE(SUBSTITUTE(SUBSTITUTE(SUBSTITUTE(SUBSTITUTE(SUBSTITUTE(SUBSTITUTE(SUBSTITUTE(SUBSTITUTE(LOWER(TRIM(D360)),"ё","е"),"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отк",TRIM(SUBSTITUTE(SUBSTITUTE(SUBSTITUTE(SUBSTITUTE(SUBSTITUTE(SUBSTITUTE(SUBSTITUTE(SUBSTITUTE(SUBSTITUTE(SUBSTITUTE(SUBSTITUTE(LOWER(TRIM(D360)),"ё","е")," -","-"),"- ","-")," 2 разряда","")," 3 разряда","")," 4 разряда","")," 5 разряда","")," 6 разряда","")," 1 категории","")," 2 категории","")," 3 категории","")))))</f>
        <v>контролер отк</v>
      </c>
      <c r="H360" s="12" t="n">
        <f aca="false">IFERROR(INDEX(Соответствие!$B$2:$B$76,MATCH(G360,Соответствие!$A$2:$A$76,0)),"?")</f>
        <v>13</v>
      </c>
      <c r="I360" s="9" t="str">
        <f aca="false">IFERROR(INDEX('Перечень должностей'!$C$2:$C$46,MATCH(H360,'Перечень должностей'!$A$2:$A$46,0)),"")</f>
        <v>п.4.4, п.5.1, п.5.2</v>
      </c>
      <c r="J360" s="12" t="n">
        <f aca="false">IFERROR(INDEX('Перечень должностей'!$D$2:$D$46,MATCH(H360,'Перечень должностей'!$A$2:$A$46,0)),12)</f>
        <v>12</v>
      </c>
      <c r="K360" s="17"/>
      <c r="L360" s="17"/>
      <c r="M360" s="16" t="str">
        <f aca="false">IF(K360="","",EDATE(IF(L360&lt;&gt;"",L360,K360),J360))</f>
        <v/>
      </c>
      <c r="N360" s="12" t="str">
        <f aca="false">IFERROR(INDEX('Перечень должностей'!$F$2:$F$46,MATCH(H360,'Перечень должностей'!$A$2:$A$46,0)),"")</f>
        <v>-</v>
      </c>
      <c r="O360" s="17"/>
      <c r="P360" s="16" t="str">
        <f aca="false">IF(O360="","",EDATE(O360,60))</f>
        <v/>
      </c>
      <c r="Q360" s="12" t="str">
        <f aca="false">IF(AND(K360&lt;&gt;"",F360&lt;&gt;"",K360&gt;F360),"ДА","")</f>
        <v/>
      </c>
      <c r="R360" s="9"/>
    </row>
    <row r="361" customFormat="false" ht="23.25" hidden="false" customHeight="true" outlineLevel="0" collapsed="false">
      <c r="A361" s="15" t="n">
        <v>360</v>
      </c>
      <c r="B361" s="12" t="s">
        <v>50</v>
      </c>
      <c r="C361" s="15" t="s">
        <v>47</v>
      </c>
      <c r="D361" s="15" t="s">
        <v>48</v>
      </c>
      <c r="E361" s="15" t="s">
        <v>49</v>
      </c>
      <c r="F361" s="16" t="n">
        <v>46286</v>
      </c>
      <c r="G361" s="5" t="str">
        <f aca="false">IF(TRIM(SUBSTITUTE(SUBSTITUTE(SUBSTITUTE(SUBSTITUTE(SUBSTITUTE(SUBSTITUTE(SUBSTITUTE(SUBSTITUTE(SUBSTITUTE(SUBSTITUTE(SUBSTITUTE(LOWER(TRIM(D361)),"ё","е"),"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категории",""))="инженер",IF(AND(ISNUMBER(SEARCH("техническ",E361)),ISNUMBER(SEARCH("контрол",E361))),"инженер отк",IF(ISNUMBER(SEARCH("диспетч",E361)),"инженер пдо",TRIM(SUBSTITUTE(SUBSTITUTE(SUBSTITUTE(SUBSTITUTE(SUBSTITUTE(SUBSTITUTE(SUBSTITUTE(SUBSTITUTE(SUBSTITUTE(SUBSTITUTE(SUBSTITUTE(LOWER(TRIM(D361)),"ё","е"),"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инженер",IF(ISNUMBER(SEARCH("диспетч",E361)),"ведущий инженер пдо",TRIM(SUBSTITUTE(SUBSTITUTE(SUBSTITUTE(SUBSTITUTE(SUBSTITUTE(SUBSTITUTE(SUBSTITUTE(SUBSTITUTE(SUBSTITUTE(SUBSTITUTE(SUBSTITUTE(LOWER(TRIM(D361)),"ё","е"),"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отк",TRIM(SUBSTITUTE(SUBSTITUTE(SUBSTITUTE(SUBSTITUTE(SUBSTITUTE(SUBSTITUTE(SUBSTITUTE(SUBSTITUTE(SUBSTITUTE(SUBSTITUTE(SUBSTITUTE(LOWER(TRIM(D361)),"ё","е")," -","-"),"- ","-")," 2 разряда","")," 3 разряда","")," 4 разряда","")," 5 разряда","")," 6 разряда","")," 1 категории","")," 2 категории","")," 3 категории","")))))</f>
        <v>сборщик стеклопластиковых изделий</v>
      </c>
      <c r="H361" s="12" t="n">
        <f aca="false">IFERROR(INDEX(Соответствие!$B$2:$B$76,MATCH(G361,Соответствие!$A$2:$A$76,0)),"?")</f>
        <v>26</v>
      </c>
      <c r="I361" s="9" t="str">
        <f aca="false">IFERROR(INDEX('Перечень должностей'!$C$2:$C$46,MATCH(H361,'Перечень должностей'!$A$2:$A$46,0)),"")</f>
        <v>п.1.37.1, п.3.1.8.3, п.4.3.1, п.4.4, п.5.1, п.15</v>
      </c>
      <c r="J361" s="12" t="n">
        <f aca="false">IFERROR(INDEX('Перечень должностей'!$D$2:$D$46,MATCH(H361,'Перечень должностей'!$A$2:$A$46,0)),12)</f>
        <v>12</v>
      </c>
      <c r="K361" s="17"/>
      <c r="L361" s="17"/>
      <c r="M361" s="16" t="str">
        <f aca="false">IF(K361="","",EDATE(IF(L361&lt;&gt;"",L361,K361),J361))</f>
        <v/>
      </c>
      <c r="N361" s="12" t="str">
        <f aca="false">IFERROR(INDEX('Перечень должностей'!$F$2:$F$46,MATCH(H361,'Перечень должностей'!$A$2:$A$46,0)),"")</f>
        <v>Нет</v>
      </c>
      <c r="O361" s="17"/>
      <c r="P361" s="16" t="str">
        <f aca="false">IF(O361="","",EDATE(O361,60))</f>
        <v/>
      </c>
      <c r="Q361" s="12" t="str">
        <f aca="false">IF(AND(K361&lt;&gt;"",F361&lt;&gt;"",K361&gt;F361),"ДА","")</f>
        <v/>
      </c>
      <c r="R361" s="19" t="s">
        <v>51</v>
      </c>
    </row>
    <row r="362" customFormat="false" ht="45.75" hidden="false" customHeight="true" outlineLevel="0" collapsed="false">
      <c r="A362" s="15" t="n">
        <v>361</v>
      </c>
      <c r="B362" s="12" t="s">
        <v>50</v>
      </c>
      <c r="C362" s="15" t="s">
        <v>52</v>
      </c>
      <c r="D362" s="15" t="s">
        <v>53</v>
      </c>
      <c r="E362" s="15" t="s">
        <v>49</v>
      </c>
      <c r="F362" s="16" t="n">
        <v>46163</v>
      </c>
      <c r="G362" s="5" t="str">
        <f aca="false">IF(TRIM(SUBSTITUTE(SUBSTITUTE(SUBSTITUTE(SUBSTITUTE(SUBSTITUTE(SUBSTITUTE(SUBSTITUTE(SUBSTITUTE(SUBSTITUTE(SUBSTITUTE(SUBSTITUTE(LOWER(TRIM(D362)),"ё","е"),"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категории",""))="инженер",IF(AND(ISNUMBER(SEARCH("техническ",E362)),ISNUMBER(SEARCH("контрол",E362))),"инженер отк",IF(ISNUMBER(SEARCH("диспетч",E362)),"инженер пдо",TRIM(SUBSTITUTE(SUBSTITUTE(SUBSTITUTE(SUBSTITUTE(SUBSTITUTE(SUBSTITUTE(SUBSTITUTE(SUBSTITUTE(SUBSTITUTE(SUBSTITUTE(SUBSTITUTE(LOWER(TRIM(D362)),"ё","е"),"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инженер",IF(ISNUMBER(SEARCH("диспетч",E362)),"ведущий инженер пдо",TRIM(SUBSTITUTE(SUBSTITUTE(SUBSTITUTE(SUBSTITUTE(SUBSTITUTE(SUBSTITUTE(SUBSTITUTE(SUBSTITUTE(SUBSTITUTE(SUBSTITUTE(SUBSTITUTE(LOWER(TRIM(D362)),"ё","е"),"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отк",TRIM(SUBSTITUTE(SUBSTITUTE(SUBSTITUTE(SUBSTITUTE(SUBSTITUTE(SUBSTITUTE(SUBSTITUTE(SUBSTITUTE(SUBSTITUTE(SUBSTITUTE(SUBSTITUTE(LOWER(TRIM(D362)),"ё","е")," -","-"),"- ","-")," 2 разряда","")," 3 разряда","")," 4 разряда","")," 5 разряда","")," 6 разряда","")," 1 категории","")," 2 категории","")," 3 категории","")))))</f>
        <v>техник-сборщик</v>
      </c>
      <c r="H362" s="12" t="n">
        <f aca="false">IFERROR(INDEX(Соответствие!$B$2:$B$76,MATCH(G362,Соответствие!$A$2:$A$76,0)),"?")</f>
        <v>21</v>
      </c>
      <c r="I362" s="9" t="str">
        <f aca="false">IFERROR(INDEX('Перечень должностей'!$C$2:$C$46,MATCH(H362,'Перечень должностей'!$A$2:$A$46,0)),"")</f>
        <v>п.1.49.2, п.1.49.14, п.4.3.1, п.4.3.2, п.4.4, п.5.1, п.15</v>
      </c>
      <c r="J362" s="12" t="n">
        <f aca="false">IFERROR(INDEX('Перечень должностей'!$D$2:$D$46,MATCH(H362,'Перечень должностей'!$A$2:$A$46,0)),12)</f>
        <v>12</v>
      </c>
      <c r="K362" s="17"/>
      <c r="L362" s="17"/>
      <c r="M362" s="16" t="str">
        <f aca="false">IF(K362="","",EDATE(IF(L362&lt;&gt;"",L362,K362),J362))</f>
        <v/>
      </c>
      <c r="N362" s="12" t="str">
        <f aca="false">IFERROR(INDEX('Перечень должностей'!$F$2:$F$46,MATCH(H362,'Перечень должностей'!$A$2:$A$46,0)),"")</f>
        <v>-</v>
      </c>
      <c r="O362" s="17"/>
      <c r="P362" s="16" t="str">
        <f aca="false">IF(O362="","",EDATE(O362,60))</f>
        <v/>
      </c>
      <c r="Q362" s="12" t="str">
        <f aca="false">IF(AND(K362&lt;&gt;"",F362&lt;&gt;"",K362&gt;F362),"ДА","")</f>
        <v/>
      </c>
      <c r="R362" s="19" t="s">
        <v>54</v>
      </c>
    </row>
    <row r="363" customFormat="false" ht="45.75" hidden="false" customHeight="true" outlineLevel="0" collapsed="false">
      <c r="A363" s="15" t="n">
        <v>362</v>
      </c>
      <c r="B363" s="12" t="s">
        <v>50</v>
      </c>
      <c r="C363" s="15" t="s">
        <v>55</v>
      </c>
      <c r="D363" s="15" t="s">
        <v>56</v>
      </c>
      <c r="E363" s="15" t="s">
        <v>57</v>
      </c>
      <c r="F363" s="16" t="n">
        <v>46267</v>
      </c>
      <c r="G363" s="5" t="str">
        <f aca="false">IF(TRIM(SUBSTITUTE(SUBSTITUTE(SUBSTITUTE(SUBSTITUTE(SUBSTITUTE(SUBSTITUTE(SUBSTITUTE(SUBSTITUTE(SUBSTITUTE(SUBSTITUTE(SUBSTITUTE(LOWER(TRIM(D363)),"ё","е"),"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категории",""))="инженер",IF(AND(ISNUMBER(SEARCH("техническ",E363)),ISNUMBER(SEARCH("контрол",E363))),"инженер отк",IF(ISNUMBER(SEARCH("диспетч",E363)),"инженер пдо",TRIM(SUBSTITUTE(SUBSTITUTE(SUBSTITUTE(SUBSTITUTE(SUBSTITUTE(SUBSTITUTE(SUBSTITUTE(SUBSTITUTE(SUBSTITUTE(SUBSTITUTE(SUBSTITUTE(LOWER(TRIM(D363)),"ё","е"),"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инженер",IF(ISNUMBER(SEARCH("диспетч",E363)),"ведущий инженер пдо",TRIM(SUBSTITUTE(SUBSTITUTE(SUBSTITUTE(SUBSTITUTE(SUBSTITUTE(SUBSTITUTE(SUBSTITUTE(SUBSTITUTE(SUBSTITUTE(SUBSTITUTE(SUBSTITUTE(LOWER(TRIM(D363)),"ё","е"),"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отк",TRIM(SUBSTITUTE(SUBSTITUTE(SUBSTITUTE(SUBSTITUTE(SUBSTITUTE(SUBSTITUTE(SUBSTITUTE(SUBSTITUTE(SUBSTITUTE(SUBSTITUTE(SUBSTITUTE(LOWER(TRIM(D363)),"ё","е")," -","-"),"- ","-")," 2 разряда","")," 3 разряда","")," 4 разряда","")," 5 разряда","")," 6 разряда","")," 1 категории","")," 2 категории","")," 3 категории","")))))</f>
        <v>техник</v>
      </c>
      <c r="H363" s="12" t="n">
        <f aca="false">IFERROR(INDEX(Соответствие!$B$2:$B$76,MATCH(G363,Соответствие!$A$2:$A$76,0)),"?")</f>
        <v>36</v>
      </c>
      <c r="I363" s="9" t="str">
        <f aca="false">IFERROR(INDEX('Перечень должностей'!$C$2:$C$46,MATCH(H363,'Перечень должностей'!$A$2:$A$46,0)),"")</f>
        <v>п.1.14.2, п.1.36, п.1.37.1, п.1.45.1, п.1.45.2, п.1.50, п.4.3.1, п.4.4, п.5.1, п.17</v>
      </c>
      <c r="J363" s="12" t="n">
        <f aca="false">IFERROR(INDEX('Перечень должностей'!$D$2:$D$46,MATCH(H363,'Перечень должностей'!$A$2:$A$46,0)),12)</f>
        <v>12</v>
      </c>
      <c r="K363" s="17"/>
      <c r="L363" s="17"/>
      <c r="M363" s="16" t="str">
        <f aca="false">IF(K363="","",EDATE(IF(L363&lt;&gt;"",L363,K363),J363))</f>
        <v/>
      </c>
      <c r="N363" s="12" t="str">
        <f aca="false">IFERROR(INDEX('Перечень должностей'!$F$2:$F$46,MATCH(H363,'Перечень должностей'!$A$2:$A$46,0)),"")</f>
        <v>-</v>
      </c>
      <c r="O363" s="17"/>
      <c r="P363" s="16" t="str">
        <f aca="false">IF(O363="","",EDATE(O363,60))</f>
        <v/>
      </c>
      <c r="Q363" s="12" t="str">
        <f aca="false">IF(AND(K363&lt;&gt;"",F363&lt;&gt;"",K363&gt;F363),"ДА","")</f>
        <v/>
      </c>
      <c r="R363" s="19" t="s">
        <v>58</v>
      </c>
    </row>
    <row r="364" customFormat="false" ht="23.25" hidden="false" customHeight="true" outlineLevel="0" collapsed="false">
      <c r="A364" s="15" t="n">
        <v>363</v>
      </c>
      <c r="B364" s="12" t="s">
        <v>50</v>
      </c>
      <c r="C364" s="15" t="s">
        <v>59</v>
      </c>
      <c r="D364" s="15" t="s">
        <v>60</v>
      </c>
      <c r="E364" s="15" t="s">
        <v>61</v>
      </c>
      <c r="F364" s="16" t="n">
        <v>46290</v>
      </c>
      <c r="G364" s="5" t="str">
        <f aca="false">IF(TRIM(SUBSTITUTE(SUBSTITUTE(SUBSTITUTE(SUBSTITUTE(SUBSTITUTE(SUBSTITUTE(SUBSTITUTE(SUBSTITUTE(SUBSTITUTE(SUBSTITUTE(SUBSTITUTE(LOWER(TRIM(D364)),"ё","е"),"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категории",""))="инженер",IF(AND(ISNUMBER(SEARCH("техническ",E364)),ISNUMBER(SEARCH("контрол",E364))),"инженер отк",IF(ISNUMBER(SEARCH("диспетч",E364)),"инженер пдо",TRIM(SUBSTITUTE(SUBSTITUTE(SUBSTITUTE(SUBSTITUTE(SUBSTITUTE(SUBSTITUTE(SUBSTITUTE(SUBSTITUTE(SUBSTITUTE(SUBSTITUTE(SUBSTITUTE(LOWER(TRIM(D364)),"ё","е"),"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инженер",IF(ISNUMBER(SEARCH("диспетч",E364)),"ведущий инженер пдо",TRIM(SUBSTITUTE(SUBSTITUTE(SUBSTITUTE(SUBSTITUTE(SUBSTITUTE(SUBSTITUTE(SUBSTITUTE(SUBSTITUTE(SUBSTITUTE(SUBSTITUTE(SUBSTITUTE(LOWER(TRIM(D364)),"ё","е"),"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отк",TRIM(SUBSTITUTE(SUBSTITUTE(SUBSTITUTE(SUBSTITUTE(SUBSTITUTE(SUBSTITUTE(SUBSTITUTE(SUBSTITUTE(SUBSTITUTE(SUBSTITUTE(SUBSTITUTE(LOWER(TRIM(D364)),"ё","е")," -","-"),"- ","-")," 2 разряда","")," 3 разряда","")," 4 разряда","")," 5 разряда","")," 6 разряда","")," 1 категории","")," 2 категории","")," 3 категории","")))))</f>
        <v>мастер участка</v>
      </c>
      <c r="H364" s="12" t="n">
        <f aca="false">IFERROR(INDEX(Соответствие!$B$2:$B$76,MATCH(G364,Соответствие!$A$2:$A$76,0)),"?")</f>
        <v>18</v>
      </c>
      <c r="I364" s="9" t="str">
        <f aca="false">IFERROR(INDEX('Перечень должностей'!$C$2:$C$46,MATCH(H364,'Перечень должностей'!$A$2:$A$46,0)),"")</f>
        <v>п.4.4, п.5.1, п.5.2</v>
      </c>
      <c r="J364" s="12" t="n">
        <f aca="false">IFERROR(INDEX('Перечень должностей'!$D$2:$D$46,MATCH(H364,'Перечень должностей'!$A$2:$A$46,0)),12)</f>
        <v>12</v>
      </c>
      <c r="K364" s="17"/>
      <c r="L364" s="17"/>
      <c r="M364" s="16" t="str">
        <f aca="false">IF(K364="","",EDATE(IF(L364&lt;&gt;"",L364,K364),J364))</f>
        <v/>
      </c>
      <c r="N364" s="12" t="str">
        <f aca="false">IFERROR(INDEX('Перечень должностей'!$F$2:$F$46,MATCH(H364,'Перечень должностей'!$A$2:$A$46,0)),"")</f>
        <v>-</v>
      </c>
      <c r="O364" s="17"/>
      <c r="P364" s="16" t="str">
        <f aca="false">IF(O364="","",EDATE(O364,60))</f>
        <v/>
      </c>
      <c r="Q364" s="12" t="str">
        <f aca="false">IF(AND(K364&lt;&gt;"",F364&lt;&gt;"",K364&gt;F364),"ДА","")</f>
        <v/>
      </c>
      <c r="R364" s="19" t="s">
        <v>62</v>
      </c>
    </row>
    <row r="365" customFormat="false" ht="45.75" hidden="false" customHeight="true" outlineLevel="0" collapsed="false">
      <c r="A365" s="15" t="n">
        <v>364</v>
      </c>
      <c r="B365" s="12" t="s">
        <v>50</v>
      </c>
      <c r="C365" s="15" t="s">
        <v>63</v>
      </c>
      <c r="D365" s="15" t="s">
        <v>64</v>
      </c>
      <c r="E365" s="15" t="s">
        <v>61</v>
      </c>
      <c r="F365" s="16" t="n">
        <v>46286</v>
      </c>
      <c r="G365" s="5" t="str">
        <f aca="false">IF(TRIM(SUBSTITUTE(SUBSTITUTE(SUBSTITUTE(SUBSTITUTE(SUBSTITUTE(SUBSTITUTE(SUBSTITUTE(SUBSTITUTE(SUBSTITUTE(SUBSTITUTE(SUBSTITUTE(LOWER(TRIM(D365)),"ё","е"),"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категории",""))="инженер",IF(AND(ISNUMBER(SEARCH("техническ",E365)),ISNUMBER(SEARCH("контрол",E365))),"инженер отк",IF(ISNUMBER(SEARCH("диспетч",E365)),"инженер пдо",TRIM(SUBSTITUTE(SUBSTITUTE(SUBSTITUTE(SUBSTITUTE(SUBSTITUTE(SUBSTITUTE(SUBSTITUTE(SUBSTITUTE(SUBSTITUTE(SUBSTITUTE(SUBSTITUTE(LOWER(TRIM(D365)),"ё","е"),"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инженер",IF(ISNUMBER(SEARCH("диспетч",E365)),"ведущий инженер пдо",TRIM(SUBSTITUTE(SUBSTITUTE(SUBSTITUTE(SUBSTITUTE(SUBSTITUTE(SUBSTITUTE(SUBSTITUTE(SUBSTITUTE(SUBSTITUTE(SUBSTITUTE(SUBSTITUTE(LOWER(TRIM(D365)),"ё","е"),"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отк",TRIM(SUBSTITUTE(SUBSTITUTE(SUBSTITUTE(SUBSTITUTE(SUBSTITUTE(SUBSTITUTE(SUBSTITUTE(SUBSTITUTE(SUBSTITUTE(SUBSTITUTE(SUBSTITUTE(LOWER(TRIM(D365)),"ё","е"),"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станков с чпу</v>
      </c>
      <c r="H365" s="12" t="n">
        <f aca="false">IFERROR(INDEX(Соответствие!$B$2:$B$76,MATCH(G365,Соответствие!$A$2:$A$76,0)),"?")</f>
        <v>30</v>
      </c>
      <c r="I365" s="9" t="str">
        <f aca="false">IFERROR(INDEX('Перечень должностей'!$C$2:$C$46,MATCH(H365,'Перечень должностей'!$A$2:$A$46,0)),"")</f>
        <v>п.4.3.1, п.4.3.2, п.4.4, п.5.1, п.5.2, п.15</v>
      </c>
      <c r="J365" s="12" t="n">
        <f aca="false">IFERROR(INDEX('Перечень должностей'!$D$2:$D$46,MATCH(H365,'Перечень должностей'!$A$2:$A$46,0)),12)</f>
        <v>12</v>
      </c>
      <c r="K365" s="17"/>
      <c r="L365" s="17"/>
      <c r="M365" s="16" t="str">
        <f aca="false">IF(K365="","",EDATE(IF(L365&lt;&gt;"",L365,K365),J365))</f>
        <v/>
      </c>
      <c r="N365" s="12" t="str">
        <f aca="false">IFERROR(INDEX('Перечень должностей'!$F$2:$F$46,MATCH(H365,'Перечень должностей'!$A$2:$A$46,0)),"")</f>
        <v>-</v>
      </c>
      <c r="O365" s="17"/>
      <c r="P365" s="16" t="str">
        <f aca="false">IF(O365="","",EDATE(O365,60))</f>
        <v/>
      </c>
      <c r="Q365" s="12" t="str">
        <f aca="false">IF(AND(K365&lt;&gt;"",F365&lt;&gt;"",K365&gt;F365),"ДА","")</f>
        <v/>
      </c>
      <c r="R365" s="19" t="s">
        <v>65</v>
      </c>
    </row>
    <row r="366" customFormat="false" ht="34.5" hidden="false" customHeight="true" outlineLevel="0" collapsed="false">
      <c r="A366" s="15" t="n">
        <v>365</v>
      </c>
      <c r="B366" s="12" t="s">
        <v>50</v>
      </c>
      <c r="C366" s="15" t="s">
        <v>66</v>
      </c>
      <c r="D366" s="15" t="s">
        <v>67</v>
      </c>
      <c r="E366" s="15" t="s">
        <v>61</v>
      </c>
      <c r="F366" s="16" t="n">
        <v>46296</v>
      </c>
      <c r="G366" s="5" t="str">
        <f aca="false">IF(TRIM(SUBSTITUTE(SUBSTITUTE(SUBSTITUTE(SUBSTITUTE(SUBSTITUTE(SUBSTITUTE(SUBSTITUTE(SUBSTITUTE(SUBSTITUTE(SUBSTITUTE(SUBSTITUTE(LOWER(TRIM(D366)),"ё","е"),"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категории",""))="инженер",IF(AND(ISNUMBER(SEARCH("техническ",E366)),ISNUMBER(SEARCH("контрол",E366))),"инженер отк",IF(ISNUMBER(SEARCH("диспетч",E366)),"инженер пдо",TRIM(SUBSTITUTE(SUBSTITUTE(SUBSTITUTE(SUBSTITUTE(SUBSTITUTE(SUBSTITUTE(SUBSTITUTE(SUBSTITUTE(SUBSTITUTE(SUBSTITUTE(SUBSTITUTE(LOWER(TRIM(D366)),"ё","е"),"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инженер",IF(ISNUMBER(SEARCH("диспетч",E366)),"ведущий инженер пдо",TRIM(SUBSTITUTE(SUBSTITUTE(SUBSTITUTE(SUBSTITUTE(SUBSTITUTE(SUBSTITUTE(SUBSTITUTE(SUBSTITUTE(SUBSTITUTE(SUBSTITUTE(SUBSTITUTE(LOWER(TRIM(D366)),"ё","е"),"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отк",TRIM(SUBSTITUTE(SUBSTITUTE(SUBSTITUTE(SUBSTITUTE(SUBSTITUTE(SUBSTITUTE(SUBSTITUTE(SUBSTITUTE(SUBSTITUTE(SUBSTITUTE(SUBSTITUTE(LOWER(TRIM(D366)),"ё","е")," -","-"),"- ","-")," 2 разряда","")," 3 разряда","")," 4 разряда","")," 5 разряда","")," 6 разряда","")," 1 категории","")," 2 категории","")," 3 категории","")))))</f>
        <v>оператор станков с чпу</v>
      </c>
      <c r="H366" s="12" t="n">
        <f aca="false">IFERROR(INDEX(Соответствие!$B$2:$B$76,MATCH(G366,Соответствие!$A$2:$A$76,0)),"?")</f>
        <v>30</v>
      </c>
      <c r="I366" s="9" t="str">
        <f aca="false">IFERROR(INDEX('Перечень должностей'!$C$2:$C$46,MATCH(H366,'Перечень должностей'!$A$2:$A$46,0)),"")</f>
        <v>п.4.3.1, п.4.3.2, п.4.4, п.5.1, п.5.2, п.15</v>
      </c>
      <c r="J366" s="12" t="n">
        <f aca="false">IFERROR(INDEX('Перечень должностей'!$D$2:$D$46,MATCH(H366,'Перечень должностей'!$A$2:$A$46,0)),12)</f>
        <v>12</v>
      </c>
      <c r="K366" s="17"/>
      <c r="L366" s="17"/>
      <c r="M366" s="16" t="str">
        <f aca="false">IF(K366="","",EDATE(IF(L366&lt;&gt;"",L366,K366),J366))</f>
        <v/>
      </c>
      <c r="N366" s="12" t="str">
        <f aca="false">IFERROR(INDEX('Перечень должностей'!$F$2:$F$46,MATCH(H366,'Перечень должностей'!$A$2:$A$46,0)),"")</f>
        <v>-</v>
      </c>
      <c r="O366" s="17"/>
      <c r="P366" s="16" t="str">
        <f aca="false">IF(O366="","",EDATE(O366,60))</f>
        <v/>
      </c>
      <c r="Q366" s="12" t="str">
        <f aca="false">IF(AND(K366&lt;&gt;"",F366&lt;&gt;"",K366&gt;F366),"ДА","")</f>
        <v/>
      </c>
      <c r="R366" s="19" t="s">
        <v>68</v>
      </c>
    </row>
    <row r="367" customFormat="false" ht="23.25" hidden="false" customHeight="true" outlineLevel="0" collapsed="false">
      <c r="A367" s="15" t="n">
        <v>366</v>
      </c>
      <c r="B367" s="12" t="s">
        <v>72</v>
      </c>
      <c r="C367" s="15" t="s">
        <v>69</v>
      </c>
      <c r="D367" s="15" t="s">
        <v>70</v>
      </c>
      <c r="E367" s="15" t="s">
        <v>71</v>
      </c>
      <c r="F367" s="16" t="n">
        <v>46296</v>
      </c>
      <c r="G367" s="5" t="str">
        <f aca="false">IF(TRIM(SUBSTITUTE(SUBSTITUTE(SUBSTITUTE(SUBSTITUTE(SUBSTITUTE(SUBSTITUTE(SUBSTITUTE(SUBSTITUTE(SUBSTITUTE(SUBSTITUTE(SUBSTITUTE(LOWER(TRIM(D367)),"ё","е"),"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категории",""))="инженер",IF(AND(ISNUMBER(SEARCH("техническ",E367)),ISNUMBER(SEARCH("контрол",E367))),"инженер отк",IF(ISNUMBER(SEARCH("диспетч",E367)),"инженер пдо",TRIM(SUBSTITUTE(SUBSTITUTE(SUBSTITUTE(SUBSTITUTE(SUBSTITUTE(SUBSTITUTE(SUBSTITUTE(SUBSTITUTE(SUBSTITUTE(SUBSTITUTE(SUBSTITUTE(LOWER(TRIM(D367)),"ё","е"),"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инженер",IF(ISNUMBER(SEARCH("диспетч",E367)),"ведущий инженер пдо",TRIM(SUBSTITUTE(SUBSTITUTE(SUBSTITUTE(SUBSTITUTE(SUBSTITUTE(SUBSTITUTE(SUBSTITUTE(SUBSTITUTE(SUBSTITUTE(SUBSTITUTE(SUBSTITUTE(LOWER(TRIM(D367)),"ё","е"),"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отк",TRIM(SUBSTITUTE(SUBSTITUTE(SUBSTITUTE(SUBSTITUTE(SUBSTITUTE(SUBSTITUTE(SUBSTITUTE(SUBSTITUTE(SUBSTITUTE(SUBSTITUTE(SUBSTITUTE(LOWER(TRIM(D367)),"ё","е")," -","-"),"- ","-")," 2 разряда","")," 3 разряда","")," 4 разряда","")," 5 разряда","")," 6 разряда","")," 1 категории","")," 2 категории","")," 3 категории","")))))</f>
        <v>инженер-механик</v>
      </c>
      <c r="H367" s="12" t="n">
        <f aca="false">IFERROR(INDEX(Соответствие!$B$2:$B$76,MATCH(G367,Соответствие!$A$2:$A$76,0)),"?")</f>
        <v>11</v>
      </c>
      <c r="I367" s="9" t="str">
        <f aca="false">IFERROR(INDEX('Перечень должностей'!$C$2:$C$46,MATCH(H367,'Перечень должностей'!$A$2:$A$46,0)),"")</f>
        <v>п.4.3.1, п.4.3.2, п.4.4, п.4.6, п.5.1, п.6.2</v>
      </c>
      <c r="J367" s="12" t="n">
        <f aca="false">IFERROR(INDEX('Перечень должностей'!$D$2:$D$46,MATCH(H367,'Перечень должностей'!$A$2:$A$46,0)),12)</f>
        <v>12</v>
      </c>
      <c r="K367" s="17"/>
      <c r="L367" s="17"/>
      <c r="M367" s="16" t="str">
        <f aca="false">IF(K367="","",EDATE(IF(L367&lt;&gt;"",L367,K367),J367))</f>
        <v/>
      </c>
      <c r="N367" s="12" t="str">
        <f aca="false">IFERROR(INDEX('Перечень должностей'!$F$2:$F$46,MATCH(H367,'Перечень должностей'!$A$2:$A$46,0)),"")</f>
        <v>-</v>
      </c>
      <c r="O367" s="17"/>
      <c r="P367" s="16" t="str">
        <f aca="false">IF(O367="","",EDATE(O367,60))</f>
        <v/>
      </c>
      <c r="Q367" s="12" t="str">
        <f aca="false">IF(AND(K367&lt;&gt;"",F367&lt;&gt;"",K367&gt;F367),"ДА","")</f>
        <v/>
      </c>
      <c r="R367" s="19" t="s">
        <v>73</v>
      </c>
    </row>
    <row r="368" customFormat="false" ht="23.25" hidden="false" customHeight="true" outlineLevel="0" collapsed="false">
      <c r="A368" s="15" t="n">
        <v>367</v>
      </c>
      <c r="B368" s="12" t="s">
        <v>72</v>
      </c>
      <c r="C368" s="15" t="s">
        <v>74</v>
      </c>
      <c r="D368" s="15" t="s">
        <v>75</v>
      </c>
      <c r="E368" s="15" t="s">
        <v>76</v>
      </c>
      <c r="F368" s="16" t="n">
        <v>46297</v>
      </c>
      <c r="G368" s="5" t="str">
        <f aca="false">IF(TRIM(SUBSTITUTE(SUBSTITUTE(SUBSTITUTE(SUBSTITUTE(SUBSTITUTE(SUBSTITUTE(SUBSTITUTE(SUBSTITUTE(SUBSTITUTE(SUBSTITUTE(SUBSTITUTE(LOWER(TRIM(D368)),"ё","е"),"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категории",""))="инженер",IF(AND(ISNUMBER(SEARCH("техническ",E368)),ISNUMBER(SEARCH("контрол",E368))),"инженер отк",IF(ISNUMBER(SEARCH("диспетч",E368)),"инженер пдо",TRIM(SUBSTITUTE(SUBSTITUTE(SUBSTITUTE(SUBSTITUTE(SUBSTITUTE(SUBSTITUTE(SUBSTITUTE(SUBSTITUTE(SUBSTITUTE(SUBSTITUTE(SUBSTITUTE(LOWER(TRIM(D368)),"ё","е"),"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инженер",IF(ISNUMBER(SEARCH("диспетч",E368)),"ведущий инженер пдо",TRIM(SUBSTITUTE(SUBSTITUTE(SUBSTITUTE(SUBSTITUTE(SUBSTITUTE(SUBSTITUTE(SUBSTITUTE(SUBSTITUTE(SUBSTITUTE(SUBSTITUTE(SUBSTITUTE(LOWER(TRIM(D368)),"ё","е"),"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отк",TRIM(SUBSTITUTE(SUBSTITUTE(SUBSTITUTE(SUBSTITUTE(SUBSTITUTE(SUBSTITUTE(SUBSTITUTE(SUBSTITUTE(SUBSTITUTE(SUBSTITUTE(SUBSTITUTE(LOWER(TRIM(D368)),"ё","е"),"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368" s="12" t="n">
        <f aca="false">IFERROR(INDEX(Соответствие!$B$2:$B$76,MATCH(G368,Соответствие!$A$2:$A$76,0)),"?")</f>
        <v>14</v>
      </c>
      <c r="I368" s="9" t="str">
        <f aca="false">IFERROR(INDEX('Перечень должностей'!$C$2:$C$46,MATCH(H368,'Перечень должностей'!$A$2:$A$46,0)),"")</f>
        <v>п.4.4, п.5.1, п.6.2</v>
      </c>
      <c r="J368" s="12" t="n">
        <f aca="false">IFERROR(INDEX('Перечень должностей'!$D$2:$D$46,MATCH(H368,'Перечень должностей'!$A$2:$A$46,0)),12)</f>
        <v>12</v>
      </c>
      <c r="K368" s="17"/>
      <c r="L368" s="17"/>
      <c r="M368" s="16" t="str">
        <f aca="false">IF(K368="","",EDATE(IF(L368&lt;&gt;"",L368,K368),J368))</f>
        <v/>
      </c>
      <c r="N368" s="12" t="str">
        <f aca="false">IFERROR(INDEX('Перечень должностей'!$F$2:$F$46,MATCH(H368,'Перечень должностей'!$A$2:$A$46,0)),"")</f>
        <v>-</v>
      </c>
      <c r="O368" s="17"/>
      <c r="P368" s="16" t="str">
        <f aca="false">IF(O368="","",EDATE(O368,60))</f>
        <v/>
      </c>
      <c r="Q368" s="12" t="str">
        <f aca="false">IF(AND(K368&lt;&gt;"",F368&lt;&gt;"",K368&gt;F368),"ДА","")</f>
        <v/>
      </c>
      <c r="R368" s="19" t="s">
        <v>77</v>
      </c>
    </row>
    <row r="369" customFormat="false" ht="23.25" hidden="false" customHeight="true" outlineLevel="0" collapsed="false">
      <c r="A369" s="15" t="n">
        <v>368</v>
      </c>
      <c r="B369" s="12" t="s">
        <v>81</v>
      </c>
      <c r="C369" s="15" t="s">
        <v>78</v>
      </c>
      <c r="D369" s="15" t="s">
        <v>79</v>
      </c>
      <c r="E369" s="15" t="s">
        <v>80</v>
      </c>
      <c r="F369" s="16" t="n">
        <v>46293</v>
      </c>
      <c r="G369" s="5" t="str">
        <f aca="false">IF(TRIM(SUBSTITUTE(SUBSTITUTE(SUBSTITUTE(SUBSTITUTE(SUBSTITUTE(SUBSTITUTE(SUBSTITUTE(SUBSTITUTE(SUBSTITUTE(SUBSTITUTE(SUBSTITUTE(LOWER(TRIM(D369)),"ё","е"),"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категории",""))="инженер",IF(AND(ISNUMBER(SEARCH("техническ",E369)),ISNUMBER(SEARCH("контрол",E369))),"инженер отк",IF(ISNUMBER(SEARCH("диспетч",E369)),"инженер пдо",TRIM(SUBSTITUTE(SUBSTITUTE(SUBSTITUTE(SUBSTITUTE(SUBSTITUTE(SUBSTITUTE(SUBSTITUTE(SUBSTITUTE(SUBSTITUTE(SUBSTITUTE(SUBSTITUTE(LOWER(TRIM(D369)),"ё","е"),"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инженер",IF(ISNUMBER(SEARCH("диспетч",E369)),"ведущий инженер пдо",TRIM(SUBSTITUTE(SUBSTITUTE(SUBSTITUTE(SUBSTITUTE(SUBSTITUTE(SUBSTITUTE(SUBSTITUTE(SUBSTITUTE(SUBSTITUTE(SUBSTITUTE(SUBSTITUTE(LOWER(TRIM(D369)),"ё","е"),"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отк",TRIM(SUBSTITUTE(SUBSTITUTE(SUBSTITUTE(SUBSTITUTE(SUBSTITUTE(SUBSTITUTE(SUBSTITUTE(SUBSTITUTE(SUBSTITUTE(SUBSTITUTE(SUBSTITUTE(LOWER(TRIM(D369)),"ё","е")," -","-"),"- ","-")," 2 разряда","")," 3 разряда","")," 4 разряда","")," 5 разряда","")," 6 разряда","")," 1 категории","")," 2 категории","")," 3 категории","")))))</f>
        <v>электромонтажник</v>
      </c>
      <c r="H369" s="12" t="n">
        <f aca="false">IFERROR(INDEX(Соответствие!$B$2:$B$76,MATCH(G369,Соответствие!$A$2:$A$76,0)),"?")</f>
        <v>20</v>
      </c>
      <c r="I369" s="9" t="str">
        <f aca="false">IFERROR(INDEX('Перечень должностей'!$C$2:$C$46,MATCH(H369,'Перечень должностей'!$A$2:$A$46,0)),"")</f>
        <v>п.4.3.1, п.4.3.2, п.4.4, п.4.9, п.5.1, п.5.2, п.6.2, п.9</v>
      </c>
      <c r="J369" s="12" t="n">
        <f aca="false">IFERROR(INDEX('Перечень должностей'!$D$2:$D$46,MATCH(H369,'Перечень должностей'!$A$2:$A$46,0)),12)</f>
        <v>12</v>
      </c>
      <c r="K369" s="17"/>
      <c r="L369" s="17"/>
      <c r="M369" s="16" t="str">
        <f aca="false">IF(K369="","",EDATE(IF(L369&lt;&gt;"",L369,K369),J369))</f>
        <v/>
      </c>
      <c r="N369" s="12" t="str">
        <f aca="false">IFERROR(INDEX('Перечень должностей'!$F$2:$F$46,MATCH(H369,'Перечень должностей'!$A$2:$A$46,0)),"")</f>
        <v>Проверить</v>
      </c>
      <c r="O369" s="17"/>
      <c r="P369" s="16" t="str">
        <f aca="false">IF(O369="","",EDATE(O369,60))</f>
        <v/>
      </c>
      <c r="Q369" s="12" t="str">
        <f aca="false">IF(AND(K369&lt;&gt;"",F369&lt;&gt;"",K369&gt;F369),"ДА","")</f>
        <v/>
      </c>
      <c r="R369" s="19" t="s">
        <v>82</v>
      </c>
    </row>
    <row r="370" customFormat="false" ht="23.25" hidden="false" customHeight="true" outlineLevel="0" collapsed="false">
      <c r="A370" s="15" t="n">
        <v>369</v>
      </c>
      <c r="B370" s="12" t="s">
        <v>81</v>
      </c>
      <c r="C370" s="15" t="s">
        <v>83</v>
      </c>
      <c r="D370" s="15" t="s">
        <v>84</v>
      </c>
      <c r="E370" s="15" t="s">
        <v>85</v>
      </c>
      <c r="F370" s="16" t="n">
        <v>46296</v>
      </c>
      <c r="G370" s="5" t="str">
        <f aca="false">IF(TRIM(SUBSTITUTE(SUBSTITUTE(SUBSTITUTE(SUBSTITUTE(SUBSTITUTE(SUBSTITUTE(SUBSTITUTE(SUBSTITUTE(SUBSTITUTE(SUBSTITUTE(SUBSTITUTE(LOWER(TRIM(D370)),"ё","е"),"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категории",""))="инженер",IF(AND(ISNUMBER(SEARCH("техническ",E370)),ISNUMBER(SEARCH("контрол",E370))),"инженер отк",IF(ISNUMBER(SEARCH("диспетч",E370)),"инженер пдо",TRIM(SUBSTITUTE(SUBSTITUTE(SUBSTITUTE(SUBSTITUTE(SUBSTITUTE(SUBSTITUTE(SUBSTITUTE(SUBSTITUTE(SUBSTITUTE(SUBSTITUTE(SUBSTITUTE(LOWER(TRIM(D370)),"ё","е"),"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инженер",IF(ISNUMBER(SEARCH("диспетч",E370)),"ведущий инженер пдо",TRIM(SUBSTITUTE(SUBSTITUTE(SUBSTITUTE(SUBSTITUTE(SUBSTITUTE(SUBSTITUTE(SUBSTITUTE(SUBSTITUTE(SUBSTITUTE(SUBSTITUTE(SUBSTITUTE(LOWER(TRIM(D370)),"ё","е"),"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отк",TRIM(SUBSTITUTE(SUBSTITUTE(SUBSTITUTE(SUBSTITUTE(SUBSTITUTE(SUBSTITUTE(SUBSTITUTE(SUBSTITUTE(SUBSTITUTE(SUBSTITUTE(SUBSTITUTE(LOWER(TRIM(D370)),"ё","е"),"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70" s="12" t="n">
        <f aca="false">IFERROR(INDEX(Соответствие!$B$2:$B$76,MATCH(G370,Соответствие!$A$2:$A$76,0)),"?")</f>
        <v>19</v>
      </c>
      <c r="I370" s="9" t="str">
        <f aca="false">IFERROR(INDEX('Перечень должностей'!$C$2:$C$46,MATCH(H370,'Перечень должностей'!$A$2:$A$46,0)),"")</f>
        <v>п.4.3.1, п.4.3.2, п.4.4, п.5.1, п.6.2, п.15</v>
      </c>
      <c r="J370" s="12" t="n">
        <f aca="false">IFERROR(INDEX('Перечень должностей'!$D$2:$D$46,MATCH(H370,'Перечень должностей'!$A$2:$A$46,0)),12)</f>
        <v>12</v>
      </c>
      <c r="K370" s="17"/>
      <c r="L370" s="17"/>
      <c r="M370" s="16" t="str">
        <f aca="false">IF(K370="","",EDATE(IF(L370&lt;&gt;"",L370,K370),J370))</f>
        <v/>
      </c>
      <c r="N370" s="12" t="str">
        <f aca="false">IFERROR(INDEX('Перечень должностей'!$F$2:$F$46,MATCH(H370,'Перечень должностей'!$A$2:$A$46,0)),"")</f>
        <v>-</v>
      </c>
      <c r="O370" s="17"/>
      <c r="P370" s="16" t="str">
        <f aca="false">IF(O370="","",EDATE(O370,60))</f>
        <v/>
      </c>
      <c r="Q370" s="12" t="str">
        <f aca="false">IF(AND(K370&lt;&gt;"",F370&lt;&gt;"",K370&gt;F370),"ДА","")</f>
        <v/>
      </c>
      <c r="R370" s="19" t="s">
        <v>73</v>
      </c>
    </row>
    <row r="371" customFormat="false" ht="23.25" hidden="false" customHeight="true" outlineLevel="0" collapsed="false">
      <c r="A371" s="15" t="n">
        <v>370</v>
      </c>
      <c r="B371" s="12" t="s">
        <v>81</v>
      </c>
      <c r="C371" s="15" t="s">
        <v>86</v>
      </c>
      <c r="D371" s="15" t="s">
        <v>84</v>
      </c>
      <c r="E371" s="15" t="s">
        <v>85</v>
      </c>
      <c r="F371" s="16" t="n">
        <v>46286</v>
      </c>
      <c r="G371" s="5" t="str">
        <f aca="false">IF(TRIM(SUBSTITUTE(SUBSTITUTE(SUBSTITUTE(SUBSTITUTE(SUBSTITUTE(SUBSTITUTE(SUBSTITUTE(SUBSTITUTE(SUBSTITUTE(SUBSTITUTE(SUBSTITUTE(LOWER(TRIM(D371)),"ё","е"),"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категории",""))="инженер",IF(AND(ISNUMBER(SEARCH("техническ",E371)),ISNUMBER(SEARCH("контрол",E371))),"инженер отк",IF(ISNUMBER(SEARCH("диспетч",E371)),"инженер пдо",TRIM(SUBSTITUTE(SUBSTITUTE(SUBSTITUTE(SUBSTITUTE(SUBSTITUTE(SUBSTITUTE(SUBSTITUTE(SUBSTITUTE(SUBSTITUTE(SUBSTITUTE(SUBSTITUTE(LOWER(TRIM(D371)),"ё","е"),"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инженер",IF(ISNUMBER(SEARCH("диспетч",E371)),"ведущий инженер пдо",TRIM(SUBSTITUTE(SUBSTITUTE(SUBSTITUTE(SUBSTITUTE(SUBSTITUTE(SUBSTITUTE(SUBSTITUTE(SUBSTITUTE(SUBSTITUTE(SUBSTITUTE(SUBSTITUTE(LOWER(TRIM(D371)),"ё","е"),"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отк",TRIM(SUBSTITUTE(SUBSTITUTE(SUBSTITUTE(SUBSTITUTE(SUBSTITUTE(SUBSTITUTE(SUBSTITUTE(SUBSTITUTE(SUBSTITUTE(SUBSTITUTE(SUBSTITUTE(LOWER(TRIM(D371)),"ё","е")," -","-"),"- ","-")," 2 разряда","")," 3 разряда","")," 4 разряда","")," 5 разряда","")," 6 разряда","")," 1 категории","")," 2 категории","")," 3 категории","")))))</f>
        <v>слесарь-сборщик</v>
      </c>
      <c r="H371" s="12" t="n">
        <f aca="false">IFERROR(INDEX(Соответствие!$B$2:$B$76,MATCH(G371,Соответствие!$A$2:$A$76,0)),"?")</f>
        <v>19</v>
      </c>
      <c r="I371" s="9" t="str">
        <f aca="false">IFERROR(INDEX('Перечень должностей'!$C$2:$C$46,MATCH(H371,'Перечень должностей'!$A$2:$A$46,0)),"")</f>
        <v>п.4.3.1, п.4.3.2, п.4.4, п.5.1, п.6.2, п.15</v>
      </c>
      <c r="J371" s="12" t="n">
        <f aca="false">IFERROR(INDEX('Перечень должностей'!$D$2:$D$46,MATCH(H371,'Перечень должностей'!$A$2:$A$46,0)),12)</f>
        <v>12</v>
      </c>
      <c r="K371" s="17"/>
      <c r="L371" s="17"/>
      <c r="M371" s="16" t="str">
        <f aca="false">IF(K371="","",EDATE(IF(L371&lt;&gt;"",L371,K371),J371))</f>
        <v/>
      </c>
      <c r="N371" s="12" t="str">
        <f aca="false">IFERROR(INDEX('Перечень должностей'!$F$2:$F$46,MATCH(H371,'Перечень должностей'!$A$2:$A$46,0)),"")</f>
        <v>-</v>
      </c>
      <c r="O371" s="17"/>
      <c r="P371" s="16" t="str">
        <f aca="false">IF(O371="","",EDATE(O371,60))</f>
        <v/>
      </c>
      <c r="Q371" s="12" t="str">
        <f aca="false">IF(AND(K371&lt;&gt;"",F371&lt;&gt;"",K371&gt;F371),"ДА","")</f>
        <v/>
      </c>
      <c r="R371" s="19" t="s">
        <v>51</v>
      </c>
    </row>
    <row r="372" customFormat="false" ht="23.25" hidden="false" customHeight="true" outlineLevel="0" collapsed="false">
      <c r="A372" s="15" t="n">
        <v>371</v>
      </c>
      <c r="B372" s="12" t="s">
        <v>81</v>
      </c>
      <c r="C372" s="15" t="s">
        <v>87</v>
      </c>
      <c r="D372" s="15" t="s">
        <v>75</v>
      </c>
      <c r="E372" s="15" t="s">
        <v>88</v>
      </c>
      <c r="F372" s="16" t="n">
        <v>46269</v>
      </c>
      <c r="G372" s="5" t="str">
        <f aca="false">IF(TRIM(SUBSTITUTE(SUBSTITUTE(SUBSTITUTE(SUBSTITUTE(SUBSTITUTE(SUBSTITUTE(SUBSTITUTE(SUBSTITUTE(SUBSTITUTE(SUBSTITUTE(SUBSTITUTE(LOWER(TRIM(D372)),"ё","е"),"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категории",""))="инженер",IF(AND(ISNUMBER(SEARCH("техническ",E372)),ISNUMBER(SEARCH("контрол",E372))),"инженер отк",IF(ISNUMBER(SEARCH("диспетч",E372)),"инженер пдо",TRIM(SUBSTITUTE(SUBSTITUTE(SUBSTITUTE(SUBSTITUTE(SUBSTITUTE(SUBSTITUTE(SUBSTITUTE(SUBSTITUTE(SUBSTITUTE(SUBSTITUTE(SUBSTITUTE(LOWER(TRIM(D372)),"ё","е"),"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инженер",IF(ISNUMBER(SEARCH("диспетч",E372)),"ведущий инженер пдо",TRIM(SUBSTITUTE(SUBSTITUTE(SUBSTITUTE(SUBSTITUTE(SUBSTITUTE(SUBSTITUTE(SUBSTITUTE(SUBSTITUTE(SUBSTITUTE(SUBSTITUTE(SUBSTITUTE(LOWER(TRIM(D372)),"ё","е"),"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отк",TRIM(SUBSTITUTE(SUBSTITUTE(SUBSTITUTE(SUBSTITUTE(SUBSTITUTE(SUBSTITUTE(SUBSTITUTE(SUBSTITUTE(SUBSTITUTE(SUBSTITUTE(SUBSTITUTE(LOWER(TRIM(D372)),"ё","е")," -","-"),"- ","-")," 2 разряда","")," 3 разряда","")," 4 разряда","")," 5 разряда","")," 6 разряда","")," 1 категории","")," 2 категории","")," 3 категории","")))))</f>
        <v>кладовщик</v>
      </c>
      <c r="H372" s="12" t="n">
        <f aca="false">IFERROR(INDEX(Соответствие!$B$2:$B$76,MATCH(G372,Соответствие!$A$2:$A$76,0)),"?")</f>
        <v>14</v>
      </c>
      <c r="I372" s="9" t="str">
        <f aca="false">IFERROR(INDEX('Перечень должностей'!$C$2:$C$46,MATCH(H372,'Перечень должностей'!$A$2:$A$46,0)),"")</f>
        <v>п.4.4, п.5.1, п.6.2</v>
      </c>
      <c r="J372" s="12" t="n">
        <f aca="false">IFERROR(INDEX('Перечень должностей'!$D$2:$D$46,MATCH(H372,'Перечень должностей'!$A$2:$A$46,0)),12)</f>
        <v>12</v>
      </c>
      <c r="K372" s="17"/>
      <c r="L372" s="17"/>
      <c r="M372" s="16" t="str">
        <f aca="false">IF(K372="","",EDATE(IF(L372&lt;&gt;"",L372,K372),J372))</f>
        <v/>
      </c>
      <c r="N372" s="12" t="str">
        <f aca="false">IFERROR(INDEX('Перечень должностей'!$F$2:$F$46,MATCH(H372,'Перечень должностей'!$A$2:$A$46,0)),"")</f>
        <v>-</v>
      </c>
      <c r="O372" s="17"/>
      <c r="P372" s="16" t="str">
        <f aca="false">IF(O372="","",EDATE(O372,60))</f>
        <v/>
      </c>
      <c r="Q372" s="12" t="str">
        <f aca="false">IF(AND(K372&lt;&gt;"",F372&lt;&gt;"",K372&gt;F372),"ДА","")</f>
        <v/>
      </c>
      <c r="R372" s="19" t="s">
        <v>89</v>
      </c>
    </row>
  </sheetData>
  <autoFilter ref="A1:R372"/>
  <conditionalFormatting sqref="K2:K372">
    <cfRule type="expression" priority="2" aboveAverage="0" equalAverage="0" bottom="0" percent="0" rank="0" text="" dxfId="14">
      <formula>K2=""</formula>
    </cfRule>
  </conditionalFormatting>
  <conditionalFormatting sqref="M2:M372">
    <cfRule type="expression" priority="3" aboveAverage="0" equalAverage="0" bottom="0" percent="0" rank="0" text="" dxfId="15">
      <formula>AND(M2&lt;&gt;"",M2&lt;TODAY())</formula>
    </cfRule>
    <cfRule type="expression" priority="4" aboveAverage="0" equalAverage="0" bottom="0" percent="0" rank="0" text="" dxfId="16">
      <formula>AND(M2&lt;&gt;"",M2&gt;=TODAY(),M2-TODAY()&lt;=30)</formula>
    </cfRule>
    <cfRule type="expression" priority="5" aboveAverage="0" equalAverage="0" bottom="0" percent="0" rank="0" text="" dxfId="17">
      <formula>AND(M2&lt;&gt;"",M2-TODAY()&gt;30)</formula>
    </cfRule>
  </conditionalFormatting>
  <conditionalFormatting sqref="N2:N372">
    <cfRule type="expression" priority="6" aboveAverage="0" equalAverage="0" bottom="0" percent="0" rank="0" text="" dxfId="18">
      <formula>EXACT(N2,"Да")</formula>
    </cfRule>
    <cfRule type="expression" priority="7" aboveAverage="0" equalAverage="0" bottom="0" percent="0" rank="0" text="" dxfId="19">
      <formula>EXACT(N2,"Проверить")</formula>
    </cfRule>
  </conditionalFormatting>
  <conditionalFormatting sqref="P2:P372">
    <cfRule type="expression" priority="8" aboveAverage="0" equalAverage="0" bottom="0" percent="0" rank="0" text="" dxfId="15">
      <formula>AND(P2&lt;&gt;"",P2&lt;TODAY())</formula>
    </cfRule>
    <cfRule type="expression" priority="9" aboveAverage="0" equalAverage="0" bottom="0" percent="0" rank="0" text="" dxfId="16">
      <formula>AND(P2&lt;&gt;"",P2&gt;=TODAY(),P2-TODAY()&lt;=30)</formula>
    </cfRule>
    <cfRule type="expression" priority="10" aboveAverage="0" equalAverage="0" bottom="0" percent="0" rank="0" text="" dxfId="17">
      <formula>AND(P2&lt;&gt;"",P2-TODAY()&gt;30)</formula>
    </cfRule>
  </conditionalFormatting>
  <conditionalFormatting sqref="Q2:Q372">
    <cfRule type="expression" priority="11" aboveAverage="0" equalAverage="0" bottom="0" percent="0" rank="0" text="" dxfId="15">
      <formula>Q2="ДА"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6"/>
    <col collapsed="false" customWidth="true" hidden="false" outlineLevel="0" max="3" min="3" style="1" width="3"/>
    <col collapsed="false" customWidth="true" hidden="false" outlineLevel="0" max="4" min="4" style="1" width="20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2" t="s">
        <v>844</v>
      </c>
    </row>
    <row r="2" customFormat="false" ht="14.25" hidden="false" customHeight="true" outlineLevel="0" collapsed="false">
      <c r="A2" s="6" t="s">
        <v>845</v>
      </c>
    </row>
    <row r="4" customFormat="false" ht="14.25" hidden="false" customHeight="true" outlineLevel="0" collapsed="false">
      <c r="A4" s="20" t="s">
        <v>31</v>
      </c>
      <c r="B4" s="11" t="s">
        <v>846</v>
      </c>
    </row>
    <row r="5" customFormat="false" ht="14.25" hidden="false" customHeight="true" outlineLevel="0" collapsed="false">
      <c r="A5" s="15" t="s">
        <v>847</v>
      </c>
      <c r="B5" s="21" t="n">
        <f aca="false">COUNTA('Учёт медосмотров'!$C$2:$C$372)</f>
        <v>371</v>
      </c>
    </row>
    <row r="6" customFormat="false" ht="14.25" hidden="false" customHeight="true" outlineLevel="0" collapsed="false">
      <c r="A6" s="15" t="s">
        <v>848</v>
      </c>
      <c r="B6" s="21" t="n">
        <f aca="false">COUNTIF('Учёт медосмотров'!$K$2:$K$372,"&lt;&gt;")</f>
        <v>63</v>
      </c>
    </row>
    <row r="7" customFormat="false" ht="14.25" hidden="false" customHeight="true" outlineLevel="0" collapsed="false">
      <c r="A7" s="15" t="s">
        <v>849</v>
      </c>
      <c r="B7" s="21" t="n">
        <f aca="false">COUNTBLANK('Учёт медосмотров'!$K$2:$K$372)</f>
        <v>308</v>
      </c>
    </row>
    <row r="8" customFormat="false" ht="14.25" hidden="false" customHeight="true" outlineLevel="0" collapsed="false">
      <c r="A8" s="15" t="s">
        <v>850</v>
      </c>
      <c r="B8" s="21" t="n">
        <f aca="false">COUNTIF('Учёт медосмотров'!$L$2:$L$372,"&lt;&gt;")</f>
        <v>0</v>
      </c>
    </row>
    <row r="9" customFormat="false" ht="14.25" hidden="false" customHeight="true" outlineLevel="0" collapsed="false">
      <c r="A9" s="15" t="s">
        <v>851</v>
      </c>
      <c r="B9" s="21" t="n">
        <f aca="true">COUNTIFS('Учёт медосмотров'!$M$2:$M$372,"&lt;&gt;",'Учёт медосмотров'!$M$2:$M$372,"&lt;"&amp;TODAY())</f>
        <v>33</v>
      </c>
    </row>
    <row r="10" customFormat="false" ht="14.25" hidden="false" customHeight="true" outlineLevel="0" collapsed="false">
      <c r="A10" s="15" t="s">
        <v>852</v>
      </c>
      <c r="B10" s="21" t="n">
        <f aca="true">COUNTIFS('Учёт медосмотров'!$M$2:$M$372,"&lt;&gt;",'Учёт медосмотров'!$M$2:$M$372,"&gt;="&amp;TODAY(),'Учёт медосмотров'!$M$2:$M$372,"&lt;="&amp;(TODAY()+30))</f>
        <v>7</v>
      </c>
    </row>
    <row r="11" customFormat="false" ht="14.25" hidden="false" customHeight="true" outlineLevel="0" collapsed="false">
      <c r="A11" s="15" t="s">
        <v>853</v>
      </c>
      <c r="B11" s="21" t="n">
        <f aca="true">COUNTIFS('Учёт медосмотров'!$F$2:$F$372,"&lt;"&amp;(TODAY()-365),'Учёт медосмотров'!$K$2:$K$372,"")</f>
        <v>225</v>
      </c>
    </row>
    <row r="12" customFormat="false" ht="14.25" hidden="false" customHeight="true" outlineLevel="0" collapsed="false">
      <c r="A12" s="15" t="s">
        <v>854</v>
      </c>
      <c r="B12" s="21" t="n">
        <f aca="false">COUNTIF('Учёт медосмотров'!$Q$2:$Q$372,"ДА")</f>
        <v>5</v>
      </c>
    </row>
    <row r="13" customFormat="false" ht="14.25" hidden="false" customHeight="true" outlineLevel="0" collapsed="false">
      <c r="A13" s="15" t="s">
        <v>855</v>
      </c>
      <c r="B13" s="21" t="n">
        <f aca="false">COUNTIF('Учёт медосмотров'!$N$2:$N$372,"Да")</f>
        <v>16</v>
      </c>
    </row>
    <row r="14" customFormat="false" ht="14.25" hidden="false" customHeight="true" outlineLevel="0" collapsed="false">
      <c r="A14" s="15" t="s">
        <v>856</v>
      </c>
      <c r="B14" s="21" t="n">
        <f aca="false">COUNTIF('Учёт медосмотров'!$N$2:$N$372,"Проверить")</f>
        <v>34</v>
      </c>
    </row>
    <row r="15" customFormat="false" ht="14.25" hidden="false" customHeight="true" outlineLevel="0" collapsed="false">
      <c r="A15" s="15" t="s">
        <v>857</v>
      </c>
      <c r="B15" s="21" t="n">
        <f aca="false">COUNTIFS('Учёт медосмотров'!$N$2:$N$372,"Да",'Учёт медосмотров'!$O$2:$O$372,"&lt;&gt;")</f>
        <v>0</v>
      </c>
    </row>
    <row r="16" customFormat="false" ht="14.25" hidden="false" customHeight="true" outlineLevel="0" collapsed="false">
      <c r="A16" s="15" t="s">
        <v>858</v>
      </c>
      <c r="B16" s="21" t="n">
        <f aca="true">COUNTIFS('Учёт медосмотров'!$P$2:$P$372,"&lt;&gt;",'Учёт медосмотров'!$P$2:$P$372,"&lt;"&amp;TODAY())</f>
        <v>0</v>
      </c>
    </row>
    <row r="18" customFormat="false" ht="14.25" hidden="false" customHeight="true" outlineLevel="0" collapsed="false">
      <c r="A18" s="3" t="s">
        <v>859</v>
      </c>
    </row>
    <row r="19" customFormat="false" ht="26.25" hidden="false" customHeight="true" outlineLevel="0" collapsed="false">
      <c r="A19" s="20" t="s">
        <v>44</v>
      </c>
      <c r="B19" s="11" t="s">
        <v>860</v>
      </c>
      <c r="D19" s="11" t="s">
        <v>861</v>
      </c>
    </row>
    <row r="20" customFormat="false" ht="14.25" hidden="false" customHeight="true" outlineLevel="0" collapsed="false">
      <c r="A20" s="15" t="s">
        <v>438</v>
      </c>
      <c r="B20" s="12" t="n">
        <f aca="false">COUNTIF('Учёт медосмотров'!$B$2:$B$372,A20)</f>
        <v>10</v>
      </c>
      <c r="D20" s="12" t="n">
        <f aca="true">COUNTIFS('Учёт медосмотров'!$B$2:$B$372,A20,'Учёт медосмотров'!$M$2:$M$372,"&lt;&gt;",'Учёт медосмотров'!$M$2:$M$372,"&lt;"&amp;TODAY())</f>
        <v>1</v>
      </c>
    </row>
    <row r="21" customFormat="false" ht="14.25" hidden="false" customHeight="true" outlineLevel="0" collapsed="false">
      <c r="A21" s="15" t="s">
        <v>81</v>
      </c>
      <c r="B21" s="12" t="n">
        <f aca="false">COUNTIF('Учёт медосмотров'!$B$2:$B$372,A21)</f>
        <v>65</v>
      </c>
      <c r="D21" s="12" t="n">
        <f aca="true">COUNTIFS('Учёт медосмотров'!$B$2:$B$372,A21,'Учёт медосмотров'!$M$2:$M$372,"&lt;&gt;",'Учёт медосмотров'!$M$2:$M$372,"&lt;"&amp;TODAY())</f>
        <v>14</v>
      </c>
    </row>
    <row r="22" customFormat="false" ht="14.25" hidden="false" customHeight="true" outlineLevel="0" collapsed="false">
      <c r="A22" s="15" t="s">
        <v>755</v>
      </c>
      <c r="B22" s="12" t="n">
        <f aca="false">COUNTIF('Учёт медосмотров'!$B$2:$B$372,A22)</f>
        <v>1</v>
      </c>
      <c r="D22" s="12" t="n">
        <f aca="true">COUNTIFS('Учёт медосмотров'!$B$2:$B$372,A22,'Учёт медосмотров'!$M$2:$M$372,"&lt;&gt;",'Учёт медосмотров'!$M$2:$M$372,"&lt;"&amp;TODAY())</f>
        <v>0</v>
      </c>
    </row>
    <row r="23" customFormat="false" ht="14.25" hidden="false" customHeight="true" outlineLevel="0" collapsed="false">
      <c r="A23" s="15" t="s">
        <v>411</v>
      </c>
      <c r="B23" s="12" t="n">
        <f aca="false">COUNTIF('Учёт медосмотров'!$B$2:$B$372,A23)</f>
        <v>16</v>
      </c>
      <c r="D23" s="12" t="n">
        <f aca="true">COUNTIFS('Учёт медосмотров'!$B$2:$B$372,A23,'Учёт медосмотров'!$M$2:$M$372,"&lt;&gt;",'Учёт медосмотров'!$M$2:$M$372,"&lt;"&amp;TODAY())</f>
        <v>4</v>
      </c>
    </row>
    <row r="24" customFormat="false" ht="14.25" hidden="false" customHeight="true" outlineLevel="0" collapsed="false">
      <c r="A24" s="15" t="s">
        <v>50</v>
      </c>
      <c r="B24" s="12" t="n">
        <f aca="false">COUNTIF('Учёт медосмотров'!$B$2:$B$372,A24)</f>
        <v>176</v>
      </c>
      <c r="D24" s="12" t="n">
        <f aca="true">COUNTIFS('Учёт медосмотров'!$B$2:$B$372,A24,'Учёт медосмотров'!$M$2:$M$372,"&lt;&gt;",'Учёт медосмотров'!$M$2:$M$372,"&lt;"&amp;TODAY())</f>
        <v>5</v>
      </c>
    </row>
    <row r="25" customFormat="false" ht="14.25" hidden="false" customHeight="true" outlineLevel="0" collapsed="false">
      <c r="A25" s="15" t="s">
        <v>415</v>
      </c>
      <c r="B25" s="12" t="n">
        <f aca="false">COUNTIF('Учёт медосмотров'!$B$2:$B$372,A25)</f>
        <v>14</v>
      </c>
      <c r="D25" s="12" t="n">
        <f aca="true">COUNTIFS('Учёт медосмотров'!$B$2:$B$372,A25,'Учёт медосмотров'!$M$2:$M$372,"&lt;&gt;",'Учёт медосмотров'!$M$2:$M$372,"&lt;"&amp;TODAY())</f>
        <v>0</v>
      </c>
    </row>
    <row r="26" customFormat="false" ht="14.25" hidden="false" customHeight="true" outlineLevel="0" collapsed="false">
      <c r="A26" s="15" t="s">
        <v>72</v>
      </c>
      <c r="B26" s="12" t="n">
        <f aca="false">COUNTIF('Учёт медосмотров'!$B$2:$B$372,A26)</f>
        <v>69</v>
      </c>
      <c r="D26" s="12" t="n">
        <f aca="true">COUNTIFS('Учёт медосмотров'!$B$2:$B$372,A26,'Учёт медосмотров'!$M$2:$M$372,"&lt;&gt;",'Учёт медосмотров'!$M$2:$M$372,"&lt;"&amp;TODAY())</f>
        <v>5</v>
      </c>
    </row>
    <row r="27" customFormat="false" ht="14.25" hidden="false" customHeight="true" outlineLevel="0" collapsed="false">
      <c r="A27" s="15" t="s">
        <v>407</v>
      </c>
      <c r="B27" s="12" t="n">
        <f aca="false">COUNTIF('Учёт медосмотров'!$B$2:$B$372,A27)</f>
        <v>20</v>
      </c>
      <c r="D27" s="12" t="n">
        <f aca="true">COUNTIFS('Учёт медосмотров'!$B$2:$B$372,A27,'Учёт медосмотров'!$M$2:$M$372,"&lt;&gt;",'Учёт медосмотров'!$M$2:$M$372,"&lt;"&amp;TODAY())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6"/>
  </cols>
  <sheetData>
    <row r="1" customFormat="false" ht="26.25" hidden="false" customHeight="true" outlineLevel="0" collapsed="false">
      <c r="A1" s="11" t="s">
        <v>862</v>
      </c>
      <c r="B1" s="11" t="s">
        <v>396</v>
      </c>
      <c r="D1" s="6" t="s">
        <v>863</v>
      </c>
    </row>
    <row r="2" customFormat="false" ht="14.25" hidden="false" customHeight="true" outlineLevel="0" collapsed="false">
      <c r="A2" s="5" t="s">
        <v>864</v>
      </c>
      <c r="B2" s="22" t="n">
        <v>18</v>
      </c>
    </row>
    <row r="3" customFormat="false" ht="14.25" hidden="false" customHeight="true" outlineLevel="0" collapsed="false">
      <c r="A3" s="5" t="s">
        <v>865</v>
      </c>
      <c r="B3" s="22" t="n">
        <v>19</v>
      </c>
    </row>
    <row r="4" customFormat="false" ht="14.25" hidden="false" customHeight="true" outlineLevel="0" collapsed="false">
      <c r="A4" s="5" t="s">
        <v>866</v>
      </c>
      <c r="B4" s="22" t="n">
        <v>28</v>
      </c>
    </row>
    <row r="5" customFormat="false" ht="14.25" hidden="false" customHeight="true" outlineLevel="0" collapsed="false">
      <c r="A5" s="5" t="s">
        <v>867</v>
      </c>
      <c r="B5" s="22" t="n">
        <v>28</v>
      </c>
    </row>
    <row r="6" customFormat="false" ht="14.25" hidden="false" customHeight="true" outlineLevel="0" collapsed="false">
      <c r="A6" s="5" t="s">
        <v>868</v>
      </c>
      <c r="B6" s="22" t="n">
        <v>27</v>
      </c>
    </row>
    <row r="7" customFormat="false" ht="14.25" hidden="false" customHeight="true" outlineLevel="0" collapsed="false">
      <c r="A7" s="5" t="s">
        <v>869</v>
      </c>
      <c r="B7" s="22" t="n">
        <v>9</v>
      </c>
    </row>
    <row r="8" customFormat="false" ht="14.25" hidden="false" customHeight="true" outlineLevel="0" collapsed="false">
      <c r="A8" s="5" t="s">
        <v>870</v>
      </c>
      <c r="B8" s="22" t="n">
        <v>27</v>
      </c>
    </row>
    <row r="9" customFormat="false" ht="14.25" hidden="false" customHeight="true" outlineLevel="0" collapsed="false">
      <c r="A9" s="5" t="s">
        <v>871</v>
      </c>
      <c r="B9" s="22" t="n">
        <v>27</v>
      </c>
    </row>
    <row r="10" customFormat="false" ht="14.25" hidden="false" customHeight="true" outlineLevel="0" collapsed="false">
      <c r="A10" s="5" t="s">
        <v>872</v>
      </c>
      <c r="B10" s="22" t="n">
        <v>39</v>
      </c>
    </row>
    <row r="11" customFormat="false" ht="14.25" hidden="false" customHeight="true" outlineLevel="0" collapsed="false">
      <c r="A11" s="5" t="s">
        <v>873</v>
      </c>
      <c r="B11" s="22" t="n">
        <v>39</v>
      </c>
    </row>
    <row r="12" customFormat="false" ht="14.25" hidden="false" customHeight="true" outlineLevel="0" collapsed="false">
      <c r="A12" s="5" t="s">
        <v>874</v>
      </c>
      <c r="B12" s="22" t="n">
        <v>38</v>
      </c>
    </row>
    <row r="13" customFormat="false" ht="14.25" hidden="false" customHeight="true" outlineLevel="0" collapsed="false">
      <c r="A13" s="5" t="s">
        <v>875</v>
      </c>
      <c r="B13" s="22" t="n">
        <v>6</v>
      </c>
    </row>
    <row r="14" customFormat="false" ht="14.25" hidden="false" customHeight="true" outlineLevel="0" collapsed="false">
      <c r="A14" s="5" t="s">
        <v>876</v>
      </c>
      <c r="B14" s="22" t="n">
        <v>5</v>
      </c>
    </row>
    <row r="15" customFormat="false" ht="14.25" hidden="false" customHeight="true" outlineLevel="0" collapsed="false">
      <c r="A15" s="5" t="s">
        <v>877</v>
      </c>
      <c r="B15" s="22" t="n">
        <v>28</v>
      </c>
    </row>
    <row r="16" customFormat="false" ht="14.25" hidden="false" customHeight="true" outlineLevel="0" collapsed="false">
      <c r="A16" s="5" t="s">
        <v>878</v>
      </c>
      <c r="B16" s="22" t="n">
        <v>28</v>
      </c>
    </row>
    <row r="17" customFormat="false" ht="14.25" hidden="false" customHeight="true" outlineLevel="0" collapsed="false">
      <c r="A17" s="5" t="s">
        <v>879</v>
      </c>
      <c r="B17" s="22" t="n">
        <v>42</v>
      </c>
    </row>
    <row r="18" customFormat="false" ht="14.25" hidden="false" customHeight="true" outlineLevel="0" collapsed="false">
      <c r="A18" s="5" t="s">
        <v>880</v>
      </c>
      <c r="B18" s="22" t="n">
        <v>42</v>
      </c>
    </row>
    <row r="19" customFormat="false" ht="14.25" hidden="false" customHeight="true" outlineLevel="0" collapsed="false">
      <c r="A19" s="5" t="s">
        <v>881</v>
      </c>
      <c r="B19" s="22" t="n">
        <v>13</v>
      </c>
    </row>
    <row r="20" customFormat="false" ht="14.25" hidden="false" customHeight="true" outlineLevel="0" collapsed="false">
      <c r="A20" s="5" t="s">
        <v>882</v>
      </c>
      <c r="B20" s="22" t="n">
        <v>27</v>
      </c>
    </row>
    <row r="21" customFormat="false" ht="14.25" hidden="false" customHeight="true" outlineLevel="0" collapsed="false">
      <c r="A21" s="5" t="s">
        <v>883</v>
      </c>
      <c r="B21" s="22" t="n">
        <v>40</v>
      </c>
    </row>
    <row r="22" customFormat="false" ht="14.25" hidden="false" customHeight="true" outlineLevel="0" collapsed="false">
      <c r="A22" s="5" t="s">
        <v>884</v>
      </c>
      <c r="B22" s="22" t="n">
        <v>17</v>
      </c>
    </row>
    <row r="23" customFormat="false" ht="14.25" hidden="false" customHeight="true" outlineLevel="0" collapsed="false">
      <c r="A23" s="5" t="s">
        <v>885</v>
      </c>
      <c r="B23" s="22" t="n">
        <v>4</v>
      </c>
    </row>
    <row r="24" customFormat="false" ht="14.25" hidden="false" customHeight="true" outlineLevel="0" collapsed="false">
      <c r="A24" s="5" t="s">
        <v>886</v>
      </c>
      <c r="B24" s="22" t="n">
        <v>11</v>
      </c>
    </row>
    <row r="25" customFormat="false" ht="14.25" hidden="false" customHeight="true" outlineLevel="0" collapsed="false">
      <c r="A25" s="5" t="s">
        <v>887</v>
      </c>
      <c r="B25" s="22" t="n">
        <v>2</v>
      </c>
    </row>
    <row r="26" customFormat="false" ht="14.25" hidden="false" customHeight="true" outlineLevel="0" collapsed="false">
      <c r="A26" s="5" t="s">
        <v>888</v>
      </c>
      <c r="B26" s="22" t="n">
        <v>14</v>
      </c>
    </row>
    <row r="27" customFormat="false" ht="14.25" hidden="false" customHeight="true" outlineLevel="0" collapsed="false">
      <c r="A27" s="5" t="s">
        <v>889</v>
      </c>
      <c r="B27" s="22" t="n">
        <v>14</v>
      </c>
    </row>
    <row r="28" customFormat="false" ht="14.25" hidden="false" customHeight="true" outlineLevel="0" collapsed="false">
      <c r="A28" s="5" t="s">
        <v>890</v>
      </c>
      <c r="B28" s="22" t="n">
        <v>13</v>
      </c>
    </row>
    <row r="29" customFormat="false" ht="14.25" hidden="false" customHeight="true" outlineLevel="0" collapsed="false">
      <c r="A29" s="5" t="s">
        <v>891</v>
      </c>
      <c r="B29" s="22" t="n">
        <v>15</v>
      </c>
    </row>
    <row r="30" customFormat="false" ht="14.25" hidden="false" customHeight="true" outlineLevel="0" collapsed="false">
      <c r="A30" s="5" t="s">
        <v>892</v>
      </c>
      <c r="B30" s="22" t="n">
        <v>36</v>
      </c>
    </row>
    <row r="31" customFormat="false" ht="14.25" hidden="false" customHeight="true" outlineLevel="0" collapsed="false">
      <c r="A31" s="5" t="s">
        <v>893</v>
      </c>
      <c r="B31" s="22" t="n">
        <v>18</v>
      </c>
    </row>
    <row r="32" customFormat="false" ht="14.25" hidden="false" customHeight="true" outlineLevel="0" collapsed="false">
      <c r="A32" s="5" t="s">
        <v>894</v>
      </c>
      <c r="B32" s="22" t="n">
        <v>18</v>
      </c>
    </row>
    <row r="33" customFormat="false" ht="14.25" hidden="false" customHeight="true" outlineLevel="0" collapsed="false">
      <c r="A33" s="5" t="s">
        <v>895</v>
      </c>
      <c r="B33" s="22" t="n">
        <v>29</v>
      </c>
    </row>
    <row r="34" customFormat="false" ht="14.25" hidden="false" customHeight="true" outlineLevel="0" collapsed="false">
      <c r="A34" s="5" t="s">
        <v>896</v>
      </c>
      <c r="B34" s="22" t="n">
        <v>29</v>
      </c>
    </row>
    <row r="35" customFormat="false" ht="14.25" hidden="false" customHeight="true" outlineLevel="0" collapsed="false">
      <c r="A35" s="5" t="s">
        <v>897</v>
      </c>
      <c r="B35" s="22" t="n">
        <v>22</v>
      </c>
    </row>
    <row r="36" customFormat="false" ht="14.25" hidden="false" customHeight="true" outlineLevel="0" collapsed="false">
      <c r="A36" s="5" t="s">
        <v>898</v>
      </c>
      <c r="B36" s="22" t="n">
        <v>3</v>
      </c>
    </row>
    <row r="37" customFormat="false" ht="14.25" hidden="false" customHeight="true" outlineLevel="0" collapsed="false">
      <c r="A37" s="5" t="s">
        <v>899</v>
      </c>
      <c r="B37" s="22" t="n">
        <v>11</v>
      </c>
    </row>
    <row r="38" customFormat="false" ht="14.25" hidden="false" customHeight="true" outlineLevel="0" collapsed="false">
      <c r="A38" s="5" t="s">
        <v>900</v>
      </c>
      <c r="B38" s="22" t="n">
        <v>37</v>
      </c>
    </row>
    <row r="39" customFormat="false" ht="14.25" hidden="false" customHeight="true" outlineLevel="0" collapsed="false">
      <c r="A39" s="5" t="s">
        <v>901</v>
      </c>
      <c r="B39" s="22" t="n">
        <v>23</v>
      </c>
    </row>
    <row r="40" customFormat="false" ht="14.25" hidden="false" customHeight="true" outlineLevel="0" collapsed="false">
      <c r="A40" s="5" t="s">
        <v>902</v>
      </c>
      <c r="B40" s="22" t="n">
        <v>45</v>
      </c>
    </row>
    <row r="41" customFormat="false" ht="14.25" hidden="false" customHeight="true" outlineLevel="0" collapsed="false">
      <c r="A41" s="5" t="s">
        <v>903</v>
      </c>
      <c r="B41" s="22" t="n">
        <v>31</v>
      </c>
    </row>
    <row r="42" customFormat="false" ht="14.25" hidden="false" customHeight="true" outlineLevel="0" collapsed="false">
      <c r="A42" s="5" t="s">
        <v>904</v>
      </c>
      <c r="B42" s="22" t="n">
        <v>35</v>
      </c>
    </row>
    <row r="43" customFormat="false" ht="14.25" hidden="false" customHeight="true" outlineLevel="0" collapsed="false">
      <c r="A43" s="5" t="s">
        <v>905</v>
      </c>
      <c r="B43" s="22" t="n">
        <v>16</v>
      </c>
    </row>
    <row r="44" customFormat="false" ht="14.25" hidden="false" customHeight="true" outlineLevel="0" collapsed="false">
      <c r="A44" s="5" t="s">
        <v>906</v>
      </c>
      <c r="B44" s="22" t="n">
        <v>30</v>
      </c>
    </row>
    <row r="45" customFormat="false" ht="14.25" hidden="false" customHeight="true" outlineLevel="0" collapsed="false">
      <c r="A45" s="5" t="s">
        <v>907</v>
      </c>
      <c r="B45" s="22" t="n">
        <v>43</v>
      </c>
    </row>
    <row r="46" customFormat="false" ht="14.25" hidden="false" customHeight="true" outlineLevel="0" collapsed="false">
      <c r="A46" s="5" t="s">
        <v>908</v>
      </c>
      <c r="B46" s="22" t="n">
        <v>25</v>
      </c>
    </row>
    <row r="47" customFormat="false" ht="14.25" hidden="false" customHeight="true" outlineLevel="0" collapsed="false">
      <c r="A47" s="5" t="s">
        <v>909</v>
      </c>
      <c r="B47" s="22" t="n">
        <v>1</v>
      </c>
    </row>
    <row r="48" customFormat="false" ht="14.25" hidden="false" customHeight="true" outlineLevel="0" collapsed="false">
      <c r="A48" s="5" t="s">
        <v>910</v>
      </c>
      <c r="B48" s="22" t="n">
        <v>7</v>
      </c>
    </row>
    <row r="49" customFormat="false" ht="14.25" hidden="false" customHeight="true" outlineLevel="0" collapsed="false">
      <c r="A49" s="5" t="s">
        <v>911</v>
      </c>
      <c r="B49" s="22" t="n">
        <v>9</v>
      </c>
    </row>
    <row r="50" customFormat="false" ht="14.25" hidden="false" customHeight="true" outlineLevel="0" collapsed="false">
      <c r="A50" s="5" t="s">
        <v>912</v>
      </c>
      <c r="B50" s="22" t="n">
        <v>26</v>
      </c>
    </row>
    <row r="51" customFormat="false" ht="14.25" hidden="false" customHeight="true" outlineLevel="0" collapsed="false">
      <c r="A51" s="5" t="s">
        <v>913</v>
      </c>
      <c r="B51" s="22" t="n">
        <v>32</v>
      </c>
    </row>
    <row r="52" customFormat="false" ht="14.25" hidden="false" customHeight="true" outlineLevel="0" collapsed="false">
      <c r="A52" s="5" t="s">
        <v>914</v>
      </c>
      <c r="B52" s="22" t="n">
        <v>41</v>
      </c>
    </row>
    <row r="53" customFormat="false" ht="14.25" hidden="false" customHeight="true" outlineLevel="0" collapsed="false">
      <c r="A53" s="5" t="s">
        <v>915</v>
      </c>
      <c r="B53" s="22" t="n">
        <v>8</v>
      </c>
    </row>
    <row r="54" customFormat="false" ht="14.25" hidden="false" customHeight="true" outlineLevel="0" collapsed="false">
      <c r="A54" s="5" t="s">
        <v>916</v>
      </c>
      <c r="B54" s="22" t="n">
        <v>19</v>
      </c>
    </row>
    <row r="55" customFormat="false" ht="14.25" hidden="false" customHeight="true" outlineLevel="0" collapsed="false">
      <c r="A55" s="5" t="s">
        <v>917</v>
      </c>
      <c r="B55" s="22" t="n">
        <v>19</v>
      </c>
    </row>
    <row r="56" customFormat="false" ht="14.25" hidden="false" customHeight="true" outlineLevel="0" collapsed="false">
      <c r="A56" s="5" t="s">
        <v>918</v>
      </c>
      <c r="B56" s="22" t="n">
        <v>12</v>
      </c>
    </row>
    <row r="57" customFormat="false" ht="14.25" hidden="false" customHeight="true" outlineLevel="0" collapsed="false">
      <c r="A57" s="5" t="s">
        <v>919</v>
      </c>
      <c r="B57" s="22" t="n">
        <v>44</v>
      </c>
    </row>
    <row r="58" customFormat="false" ht="14.25" hidden="false" customHeight="true" outlineLevel="0" collapsed="false">
      <c r="A58" s="5" t="s">
        <v>920</v>
      </c>
      <c r="B58" s="22" t="n">
        <v>14</v>
      </c>
    </row>
    <row r="59" customFormat="false" ht="14.25" hidden="false" customHeight="true" outlineLevel="0" collapsed="false">
      <c r="A59" s="5" t="s">
        <v>921</v>
      </c>
      <c r="B59" s="22" t="n">
        <v>45</v>
      </c>
    </row>
    <row r="60" customFormat="false" ht="14.25" hidden="false" customHeight="true" outlineLevel="0" collapsed="false">
      <c r="A60" s="5" t="s">
        <v>922</v>
      </c>
      <c r="B60" s="22" t="n">
        <v>45</v>
      </c>
    </row>
    <row r="61" customFormat="false" ht="14.25" hidden="false" customHeight="true" outlineLevel="0" collapsed="false">
      <c r="A61" s="5" t="s">
        <v>923</v>
      </c>
      <c r="B61" s="22" t="n">
        <v>44</v>
      </c>
    </row>
    <row r="62" customFormat="false" ht="14.25" hidden="false" customHeight="true" outlineLevel="0" collapsed="false">
      <c r="A62" s="5" t="s">
        <v>924</v>
      </c>
      <c r="B62" s="22" t="n">
        <v>45</v>
      </c>
    </row>
    <row r="63" customFormat="false" ht="14.25" hidden="false" customHeight="true" outlineLevel="0" collapsed="false">
      <c r="A63" s="5" t="s">
        <v>925</v>
      </c>
      <c r="B63" s="22" t="n">
        <v>10</v>
      </c>
    </row>
    <row r="64" customFormat="false" ht="14.25" hidden="false" customHeight="true" outlineLevel="0" collapsed="false">
      <c r="A64" s="5" t="s">
        <v>926</v>
      </c>
      <c r="B64" s="22" t="n">
        <v>21</v>
      </c>
    </row>
    <row r="65" customFormat="false" ht="14.25" hidden="false" customHeight="true" outlineLevel="0" collapsed="false">
      <c r="A65" s="5" t="s">
        <v>927</v>
      </c>
      <c r="B65" s="22" t="n">
        <v>24</v>
      </c>
    </row>
    <row r="66" customFormat="false" ht="14.25" hidden="false" customHeight="true" outlineLevel="0" collapsed="false">
      <c r="A66" s="5" t="s">
        <v>928</v>
      </c>
      <c r="B66" s="22" t="n">
        <v>45</v>
      </c>
    </row>
    <row r="67" customFormat="false" ht="14.25" hidden="false" customHeight="true" outlineLevel="0" collapsed="false">
      <c r="A67" s="5" t="s">
        <v>929</v>
      </c>
      <c r="B67" s="22" t="n">
        <v>10</v>
      </c>
    </row>
    <row r="68" customFormat="false" ht="14.25" hidden="false" customHeight="true" outlineLevel="0" collapsed="false">
      <c r="A68" s="5" t="s">
        <v>930</v>
      </c>
      <c r="B68" s="22" t="n">
        <v>34</v>
      </c>
    </row>
    <row r="69" customFormat="false" ht="14.25" hidden="false" customHeight="true" outlineLevel="0" collapsed="false">
      <c r="A69" s="5" t="s">
        <v>931</v>
      </c>
      <c r="B69" s="22" t="n">
        <v>10</v>
      </c>
    </row>
    <row r="70" customFormat="false" ht="14.25" hidden="false" customHeight="true" outlineLevel="0" collapsed="false">
      <c r="A70" s="5" t="s">
        <v>932</v>
      </c>
      <c r="B70" s="22" t="n">
        <v>10</v>
      </c>
    </row>
    <row r="71" customFormat="false" ht="14.25" hidden="false" customHeight="true" outlineLevel="0" collapsed="false">
      <c r="A71" s="5" t="s">
        <v>933</v>
      </c>
      <c r="B71" s="22" t="n">
        <v>33</v>
      </c>
    </row>
    <row r="72" customFormat="false" ht="14.25" hidden="false" customHeight="true" outlineLevel="0" collapsed="false">
      <c r="A72" s="5" t="s">
        <v>934</v>
      </c>
      <c r="B72" s="22" t="n">
        <v>20</v>
      </c>
    </row>
    <row r="73" customFormat="false" ht="14.25" hidden="false" customHeight="true" outlineLevel="0" collapsed="false">
      <c r="A73" s="5" t="s">
        <v>935</v>
      </c>
      <c r="B73" s="22" t="n">
        <v>2</v>
      </c>
    </row>
    <row r="74" customFormat="false" ht="14.25" hidden="false" customHeight="true" outlineLevel="0" collapsed="false">
      <c r="A74" s="5" t="s">
        <v>936</v>
      </c>
      <c r="B74" s="22" t="n">
        <v>30</v>
      </c>
      <c r="C74" s="1" t="s">
        <v>937</v>
      </c>
    </row>
    <row r="75" customFormat="false" ht="14.25" hidden="false" customHeight="true" outlineLevel="0" collapsed="false">
      <c r="A75" s="5" t="s">
        <v>938</v>
      </c>
      <c r="B75" s="22" t="n">
        <v>21</v>
      </c>
      <c r="C75" s="1" t="s">
        <v>939</v>
      </c>
    </row>
    <row r="76" customFormat="false" ht="14.25" hidden="false" customHeight="true" outlineLevel="0" collapsed="false">
      <c r="A76" s="5" t="s">
        <v>940</v>
      </c>
      <c r="B76" s="22" t="n">
        <v>36</v>
      </c>
      <c r="C76" s="1" t="s">
        <v>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34"/>
    <col collapsed="false" customWidth="true" hidden="false" outlineLevel="0" max="4" min="4" style="1" width="38"/>
    <col collapsed="false" customWidth="true" hidden="false" outlineLevel="0" max="5" min="5" style="1" width="30"/>
    <col collapsed="false" customWidth="true" hidden="false" outlineLevel="0" max="6" min="6" style="1" width="13"/>
    <col collapsed="false" customWidth="true" hidden="false" outlineLevel="0" max="7" min="7" style="1" width="18"/>
  </cols>
  <sheetData>
    <row r="1" customFormat="false" ht="15.75" hidden="false" customHeight="true" outlineLevel="0" collapsed="false">
      <c r="A1" s="7" t="s">
        <v>941</v>
      </c>
    </row>
    <row r="2" customFormat="false" ht="15" hidden="false" customHeight="true" outlineLevel="0" collapsed="false">
      <c r="A2" s="5" t="s">
        <v>942</v>
      </c>
    </row>
    <row r="4" customFormat="false" ht="34.5" hidden="false" customHeight="true" outlineLevel="0" collapsed="false">
      <c r="A4" s="8" t="s">
        <v>943</v>
      </c>
      <c r="B4" s="8" t="s">
        <v>44</v>
      </c>
      <c r="C4" s="8" t="s">
        <v>41</v>
      </c>
      <c r="D4" s="8" t="s">
        <v>42</v>
      </c>
      <c r="E4" s="8" t="s">
        <v>43</v>
      </c>
      <c r="F4" s="8" t="s">
        <v>45</v>
      </c>
      <c r="G4" s="8" t="s">
        <v>399</v>
      </c>
    </row>
    <row r="5" customFormat="false" ht="23.25" hidden="false" customHeight="true" outlineLevel="0" collapsed="false">
      <c r="A5" s="9" t="n">
        <v>52</v>
      </c>
      <c r="B5" s="9" t="s">
        <v>81</v>
      </c>
      <c r="C5" s="9" t="s">
        <v>91</v>
      </c>
      <c r="D5" s="9" t="s">
        <v>75</v>
      </c>
      <c r="E5" s="9" t="s">
        <v>92</v>
      </c>
      <c r="F5" s="10" t="n">
        <v>45770</v>
      </c>
      <c r="G5" s="9"/>
    </row>
    <row r="6" customFormat="false" ht="15" hidden="false" customHeight="true" outlineLevel="0" collapsed="false">
      <c r="A6" s="9" t="n">
        <v>98</v>
      </c>
      <c r="B6" s="9" t="s">
        <v>50</v>
      </c>
      <c r="C6" s="9" t="s">
        <v>94</v>
      </c>
      <c r="D6" s="9" t="s">
        <v>95</v>
      </c>
      <c r="E6" s="9" t="s">
        <v>96</v>
      </c>
      <c r="F6" s="10" t="n">
        <v>46139</v>
      </c>
      <c r="G6" s="10" t="n">
        <v>46127</v>
      </c>
    </row>
    <row r="7" customFormat="false" ht="15" hidden="false" customHeight="true" outlineLevel="0" collapsed="false">
      <c r="A7" s="9" t="n">
        <v>302</v>
      </c>
      <c r="B7" s="9" t="s">
        <v>72</v>
      </c>
      <c r="C7" s="9" t="s">
        <v>98</v>
      </c>
      <c r="D7" s="9" t="s">
        <v>99</v>
      </c>
      <c r="E7" s="9" t="s">
        <v>100</v>
      </c>
      <c r="F7" s="10" t="n">
        <v>46140</v>
      </c>
      <c r="G7" s="10" t="n">
        <v>46134</v>
      </c>
    </row>
    <row r="8" customFormat="false" ht="15" hidden="false" customHeight="true" outlineLevel="0" collapsed="false">
      <c r="A8" s="9" t="n">
        <v>304</v>
      </c>
      <c r="B8" s="9" t="s">
        <v>72</v>
      </c>
      <c r="C8" s="9" t="s">
        <v>101</v>
      </c>
      <c r="D8" s="9" t="s">
        <v>60</v>
      </c>
      <c r="E8" s="9" t="s">
        <v>100</v>
      </c>
      <c r="F8" s="10" t="n">
        <v>46036</v>
      </c>
      <c r="G8" s="9"/>
    </row>
    <row r="9" customFormat="false" ht="15" hidden="false" customHeight="true" outlineLevel="0" collapsed="false">
      <c r="A9" s="9" t="n">
        <v>318</v>
      </c>
      <c r="B9" s="9" t="s">
        <v>72</v>
      </c>
      <c r="C9" s="9" t="s">
        <v>102</v>
      </c>
      <c r="D9" s="9" t="s">
        <v>84</v>
      </c>
      <c r="E9" s="9" t="s">
        <v>100</v>
      </c>
      <c r="F9" s="10" t="n">
        <v>45950</v>
      </c>
      <c r="G9" s="10" t="n">
        <v>45941</v>
      </c>
    </row>
    <row r="10" customFormat="false" ht="15" hidden="false" customHeight="true" outlineLevel="0" collapsed="false">
      <c r="A10" s="9" t="n">
        <v>322</v>
      </c>
      <c r="B10" s="9" t="s">
        <v>72</v>
      </c>
      <c r="C10" s="9" t="s">
        <v>103</v>
      </c>
      <c r="D10" s="9" t="s">
        <v>104</v>
      </c>
      <c r="E10" s="9" t="s">
        <v>100</v>
      </c>
      <c r="F10" s="10" t="n">
        <v>46156</v>
      </c>
      <c r="G10" s="10" t="n">
        <v>46147</v>
      </c>
    </row>
  </sheetData>
  <autoFilter ref="A4:G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2026-09-10T05:40:05Z</dcterms:created>
  <dc:creator>openpyxl</dc:creator>
  <dc:description/>
  <dc:language>en-US</dc:language>
  <cp:lastModifiedBy>Айкешева Айгуль Кайргалиевна</cp:lastModifiedBy>
  <dcterms:modified xsi:type="dcterms:W3CDTF">2026-10-15T08:39:44Z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