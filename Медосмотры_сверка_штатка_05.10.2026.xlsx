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Инструкция" sheetId="1" state="visible" r:id="rId3"/>
    <sheet name="Сверка 05.10.2026" sheetId="2" state="visible" r:id="rId4"/>
    <sheet name="Перечень должностей" sheetId="3" state="visible" r:id="rId5"/>
    <sheet name="Учёт медосмотров" sheetId="4" state="visible" r:id="rId6"/>
    <sheet name="Дашборд" sheetId="5" state="visible" r:id="rId7"/>
    <sheet name="Соответствие" sheetId="6" state="hidden" r:id="rId8"/>
    <sheet name="Выбывшие" sheetId="7" state="visible" r:id="rId9"/>
  </sheets>
  <definedNames>
    <definedName function="false" hidden="true" localSheetId="3" name="_xlnm._FilterDatabase" vbProcedure="false">'Учёт медосмотров'!$A$1:$R$372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<sst xmlns="http://schemas.openxmlformats.org/spreadsheetml/2006/main" count="2320" uniqueCount="906">
  <si>
    <t xml:space="preserve">Учёт предварительных и периодических медицинских осмотров</t>
  </si>
  <si>
    <t xml:space="preserve">ООО «Авиационные интерьеры-СН»</t>
  </si>
  <si>
    <t xml:space="preserve">Составлено на основании Приказа №43 от 03.04.2026 «Об утверждении перечня должностей и профессий в ООО «Авиационные интерьеры-СН», подлежащих предварительному (периодическому) медицинскому осмотру» и штатного расписания (по состоянию на 05.10.2026; ранее — 04.09.2026).</t>
  </si>
  <si>
    <t xml:space="preserve">Лист «Перечень должностей»</t>
  </si>
  <si>
    <t xml:space="preserve">Перечень должностей и профессий из Приложения №1 к Приказу №43, пункты приказов №988н/1420н от 31.12.2020 и №29н от 28.01.2021. Столбец «Периодичность периодического осмотра, мес.» проверен по таблице периодичности из приложения к Порядку (Приказ №29н) и подтверждён на уровне 12 месяцев для всех 45 должностей; столбец «Обоснование периодичности» показывает, какой пункт это определяет. Поле остаётся редактируемым (выделено жёлтым) на случай изменения перечня факторов после специальной оценки условий труда.</t>
  </si>
  <si>
    <t xml:space="preserve">Лист «Учёт медосмотров»</t>
  </si>
  <si>
    <t xml:space="preserve">Построчно по каждому сотруднику: должность, пункты приказа, дата предварительного осмотра (жёлтым, вносится фактическая дата), дата последнего фактически пройденного периодического осмотра (жёлтым, заполняется по мере прохождения) и расчётная дата очередного периодического осмотра. Далее - подлежит ли должность психиатрическому освидетельствованию по Приказу №342н, дата его фактического прохождения (жёлтым) и расчётная дата очередного освидетельствования (раз в 5 лет). Столбцы с расчётными датами окрашиваются автоматически: красный - срок уже прошёл, жёлтый - наступает в течение 30 дней, зелёный - срок ещё не подошёл. Пустая дата предварительного осмотра также подсвечивается красным. Последний столбец отмечает «ДА», если дата предварительного осмотра позже даты приёма на работу (возможное нарушение).</t>
  </si>
  <si>
    <t xml:space="preserve">Лист «Дашборд»</t>
  </si>
  <si>
    <t xml:space="preserve">Сводные показатели по компании и по площадкам: у скольких указаны даты предварительного, периодического и психиатрического освидетельствования, у скольких просрочена плановая дата, сколько случаев требуют проверки на нарушение сроков.</t>
  </si>
  <si>
    <t xml:space="preserve">Лист «Соответствие»</t>
  </si>
  <si>
    <t xml:space="preserve">Служебная таблица для формул ИНДЕКС и ПОИСКПОЗ: сопоставление названия должности пункту Перечня. Лист скрыт, редактировать не нужно.</t>
  </si>
  <si>
    <t xml:space="preserve">Источники данных:</t>
  </si>
  <si>
    <t xml:space="preserve">1. Приказ №43 от 03.04.2026, Приложение №1 (перечень должностей, пункты приказов 988н/1420н/29н).</t>
  </si>
  <si>
    <t xml:space="preserve">2. Файл со списком сотрудников и датами предварительных медосмотров (лист «Общая» и листы по площадкам: Жуковский, Машково, Внуково, Руднево, Москва).</t>
  </si>
  <si>
    <t xml:space="preserve">3. Штатное расписание ООО «Авиационные интерьеры-СН» по состоянию на 04.09.2026 (уточнение подразделений).</t>
  </si>
  <si>
    <t xml:space="preserve">4. Приказ Минздрава России №29н от 28.01.2021 «Об утверждении Порядка проведения обязательных предварительных и периодических медицинских осмотров работников...» (приложение к Порядку - таблица периодичности и объёма осмотров, использована для проверки столбца «Периодичность»).</t>
  </si>
  <si>
    <t xml:space="preserve">5. Приказ Минздрава России №342н от 20.05.2022 «Об утверждении Порядка прохождения обязательного психиатрического освидетельствования работниками, осуществляющими отдельные виды деятельности, его периодичности, а также видов деятельности, при осуществлении которых проводится психиатрическое освидетельствование» (Приложение №2 - использовано для столбца «Психиатрическое освидетельствование»).</t>
  </si>
  <si>
    <t xml:space="preserve">Слабые места и допущения, требующие внимания:</t>
  </si>
  <si>
    <t xml:space="preserve">1. Периодичность периодического осмотра (12 месяцев) проверена построчно по таблице "Периодичность и объём..." из приложения к Порядку (Приказ №29н от 28.01.2021): для каждой из 45 должностей взят минимальный интервал среди её пунктов, так как проводится один совмещённый осмотр и он не может быть реже наиболее частого фактора (пункт 18 Порядка). Для всех 45 должностей хотя бы один пункт требует ежегодного осмотра, поэтому 12 месяцев подтверждено для каждой строки, - обоснование указано в столбце «Обоснование периодичности» на листе «Перечень должностей». Отдельно учитывайте правило: работники моложе 21 года проходят периодические осмотры ежегодно вне зависимости от фактора (пункт 18 Порядка).</t>
  </si>
  <si>
    <t xml:space="preserve">2. Для части должностей («Инженер», «Ведущий инженер», «Контролер») исходный файл не уточнял, к какому пункту Перечня они относятся: соответствие определено формулой по названию подразделения (ОТК или ПДО). При переименовании подразделений формулу на листе «Учёт медосмотров» (столбец G) нужно будет пересмотреть.</t>
  </si>
  <si>
    <t xml:space="preserve">3. У большей части сотрудников (около 60%) в исходном файле нет даты предварительного медосмотра, хотя многие приняты на работу более года назад. Это может быть как пробел в учёте, так и фактическое отсутствие осмотра, - требуется сверка с медицинским центром и личными делами.</t>
  </si>
  <si>
    <t xml:space="preserve">4. В нескольких случаях дата предварительного осмотра в исходном файле позже даты приёма на работу, что формально противоречит ст. 213 ТК РФ (осмотр должен предшествовать допуску к работе). Такие случаи автоматически помечены «ДА» в столбце «Нарушение» на листе «Учёт медосмотров».</t>
  </si>
  <si>
    <t xml:space="preserve">5. Ни для одного сотрудника ещё не зафиксирована дата фактически пройденного периодического осмотра, поэтому все расчётные даты очередного осмотра - это первый плановый цикл от даты предварительного осмотра. По мере прохождения периодических осмотров вносите их даты в столбец «Факт. дата последнего пройденного периодического осмотра», и следующая дата пересчитается автоматически.</t>
  </si>
  <si>
    <t xml:space="preserve">6. Список должностей, подлежащих психиатрическому освидетельствованию по Приказу №342н, определён по названию должности и общей логике вида деятельности (управление транспортом - п.1 Приложения №2; работа с электроустановками - п.11-12), это помечено «Да». Для должностей Главный механик, Сборщик стеклопластиковых изделий, Старший сторож/сторож/старший оперативный дежурный/оперативный дежурный совпадение с категориями Приложения №2 первоначально выглядело вероятным (сосуды под давлением/автоклавы, оружие у охраны), но специалист по охране труда подтвердил, что эти должности освидетельствование не проходят, - в столбце «Психиатрическое освидетельствование» проставлено «Нет» с примечанием об этом уточнении. Периодичность (1 раз в 5 лет) взята из части 1 статьи 6 Закона РФ №3185-1, на который ссылается сам Приказ №342н, - в тексте самого приказа число лет не приводится, рекомендуется свериться с законом отдельно. Ни у одного сотрудника пока нет внесённой даты психиатрического освидетельствования - заполняйте по факту прохождения. ИСПРАВЛЕНО 13.10.2026: по Приказу №342н (с 01.09.2022) периодичность освидетельствования не установлена (письмо Минздрава №30-0/3066769); дата «+5 лет» в столбце P — только внутренняя контрольная мера, не требование закона. С 01.03.2026 действуют изменения 342н (Приказ №392н от 02.07.2025) — нумерацию пунктов Приложения №2 сверить.</t>
  </si>
  <si>
    <t xml:space="preserve">7. ИСПРАВЛЕНО 10.09.2026: список сотрудников пересобран заново напрямую из штатного расписания (736 сотрудников на 04.09.2026), а не из ранее использовавшегося отдельного файла учёта - тот файл оказался неполным и не отражал новых сотрудников (например, Раззакову Светлану Владимировну, уборщика производственных и служебных помещений, принятую 27.08.2026, - обнаружено пользователем при ручной проверке). При пересборке также учтено, что должности в штатном расписании содержат разряд/категорию (например, «Столяр 5 разряда», «Инженер 2 категории») - формула сопоставления на листе «Учёт медосмотров» (столбец G) теперь отбрасывает эти суффиксы при поиске пункта Перечня. В результате: добавлено 21 новых сотрудника (включая Раззакову С.В.), исключено 10 - из них 6 больше не значатся в штатном расписании (уволены), а 4 (Добролюбова Г.М., Кляцкин А.Б., Лазебников В.В., Пушкин С.О.) переведены на должности вне перечня Приказа №43. Итоговая численность выросла с 352 до 363 человек. Также обнаружено: по должности «Инженер по эксплуатации» (№17 Перечня) сейчас нет ни одного сотрудника в штате - это не ошибка, а фактическое отсутствие занятых ставок. Рекомендуется впредь сверять этот файл со штатным расписанием при каждом обновлении последнего, так как найденный пробел показывает, что расхождения возникают быстро.</t>
  </si>
  <si>
    <t xml:space="preserve">8. ДОБАВЛЕНО 10.09.2026 по решению специалиста по охране труда: должности «Инженер-электрик» (Жусев А.А., Служба главного инженера) и «Старший охраны объекта» (Рукин Д.И., Отдел режима) включены в Перечень должностей (пункты №2 и №45 соответственно), хотя дословно в тексте Приказа №43 эти формулировки не приведены. Основание: обе должности относятся к тем же подразделениям и характеру работ, что и уже включённые в Приказ №43 «Электромонтёр по ремонту и обслуживанию электрооборудования» (электроустановки) и «Сторож»/«Старший сторож» (охрана объекта) соответственно. Периодичность осмотра и статус психиатрического освидетельствования для этих двух человек унаследованы от соответствующего пункта Перечня.</t>
  </si>
  <si>
    <t xml:space="preserve">9. ОБНОВЛЕНО 13.10.2026: сверка со штатным расписанием от 05.10.2026. Добавлено 12 сотрудников, исключено 6 (нет в штатке — лист «Выбывшие»). В штатке Машково переименованы профессии: Столяр → Техник-сборщик, Маляр → Техник, Оператор станка с ЧПУ → Оператор станков с ЧПУ. «Техник-сборщик» и «Техник» в Приказе №43 отсутствуют — для них временно применены пункты прежних профессий (п.21 и п.36), это отмечено в столбце R. Необходимо внести изменения в Приказ №43. Должности и подразделения в учёте приведены к штатке 05.10.2026. Подробно — лист «Сверка 05.10.2026».</t>
  </si>
  <si>
    <t xml:space="preserve">Дата формирования файла: 10.09.2026. Последнее обновление: 13.10.2026 (сверка со штатным расписанием от 05.10.2026).</t>
  </si>
  <si>
    <t xml:space="preserve">Сверка учёта медосмотров со штатным расписанием от 05.10.2026 и Приказом №43 от 03.04.2026</t>
  </si>
  <si>
    <t xml:space="preserve">Дата сверки: 13.10.2026. Источник: «Штатка плоская» (выгрузка 1С, 737 строк, 129 подразделений).</t>
  </si>
  <si>
    <t xml:space="preserve">1. Итоги</t>
  </si>
  <si>
    <t xml:space="preserve">Показатель</t>
  </si>
  <si>
    <t xml:space="preserve">Кол-во</t>
  </si>
  <si>
    <t xml:space="preserve">Было в учёте (до сверки)</t>
  </si>
  <si>
    <t xml:space="preserve">Исключено: нет в штатном расписании (уволены) — перенесены на лист «Выбывшие»</t>
  </si>
  <si>
    <t xml:space="preserve">Добавлено: должность входит в Перечень, сотрудника не было в учёте</t>
  </si>
  <si>
    <t xml:space="preserve">Стало в учёте</t>
  </si>
  <si>
    <t xml:space="preserve">Изменения должности/подразделения у сотрудников в учёте (см. ниже)</t>
  </si>
  <si>
    <t xml:space="preserve">Из них: должность после переименования отсутствует в Приказе №43</t>
  </si>
  <si>
    <t xml:space="preserve">2. Добавлены в учёт</t>
  </si>
  <si>
    <t xml:space="preserve">№</t>
  </si>
  <si>
    <t xml:space="preserve">ФИО</t>
  </si>
  <si>
    <t xml:space="preserve">Должность</t>
  </si>
  <si>
    <t xml:space="preserve">Подразделение</t>
  </si>
  <si>
    <t xml:space="preserve">Площадка</t>
  </si>
  <si>
    <t xml:space="preserve">Дата приёма</t>
  </si>
  <si>
    <t xml:space="preserve">Примечание</t>
  </si>
  <si>
    <t xml:space="preserve">Картузов Павел Борисович</t>
  </si>
  <si>
    <t xml:space="preserve">Сборщик стеклопластиковых изделий 3 разряда</t>
  </si>
  <si>
    <t xml:space="preserve">Мебельный участок МШ</t>
  </si>
  <si>
    <t xml:space="preserve">Машково</t>
  </si>
  <si>
    <t xml:space="preserve">ДОБАВЛЕН 13.10.2026 по штатному расписанию от 05.10.2026 (принят 21.09.2026)</t>
  </si>
  <si>
    <t xml:space="preserve">Кляцкин Антон Борисович</t>
  </si>
  <si>
    <t xml:space="preserve">Техник-сборщик 3 разряда</t>
  </si>
  <si>
    <t xml:space="preserve">ДОБАВЛЕН 13.10.2026 по штатному расписанию от 05.10.2026 (принят 21.05.2026). Должности «Техник-сборщик 3 разряда» нет в Приказе №43 — пункты временно по п.21 Перечня (аналогичная профессия подразделения), требуется изменение Приказа №43</t>
  </si>
  <si>
    <t xml:space="preserve">Каретников Роман Григорьевич</t>
  </si>
  <si>
    <t xml:space="preserve">Техник 3 разряда</t>
  </si>
  <si>
    <t xml:space="preserve">Участок декоративной отделки МШ</t>
  </si>
  <si>
    <t xml:space="preserve">ДОБАВЛЕН 13.10.2026 по штатному расписанию от 05.10.2026 (принят 02.09.2026). Должности «Техник 3 разряда» нет в Приказе №43 — пункты временно по п.36 Перечня (аналогичная профессия подразделения), требуется изменение Приказа №43</t>
  </si>
  <si>
    <t xml:space="preserve">Дубинкин Александр Сергеевич</t>
  </si>
  <si>
    <t xml:space="preserve">Мастер участка</t>
  </si>
  <si>
    <t xml:space="preserve">Механический участок МШ</t>
  </si>
  <si>
    <t xml:space="preserve">ДОБАВЛЕН 13.10.2026 по штатному расписанию от 05.10.2026 (принят 25.09.2026)</t>
  </si>
  <si>
    <t xml:space="preserve">Иванов Юрий Сергеевич</t>
  </si>
  <si>
    <t xml:space="preserve">Оператор станков с ЧПУ 4 разряда</t>
  </si>
  <si>
    <t xml:space="preserve">ДОБАВЛЕН 13.10.2026 по штатному расписанию от 05.10.2026 (принят 21.09.2026). Написание должности отличается от Приказа №43 («Оператор станка с ЧПУ», п.30). Площадка в штатке не указана — проставлена по подразделению «МШ», уточнить</t>
  </si>
  <si>
    <t xml:space="preserve">Серебреников Артем Андреевич</t>
  </si>
  <si>
    <t xml:space="preserve">Оператор станков с ЧПУ 3 разряда</t>
  </si>
  <si>
    <t xml:space="preserve">ДОБАВЛЕН 13.10.2026 по штатному расписанию от 05.10.2026 (принят 01.10.2026). Написание должности отличается от Приказа №43 («Оператор станка с ЧПУ», п.30)</t>
  </si>
  <si>
    <t xml:space="preserve">Тверитин Сергей Алексеевич</t>
  </si>
  <si>
    <t xml:space="preserve">Инженер-механик</t>
  </si>
  <si>
    <t xml:space="preserve">Служба главного инженера Р</t>
  </si>
  <si>
    <t xml:space="preserve">Руднево</t>
  </si>
  <si>
    <t xml:space="preserve">ДОБАВЛЕН 13.10.2026 по штатному расписанию от 05.10.2026 (принят 01.10.2026)</t>
  </si>
  <si>
    <t xml:space="preserve">Коровин Сергей Юрьевич</t>
  </si>
  <si>
    <t xml:space="preserve">Кладовщик</t>
  </si>
  <si>
    <t xml:space="preserve">Склад Р</t>
  </si>
  <si>
    <t xml:space="preserve">ДОБАВЛЕН 13.10.2026 по штатному расписанию от 05.10.2026 (принят 02.10.2026)</t>
  </si>
  <si>
    <t xml:space="preserve">Власова Ольга Вячеславовна</t>
  </si>
  <si>
    <t xml:space="preserve">Электромонтажник 3 разряда</t>
  </si>
  <si>
    <t xml:space="preserve">Участок РЭО В</t>
  </si>
  <si>
    <t xml:space="preserve">Воронеж</t>
  </si>
  <si>
    <t xml:space="preserve">ДОБАВЛЕН 13.10.2026 по штатному расписанию от 05.10.2026 (принят 28.09.2026)</t>
  </si>
  <si>
    <t xml:space="preserve">Ефременко Роман Вадимович</t>
  </si>
  <si>
    <t xml:space="preserve">Слесарь-сборщик 5 разряда</t>
  </si>
  <si>
    <t xml:space="preserve">Участок сборки В</t>
  </si>
  <si>
    <t xml:space="preserve">Проглядов Евгений Александрович</t>
  </si>
  <si>
    <t xml:space="preserve">Канавец Михаил Сергеевич</t>
  </si>
  <si>
    <t xml:space="preserve">Склад В</t>
  </si>
  <si>
    <t xml:space="preserve">ДОБАВЛЕН 13.10.2026 по штатному расписанию от 05.10.2026 (принят 04.09.2026)</t>
  </si>
  <si>
    <t xml:space="preserve">3. Исключены (нет в штатном расписании)</t>
  </si>
  <si>
    <t xml:space="preserve">Макарцова Инна Михайловна</t>
  </si>
  <si>
    <t xml:space="preserve">Производственное подразделение №6</t>
  </si>
  <si>
    <t xml:space="preserve">Перенесён на лист «Выбывшие»; дата предварительного осмотра в учёте отсутствовала</t>
  </si>
  <si>
    <t xml:space="preserve">Бакланов Виктор Георгиевич</t>
  </si>
  <si>
    <t xml:space="preserve">Ведущий диспетчер</t>
  </si>
  <si>
    <t xml:space="preserve">Планово-диспетчерский отдел</t>
  </si>
  <si>
    <t xml:space="preserve">Перенесён на лист «Выбывшие»</t>
  </si>
  <si>
    <t xml:space="preserve">Федотов Кирилл Сергеевич</t>
  </si>
  <si>
    <t xml:space="preserve">Оператор станка с ЧПУ 4 разряда</t>
  </si>
  <si>
    <t xml:space="preserve">Механический участок</t>
  </si>
  <si>
    <t xml:space="preserve">Щербинин Вадим Сергеевич</t>
  </si>
  <si>
    <t xml:space="preserve">Лотоненко Александр Юрьевич</t>
  </si>
  <si>
    <t xml:space="preserve">Пилюта Артём Михайлович</t>
  </si>
  <si>
    <t xml:space="preserve">Слесарь механосборочных работ 2 разряда</t>
  </si>
  <si>
    <t xml:space="preserve">4. КРИТИЧНО: переименования/переводы, влияющие на применение Приказа №43</t>
  </si>
  <si>
    <t xml:space="preserve">№ (стар.)</t>
  </si>
  <si>
    <t xml:space="preserve">Изменение</t>
  </si>
  <si>
    <t xml:space="preserve">Богданов Александр Викторович</t>
  </si>
  <si>
    <t xml:space="preserve">Перевод: было «Монтажник электрооборудования летательных аппаратов 5 разряда» (п.37) → «Электромонтажник 5 разряда» (п.20). Пункты вредности изменились — проверить по карте СОУТ фактические факторы</t>
  </si>
  <si>
    <t xml:space="preserve">Озорнов Игорь Валерьевич</t>
  </si>
  <si>
    <t xml:space="preserve">Романов Дмитрий Евгеньевич</t>
  </si>
  <si>
    <t xml:space="preserve">Шабалин Александр Сергеевич</t>
  </si>
  <si>
    <t xml:space="preserve">Бабенко Олег Анатольевич</t>
  </si>
  <si>
    <t xml:space="preserve">Переименование: было «Столяр 6 разряда» → «Техник-сборщик 5 разряда». Должности нет в Приказе №43 — пункты применены временно по прежней профессии (п.21 Перечня), требуется изменение Приказа №43</t>
  </si>
  <si>
    <t xml:space="preserve">Макарский Станислав Иванович</t>
  </si>
  <si>
    <t xml:space="preserve">Мураев Вадим Викторович</t>
  </si>
  <si>
    <t xml:space="preserve">Алманов Вячеслав Михайлович</t>
  </si>
  <si>
    <t xml:space="preserve">Переименование: было «Столяр 4 разряда» → «Техник-сборщик 3 разряда». Должности нет в Приказе №43 — пункты применены временно по прежней профессии (п.21 Перечня), требуется изменение Приказа №43</t>
  </si>
  <si>
    <t xml:space="preserve">Семенов Александр Александрович</t>
  </si>
  <si>
    <t xml:space="preserve">Анненков Олег Викторович</t>
  </si>
  <si>
    <t xml:space="preserve">Переименование: было «Столяр - краснодеревщик» → «Техник-сборщик 6 разряда». Должности нет в Приказе №43 — пункты применены временно по прежней профессии (п.21 Перечня), требуется изменение Приказа №43</t>
  </si>
  <si>
    <t xml:space="preserve">Захаров Юрий Викторович</t>
  </si>
  <si>
    <t xml:space="preserve">Малышкин Сергей Константинович</t>
  </si>
  <si>
    <t xml:space="preserve">Маркарян Роман Рубикович</t>
  </si>
  <si>
    <t xml:space="preserve">Савельев Станислав Юрьевич</t>
  </si>
  <si>
    <t xml:space="preserve">Селиванов Алексей Алексеевич</t>
  </si>
  <si>
    <t xml:space="preserve">Трушков Сергей Викторович</t>
  </si>
  <si>
    <t xml:space="preserve">Черносвитов Дмитрий Львович</t>
  </si>
  <si>
    <t xml:space="preserve">Кукушкин Дмитрий Вячеславович</t>
  </si>
  <si>
    <t xml:space="preserve">Переименование: было «Столяр 5 разряда» → «Техник-сборщик 4 разряда». Должности нет в Приказе №43 — пункты применены временно по прежней профессии (п.21 Перечня), требуется изменение Приказа №43</t>
  </si>
  <si>
    <t xml:space="preserve">Михиенков Валерий Евгеньевич</t>
  </si>
  <si>
    <t xml:space="preserve">Петушков Дмитрий Сергеевич</t>
  </si>
  <si>
    <t xml:space="preserve">Полудкин Роман Владимирович</t>
  </si>
  <si>
    <t xml:space="preserve">Рыжков Олег Николаевич</t>
  </si>
  <si>
    <t xml:space="preserve">Степанов Валентин Владимирович</t>
  </si>
  <si>
    <t xml:space="preserve">Цибин Николай Дмитриевич</t>
  </si>
  <si>
    <t xml:space="preserve">Перевод: было «Столяр 5 разряда» (п.21) → «Бригадир» (п.18). Пункты вредности изменились — проверить по карте СОУТ фактические факторы</t>
  </si>
  <si>
    <t xml:space="preserve">Шеин Андрей Геннадьевич</t>
  </si>
  <si>
    <t xml:space="preserve">Матухно Константин Викторович</t>
  </si>
  <si>
    <t xml:space="preserve">Перевод: было «Сборщик стеклопластиковых изделий 6 разряда» (п.26) → «Бригадир» (п.18). Пункты вредности изменились — проверить по карте СОУТ фактические факторы</t>
  </si>
  <si>
    <t xml:space="preserve">Максимов Юрий Анатольевич</t>
  </si>
  <si>
    <t xml:space="preserve">Перевод: было «Оператор-наладчик станков с ЧПУ» → «Инженер-программист станков с ЧПУ 2 категории». Новой должности нет в Приказе №43 — решить: исключить из учёта или включить в Приказ по итогам СОУТ</t>
  </si>
  <si>
    <t xml:space="preserve">Зайцев Андрей Александрович</t>
  </si>
  <si>
    <t xml:space="preserve">Перевод: было «Сборщик стеклопластиковых изделий 4 разряда» (п.26) → «Облицовщик деталей мебели 3 разряда» (п.23). Пункты вредности изменились — проверить по карте СОУТ фактические факторы</t>
  </si>
  <si>
    <t xml:space="preserve">Чусов Иван Леонидович</t>
  </si>
  <si>
    <t xml:space="preserve">Переименование: было «Столяр 3 разряда» → «Техник-сборщик 2 разряда». Должности нет в Приказе №43 — пункты применены временно по прежней профессии (п.21 Перечня), требуется изменение Приказа №43</t>
  </si>
  <si>
    <t xml:space="preserve">Габбасов Евгений Рафисович</t>
  </si>
  <si>
    <t xml:space="preserve">Перевод: было «Маляр 6 разряда» (п.36) → «Бригадир» (п.18). Пункты вредности изменились — проверить по карте СОУТ фактические факторы</t>
  </si>
  <si>
    <t xml:space="preserve">Калинкин Анатолий Сергеевич</t>
  </si>
  <si>
    <t xml:space="preserve">Морев Александр Михайлович</t>
  </si>
  <si>
    <t xml:space="preserve">Перевод: было «Маляр 6 разряда» (п.36) → «Облицовщик деталей мебели 6 разряда» (п.23). Пункты вредности изменились — проверить по карте СОУТ фактические факторы</t>
  </si>
  <si>
    <t xml:space="preserve">Морев Владимир Александрович</t>
  </si>
  <si>
    <t xml:space="preserve">Первушин Максим Александрович</t>
  </si>
  <si>
    <t xml:space="preserve">Переименование: было «Маляр 6 разряда» → «Техник 6 разряда». Должности нет в Приказе №43 — пункты применены временно по прежней профессии (п.36 Перечня), требуется изменение Приказа №43</t>
  </si>
  <si>
    <t xml:space="preserve">Алманова Дойна Виореловна</t>
  </si>
  <si>
    <t xml:space="preserve">Перевод: было «Маляр 4 разряда» (п.36) → «Облицовщик деталей мебели 4 разряда» (п.23). Пункты вредности изменились — проверить по карте СОУТ фактические факторы</t>
  </si>
  <si>
    <t xml:space="preserve">Тимохин Александр Владимирович</t>
  </si>
  <si>
    <t xml:space="preserve">Переименование: было «Маляр 4 разряда» → «Техник 4 разряда». Должности нет в Приказе №43 — пункты применены временно по прежней профессии (п.36 Перечня), требуется изменение Приказа №43</t>
  </si>
  <si>
    <t xml:space="preserve">Караваев Игорь Александрович</t>
  </si>
  <si>
    <t xml:space="preserve">Переименование: было «Маляр 5 разряда» → «Техник 6 разряда». Должности нет в Приказе №43 — пункты применены временно по прежней профессии (п.36 Перечня), требуется изменение Приказа №43</t>
  </si>
  <si>
    <t xml:space="preserve">Лисовский Александр Валерьевич</t>
  </si>
  <si>
    <t xml:space="preserve">Лысенко Анатолий Алексеевич</t>
  </si>
  <si>
    <t xml:space="preserve">Никитин Марат Николаевич</t>
  </si>
  <si>
    <t xml:space="preserve">Переименование: было «Маляр 5 разряда» → «Техник 5 разряда». Должности нет в Приказе №43 — пункты применены временно по прежней профессии (п.36 Перечня), требуется изменение Приказа №43</t>
  </si>
  <si>
    <t xml:space="preserve">Ожерельев Сергей Николаевич</t>
  </si>
  <si>
    <t xml:space="preserve">Гимадиев Евгений Искандерович</t>
  </si>
  <si>
    <t xml:space="preserve">Переименование: было «Маляр 3 разряда» → «Техник 3 разряда». Должности нет в Приказе №43 — пункты применены временно по прежней профессии (п.36 Перечня), требуется изменение Приказа №43</t>
  </si>
  <si>
    <t xml:space="preserve">Китов Алексей Геннадьевич</t>
  </si>
  <si>
    <t xml:space="preserve">Тишин Алексей Владимирович</t>
  </si>
  <si>
    <t xml:space="preserve">Пухова Жанна Аслановна</t>
  </si>
  <si>
    <t xml:space="preserve">Переименование: было «Маляр 2 разряда» → «Техник 2 разряда». Должности нет в Приказе №43 — пункты применены временно по прежней профессии (п.36 Перечня), требуется изменение Приказа №43</t>
  </si>
  <si>
    <t xml:space="preserve">Федышен Валерий Васильевич</t>
  </si>
  <si>
    <t xml:space="preserve">Перевод: было «Оператор термопластавтомата 3 разряда» (п.43) → «Слесарь механосборочных работ 5 разряда» (п.32). Пункты вредности изменились — проверить по карте СОУТ фактические факторы</t>
  </si>
  <si>
    <t xml:space="preserve">Козлов Алексей Викторович</t>
  </si>
  <si>
    <t xml:space="preserve">Перевод: было «Оператор термопластавтомата 5 разряда» (п.43) → «Слесарь механосборочных работ 6 разряда» (п.32). Пункты вредности изменились — проверить по карте СОУТ фактические факторы</t>
  </si>
  <si>
    <t xml:space="preserve">5. Прочие изменения (подразделение / написание должности) — пункты Перечня не меняются</t>
  </si>
  <si>
    <t xml:space="preserve">57 записей: в основном новые названия подразделений с суффиксом площадки (М, МШ, Р, В, н/д) и разделение Производственного подразделения №6 (Воронеж) на участки. Детально — столбец R листа «Учёт медосмотров».</t>
  </si>
  <si>
    <t xml:space="preserve">6. Должности штатного расписания вне Приказа №43, требующие оценки (производственные подразделения и склады)</t>
  </si>
  <si>
    <t xml:space="preserve">Рекомендация</t>
  </si>
  <si>
    <t xml:space="preserve">Хромов Антон Павлович</t>
  </si>
  <si>
    <t xml:space="preserve">Начальник участка</t>
  </si>
  <si>
    <t xml:space="preserve">Мебельный участок (МШ н/д)</t>
  </si>
  <si>
    <t xml:space="preserve">В Приказе №43 нет. Работа в производственном подразделении/на складе — оценить по карте СОУТ; при наличии вредных факторов включить в Приказ.</t>
  </si>
  <si>
    <t xml:space="preserve">Семанин Артем Владимирович</t>
  </si>
  <si>
    <t xml:space="preserve">Инженер-программист станков с ЧПУ 3 категории</t>
  </si>
  <si>
    <t xml:space="preserve">Корянов Олег Владимирович</t>
  </si>
  <si>
    <t xml:space="preserve">Участок декоративной отделки (МШ н/д)</t>
  </si>
  <si>
    <t xml:space="preserve">Инженер-программист станков с ЧПУ 2 категории</t>
  </si>
  <si>
    <t xml:space="preserve">В Приказе №43 нет. Работа в производственном подразделении/на складе — оценить по карте СОУТ; при наличии вредных факторов включить в Приказ. Ранее в учёте как «Оператор-наладчик станков с ЧПУ».</t>
  </si>
  <si>
    <t xml:space="preserve">Ерошин Владимир Григорьевич</t>
  </si>
  <si>
    <t xml:space="preserve">Слесарный участок МШ</t>
  </si>
  <si>
    <t xml:space="preserve">Коровина Марина Андреевна</t>
  </si>
  <si>
    <t xml:space="preserve">Заместитель заведующего складом</t>
  </si>
  <si>
    <t xml:space="preserve">Склад МШ</t>
  </si>
  <si>
    <t xml:space="preserve">Романова Марина Викторовна</t>
  </si>
  <si>
    <t xml:space="preserve">Бунина Екатерина Владимировна</t>
  </si>
  <si>
    <t xml:space="preserve">Заведующий складом</t>
  </si>
  <si>
    <t xml:space="preserve">Куликова Юлия Борисовна</t>
  </si>
  <si>
    <t xml:space="preserve">Руководитель производственного цеха</t>
  </si>
  <si>
    <t xml:space="preserve">Производственный цех Руднево</t>
  </si>
  <si>
    <t xml:space="preserve">Евсеев Дмитрий Андреевич</t>
  </si>
  <si>
    <t xml:space="preserve">Заместитель руководителя производственного цеха</t>
  </si>
  <si>
    <t xml:space="preserve">Пушкин Сергей Олегович</t>
  </si>
  <si>
    <t xml:space="preserve">Участок сборки Р</t>
  </si>
  <si>
    <t xml:space="preserve">7. Проверка требований: Приказ №43 и законодательство</t>
  </si>
  <si>
    <t xml:space="preserve">Требование / объект</t>
  </si>
  <si>
    <t xml:space="preserve">Факт</t>
  </si>
  <si>
    <t xml:space="preserve">Вывод</t>
  </si>
  <si>
    <t xml:space="preserve">7.1</t>
  </si>
  <si>
    <t xml:space="preserve">Пункты 988н/1420н/29н на листе «Перечень должностей» ↔ Приложение №1 к Приказу №43</t>
  </si>
  <si>
    <t xml:space="preserve">Сверено построчно по скану приказа (45 позиций). Пункты совпадают во всех 45 строках.</t>
  </si>
  <si>
    <t xml:space="preserve">Соответствует</t>
  </si>
  <si>
    <t xml:space="preserve">7.2</t>
  </si>
  <si>
    <t xml:space="preserve">Наименования позиций №2 и №45 на листе «Перечень»</t>
  </si>
  <si>
    <t xml:space="preserve">В лист добавлены «инженер-электрик» (№2) и «старший охраны объекта» (№45) — в тексте Приказа №43 их НЕТ (внутреннее решение от 10.09.2026). Жусев А.А., Рукин Д.И. в штате.</t>
  </si>
  <si>
    <t xml:space="preserve">Требуется изменение Приказа №43</t>
  </si>
  <si>
    <t xml:space="preserve">7.3</t>
  </si>
  <si>
    <t xml:space="preserve">Переименования в штатном расписании (Машково)</t>
  </si>
  <si>
    <t xml:space="preserve">Столяр/Столяр-краснодеревщик → Техник-сборщик (22 чел.); Маляр → Техник (12 чел.); Оператор станка с ЧПУ → Оператор станков с ЧПУ (4 чел.); Оператор-наладчик станков с ЧПУ → Инженер-программист станков с ЧПУ; Монтажник электрооборудования ЛА → Электромонтажник (4 чел.). Переименование не устраняет вредные факторы. Новых наименований в Приказе №43 нет.</t>
  </si>
  <si>
    <t xml:space="preserve">Требуется изменение Приказа №43 (п.3.2 приказа; ст. 214, 220 ТК РФ)</t>
  </si>
  <si>
    <t xml:space="preserve">7.4</t>
  </si>
  <si>
    <t xml:space="preserve">Монтажник электрооборудования ЛА → Электромонтажник (Богданов, Озорнов, Романов, Шабалин)</t>
  </si>
  <si>
    <t xml:space="preserve">По п.37 были хим. факторы (п.1.8.4, 1.12, 1.15, 1.25, 1.27, 1.44 — пайка, компаунды). По п.20 «Электромонтажник» их нет. Если работа прежняя — осмотр по п.20 будет неполным.</t>
  </si>
  <si>
    <t xml:space="preserve">Проверить по карте СОУТ</t>
  </si>
  <si>
    <t xml:space="preserve">7.5</t>
  </si>
  <si>
    <t xml:space="preserve">Периодичность периодического осмотра 12 мес.</t>
  </si>
  <si>
    <t xml:space="preserve">Для совмещённого осмотра берётся наименьший интервал среди пунктов. 12 мес. — консервативное значение: осмотр чаще нормы нарушением не является. Подтверждено по источникам: п.4.3.1 (локальная вибрация) — 1 раз в 2 года, т.е. ежегодность задают другие пункты. Полную таблицу приложения 29н в этой сессии открыть не удалось (доступ к garant/consultant закрыт сетевой политикой) — построчное обоснование на листе «Перечень» взято из версии файла от 10.09.2026.</t>
  </si>
  <si>
    <t xml:space="preserve">Допустимо; сверить с таблицей 29н в КонсультантПлюс</t>
  </si>
  <si>
    <t xml:space="preserve">7.6</t>
  </si>
  <si>
    <t xml:space="preserve">Работники моложе 21 года</t>
  </si>
  <si>
    <t xml:space="preserve">Анисимов Игорь Владимирович (род. 28.11.2005) — ежегодный осмотр обязателен независимо от факторов. Уже обеспечено (12 мес.).</t>
  </si>
  <si>
    <t xml:space="preserve">7.7</t>
  </si>
  <si>
    <t xml:space="preserve">Психиатрическое освидетельствование, «1 раз в 5 лет»</t>
  </si>
  <si>
    <t xml:space="preserve">ОШИБКА в прежней версии. Приказ №342н (с 01.09.2022) кратность не устанавливает (письмо Минздрава №30-0/3066769). Освидетельствование — при приёме на вид деятельности из Прил. №2 и по направлению по итогам медосмотра. Столбец P и строка дашборда переименованы во «внутреннюю контрольную дату».</t>
  </si>
  <si>
    <t xml:space="preserve">Исправлено</t>
  </si>
  <si>
    <t xml:space="preserve">7.8</t>
  </si>
  <si>
    <t xml:space="preserve">Изменения 342н с 01.03.2026 (Приказ №392н от 02.07.2025)</t>
  </si>
  <si>
    <t xml:space="preserve">Изменены Приложения №1 и №2 (комиссия врачей-психиатров; исключена гостайна). Номера пунктов Прил. №2 («п.1», «п.11–12») на листе «Перечень» указаны по старой редакции.</t>
  </si>
  <si>
    <t xml:space="preserve">Сверить нумерацию с действующей редакцией</t>
  </si>
  <si>
    <t xml:space="preserve">7.9</t>
  </si>
  <si>
    <t xml:space="preserve">Срок действия 988н/1420н и 29н</t>
  </si>
  <si>
    <t xml:space="preserve">Оба приказа действуют до 01.04.2027. Новых приказов на замену в открытых источниках не найдено.</t>
  </si>
  <si>
    <t xml:space="preserve">Контроль: переутвердить Приказ №43 после выхода новых НПА</t>
  </si>
  <si>
    <t xml:space="preserve">7.10</t>
  </si>
  <si>
    <t xml:space="preserve">Внешние совместители</t>
  </si>
  <si>
    <t xml:space="preserve">3 внешних совместителя в должностях Перечня (Крючкова М.И., Тимофеева Г.П., Лебедева В.М.) — в учёте есть. Медосмотр обязателен и по совместительству.</t>
  </si>
  <si>
    <t xml:space="preserve">7.11</t>
  </si>
  <si>
    <t xml:space="preserve">Позиция №12 «Специалист»</t>
  </si>
  <si>
    <t xml:space="preserve">Включена только должность «Специалист» (бухгалтерия, делопроизводство и др. — офисные). «Ведущий/главный специалист» тех же отделов (22 чел.) не включены. Факторы п.4.4 (шум) для офисных работников нетипичны.</t>
  </si>
  <si>
    <t xml:space="preserve">Пересмотреть позицию по картам СОУТ</t>
  </si>
  <si>
    <t xml:space="preserve">7.12</t>
  </si>
  <si>
    <t xml:space="preserve">Позиции Приказа №43 без сотрудников</t>
  </si>
  <si>
    <t xml:space="preserve">№17 «Инженер по эксплуатации», №24 «Столяр-краснодеревщик», №37 «Монтажник электрооборудования ЛА», №43 «Оператор термопластавтомата» (Федышен В.В., Козлов А.В. переведены в слесари МСР) — по штатке 05.10.2026 занятых ставок нет.</t>
  </si>
  <si>
    <t xml:space="preserve">Учесть при изменении Приказа №43</t>
  </si>
  <si>
    <t xml:space="preserve">№ п/п</t>
  </si>
  <si>
    <t xml:space="preserve">Наименование должности, профессии</t>
  </si>
  <si>
    <t xml:space="preserve">Пункты приказа №988н/1420н от 31.12.2020; №29н от 28.01.2021</t>
  </si>
  <si>
    <t xml:space="preserve">Периодичность периодического осмотра, мес.</t>
  </si>
  <si>
    <t xml:space="preserve">Обоснование периодичности (пункты с периодичностью 1 раз в год по Приложению к Порядку, Приказ №29н)</t>
  </si>
  <si>
    <t xml:space="preserve">Психиатрическое освидетельствование (Приказ №342н)</t>
  </si>
  <si>
    <t xml:space="preserve">Основание / примечание к психиатрическому освидетельствованию</t>
  </si>
  <si>
    <t xml:space="preserve">Численность по учёту (чел.)</t>
  </si>
  <si>
    <t xml:space="preserve">Рабочий по комплексному обслуживанию и ремонту зданий</t>
  </si>
  <si>
    <t xml:space="preserve">п.4.3.1, п.4.4, п.4.7, п.4.8, п.5.1, п.6.1</t>
  </si>
  <si>
    <t xml:space="preserve">п.4.4, п.5.1, п.6.1</t>
  </si>
  <si>
    <t xml:space="preserve">-</t>
  </si>
  <si>
    <t xml:space="preserve">Электромонтер по ремонту и обслуживанию электрооборудования, инженер-электрик</t>
  </si>
  <si>
    <t xml:space="preserve">п.4.2.3, п.4.3.1, п.4.3.2, п.4.4, п.5.1, п.5.2, п.6.2, п.9</t>
  </si>
  <si>
    <t xml:space="preserve">п.4.4, п.5.1, п.6.2</t>
  </si>
  <si>
    <t xml:space="preserve">Да</t>
  </si>
  <si>
    <t xml:space="preserve">п.11 Приложения №2 (монтаж, наладка, техобслуживание, ремонт, управление режимом работы электроустановок)</t>
  </si>
  <si>
    <t xml:space="preserve">Механик</t>
  </si>
  <si>
    <t xml:space="preserve">п.1.50, п.4.3.2, п.4.4, п.4.7, п.4.8, п.5.1, п.5.2, п.6.2, п.15</t>
  </si>
  <si>
    <t xml:space="preserve">Инженер по эксплуатации зданий и сооружений</t>
  </si>
  <si>
    <t xml:space="preserve">п.4.3.1, п.4.4, п.5.1, п.5.2, п.6.2</t>
  </si>
  <si>
    <t xml:space="preserve">Главный энергетик</t>
  </si>
  <si>
    <t xml:space="preserve">п.4.4, п.5.2, п.6.2</t>
  </si>
  <si>
    <t xml:space="preserve">п.4.4, п.6.2</t>
  </si>
  <si>
    <t xml:space="preserve">п.11-12 Приложения №2 (электроустановки и объекты теплоснабжения в ведении главного энергетика)</t>
  </si>
  <si>
    <t xml:space="preserve">Главный механик</t>
  </si>
  <si>
    <t xml:space="preserve">Нет</t>
  </si>
  <si>
    <t xml:space="preserve">уточнено специалистом по охране труда: главный механик психиатрическое освидетельствование не проходит</t>
  </si>
  <si>
    <t xml:space="preserve">Разнорабочий</t>
  </si>
  <si>
    <t xml:space="preserve">Слесарь-ремонтник</t>
  </si>
  <si>
    <t xml:space="preserve">п.4.3.1, п.4.4, п.5.1, п.6.2, п.15</t>
  </si>
  <si>
    <t xml:space="preserve">Ведущий специалист по реставрации, реставратор</t>
  </si>
  <si>
    <t xml:space="preserve">п.4.3.1, п.4.4, п.5.1, п.5.2, п.15</t>
  </si>
  <si>
    <t xml:space="preserve">п.4.4, п.5.1</t>
  </si>
  <si>
    <t xml:space="preserve">Уборщик производственных и служебных помещений, уборщик служебных помещений, старший технический работник, технический работник</t>
  </si>
  <si>
    <t xml:space="preserve">п.1.48, п.4.3.1, п.4.4, п.5.1</t>
  </si>
  <si>
    <t xml:space="preserve">Инженер-механик, механик-наладчик</t>
  </si>
  <si>
    <t xml:space="preserve">п.4.3.1, п.4.3.2, п.4.4, п.4.6, п.5.1, п.6.2</t>
  </si>
  <si>
    <t xml:space="preserve">п.4.4, п.4.6, п.5.1, п.6.2</t>
  </si>
  <si>
    <t xml:space="preserve">Специалист</t>
  </si>
  <si>
    <t xml:space="preserve">п.4.4, п.5.1, п.5.2</t>
  </si>
  <si>
    <t xml:space="preserve">Инженер ОТК, контролер ОТК</t>
  </si>
  <si>
    <t xml:space="preserve">Старший кладовщик, кладовщик, кладовщик-комплектовщик</t>
  </si>
  <si>
    <t xml:space="preserve">Лаборант</t>
  </si>
  <si>
    <t xml:space="preserve">п.1.49.2, п.1.49.14, п.1.50, п.4.3.1, п.4.4, п.6.2</t>
  </si>
  <si>
    <t xml:space="preserve">Оператор склада</t>
  </si>
  <si>
    <t xml:space="preserve">п.4.3.1, п.4.3.2, п.4.4, п.5.1, п.6.2, п.18.1</t>
  </si>
  <si>
    <t xml:space="preserve">Инженер по эксплуатации</t>
  </si>
  <si>
    <t xml:space="preserve">п.4.3.1, п.4.4, п.5.1, п.6.2</t>
  </si>
  <si>
    <t xml:space="preserve">Мастер участка, бригадир</t>
  </si>
  <si>
    <t xml:space="preserve">Слесарь-сборщик, слесарь-сборщик (бригадир)</t>
  </si>
  <si>
    <t xml:space="preserve">п.4.3.1, п.4.3.2, п.4.4, п.5.1, п.6.2, п.15</t>
  </si>
  <si>
    <t xml:space="preserve">Электромонтажник</t>
  </si>
  <si>
    <t xml:space="preserve">п.4.3.1, п.4.3.2, п.4.4, п.4.9, п.5.1, п.5.2, п.6.2, п.9</t>
  </si>
  <si>
    <t xml:space="preserve">п.11 Приложения №2 (электроустановки)</t>
  </si>
  <si>
    <t xml:space="preserve">Столяр</t>
  </si>
  <si>
    <t xml:space="preserve">п.1.49.2, п.1.49.14, п.4.3.1, п.4.3.2, п.4.4, п.5.1, п.15</t>
  </si>
  <si>
    <t xml:space="preserve">Менеджер-комплектовщик</t>
  </si>
  <si>
    <t xml:space="preserve">Облицовщик деталей мебели</t>
  </si>
  <si>
    <t xml:space="preserve">Столяр-краснодеревщик</t>
  </si>
  <si>
    <t xml:space="preserve">Оператор-наладчик станков с ЧПУ</t>
  </si>
  <si>
    <t xml:space="preserve">п.4.3.1, п.4.3.2, п.4.4, п.5.1, п.5.2, п.15</t>
  </si>
  <si>
    <t xml:space="preserve">Сборщик стеклопластиковых изделий</t>
  </si>
  <si>
    <t xml:space="preserve">п.1.37.1, п.3.1.8.3, п.4.3.1, п.4.4, п.5.1, п.15</t>
  </si>
  <si>
    <t xml:space="preserve">п.1.37.1, п.4.4, п.5.1</t>
  </si>
  <si>
    <t xml:space="preserve">уточнено специалистом по охране труда: сборщик стеклопластиковых изделий психиатрическое освидетельствование не проходит</t>
  </si>
  <si>
    <t xml:space="preserve">Ведущий специалист по учёту ПДО, ведущий инженер ПДО, инженер ПДО</t>
  </si>
  <si>
    <t xml:space="preserve">Ведущий диспетчер ПДО, диспетчер ПДО</t>
  </si>
  <si>
    <t xml:space="preserve">Мастер электромонтажного участка, мастер участка электромонтажных работ</t>
  </si>
  <si>
    <t xml:space="preserve">Оператор станка с ЧПУ</t>
  </si>
  <si>
    <t xml:space="preserve">Оператор лазерных установок</t>
  </si>
  <si>
    <t xml:space="preserve">п.4.2.1, п.4.3.1, п.4.3.2, п.4.4, п.5.1, п.5.2, п.15</t>
  </si>
  <si>
    <t xml:space="preserve">Слесарь механосборочных работ</t>
  </si>
  <si>
    <t xml:space="preserve">п.4.3.1, п.4.3.2, п.4.4, п.5.1, п.15</t>
  </si>
  <si>
    <t xml:space="preserve">Фрезеровщик</t>
  </si>
  <si>
    <t xml:space="preserve">Токарь</t>
  </si>
  <si>
    <t xml:space="preserve">Оператор листогибочного оборудования</t>
  </si>
  <si>
    <t xml:space="preserve">Маляр</t>
  </si>
  <si>
    <t xml:space="preserve">п.1.14.2, п.1.36, п.1.37.1, п.1.45.1, п.1.45.2, п.1.50, п.4.3.1, п.4.4, п.5.1, п.17</t>
  </si>
  <si>
    <t xml:space="preserve">п.1.14.2, п.1.36, п.1.37.1, п.1.45.1, п.1.45.2, п.4.4, п.5.1</t>
  </si>
  <si>
    <t xml:space="preserve">Монтажник электрооборудования летательных аппаратов</t>
  </si>
  <si>
    <t xml:space="preserve">п.1.8.4, п.1.12, п.1.15, п.1.25, п.1.27, п.1.44, п.4.3.1, п.4.4, п.4.6, п.5.1, п.5.2, п.6.2</t>
  </si>
  <si>
    <t xml:space="preserve">п.1.8.4, п.1.12, п.1.15, п.1.27, п.1.44, п.4.4, п.4.6, п.5.1, п.6.2</t>
  </si>
  <si>
    <t xml:space="preserve">Водитель автомобиля-экспедитор</t>
  </si>
  <si>
    <t xml:space="preserve">п.4.3.1, п.4.3.2, п.4.4, п.5.1, п.5.2, п.18</t>
  </si>
  <si>
    <t xml:space="preserve">п.1 Приложения №2 (управление транспортными средствами, Постановление Правительства №2349)</t>
  </si>
  <si>
    <t xml:space="preserve">Водитель автомобиля (персональный 2 категории)</t>
  </si>
  <si>
    <t xml:space="preserve">п.4.3.1, п.4.3.2, п.4.4, п.5.1, п.5.2, п.18.1</t>
  </si>
  <si>
    <t xml:space="preserve">Инженер по авиационному и радиоэлектронному оборудованию</t>
  </si>
  <si>
    <t xml:space="preserve">Слесарь-клепальщик</t>
  </si>
  <si>
    <t xml:space="preserve">Заместитель директора департамента - Начальник производственного подразделения № 5</t>
  </si>
  <si>
    <t xml:space="preserve">п.4.3.2, п.4.4, п.5.1, п.5.2, п.6.2</t>
  </si>
  <si>
    <t xml:space="preserve">Оператор термопластавтомата</t>
  </si>
  <si>
    <t xml:space="preserve">п.4.3.1, п.4.3.2, п.4.4, п.4.8, п.5.1, п.5.2, п.15</t>
  </si>
  <si>
    <t xml:space="preserve">Старший специалист по пошиву, специалист по пошиву</t>
  </si>
  <si>
    <t xml:space="preserve">Старший сторож, сторож, старший оперативный дежурный, оперативный дежурный, старший охраны объекта</t>
  </si>
  <si>
    <t xml:space="preserve">п.4.7, п.4.8, п.5.1, п.5.2</t>
  </si>
  <si>
    <t xml:space="preserve">п.5.1</t>
  </si>
  <si>
    <t xml:space="preserve">уточнено специалистом по охране труда: сторожа и оперативные дежурные психиатрическое освидетельствование не проходят</t>
  </si>
  <si>
    <t xml:space="preserve">Периодичность проверена построчно по таблице "Периодичность и объём обязательных предварительных и периодических медицинских осмотров работников" (приложение к Порядку, утв. Приказом Минздрава №29н от 28.01.2021). Для позиции с несколькими вредными факторами применяется наименьший (наиболее частый) из указанных интервалов, так как проводится один совмещённый осмотр (пункт 18 Порядка: осмотры проводятся "не реже чем в сроки", предусмотренные приложением). По всем 45 должностям хотя бы один фактор требует ежегодного осмотра, поэтому итоговая периодичность для всех позиций составляет 12 месяцев. Столбец «Обоснование периодичности» показывает, какой именно пункт(ы) это определяют. Жёлтым выделено редактируемое поле: скорректируйте его, если после специальной оценки условий труда состав факторов по должности изменится, а также учитывайте отдельное правило пункта 18 Порядка: работники моложе 21 года проходят периодические осмотры ежегодно независимо от фактора.</t>
  </si>
  <si>
    <t xml:space="preserve">Столбец «Психиатрическое освидетельствование (Приказ №342н)» заполнен по Приложению №2 к Приказу Минздрава №342н от 20.05.2022 (виды деятельности, при которых проводится обязательное психиатрическое освидетельствование). «Да» проставлено там, где должность прямо соответствует виду деятельности из перечня (управление транспортными средствами - п.1; электроустановки - п.11-12). Должности Главный механик, Сборщик стеклопластиковых изделий и Старший сторож/сторож/старший оперативный дежурный/оперативный дежурный первоначально выглядели как возможные совпадения (сосуды под давлением/автоклавы - п.13; оружие у охраны - п.4), но специалист по охране труда подтвердил (08.09.2026), что эти должности освидетельствование не проходят, - проставлено «Нет» с примечанием об уточнении. Периодичность освидетельствования (1 раз в 5 лет) установлена частью 1 статьи 6 Закона РФ №3185-1 «О психиатрической помощи...», на который ссылается Приказ №342н; дословно само число в тексте приказа №342н не приводится - при необходимости сверьте с текстом закона. Поля выделены жёлтым и редактируются вручную.</t>
  </si>
  <si>
    <t xml:space="preserve">Площадка / офис</t>
  </si>
  <si>
    <t xml:space="preserve">Ключ (служ.)</t>
  </si>
  <si>
    <t xml:space="preserve">№ п/п по Перечню</t>
  </si>
  <si>
    <t xml:space="preserve">Пункты приказа</t>
  </si>
  <si>
    <t xml:space="preserve">Периодичность, мес.</t>
  </si>
  <si>
    <t xml:space="preserve">Дата предварительного мед. осмотра</t>
  </si>
  <si>
    <t xml:space="preserve">Факт. дата последнего пройденного периодического осмотра</t>
  </si>
  <si>
    <t xml:space="preserve">Дата очередного (планового) периодического осмотра</t>
  </si>
  <si>
    <t xml:space="preserve">Подлежит психиатр. освидетельствованию (342н)</t>
  </si>
  <si>
    <t xml:space="preserve">Дата прохождения психиатр. освидетельствования</t>
  </si>
  <si>
    <t xml:space="preserve">Контрольная дата повторного психиатр. освидетельствования (5 лет — внутренняя мера; Приказ №342н кратность не устанавливает)</t>
  </si>
  <si>
    <t xml:space="preserve">Нарушение: осмотр после приёма</t>
  </si>
  <si>
    <t xml:space="preserve">Примечание сверки со штатным расписанием от 05.10.2026</t>
  </si>
  <si>
    <t xml:space="preserve">Ульяновск</t>
  </si>
  <si>
    <t xml:space="preserve">Юдакова Регина Юрьевна</t>
  </si>
  <si>
    <t xml:space="preserve">Инженер 3 категории</t>
  </si>
  <si>
    <t xml:space="preserve">Отдел технического контроля М</t>
  </si>
  <si>
    <t xml:space="preserve">Казань</t>
  </si>
  <si>
    <t xml:space="preserve">Петрунина Людмила Александровна</t>
  </si>
  <si>
    <t xml:space="preserve">Инженер 1 категории</t>
  </si>
  <si>
    <t xml:space="preserve">Ястребов Александр Сергеевич</t>
  </si>
  <si>
    <t xml:space="preserve">Москва</t>
  </si>
  <si>
    <t xml:space="preserve">Гудумак Анастасия Сергеевна</t>
  </si>
  <si>
    <t xml:space="preserve">Инженер 2 категории</t>
  </si>
  <si>
    <t xml:space="preserve">Ермакова Наталья Васильевна</t>
  </si>
  <si>
    <t xml:space="preserve">Контролер 1 категории</t>
  </si>
  <si>
    <t xml:space="preserve">Шрамко Наталья Викторовна</t>
  </si>
  <si>
    <t xml:space="preserve">Высокий Владимир Евгеньевич</t>
  </si>
  <si>
    <t xml:space="preserve">Отдел транспортного обеспечения (М н/д)</t>
  </si>
  <si>
    <t xml:space="preserve">Богачева Мария Сергеевна</t>
  </si>
  <si>
    <t xml:space="preserve">Отдел управления качеством М</t>
  </si>
  <si>
    <t xml:space="preserve">Рысева Полина Викторовна</t>
  </si>
  <si>
    <t xml:space="preserve">Отдел сертификации авиационной техники М</t>
  </si>
  <si>
    <t xml:space="preserve">Медведева Светлана Евгеньевна</t>
  </si>
  <si>
    <t xml:space="preserve">Бухгалтерия М</t>
  </si>
  <si>
    <t xml:space="preserve">Киреева Вера Антоновна</t>
  </si>
  <si>
    <t xml:space="preserve">Старший технический работник</t>
  </si>
  <si>
    <t xml:space="preserve">Административно-хозяйственный отдел М</t>
  </si>
  <si>
    <t xml:space="preserve">Лебедева Валентина Михайловна</t>
  </si>
  <si>
    <t xml:space="preserve">Никонова Наталия Евгеньевна</t>
  </si>
  <si>
    <t xml:space="preserve">Костин Александр Иванович</t>
  </si>
  <si>
    <t xml:space="preserve">Отдел делопроизводства (М н/д)</t>
  </si>
  <si>
    <t xml:space="preserve">Андреева Надежда Васильевна</t>
  </si>
  <si>
    <t xml:space="preserve">Отдел планирования и координации проектов М</t>
  </si>
  <si>
    <t xml:space="preserve">Внуково</t>
  </si>
  <si>
    <t xml:space="preserve">Кукин Эрнст Валерьевич</t>
  </si>
  <si>
    <t xml:space="preserve">Реставратор</t>
  </si>
  <si>
    <t xml:space="preserve">Производственное подразделение Внуково М</t>
  </si>
  <si>
    <t xml:space="preserve">Туманов Сергей Дмитриевич</t>
  </si>
  <si>
    <t xml:space="preserve">Электромонтажник 4 разряда</t>
  </si>
  <si>
    <t xml:space="preserve">Алфимов Дмитрий Юрьевич</t>
  </si>
  <si>
    <t xml:space="preserve">Электромонтажник 5 разряда</t>
  </si>
  <si>
    <t xml:space="preserve">Зосимов Александр Геннадиевич</t>
  </si>
  <si>
    <t xml:space="preserve">Слесарь-сборщик 6 разряда</t>
  </si>
  <si>
    <t xml:space="preserve">Шевченко Сергей Васильевич</t>
  </si>
  <si>
    <t xml:space="preserve">Ведущий специалист по реставрации</t>
  </si>
  <si>
    <t xml:space="preserve">Нитяговский Сергей Александрович</t>
  </si>
  <si>
    <t xml:space="preserve">Постульгин Александр Валентинович</t>
  </si>
  <si>
    <t xml:space="preserve">Луданцев Алексей Владимирович</t>
  </si>
  <si>
    <t xml:space="preserve">Слесарь-сборщик 4 разряда</t>
  </si>
  <si>
    <t xml:space="preserve">Варламов Олег Владимирович</t>
  </si>
  <si>
    <t xml:space="preserve">Климачев Сергей Валерьевич</t>
  </si>
  <si>
    <t xml:space="preserve">Заместитель директора департамента-Начальник производственного подразделения</t>
  </si>
  <si>
    <t xml:space="preserve">Заворотный Дмитрий Дмитриевич</t>
  </si>
  <si>
    <t xml:space="preserve">Старший оперативный дежурный</t>
  </si>
  <si>
    <t xml:space="preserve">Отдел режима М</t>
  </si>
  <si>
    <t xml:space="preserve">Горбушин Сергей Юрьевич</t>
  </si>
  <si>
    <t xml:space="preserve">Оперативный дежурный</t>
  </si>
  <si>
    <t xml:space="preserve">Кисельников Николай Михайлович</t>
  </si>
  <si>
    <t xml:space="preserve">Сорокин Виктор Фомич</t>
  </si>
  <si>
    <t xml:space="preserve">Боровенский Андрей Алексеевич</t>
  </si>
  <si>
    <t xml:space="preserve">Слесарь - сборщик 4 разряда</t>
  </si>
  <si>
    <t xml:space="preserve">Производственное подразделение №6 (В н/д)</t>
  </si>
  <si>
    <t xml:space="preserve">Гаршин Сергей Александрович</t>
  </si>
  <si>
    <t xml:space="preserve">Голев Вадим Алексеевич</t>
  </si>
  <si>
    <t xml:space="preserve">Смена подразделения: «Производственное подразделение №6» → «Участок сборки В»</t>
  </si>
  <si>
    <t xml:space="preserve">Гринёв Игорь Сергеевич</t>
  </si>
  <si>
    <t xml:space="preserve">Гунькин Юрий Игоревич</t>
  </si>
  <si>
    <t xml:space="preserve">Долгих Георгий Дмитриевич</t>
  </si>
  <si>
    <t xml:space="preserve">Зиновьев Вадим Дмитриевич</t>
  </si>
  <si>
    <t xml:space="preserve">Зубарев Владимир Владимирович</t>
  </si>
  <si>
    <t xml:space="preserve">Ковряков Дмитрий Александрович</t>
  </si>
  <si>
    <t xml:space="preserve">Косменко Игорь Юрьевич</t>
  </si>
  <si>
    <t xml:space="preserve">Кумицкий Алексей Иванович</t>
  </si>
  <si>
    <t xml:space="preserve">Михайлов Никита Алексеевич</t>
  </si>
  <si>
    <t xml:space="preserve">Попов Андрей Михайлович</t>
  </si>
  <si>
    <t xml:space="preserve">Попов Роман Юрьевич</t>
  </si>
  <si>
    <t xml:space="preserve">Потамошнев Константин Сергеевич</t>
  </si>
  <si>
    <t xml:space="preserve">Самодуров Алексей Юрьевич</t>
  </si>
  <si>
    <t xml:space="preserve">Сидоренко Сергей Владимирович</t>
  </si>
  <si>
    <t xml:space="preserve">Сорокин Олег Владимирович</t>
  </si>
  <si>
    <t xml:space="preserve">Сухинин Андрей Алексеевич</t>
  </si>
  <si>
    <t xml:space="preserve">Червяков Владислав Вячеславович</t>
  </si>
  <si>
    <t xml:space="preserve">Юрьев Александр Николаевич</t>
  </si>
  <si>
    <t xml:space="preserve">Белоусова Людмила Владимировна</t>
  </si>
  <si>
    <t xml:space="preserve">Смена подразделения: «Производственное подразделение №6» → «Склад В»</t>
  </si>
  <si>
    <t xml:space="preserve">Басов Вадим Романович</t>
  </si>
  <si>
    <t xml:space="preserve">Смена подразделения: «Производственное подразделение №6» → «Участок РЭО В»</t>
  </si>
  <si>
    <t xml:space="preserve">Левин Александр Владимирович</t>
  </si>
  <si>
    <t xml:space="preserve">Лисунов Кирилл Андреевич</t>
  </si>
  <si>
    <t xml:space="preserve">Попов Денис Игоревич</t>
  </si>
  <si>
    <t xml:space="preserve">Тимофеев Владимир Николаевич</t>
  </si>
  <si>
    <t xml:space="preserve">Труфанов Павел Игоревич</t>
  </si>
  <si>
    <t xml:space="preserve">Ячмень Евгений Григорьевич</t>
  </si>
  <si>
    <t xml:space="preserve">Воробьев Николай Александрович</t>
  </si>
  <si>
    <t xml:space="preserve">Зеленов Михаил Валерьевич</t>
  </si>
  <si>
    <t xml:space="preserve">Золотарев Сергей Константинович</t>
  </si>
  <si>
    <t xml:space="preserve">Ковалёв Алексей Александрович</t>
  </si>
  <si>
    <t xml:space="preserve">Силуянов Виктор Ильич</t>
  </si>
  <si>
    <t xml:space="preserve">Соболев Виталий Юрьевич</t>
  </si>
  <si>
    <t xml:space="preserve">Солмин Александр Юрьевич</t>
  </si>
  <si>
    <t xml:space="preserve">Толстоплётов Денис Анатольевич</t>
  </si>
  <si>
    <t xml:space="preserve">Самсонов Виталий Игоревич</t>
  </si>
  <si>
    <t xml:space="preserve">Слесарь-сборщик 3 разряда</t>
  </si>
  <si>
    <t xml:space="preserve">Аралов Евгений Васильевич</t>
  </si>
  <si>
    <t xml:space="preserve">Вечканов Константин Дмитриевич</t>
  </si>
  <si>
    <t xml:space="preserve">Галактионов Александр Александрович</t>
  </si>
  <si>
    <t xml:space="preserve">Слесарь - сборщик 5 разряда</t>
  </si>
  <si>
    <t xml:space="preserve">Иванов Алексей Николаевич</t>
  </si>
  <si>
    <t xml:space="preserve">Мелконян Нерсес Эдвардович</t>
  </si>
  <si>
    <t xml:space="preserve">Мысовских Александр Александрович</t>
  </si>
  <si>
    <t xml:space="preserve">Петренко Дмитрий Сергеевич</t>
  </si>
  <si>
    <t xml:space="preserve">Попов Олег Владимирович</t>
  </si>
  <si>
    <t xml:space="preserve">Роговский Александр Викторович</t>
  </si>
  <si>
    <t xml:space="preserve">Русанов Александр Евгеньевич</t>
  </si>
  <si>
    <t xml:space="preserve">Рябинин Александр Анатольевич</t>
  </si>
  <si>
    <t xml:space="preserve">Тимошкин Сергей Александрович</t>
  </si>
  <si>
    <t xml:space="preserve">Шпилев Михаил Сергеевич</t>
  </si>
  <si>
    <t xml:space="preserve">Будавских Вадим Григорьевич</t>
  </si>
  <si>
    <t xml:space="preserve">Мастер участка сборки интерьера</t>
  </si>
  <si>
    <t xml:space="preserve">Бысенко Юрий Павлович</t>
  </si>
  <si>
    <t xml:space="preserve">Перевод: было «Мастер участка сборки интерьера» (п.18) → «Мастер участка» (п.18)</t>
  </si>
  <si>
    <t xml:space="preserve">Деревянченко Андрей Павлович</t>
  </si>
  <si>
    <t xml:space="preserve">Студеникин Михаил Вячеславович</t>
  </si>
  <si>
    <t xml:space="preserve">Павлов Александр Сергеевич</t>
  </si>
  <si>
    <t xml:space="preserve">Мастер участка электромонтажных работ</t>
  </si>
  <si>
    <t xml:space="preserve">Дуленков Александр Вячеславович</t>
  </si>
  <si>
    <t xml:space="preserve">Производственное подразделение Воронеж</t>
  </si>
  <si>
    <t xml:space="preserve">Смена подразделения: «Производственное подразделение №6» → «Производственное подразделение Воронеж»</t>
  </si>
  <si>
    <t xml:space="preserve">Петина Ирина Викторовна</t>
  </si>
  <si>
    <t xml:space="preserve">Склад (МШ н/д)</t>
  </si>
  <si>
    <t xml:space="preserve">Рузайкин Юрий Андреевич</t>
  </si>
  <si>
    <t xml:space="preserve">Инженер</t>
  </si>
  <si>
    <t xml:space="preserve">Планово-диспетчерский отдел (МШ н/д)</t>
  </si>
  <si>
    <t xml:space="preserve">Хлыщенко Александр Александрович</t>
  </si>
  <si>
    <t xml:space="preserve">Абрамович Светлана Николаевна</t>
  </si>
  <si>
    <t xml:space="preserve">Диспетчер</t>
  </si>
  <si>
    <t xml:space="preserve">Баранникова Елена Александровна</t>
  </si>
  <si>
    <t xml:space="preserve">Гришин Алексей Владимирович</t>
  </si>
  <si>
    <t xml:space="preserve">Зубехин Григорий Александрович</t>
  </si>
  <si>
    <t xml:space="preserve">Кадиева Наталья Борисовна</t>
  </si>
  <si>
    <t xml:space="preserve">Лапкин Виталий Олегович</t>
  </si>
  <si>
    <t xml:space="preserve">Лапкина Анастасия Владимировна</t>
  </si>
  <si>
    <t xml:space="preserve">Гришина Неля Евгеньевна</t>
  </si>
  <si>
    <t xml:space="preserve">Запотылок Алена Владимировна</t>
  </si>
  <si>
    <t xml:space="preserve">Паукова Наталья Владимировна</t>
  </si>
  <si>
    <t xml:space="preserve">Полозов Василий Борисович</t>
  </si>
  <si>
    <t xml:space="preserve">Ведущий инженер</t>
  </si>
  <si>
    <t xml:space="preserve">Попова Юлия Александровна</t>
  </si>
  <si>
    <t xml:space="preserve">Ведущий специалист по учету</t>
  </si>
  <si>
    <t xml:space="preserve">Агапов Максим Владимирович</t>
  </si>
  <si>
    <t xml:space="preserve">Токарь 6 разряда</t>
  </si>
  <si>
    <t xml:space="preserve">Механический участок (МШ н/д)</t>
  </si>
  <si>
    <t xml:space="preserve">Артёмов Антон Анатольевич</t>
  </si>
  <si>
    <t xml:space="preserve">Потапкин Илья Анатольевич</t>
  </si>
  <si>
    <t xml:space="preserve">Назин Владислав Сергеевич</t>
  </si>
  <si>
    <t xml:space="preserve">Орлов Михаил Юрьевич</t>
  </si>
  <si>
    <t xml:space="preserve">Тарасов Борис Анатольевич</t>
  </si>
  <si>
    <t xml:space="preserve">Фрезеровщик 6 разряда</t>
  </si>
  <si>
    <t xml:space="preserve">Фокина Светлана Геннадиевна</t>
  </si>
  <si>
    <t xml:space="preserve">Бондин Денис Игоревич</t>
  </si>
  <si>
    <t xml:space="preserve">Оператор станка с ЧПУ 5 разряда</t>
  </si>
  <si>
    <t xml:space="preserve">Саранцев Петр Дмитриевич</t>
  </si>
  <si>
    <t xml:space="preserve">Токарь 5 разряда</t>
  </si>
  <si>
    <t xml:space="preserve">Юдаков Алексей Викторович</t>
  </si>
  <si>
    <t xml:space="preserve">Клюг Андрей Эдуардович</t>
  </si>
  <si>
    <t xml:space="preserve">Фрезеровщик 5 разряда</t>
  </si>
  <si>
    <t xml:space="preserve">Бугаев Сергей Петрович</t>
  </si>
  <si>
    <t xml:space="preserve">Слесарь механосборочных работ 6 разряда</t>
  </si>
  <si>
    <t xml:space="preserve">Смена подразделения: «Механический участок» → «Слесарный участок МШ»</t>
  </si>
  <si>
    <t xml:space="preserve">Макаренков Святослав Михайлович</t>
  </si>
  <si>
    <t xml:space="preserve">Савичев Сергей Сергеевич</t>
  </si>
  <si>
    <t xml:space="preserve">Сафонов Роман Валерьевич</t>
  </si>
  <si>
    <t xml:space="preserve">Филимонов Андрей Владимирович</t>
  </si>
  <si>
    <t xml:space="preserve">Епифанов Александр Сергеевич</t>
  </si>
  <si>
    <t xml:space="preserve">Слесарь механосборочных работ 5 разряда</t>
  </si>
  <si>
    <t xml:space="preserve">Семененко Александр Михайлович</t>
  </si>
  <si>
    <t xml:space="preserve">Сорокин Игорь Анатольевич</t>
  </si>
  <si>
    <t xml:space="preserve">Горелов Андрей Сергеевич</t>
  </si>
  <si>
    <t xml:space="preserve">Зинченко Денис Андреевич</t>
  </si>
  <si>
    <t xml:space="preserve">Кулешов Руслан Викторович</t>
  </si>
  <si>
    <t xml:space="preserve">Нагаев Дмитрий Александрович</t>
  </si>
  <si>
    <t xml:space="preserve">Виноградов Валерий Валерьевич</t>
  </si>
  <si>
    <t xml:space="preserve">Слесарь механосборочных работ 4 разряда</t>
  </si>
  <si>
    <t xml:space="preserve">Карантышов Андрей Витальевич</t>
  </si>
  <si>
    <t xml:space="preserve">Рыскин Вадим Вячеславович</t>
  </si>
  <si>
    <t xml:space="preserve">Терёхин Кирилл Павлович</t>
  </si>
  <si>
    <t xml:space="preserve">Кокорев Анатолий Сергеевич</t>
  </si>
  <si>
    <t xml:space="preserve">Участок РЭО (МШ н/д)</t>
  </si>
  <si>
    <t xml:space="preserve">Участок РЭО МШ</t>
  </si>
  <si>
    <t xml:space="preserve">Техник-сборщик 5 разряда</t>
  </si>
  <si>
    <t xml:space="preserve">Кротков Александр Юрьевич</t>
  </si>
  <si>
    <t xml:space="preserve">Столяр 4 разряда</t>
  </si>
  <si>
    <t xml:space="preserve">Морозов Олег Валерьевич</t>
  </si>
  <si>
    <t xml:space="preserve">Изменено написание: «Оператор станка с ЧПУ 4 разряда» → «Оператор станков с ЧПУ 4 разряда» (п.30 Перечня «Оператор станка с ЧПУ»)</t>
  </si>
  <si>
    <t xml:space="preserve">Нерозников Роман Анатольевич</t>
  </si>
  <si>
    <t xml:space="preserve">Никитин Валерий Сергеевич</t>
  </si>
  <si>
    <t xml:space="preserve">Бутузов Вадим Владимирович</t>
  </si>
  <si>
    <t xml:space="preserve">Оператор станков с ЧПУ 5 разряда</t>
  </si>
  <si>
    <t xml:space="preserve">Изменено написание: «Оператор станка с ЧПУ 5 разряда» → «Оператор станков с ЧПУ 5 разряда» (п.30 Перечня «Оператор станка с ЧПУ»)</t>
  </si>
  <si>
    <t xml:space="preserve">Техник-сборщик 6 разряда</t>
  </si>
  <si>
    <t xml:space="preserve">Техник-сборщик 4 разряда</t>
  </si>
  <si>
    <t xml:space="preserve">Бригадир</t>
  </si>
  <si>
    <t xml:space="preserve">Балалаев Сергей Викторович</t>
  </si>
  <si>
    <t xml:space="preserve">Сборщик стеклопластиковых изделий 6 разряда</t>
  </si>
  <si>
    <t xml:space="preserve">Анисимов Игорь Владимирович</t>
  </si>
  <si>
    <t xml:space="preserve">Кукушкин Максим Дмитриевич</t>
  </si>
  <si>
    <t xml:space="preserve">Антропов Иван Юрьевич</t>
  </si>
  <si>
    <t xml:space="preserve">Сборщик стеклопластиковых изделий 5 разряда</t>
  </si>
  <si>
    <t xml:space="preserve">Ветлянский Александр Александрович</t>
  </si>
  <si>
    <t xml:space="preserve">Арифулин Александр Александрович</t>
  </si>
  <si>
    <t xml:space="preserve">Облицовщик деталей мебели 4 разряда</t>
  </si>
  <si>
    <t xml:space="preserve">Пантюхов Вячеслав Владимирович</t>
  </si>
  <si>
    <t xml:space="preserve">Хасянов Ильфат Шамильевич</t>
  </si>
  <si>
    <t xml:space="preserve">Бредихин Евгений Васильевич</t>
  </si>
  <si>
    <t xml:space="preserve">Сборщик стеклопластиковых изделий 4 разряда</t>
  </si>
  <si>
    <t xml:space="preserve">Облицовщик деталей мебели 3 разряда</t>
  </si>
  <si>
    <t xml:space="preserve">Пичугин Александр Владимирович</t>
  </si>
  <si>
    <t xml:space="preserve">Тимошенко Александр Олегович</t>
  </si>
  <si>
    <t xml:space="preserve">Техник-сборщик 2 разряда</t>
  </si>
  <si>
    <t xml:space="preserve">Попов Виктор Михайлович</t>
  </si>
  <si>
    <t xml:space="preserve">Облицовщик деталей мебели 6 разряда</t>
  </si>
  <si>
    <t xml:space="preserve">Техник 6 разряда</t>
  </si>
  <si>
    <t xml:space="preserve">Солодков Максим Юрьевич</t>
  </si>
  <si>
    <t xml:space="preserve">Маляр 6 разряда</t>
  </si>
  <si>
    <t xml:space="preserve">Долинская Валерия Александровна</t>
  </si>
  <si>
    <t xml:space="preserve">Маляр 4 разряда</t>
  </si>
  <si>
    <t xml:space="preserve">Симонова Виктория Александровна</t>
  </si>
  <si>
    <t xml:space="preserve">Техник 4 разряда</t>
  </si>
  <si>
    <t xml:space="preserve">Техник 5 разряда</t>
  </si>
  <si>
    <t xml:space="preserve">Техник 2 разряда</t>
  </si>
  <si>
    <t xml:space="preserve">Иванов Андрей Петрович</t>
  </si>
  <si>
    <t xml:space="preserve">Рабочий по комплексному обслуживанию и ремонту зданий 3 разряда</t>
  </si>
  <si>
    <t xml:space="preserve">Служба главного инженера (МШ н/д)</t>
  </si>
  <si>
    <t xml:space="preserve">Божьева Ирина Вячеславовна</t>
  </si>
  <si>
    <t xml:space="preserve">Отдел технического контроля МШ</t>
  </si>
  <si>
    <t xml:space="preserve">Васильева Алина Владимировна</t>
  </si>
  <si>
    <t xml:space="preserve">Райкова Ирина Алексеевна</t>
  </si>
  <si>
    <t xml:space="preserve">Трушаков Владимир Александрович</t>
  </si>
  <si>
    <t xml:space="preserve">Служба главного инженера МШ</t>
  </si>
  <si>
    <t xml:space="preserve">Иванов Владимир Максимович</t>
  </si>
  <si>
    <t xml:space="preserve">Найденов Андрей Александрович</t>
  </si>
  <si>
    <t xml:space="preserve">Королев Владислав Владимирович</t>
  </si>
  <si>
    <t xml:space="preserve">Омельченко Вячеслав Васильевич</t>
  </si>
  <si>
    <t xml:space="preserve">Калинин Дмитрий Александрович</t>
  </si>
  <si>
    <t xml:space="preserve">Старовойтов Владимир Владимирович</t>
  </si>
  <si>
    <t xml:space="preserve">Долженко Александр Сергеевич</t>
  </si>
  <si>
    <t xml:space="preserve">Электромонтер по ремонту и обслуживанию электрооборудования 4 разряда</t>
  </si>
  <si>
    <t xml:space="preserve">Климов Дмитрий Николаевич</t>
  </si>
  <si>
    <t xml:space="preserve">Кармазин Александр Николаевич</t>
  </si>
  <si>
    <t xml:space="preserve">Бизюков Сергей Иванович</t>
  </si>
  <si>
    <t xml:space="preserve">Электромонтер по ремонту и обслуживанию электрооборудования 5 разряда</t>
  </si>
  <si>
    <t xml:space="preserve">Хромов Павел Николаевич</t>
  </si>
  <si>
    <t xml:space="preserve">Механик-наладчик</t>
  </si>
  <si>
    <t xml:space="preserve">Жусев Алексей Анатольевич</t>
  </si>
  <si>
    <t xml:space="preserve">Инженер-электрик</t>
  </si>
  <si>
    <t xml:space="preserve">Захарова Любовь Владимировна</t>
  </si>
  <si>
    <t xml:space="preserve">Административно-хозяйственный отдел МШ</t>
  </si>
  <si>
    <t xml:space="preserve">Гросс Елена Владимировна</t>
  </si>
  <si>
    <t xml:space="preserve">Уборщик производственных и служебных помещений</t>
  </si>
  <si>
    <t xml:space="preserve">Декун Лидия Петровна</t>
  </si>
  <si>
    <t xml:space="preserve">Михеева Наталия Петровна</t>
  </si>
  <si>
    <t xml:space="preserve">Новоторцева Наталия Николаевна</t>
  </si>
  <si>
    <t xml:space="preserve">Савичева Марина Анатольевна</t>
  </si>
  <si>
    <t xml:space="preserve">Хилинская Анна Александровна</t>
  </si>
  <si>
    <t xml:space="preserve">Беспалов Виталий Анатольевич</t>
  </si>
  <si>
    <t xml:space="preserve">Сторож</t>
  </si>
  <si>
    <t xml:space="preserve">Отдел режима МШ</t>
  </si>
  <si>
    <t xml:space="preserve">Волгин Анатолий Иванович</t>
  </si>
  <si>
    <t xml:space="preserve">Гусев Александр Николаевич</t>
  </si>
  <si>
    <t xml:space="preserve">Дудукин Сергей Вячеславович</t>
  </si>
  <si>
    <t xml:space="preserve">Звягин Евгений Иванович</t>
  </si>
  <si>
    <t xml:space="preserve">Макаренко Алексей Иванович</t>
  </si>
  <si>
    <t xml:space="preserve">Матвицкий Виктор Владимирович</t>
  </si>
  <si>
    <t xml:space="preserve">Камбулатов Эсенбулат Камбулатович</t>
  </si>
  <si>
    <t xml:space="preserve">Старший сторож</t>
  </si>
  <si>
    <t xml:space="preserve">Рукин Денис Игоревич</t>
  </si>
  <si>
    <t xml:space="preserve">Старший охраны объекта</t>
  </si>
  <si>
    <t xml:space="preserve">Балкивская Людмила Алексеевна</t>
  </si>
  <si>
    <t xml:space="preserve">Старший кладовщик</t>
  </si>
  <si>
    <t xml:space="preserve">Карпачева Татьяна Владимировна</t>
  </si>
  <si>
    <t xml:space="preserve">Нестеров Аркадий Николаевич</t>
  </si>
  <si>
    <t xml:space="preserve">Густов Александр Витальевич</t>
  </si>
  <si>
    <t xml:space="preserve">Дягин Александр Александрович</t>
  </si>
  <si>
    <t xml:space="preserve">Евменчук Елизавета Александровна</t>
  </si>
  <si>
    <t xml:space="preserve">Ноженко Екатерина Сергеевна</t>
  </si>
  <si>
    <t xml:space="preserve">Прохорова Маргарита Александровна</t>
  </si>
  <si>
    <t xml:space="preserve">Султанов Тимур Боирович</t>
  </si>
  <si>
    <t xml:space="preserve">Богатырев Николай Владимирович</t>
  </si>
  <si>
    <t xml:space="preserve">Агалиев Рафаэл Рашидович</t>
  </si>
  <si>
    <t xml:space="preserve">Кладовщик-комплектовщик</t>
  </si>
  <si>
    <t xml:space="preserve">Каменев Дмитрий Викторович</t>
  </si>
  <si>
    <t xml:space="preserve">Ласкавый Андрей Викторович</t>
  </si>
  <si>
    <t xml:space="preserve">Моряков Константин Викторович</t>
  </si>
  <si>
    <t xml:space="preserve">Хохлов Александр Николаевич</t>
  </si>
  <si>
    <t xml:space="preserve">Кирбенева Татьяна Александровна</t>
  </si>
  <si>
    <t xml:space="preserve">Лягинова Анастасия Витальевна</t>
  </si>
  <si>
    <t xml:space="preserve">Акимов Михаил Александрович</t>
  </si>
  <si>
    <t xml:space="preserve">Отдел транспортного обеспечения МШ</t>
  </si>
  <si>
    <t xml:space="preserve">Батуревич Юрий Викторович</t>
  </si>
  <si>
    <t xml:space="preserve">Василенко Александр Иванович</t>
  </si>
  <si>
    <t xml:space="preserve">Грязнов Анатолий Николаевич</t>
  </si>
  <si>
    <t xml:space="preserve">Евдокимов Игорь Валентинович</t>
  </si>
  <si>
    <t xml:space="preserve">Ерофеев Олег Игоревич</t>
  </si>
  <si>
    <t xml:space="preserve">Жигунов Вячеслав Владимирович</t>
  </si>
  <si>
    <t xml:space="preserve">Крутяков Сергей Владимирович</t>
  </si>
  <si>
    <t xml:space="preserve">Лучкин Евгений Иванович</t>
  </si>
  <si>
    <t xml:space="preserve">Карандаев Юрий Александрович</t>
  </si>
  <si>
    <t xml:space="preserve">Обособленное подразделение Казань</t>
  </si>
  <si>
    <t xml:space="preserve">Мефтахутдинов Ильнар Гаптильнурович</t>
  </si>
  <si>
    <t xml:space="preserve">Саваидис Егор Викторович</t>
  </si>
  <si>
    <t xml:space="preserve">Гаранина Светлана Владимировна</t>
  </si>
  <si>
    <t xml:space="preserve">Хасипова Гульнара Ильясовна</t>
  </si>
  <si>
    <t xml:space="preserve">Николаева Ксения Ивановна</t>
  </si>
  <si>
    <t xml:space="preserve">Филимонова Эльвира Идрисовна</t>
  </si>
  <si>
    <t xml:space="preserve">Аюпов Булат Фаилевич</t>
  </si>
  <si>
    <t xml:space="preserve">Андреев Алексей Владимирович</t>
  </si>
  <si>
    <t xml:space="preserve">Обухов Андрей Евгеньевич</t>
  </si>
  <si>
    <t xml:space="preserve">Гимранов Ильдор Фанизович</t>
  </si>
  <si>
    <t xml:space="preserve">Матвеев Александр Николаевич</t>
  </si>
  <si>
    <t xml:space="preserve">Мастер электромонтажного участка</t>
  </si>
  <si>
    <t xml:space="preserve">Булатова Лия Рустэмовна</t>
  </si>
  <si>
    <t xml:space="preserve">Юсупов Азат Рафаэлевич</t>
  </si>
  <si>
    <t xml:space="preserve">Галиуллин Руслан Рустамович</t>
  </si>
  <si>
    <t xml:space="preserve">Слесарь-клепальщик 6 разряда</t>
  </si>
  <si>
    <t xml:space="preserve">Казаченко Алексей Владимирович</t>
  </si>
  <si>
    <t xml:space="preserve">Планово-диспетчерская группа (У н/д)</t>
  </si>
  <si>
    <t xml:space="preserve">Абрамов Дмитрий Владимирович</t>
  </si>
  <si>
    <t xml:space="preserve">Сборочный участок (У н/д)</t>
  </si>
  <si>
    <t xml:space="preserve">Ахметов Эдуард Ильдарович</t>
  </si>
  <si>
    <t xml:space="preserve">Березин Андрей Дмитриевич</t>
  </si>
  <si>
    <t xml:space="preserve">Китин Дмитрий Витальевич</t>
  </si>
  <si>
    <t xml:space="preserve">Мамедов Рустам Рамизович</t>
  </si>
  <si>
    <t xml:space="preserve">Прохоров Антон Анатольевич</t>
  </si>
  <si>
    <t xml:space="preserve">Терентьев Владислав Вячеславович</t>
  </si>
  <si>
    <t xml:space="preserve">Якупов Искандер Дамирович</t>
  </si>
  <si>
    <t xml:space="preserve">Ефремов Алексей Витальевич</t>
  </si>
  <si>
    <t xml:space="preserve">Слесарь-сборщик</t>
  </si>
  <si>
    <t xml:space="preserve">Новиков Александр Анатольевич</t>
  </si>
  <si>
    <t xml:space="preserve">Трофимов Валерий Дмитриевич</t>
  </si>
  <si>
    <t xml:space="preserve">Куликов Рауф Зэферович</t>
  </si>
  <si>
    <t xml:space="preserve">Электромонтажный участок (У н/д)</t>
  </si>
  <si>
    <t xml:space="preserve">Ветров Игорь Евгеньевич</t>
  </si>
  <si>
    <t xml:space="preserve">Дубровский Дмитрий Сергеевич</t>
  </si>
  <si>
    <t xml:space="preserve">Кныш Елена Леонидовна</t>
  </si>
  <si>
    <t xml:space="preserve">Рычков Александр Анатольевич</t>
  </si>
  <si>
    <t xml:space="preserve">Грицкова Елена Анатольевна</t>
  </si>
  <si>
    <t xml:space="preserve">Склад (У н/д)</t>
  </si>
  <si>
    <t xml:space="preserve">Крючкова Мария Ивановна</t>
  </si>
  <si>
    <t xml:space="preserve">Технический работник</t>
  </si>
  <si>
    <t xml:space="preserve">Административно-хозяйственный отдел У</t>
  </si>
  <si>
    <t xml:space="preserve">Жуковский</t>
  </si>
  <si>
    <t xml:space="preserve">Тимофеева Галина Петровна</t>
  </si>
  <si>
    <t xml:space="preserve">Административно-хозяйственный отдел Ж</t>
  </si>
  <si>
    <t xml:space="preserve">Галимзянова Гузель Раисовна</t>
  </si>
  <si>
    <t xml:space="preserve">Административно-хозяйственный отдел Р</t>
  </si>
  <si>
    <t xml:space="preserve">Донин Алексей Валентинович</t>
  </si>
  <si>
    <t xml:space="preserve">Иванова Светлана Васильевна</t>
  </si>
  <si>
    <t xml:space="preserve">Раззакова Светлана Владимировна</t>
  </si>
  <si>
    <t xml:space="preserve">Терешкина Татьяна Викторовна</t>
  </si>
  <si>
    <t xml:space="preserve">Шибатина Елена Васильевна</t>
  </si>
  <si>
    <t xml:space="preserve">Болденкова Анна Сергеевна</t>
  </si>
  <si>
    <t xml:space="preserve">Уборщик служебных помещений</t>
  </si>
  <si>
    <t xml:space="preserve">Улумбеков Руслан Бинарович</t>
  </si>
  <si>
    <t xml:space="preserve">Гришин Алексей Валерьевич</t>
  </si>
  <si>
    <t xml:space="preserve">Слесарь-ремонтник 5 разряда</t>
  </si>
  <si>
    <t xml:space="preserve">Поливанов Иван Юрьевич</t>
  </si>
  <si>
    <t xml:space="preserve">Механический участок Р</t>
  </si>
  <si>
    <t xml:space="preserve">Степанов Максим Анатольевич</t>
  </si>
  <si>
    <t xml:space="preserve">Янышев Тимур Ильгизович</t>
  </si>
  <si>
    <t xml:space="preserve">Геращенко Сергей Владимирович</t>
  </si>
  <si>
    <t xml:space="preserve">Куликов Сергей Сергеевич</t>
  </si>
  <si>
    <t xml:space="preserve">Пак Игорь Трофимович</t>
  </si>
  <si>
    <t xml:space="preserve">Герасимов Александр Александрович</t>
  </si>
  <si>
    <t xml:space="preserve">Кашкаров Сергей Евгеньевич</t>
  </si>
  <si>
    <t xml:space="preserve">Павозков Евгений Александрович</t>
  </si>
  <si>
    <t xml:space="preserve">Баев Сергей Александрович</t>
  </si>
  <si>
    <t xml:space="preserve">Слесарный участок Р</t>
  </si>
  <si>
    <t xml:space="preserve">Смена подразделения: «Механический участок» → «Слесарный участок Р»</t>
  </si>
  <si>
    <t xml:space="preserve">Корнеев Виктор Николаевич</t>
  </si>
  <si>
    <t xml:space="preserve">Горнеев Никита Сергеевич</t>
  </si>
  <si>
    <t xml:space="preserve">Оператор листогибочного оборудования 5 разряда</t>
  </si>
  <si>
    <t xml:space="preserve">Панков Иван Валерьевич</t>
  </si>
  <si>
    <t xml:space="preserve">Воркунов Егор Дмитриевич</t>
  </si>
  <si>
    <t xml:space="preserve">Оператор лазерных установок 5 разряда</t>
  </si>
  <si>
    <t xml:space="preserve">Птицын Юрий Юрьевич</t>
  </si>
  <si>
    <t xml:space="preserve">Семячко Константин Григорьевич</t>
  </si>
  <si>
    <t xml:space="preserve">Андреев Кирилл Владимирович</t>
  </si>
  <si>
    <t xml:space="preserve">Оператор станка с ЧПУ 3 разряда</t>
  </si>
  <si>
    <t xml:space="preserve">Чепуштанов Александр Геннадьевич</t>
  </si>
  <si>
    <t xml:space="preserve">Житников Андрей Николаевич</t>
  </si>
  <si>
    <t xml:space="preserve">Зайцев Дмитрий Евгеньевич</t>
  </si>
  <si>
    <t xml:space="preserve">Мартынов Гавриил Викторович</t>
  </si>
  <si>
    <t xml:space="preserve">Николаев Никита Андреевич</t>
  </si>
  <si>
    <t xml:space="preserve">Бузаев Дмитрий Анатольевич</t>
  </si>
  <si>
    <t xml:space="preserve">Еремеев Сергей Анатольевич</t>
  </si>
  <si>
    <t xml:space="preserve">Балковский Сергей Вадимович</t>
  </si>
  <si>
    <t xml:space="preserve">Гурьянов Евгений Николаевич</t>
  </si>
  <si>
    <t xml:space="preserve">Зайцев Евгений Геннадьевич</t>
  </si>
  <si>
    <t xml:space="preserve">Швецов Андрей Витальевич</t>
  </si>
  <si>
    <t xml:space="preserve">Богатырева Наталья Геннадьевна</t>
  </si>
  <si>
    <t xml:space="preserve">Старший специалист по пошиву</t>
  </si>
  <si>
    <t xml:space="preserve">Швейный участок Р</t>
  </si>
  <si>
    <t xml:space="preserve">Большаков Сергей Александрович</t>
  </si>
  <si>
    <t xml:space="preserve">Долженко Ольга Васильевна</t>
  </si>
  <si>
    <t xml:space="preserve">Кульков Павел Петрович</t>
  </si>
  <si>
    <t xml:space="preserve">Путилина Ирина Михайловна</t>
  </si>
  <si>
    <t xml:space="preserve">Андрякова Надежда Дмитриевна</t>
  </si>
  <si>
    <t xml:space="preserve">Специалист по пошиву 5 разряда</t>
  </si>
  <si>
    <t xml:space="preserve">Антонова Елена Анатольевна</t>
  </si>
  <si>
    <t xml:space="preserve">Ахмедов Яшар Закир Оглы</t>
  </si>
  <si>
    <t xml:space="preserve">Долматова Екатерина Владимировна</t>
  </si>
  <si>
    <t xml:space="preserve">Китаева Венера Минигалеевна</t>
  </si>
  <si>
    <t xml:space="preserve">Пичугина Оксана Валерьевна</t>
  </si>
  <si>
    <t xml:space="preserve">Треусов Сергей Юрьевич</t>
  </si>
  <si>
    <t xml:space="preserve">Горбушина Венера Энверовна</t>
  </si>
  <si>
    <t xml:space="preserve">Специалист по пошиву 4 разряда</t>
  </si>
  <si>
    <t xml:space="preserve">Кулешова Виктория Викторовна</t>
  </si>
  <si>
    <t xml:space="preserve">Сабирова Альфия Фаузиевна</t>
  </si>
  <si>
    <t xml:space="preserve">Планово-диспетчерский отдел Р</t>
  </si>
  <si>
    <t xml:space="preserve">Стребкова Наталья Ивановна</t>
  </si>
  <si>
    <t xml:space="preserve">Оболонина Ирина Валерьевна</t>
  </si>
  <si>
    <t xml:space="preserve">Первоченков Виктор Владимирович</t>
  </si>
  <si>
    <t xml:space="preserve">Яковлева Анастасия Юрьевна</t>
  </si>
  <si>
    <t xml:space="preserve">Юдина Анна Владимировна</t>
  </si>
  <si>
    <t xml:space="preserve">Садыгова Елена Васильевна</t>
  </si>
  <si>
    <t xml:space="preserve">Трофимов Максим Михайлович</t>
  </si>
  <si>
    <t xml:space="preserve">Гагарин Алексей Владимирович</t>
  </si>
  <si>
    <t xml:space="preserve">Иванов Дмитрий Сергеевич</t>
  </si>
  <si>
    <t xml:space="preserve">Поляков Александр Валентинович</t>
  </si>
  <si>
    <t xml:space="preserve">Козлов Никита Андреевич</t>
  </si>
  <si>
    <t xml:space="preserve">Отдел технического контроля Р</t>
  </si>
  <si>
    <t xml:space="preserve">Милованов Александр Сергеевич</t>
  </si>
  <si>
    <t xml:space="preserve">Елсуков Имант Арьевич</t>
  </si>
  <si>
    <t xml:space="preserve">Свиридова Ирина Александровна</t>
  </si>
  <si>
    <t xml:space="preserve">Планово-диспетчерский отдел В</t>
  </si>
  <si>
    <t xml:space="preserve">Хабаров Алексей Владимирович</t>
  </si>
  <si>
    <t xml:space="preserve">Гуровская Ирина Александровна</t>
  </si>
  <si>
    <t xml:space="preserve">Отдел технического контроля В</t>
  </si>
  <si>
    <t xml:space="preserve">Симоненко Дмитрий Андреевич</t>
  </si>
  <si>
    <t xml:space="preserve">Дашборд по медицинским осмотрам</t>
  </si>
  <si>
    <t xml:space="preserve">Обновляется автоматически при изменении дат на листе «Учёт медосмотров».</t>
  </si>
  <si>
    <t xml:space="preserve">Кол-во, чел.</t>
  </si>
  <si>
    <t xml:space="preserve">Всего сотрудников, подлежащих медосмотру</t>
  </si>
  <si>
    <t xml:space="preserve">Указана дата предварительного медосмотра</t>
  </si>
  <si>
    <t xml:space="preserve">Дата предварительного медосмотра не указана</t>
  </si>
  <si>
    <t xml:space="preserve">Указана дата фактически пройденного периодического осмотра</t>
  </si>
  <si>
    <t xml:space="preserve">Периодический осмотр просрочен (плановая дата уже прошла)</t>
  </si>
  <si>
    <t xml:space="preserve">Периодический осмотр наступает в течение 30 дней</t>
  </si>
  <si>
    <t xml:space="preserve">Принят более года назад, дата предварительного осмотра не указана</t>
  </si>
  <si>
    <t xml:space="preserve">Возможное нарушение: осмотр после даты приёма</t>
  </si>
  <si>
    <t xml:space="preserve">Подлежат психиатрическому освидетельствованию (342н, "Да")</t>
  </si>
  <si>
    <t xml:space="preserve">Требуют проверки на психиатрическое освидетельствование (342н, "Проверить")</t>
  </si>
  <si>
    <t xml:space="preserve">Из них указана дата прохождения психиатрического освидетельствования</t>
  </si>
  <si>
    <t xml:space="preserve">Психиатр. освидетельствование: прошла внутренняя контрольная дата (5 лет; по 342н кратность не установлена)</t>
  </si>
  <si>
    <t xml:space="preserve">По площадкам / офисам</t>
  </si>
  <si>
    <t xml:space="preserve">Всего</t>
  </si>
  <si>
    <t xml:space="preserve">Просрочен период. осмотр</t>
  </si>
  <si>
    <t xml:space="preserve">Ключ (нормализованная должность)</t>
  </si>
  <si>
    <t xml:space="preserve">Служебный лист, не редактировать. Используется формулами ИНДЕКС и ПОИСКПОЗ на листе «Учёт медосмотров».</t>
  </si>
  <si>
    <t xml:space="preserve">бригадир</t>
  </si>
  <si>
    <t xml:space="preserve">бригадир, слесарь-сборщик</t>
  </si>
  <si>
    <t xml:space="preserve">ведущий диспетчер</t>
  </si>
  <si>
    <t xml:space="preserve">ведущий диспетчер пдо</t>
  </si>
  <si>
    <t xml:space="preserve">ведущий инженер пдо</t>
  </si>
  <si>
    <t xml:space="preserve">ведущий специалист по реставрации</t>
  </si>
  <si>
    <t xml:space="preserve">ведущий специалист по учету</t>
  </si>
  <si>
    <t xml:space="preserve">ведущий специалист по учету пдо</t>
  </si>
  <si>
    <t xml:space="preserve">водитель автомобиля (персональный 2 категории)</t>
  </si>
  <si>
    <t xml:space="preserve">водитель автомобиля (персональный)</t>
  </si>
  <si>
    <t xml:space="preserve">водитель автомобиля-экспедитор</t>
  </si>
  <si>
    <t xml:space="preserve">главный механик</t>
  </si>
  <si>
    <t xml:space="preserve">главный энергетик</t>
  </si>
  <si>
    <t xml:space="preserve">диспетчер</t>
  </si>
  <si>
    <t xml:space="preserve">диспетчер пдо</t>
  </si>
  <si>
    <t xml:space="preserve">заместитель директора департамента-начальник производственного подразделения</t>
  </si>
  <si>
    <t xml:space="preserve">заместитель директора департамента-начальник производственного подразделения № 5</t>
  </si>
  <si>
    <t xml:space="preserve">инженер отк</t>
  </si>
  <si>
    <t xml:space="preserve">инженер пдо</t>
  </si>
  <si>
    <t xml:space="preserve">инженер по авиационному и радиоэлектронному оборудованию</t>
  </si>
  <si>
    <t xml:space="preserve">инженер по эксплуатации</t>
  </si>
  <si>
    <t xml:space="preserve">инженер по эксплуатации зданий и сооружений</t>
  </si>
  <si>
    <t xml:space="preserve">инженер-механик</t>
  </si>
  <si>
    <t xml:space="preserve">инженер-электрик</t>
  </si>
  <si>
    <t xml:space="preserve">кладовщик</t>
  </si>
  <si>
    <t xml:space="preserve">кладовщик-комплектовщик</t>
  </si>
  <si>
    <t xml:space="preserve">контролер отк</t>
  </si>
  <si>
    <t xml:space="preserve">лаборант</t>
  </si>
  <si>
    <t xml:space="preserve">маляр</t>
  </si>
  <si>
    <t xml:space="preserve">мастер участка</t>
  </si>
  <si>
    <t xml:space="preserve">мастер участка сборки интерьера</t>
  </si>
  <si>
    <t xml:space="preserve">мастер участка электромонтажных работ</t>
  </si>
  <si>
    <t xml:space="preserve">мастер электромонтажного участка</t>
  </si>
  <si>
    <t xml:space="preserve">менеджер-комплектовщик</t>
  </si>
  <si>
    <t xml:space="preserve">механик</t>
  </si>
  <si>
    <t xml:space="preserve">механик-наладчик</t>
  </si>
  <si>
    <t xml:space="preserve">монтажник электрооборудования летательных аппаратов</t>
  </si>
  <si>
    <t xml:space="preserve">облицовщик деталей мебели</t>
  </si>
  <si>
    <t xml:space="preserve">оперативный дежурный</t>
  </si>
  <si>
    <t xml:space="preserve">оператор лазерных установок</t>
  </si>
  <si>
    <t xml:space="preserve">оператор листогибочного оборудования</t>
  </si>
  <si>
    <t xml:space="preserve">оператор склада</t>
  </si>
  <si>
    <t xml:space="preserve">оператор станка с чпу</t>
  </si>
  <si>
    <t xml:space="preserve">оператор термопластавтомата</t>
  </si>
  <si>
    <t xml:space="preserve">оператор-наладчик станков с чпу</t>
  </si>
  <si>
    <t xml:space="preserve">рабочий по комплексному обслуживанию и ремонту зданий</t>
  </si>
  <si>
    <t xml:space="preserve">разнорабочий</t>
  </si>
  <si>
    <t xml:space="preserve">реставратор</t>
  </si>
  <si>
    <t xml:space="preserve">сборщик стеклопластиковых изделий</t>
  </si>
  <si>
    <t xml:space="preserve">слесарь механосборочных работ</t>
  </si>
  <si>
    <t xml:space="preserve">слесарь-клепальщик</t>
  </si>
  <si>
    <t xml:space="preserve">слесарь-ремонтник</t>
  </si>
  <si>
    <t xml:space="preserve">слесарь-сборщик</t>
  </si>
  <si>
    <t xml:space="preserve">слесарь-сборщик (бригадир)</t>
  </si>
  <si>
    <t xml:space="preserve">специалист</t>
  </si>
  <si>
    <t xml:space="preserve">специалист по пошиву</t>
  </si>
  <si>
    <t xml:space="preserve">старший кладовщик</t>
  </si>
  <si>
    <t xml:space="preserve">старший оперативный дежурный</t>
  </si>
  <si>
    <t xml:space="preserve">старший охраны объекта</t>
  </si>
  <si>
    <t xml:space="preserve">старший специалист по пошиву</t>
  </si>
  <si>
    <t xml:space="preserve">старший сторож</t>
  </si>
  <si>
    <t xml:space="preserve">старший технический работник</t>
  </si>
  <si>
    <t xml:space="preserve">столяр</t>
  </si>
  <si>
    <t xml:space="preserve">столяр-краснодеревщик</t>
  </si>
  <si>
    <t xml:space="preserve">сторож</t>
  </si>
  <si>
    <t xml:space="preserve">технический работник</t>
  </si>
  <si>
    <t xml:space="preserve">токарь</t>
  </si>
  <si>
    <t xml:space="preserve">уборщик производственных и служебных помещений</t>
  </si>
  <si>
    <t xml:space="preserve">уборщик служебных помещений</t>
  </si>
  <si>
    <t xml:space="preserve">фрезеровщик</t>
  </si>
  <si>
    <t xml:space="preserve">электромонтажник</t>
  </si>
  <si>
    <t xml:space="preserve">электромонтер по ремонту и обслуживанию электрооборудования</t>
  </si>
  <si>
    <t xml:space="preserve">оператор станков с чпу</t>
  </si>
  <si>
    <t xml:space="preserve">добавлено 13.10.2026: вариант написания п.30</t>
  </si>
  <si>
    <t xml:space="preserve">техник-сборщик</t>
  </si>
  <si>
    <t xml:space="preserve">добавлено 13.10.2026: должности нет в Приказе №43; временно по прежней профессии подразделения (Мебельный участок МШ → столяр п.21; Участок декоративной отделки МШ → маляр п.36)</t>
  </si>
  <si>
    <t xml:space="preserve">техник</t>
  </si>
  <si>
    <t xml:space="preserve">Сотрудники, исключённые из учёта: отсутствуют в штатном расписании от 05.10.2026 (уволены)</t>
  </si>
  <si>
    <t xml:space="preserve">Данные сохранены для архива медицинских документов. Перед окончательным списанием — подтвердить увольнение в отделе персонала.</t>
  </si>
  <si>
    <t xml:space="preserve">№ в прежнем учёте</t>
  </si>
</sst>
</file>

<file path=xl/styles.xml><?xml version="1.0" encoding="utf-8"?>
<styleSheet xmlns="http://schemas.openxmlformats.org/spreadsheetml/2006/main">
  <numFmts count="3">
    <numFmt numFmtId="164" formatCode="General"/>
    <numFmt numFmtId="165" formatCode="dd\.mm\.yyyy"/>
    <numFmt numFmtId="166" formatCode="General"/>
  </numFmts>
  <fonts count="10">
    <font>
      <sz val="11"/>
      <color theme="1"/>
      <name val="Calibri"/>
      <family val="2"/>
      <charset val="1"/>
    </font>
    <font>
      <sz val="10"/>
      <name val="Arial"/>
      <family val="0"/>
    </font>
    <font>
      <sz val="10"/>
      <name val="Arial"/>
      <family val="0"/>
    </font>
    <font>
      <sz val="10"/>
      <name val="Arial"/>
      <family val="0"/>
    </font>
    <font>
      <b val="true"/>
      <sz val="14"/>
      <color rgb="FF1F4E78"/>
      <name val="Arial"/>
      <family val="0"/>
      <charset val="1"/>
    </font>
    <font>
      <b val="true"/>
      <sz val="10"/>
      <name val="Arial"/>
      <family val="0"/>
      <charset val="1"/>
    </font>
    <font>
      <sz val="10"/>
      <name val="Arial"/>
      <family val="0"/>
      <charset val="1"/>
    </font>
    <font>
      <i val="true"/>
      <sz val="10"/>
      <color rgb="FF595959"/>
      <name val="Arial"/>
      <family val="0"/>
      <charset val="1"/>
    </font>
    <font>
      <b val="true"/>
      <sz val="13"/>
      <name val="Arial"/>
      <family val="0"/>
      <charset val="1"/>
    </font>
    <font>
      <b val="true"/>
      <sz val="10"/>
      <color rgb="FFFFFFFF"/>
      <name val="Arial"/>
      <family val="0"/>
      <charset val="1"/>
    </font>
  </fonts>
  <fills count="6">
    <fill>
      <patternFill patternType="none"/>
    </fill>
    <fill>
      <patternFill patternType="gray125"/>
    </fill>
    <fill>
      <patternFill patternType="solid">
        <fgColor rgb="FF1F4E78"/>
        <bgColor rgb="FF003366"/>
      </patternFill>
    </fill>
    <fill>
      <patternFill patternType="solid">
        <fgColor rgb="FFFFFF00"/>
        <bgColor rgb="FFFFFF00"/>
      </patternFill>
    </fill>
    <fill>
      <patternFill patternType="solid">
        <fgColor rgb="FFFCE4D6"/>
        <bgColor rgb="FFFFEB9C"/>
      </patternFill>
    </fill>
    <fill>
      <patternFill patternType="solid">
        <fgColor rgb="FFDDEBF7"/>
        <bgColor rgb="FFCC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9" fillId="2" borderId="0" xfId="0" applyFont="true" applyBorder="fals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center" textRotation="0" wrapText="true" indent="0" shrinkToFit="false"/>
      <protection locked="true" hidden="false"/>
    </xf>
    <xf numFmtId="165" fontId="6" fillId="3" borderId="1" xfId="0" applyFont="true" applyBorder="true" applyAlignment="true" applyProtection="false">
      <alignment horizontal="center" vertical="center"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center"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FC7CE"/>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9C0006"/>
          <bgColor rgb="FF000000"/>
        </patternFill>
      </fill>
    </dxf>
    <dxf>
      <fill>
        <patternFill patternType="solid">
          <fgColor rgb="FF9C6500"/>
          <bgColor rgb="FF000000"/>
        </patternFill>
      </fill>
    </dxf>
    <dxf>
      <fill>
        <patternFill patternType="solid">
          <fgColor rgb="FFBDD7EE"/>
          <bgColor rgb="FF000000"/>
        </patternFill>
      </fill>
    </dxf>
    <dxf>
      <fill>
        <patternFill patternType="solid">
          <fgColor rgb="FFDDEBF7"/>
          <bgColor rgb="FF000000"/>
        </patternFill>
      </fill>
    </dxf>
    <dxf>
      <fill>
        <patternFill patternType="solid">
          <fgColor rgb="FFFCE4D6"/>
          <bgColor rgb="FF000000"/>
        </patternFill>
      </fill>
    </dxf>
    <dxf>
      <fill>
        <patternFill>
          <bgColor rgb="FFFFC7CE"/>
        </patternFill>
      </fill>
    </dxf>
    <dxf>
      <font>
        <name val="Arial"/>
        <charset val="1"/>
        <family val="0"/>
        <color rgb="FF9C0006"/>
        <sz val="10"/>
      </font>
      <fill>
        <patternFill>
          <bgColor rgb="FFFFC7CE"/>
        </patternFill>
      </fill>
    </dxf>
    <dxf>
      <font>
        <name val="Arial"/>
        <charset val="1"/>
        <family val="0"/>
        <color rgb="FF9C6500"/>
        <sz val="10"/>
      </font>
      <fill>
        <patternFill>
          <bgColor rgb="FFFFEB9C"/>
        </patternFill>
      </fill>
    </dxf>
    <dxf>
      <font>
        <name val="Arial"/>
        <charset val="1"/>
        <family val="0"/>
        <color rgb="FF006100"/>
        <sz val="10"/>
      </font>
      <fill>
        <patternFill>
          <bgColor rgb="FFC6EFCE"/>
        </patternFill>
      </fill>
    </dxf>
    <dxf>
      <font>
        <name val="Arial"/>
        <charset val="1"/>
        <family val="0"/>
        <color rgb="FF1F4E78"/>
        <sz val="10"/>
      </font>
      <fill>
        <patternFill>
          <bgColor rgb="FFBDD7EE"/>
        </patternFill>
      </fill>
    </dxf>
    <dxf>
      <font>
        <name val="Arial"/>
        <charset val="1"/>
        <family val="0"/>
        <color rgb="FF974706"/>
        <sz val="10"/>
      </font>
      <fill>
        <patternFill>
          <bgColor rgb="FFFCE4D6"/>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CE4D6"/>
      <rgbColor rgb="FFDDEBF7"/>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74706"/>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blUchet" displayName="TblUchet" ref="A1:Q366" headerRowCount="1" totalsRowCount="0" totalsRowShown="0">
  <autoFilter ref="A1:Q366"/>
  <tableColumns count="17">
    <tableColumn id="1" name="№"/>
    <tableColumn id="2" name="Площадка / офис"/>
    <tableColumn id="3" name="ФИО"/>
    <tableColumn id="4" name="Должность"/>
    <tableColumn id="5" name="Подразделение"/>
    <tableColumn id="6" name="Дата приёма"/>
    <tableColumn id="7" name="Ключ (служ.)"/>
    <tableColumn id="8" name="№ п/п по Перечню"/>
    <tableColumn id="9" name="Пункты приказа"/>
    <tableColumn id="10" name="Периодичность, мес."/>
    <tableColumn id="11" name="Дата предварительного мед. осмотра"/>
    <tableColumn id="12" name="Факт. дата последнего пройденного периодического осмотра"/>
    <tableColumn id="13" name="Дата очередного (планового) периодического осмотра"/>
    <tableColumn id="14" name="Подлежит психиатр. освидетельствованию (342н)"/>
    <tableColumn id="15" name="Дата прохождения психиатр. освидетельствования"/>
    <tableColumn id="16" name="Контрольная дата повторного психиатр. освидетельствования (5 лет — внутренняя мера; Приказ №342н кратность не устанавливает)"/>
    <tableColumn id="17" name="Нарушение: осмотр после приёма"/>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625" defaultRowHeight="14.25" zeroHeight="false" outlineLevelRow="0" outlineLevelCol="0"/>
  <cols>
    <col collapsed="false" customWidth="true" hidden="false" outlineLevel="0" max="1" min="1" style="0" width="100"/>
  </cols>
  <sheetData>
    <row r="1" customFormat="false" ht="17.25" hidden="false" customHeight="true" outlineLevel="0" collapsed="false">
      <c r="A1" s="1" t="s">
        <v>0</v>
      </c>
    </row>
    <row r="2" customFormat="false" ht="14.25" hidden="false" customHeight="false" outlineLevel="0" collapsed="false">
      <c r="A2" s="2" t="s">
        <v>1</v>
      </c>
    </row>
    <row r="3" customFormat="false" ht="39" hidden="false" customHeight="true" outlineLevel="0" collapsed="false">
      <c r="A3" s="3" t="s">
        <v>2</v>
      </c>
    </row>
    <row r="5" customFormat="false" ht="14.25" hidden="false" customHeight="false" outlineLevel="0" collapsed="false">
      <c r="A5" s="2" t="s">
        <v>3</v>
      </c>
    </row>
    <row r="6" customFormat="false" ht="45" hidden="false" customHeight="true" outlineLevel="0" collapsed="false">
      <c r="A6" s="3" t="s">
        <v>4</v>
      </c>
    </row>
    <row r="8" customFormat="false" ht="14.25" hidden="false" customHeight="false" outlineLevel="0" collapsed="false">
      <c r="A8" s="2" t="s">
        <v>5</v>
      </c>
    </row>
    <row r="9" customFormat="false" ht="45" hidden="false" customHeight="true" outlineLevel="0" collapsed="false">
      <c r="A9" s="3" t="s">
        <v>6</v>
      </c>
    </row>
    <row r="11" customFormat="false" ht="14.25" hidden="false" customHeight="false" outlineLevel="0" collapsed="false">
      <c r="A11" s="2" t="s">
        <v>7</v>
      </c>
    </row>
    <row r="12" customFormat="false" ht="45" hidden="false" customHeight="true" outlineLevel="0" collapsed="false">
      <c r="A12" s="3" t="s">
        <v>8</v>
      </c>
    </row>
    <row r="14" customFormat="false" ht="14.25" hidden="false" customHeight="false" outlineLevel="0" collapsed="false">
      <c r="A14" s="2" t="s">
        <v>9</v>
      </c>
    </row>
    <row r="15" customFormat="false" ht="45" hidden="false" customHeight="true" outlineLevel="0" collapsed="false">
      <c r="A15" s="3" t="s">
        <v>10</v>
      </c>
    </row>
    <row r="17" customFormat="false" ht="14.25" hidden="false" customHeight="false" outlineLevel="0" collapsed="false">
      <c r="A17" s="2" t="s">
        <v>11</v>
      </c>
    </row>
    <row r="18" customFormat="false" ht="14.25" hidden="false" customHeight="false" outlineLevel="0" collapsed="false">
      <c r="A18" s="4" t="s">
        <v>12</v>
      </c>
    </row>
    <row r="19" customFormat="false" ht="14.25" hidden="false" customHeight="false" outlineLevel="0" collapsed="false">
      <c r="A19" s="4" t="s">
        <v>13</v>
      </c>
    </row>
    <row r="20" customFormat="false" ht="14.25" hidden="false" customHeight="false" outlineLevel="0" collapsed="false">
      <c r="A20" s="4" t="s">
        <v>14</v>
      </c>
    </row>
    <row r="21" customFormat="false" ht="14.25" hidden="false" customHeight="false" outlineLevel="0" collapsed="false">
      <c r="A21" s="4" t="s">
        <v>15</v>
      </c>
    </row>
    <row r="22" customFormat="false" ht="14.25" hidden="false" customHeight="false" outlineLevel="0" collapsed="false">
      <c r="A22" s="4" t="s">
        <v>16</v>
      </c>
    </row>
    <row r="25" customFormat="false" ht="14.25" hidden="false" customHeight="false" outlineLevel="0" collapsed="false">
      <c r="A25" s="2" t="s">
        <v>17</v>
      </c>
    </row>
    <row r="26" customFormat="false" ht="111.75" hidden="false" customHeight="true" outlineLevel="0" collapsed="false">
      <c r="A26" s="3" t="s">
        <v>18</v>
      </c>
    </row>
    <row r="27" customFormat="false" ht="55.5" hidden="false" customHeight="true" outlineLevel="0" collapsed="false">
      <c r="A27" s="3" t="s">
        <v>19</v>
      </c>
    </row>
    <row r="28" customFormat="false" ht="45" hidden="false" customHeight="true" outlineLevel="0" collapsed="false">
      <c r="A28" s="3" t="s">
        <v>20</v>
      </c>
    </row>
    <row r="29" customFormat="false" ht="45" hidden="false" customHeight="true" outlineLevel="0" collapsed="false">
      <c r="A29" s="3" t="s">
        <v>21</v>
      </c>
    </row>
    <row r="30" customFormat="false" ht="55.5" hidden="false" customHeight="true" outlineLevel="0" collapsed="false">
      <c r="A30" s="3" t="s">
        <v>22</v>
      </c>
    </row>
    <row r="31" customFormat="false" ht="153.75" hidden="false" customHeight="true" outlineLevel="0" collapsed="false">
      <c r="A31" s="3" t="s">
        <v>23</v>
      </c>
    </row>
    <row r="32" customFormat="false" ht="195.75" hidden="false" customHeight="true" outlineLevel="0" collapsed="false">
      <c r="A32" s="3" t="s">
        <v>24</v>
      </c>
    </row>
    <row r="33" customFormat="false" ht="111.75" hidden="false" customHeight="true" outlineLevel="0" collapsed="false">
      <c r="A33" s="3" t="s">
        <v>25</v>
      </c>
    </row>
    <row r="35" customFormat="false" ht="14.25" hidden="false" customHeight="false" outlineLevel="0" collapsed="false">
      <c r="A35" s="0" t="s">
        <v>26</v>
      </c>
    </row>
    <row r="37" customFormat="false" ht="14.25" hidden="false" customHeight="false" outlineLevel="0" collapsed="false">
      <c r="A37" s="5" t="s">
        <v>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4"/>
    <col collapsed="false" customWidth="true" hidden="false" outlineLevel="0" max="3" min="3" style="0" width="70"/>
    <col collapsed="false" customWidth="true" hidden="false" outlineLevel="0" max="4" min="4" style="0" width="34"/>
    <col collapsed="false" customWidth="true" hidden="false" outlineLevel="0" max="5" min="5" style="0" width="13"/>
    <col collapsed="false" customWidth="true" hidden="false" outlineLevel="0" max="6" min="6" style="0" width="14"/>
    <col collapsed="false" customWidth="true" hidden="false" outlineLevel="0" max="7" min="7" style="0" width="60"/>
    <col collapsed="false" customWidth="true" hidden="false" outlineLevel="0" max="8" min="8" style="0" width="1"/>
  </cols>
  <sheetData>
    <row r="1" customFormat="false" ht="16.15" hidden="false" customHeight="false" outlineLevel="0" collapsed="false">
      <c r="A1" s="6" t="s">
        <v>28</v>
      </c>
    </row>
    <row r="2" customFormat="false" ht="15" hidden="false" customHeight="false" outlineLevel="0" collapsed="false">
      <c r="A2" s="4" t="s">
        <v>29</v>
      </c>
    </row>
    <row r="4" customFormat="false" ht="15" hidden="false" customHeight="false" outlineLevel="0" collapsed="false">
      <c r="A4" s="2" t="s">
        <v>30</v>
      </c>
    </row>
    <row r="5" customFormat="false" ht="23.85" hidden="false" customHeight="false" outlineLevel="0" collapsed="false">
      <c r="A5" s="7" t="s">
        <v>31</v>
      </c>
      <c r="B5" s="7" t="s">
        <v>32</v>
      </c>
    </row>
    <row r="6" customFormat="false" ht="68.65" hidden="false" customHeight="false" outlineLevel="0" collapsed="false">
      <c r="A6" s="8" t="s">
        <v>33</v>
      </c>
      <c r="B6" s="8" t="n">
        <v>365</v>
      </c>
    </row>
    <row r="7" customFormat="false" ht="180.55" hidden="false" customHeight="false" outlineLevel="0" collapsed="false">
      <c r="A7" s="8" t="s">
        <v>34</v>
      </c>
      <c r="B7" s="8" t="n">
        <v>6</v>
      </c>
    </row>
    <row r="8" customFormat="false" ht="158.2" hidden="false" customHeight="false" outlineLevel="0" collapsed="false">
      <c r="A8" s="8" t="s">
        <v>35</v>
      </c>
      <c r="B8" s="8" t="n">
        <v>12</v>
      </c>
    </row>
    <row r="9" customFormat="false" ht="35.05" hidden="false" customHeight="false" outlineLevel="0" collapsed="false">
      <c r="A9" s="8" t="s">
        <v>36</v>
      </c>
      <c r="B9" s="8" t="n">
        <f aca="false">COUNTA('Учёт медосмотров'!$C$2:$C$372)</f>
        <v>371</v>
      </c>
    </row>
    <row r="10" customFormat="false" ht="147" hidden="false" customHeight="false" outlineLevel="0" collapsed="false">
      <c r="A10" s="8" t="s">
        <v>37</v>
      </c>
      <c r="B10" s="8" t="n">
        <v>104</v>
      </c>
    </row>
    <row r="11" customFormat="false" ht="158.2" hidden="false" customHeight="false" outlineLevel="0" collapsed="false">
      <c r="A11" s="8" t="s">
        <v>38</v>
      </c>
      <c r="B11" s="8" t="n">
        <v>33</v>
      </c>
    </row>
    <row r="13" customFormat="false" ht="15" hidden="false" customHeight="false" outlineLevel="0" collapsed="false">
      <c r="A13" s="2" t="s">
        <v>39</v>
      </c>
    </row>
    <row r="14" customFormat="false" ht="15" hidden="false" customHeight="false" outlineLevel="0" collapsed="false">
      <c r="A14" s="7" t="s">
        <v>40</v>
      </c>
      <c r="B14" s="7" t="s">
        <v>41</v>
      </c>
      <c r="C14" s="7" t="s">
        <v>42</v>
      </c>
      <c r="D14" s="7" t="s">
        <v>43</v>
      </c>
      <c r="E14" s="7" t="s">
        <v>44</v>
      </c>
      <c r="F14" s="7" t="s">
        <v>45</v>
      </c>
      <c r="G14" s="7" t="s">
        <v>46</v>
      </c>
    </row>
    <row r="15" customFormat="false" ht="23.85" hidden="false" customHeight="false" outlineLevel="0" collapsed="false">
      <c r="A15" s="8" t="n">
        <v>1</v>
      </c>
      <c r="B15" s="8" t="s">
        <v>47</v>
      </c>
      <c r="C15" s="8" t="s">
        <v>48</v>
      </c>
      <c r="D15" s="8" t="s">
        <v>49</v>
      </c>
      <c r="E15" s="8" t="s">
        <v>50</v>
      </c>
      <c r="F15" s="9" t="n">
        <v>46286</v>
      </c>
      <c r="G15" s="8" t="s">
        <v>51</v>
      </c>
    </row>
    <row r="16" customFormat="false" ht="46.25" hidden="false" customHeight="false" outlineLevel="0" collapsed="false">
      <c r="A16" s="8" t="n">
        <v>2</v>
      </c>
      <c r="B16" s="8" t="s">
        <v>52</v>
      </c>
      <c r="C16" s="8" t="s">
        <v>53</v>
      </c>
      <c r="D16" s="8" t="s">
        <v>49</v>
      </c>
      <c r="E16" s="8" t="s">
        <v>50</v>
      </c>
      <c r="F16" s="9" t="n">
        <v>46163</v>
      </c>
      <c r="G16" s="8" t="s">
        <v>54</v>
      </c>
    </row>
    <row r="17" customFormat="false" ht="46.25" hidden="false" customHeight="false" outlineLevel="0" collapsed="false">
      <c r="A17" s="8" t="n">
        <v>3</v>
      </c>
      <c r="B17" s="8" t="s">
        <v>55</v>
      </c>
      <c r="C17" s="8" t="s">
        <v>56</v>
      </c>
      <c r="D17" s="8" t="s">
        <v>57</v>
      </c>
      <c r="E17" s="8" t="s">
        <v>50</v>
      </c>
      <c r="F17" s="9" t="n">
        <v>46267</v>
      </c>
      <c r="G17" s="8" t="s">
        <v>58</v>
      </c>
    </row>
    <row r="18" customFormat="false" ht="23.85" hidden="false" customHeight="false" outlineLevel="0" collapsed="false">
      <c r="A18" s="8" t="n">
        <v>4</v>
      </c>
      <c r="B18" s="8" t="s">
        <v>59</v>
      </c>
      <c r="C18" s="8" t="s">
        <v>60</v>
      </c>
      <c r="D18" s="8" t="s">
        <v>61</v>
      </c>
      <c r="E18" s="8" t="s">
        <v>50</v>
      </c>
      <c r="F18" s="9" t="n">
        <v>46290</v>
      </c>
      <c r="G18" s="8" t="s">
        <v>62</v>
      </c>
    </row>
    <row r="19" customFormat="false" ht="46.25" hidden="false" customHeight="false" outlineLevel="0" collapsed="false">
      <c r="A19" s="8" t="n">
        <v>5</v>
      </c>
      <c r="B19" s="8" t="s">
        <v>63</v>
      </c>
      <c r="C19" s="8" t="s">
        <v>64</v>
      </c>
      <c r="D19" s="8" t="s">
        <v>61</v>
      </c>
      <c r="E19" s="8" t="s">
        <v>50</v>
      </c>
      <c r="F19" s="9" t="n">
        <v>46286</v>
      </c>
      <c r="G19" s="8" t="s">
        <v>65</v>
      </c>
    </row>
    <row r="20" customFormat="false" ht="35.05" hidden="false" customHeight="false" outlineLevel="0" collapsed="false">
      <c r="A20" s="8" t="n">
        <v>6</v>
      </c>
      <c r="B20" s="8" t="s">
        <v>66</v>
      </c>
      <c r="C20" s="8" t="s">
        <v>67</v>
      </c>
      <c r="D20" s="8" t="s">
        <v>61</v>
      </c>
      <c r="E20" s="8" t="s">
        <v>50</v>
      </c>
      <c r="F20" s="9" t="n">
        <v>46296</v>
      </c>
      <c r="G20" s="8" t="s">
        <v>68</v>
      </c>
    </row>
    <row r="21" customFormat="false" ht="23.85" hidden="false" customHeight="false" outlineLevel="0" collapsed="false">
      <c r="A21" s="8" t="n">
        <v>7</v>
      </c>
      <c r="B21" s="8" t="s">
        <v>69</v>
      </c>
      <c r="C21" s="8" t="s">
        <v>70</v>
      </c>
      <c r="D21" s="8" t="s">
        <v>71</v>
      </c>
      <c r="E21" s="8" t="s">
        <v>72</v>
      </c>
      <c r="F21" s="9" t="n">
        <v>46296</v>
      </c>
      <c r="G21" s="8" t="s">
        <v>73</v>
      </c>
    </row>
    <row r="22" customFormat="false" ht="23.85" hidden="false" customHeight="false" outlineLevel="0" collapsed="false">
      <c r="A22" s="8" t="n">
        <v>8</v>
      </c>
      <c r="B22" s="8" t="s">
        <v>74</v>
      </c>
      <c r="C22" s="8" t="s">
        <v>75</v>
      </c>
      <c r="D22" s="8" t="s">
        <v>76</v>
      </c>
      <c r="E22" s="8" t="s">
        <v>72</v>
      </c>
      <c r="F22" s="9" t="n">
        <v>46297</v>
      </c>
      <c r="G22" s="8" t="s">
        <v>77</v>
      </c>
    </row>
    <row r="23" customFormat="false" ht="23.85" hidden="false" customHeight="false" outlineLevel="0" collapsed="false">
      <c r="A23" s="8" t="n">
        <v>9</v>
      </c>
      <c r="B23" s="8" t="s">
        <v>78</v>
      </c>
      <c r="C23" s="8" t="s">
        <v>79</v>
      </c>
      <c r="D23" s="8" t="s">
        <v>80</v>
      </c>
      <c r="E23" s="8" t="s">
        <v>81</v>
      </c>
      <c r="F23" s="9" t="n">
        <v>46293</v>
      </c>
      <c r="G23" s="8" t="s">
        <v>82</v>
      </c>
    </row>
    <row r="24" customFormat="false" ht="23.85" hidden="false" customHeight="false" outlineLevel="0" collapsed="false">
      <c r="A24" s="8" t="n">
        <v>10</v>
      </c>
      <c r="B24" s="8" t="s">
        <v>83</v>
      </c>
      <c r="C24" s="8" t="s">
        <v>84</v>
      </c>
      <c r="D24" s="8" t="s">
        <v>85</v>
      </c>
      <c r="E24" s="8" t="s">
        <v>81</v>
      </c>
      <c r="F24" s="9" t="n">
        <v>46296</v>
      </c>
      <c r="G24" s="8" t="s">
        <v>73</v>
      </c>
    </row>
    <row r="25" customFormat="false" ht="23.85" hidden="false" customHeight="false" outlineLevel="0" collapsed="false">
      <c r="A25" s="8" t="n">
        <v>11</v>
      </c>
      <c r="B25" s="8" t="s">
        <v>86</v>
      </c>
      <c r="C25" s="8" t="s">
        <v>84</v>
      </c>
      <c r="D25" s="8" t="s">
        <v>85</v>
      </c>
      <c r="E25" s="8" t="s">
        <v>81</v>
      </c>
      <c r="F25" s="9" t="n">
        <v>46286</v>
      </c>
      <c r="G25" s="8" t="s">
        <v>51</v>
      </c>
    </row>
    <row r="26" customFormat="false" ht="23.85" hidden="false" customHeight="false" outlineLevel="0" collapsed="false">
      <c r="A26" s="8" t="n">
        <v>12</v>
      </c>
      <c r="B26" s="8" t="s">
        <v>87</v>
      </c>
      <c r="C26" s="8" t="s">
        <v>75</v>
      </c>
      <c r="D26" s="8" t="s">
        <v>88</v>
      </c>
      <c r="E26" s="8" t="s">
        <v>81</v>
      </c>
      <c r="F26" s="9" t="n">
        <v>46269</v>
      </c>
      <c r="G26" s="8" t="s">
        <v>89</v>
      </c>
    </row>
    <row r="28" customFormat="false" ht="15" hidden="false" customHeight="false" outlineLevel="0" collapsed="false">
      <c r="A28" s="2" t="s">
        <v>90</v>
      </c>
    </row>
    <row r="29" customFormat="false" ht="15" hidden="false" customHeight="false" outlineLevel="0" collapsed="false">
      <c r="A29" s="7" t="s">
        <v>40</v>
      </c>
      <c r="B29" s="7" t="s">
        <v>41</v>
      </c>
      <c r="C29" s="7" t="s">
        <v>42</v>
      </c>
      <c r="D29" s="7" t="s">
        <v>43</v>
      </c>
      <c r="E29" s="7" t="s">
        <v>44</v>
      </c>
      <c r="F29" s="7" t="s">
        <v>45</v>
      </c>
      <c r="G29" s="7" t="s">
        <v>46</v>
      </c>
    </row>
    <row r="30" customFormat="false" ht="23.85" hidden="false" customHeight="false" outlineLevel="0" collapsed="false">
      <c r="A30" s="8" t="n">
        <v>52</v>
      </c>
      <c r="B30" s="8" t="s">
        <v>91</v>
      </c>
      <c r="C30" s="8" t="s">
        <v>75</v>
      </c>
      <c r="D30" s="8" t="s">
        <v>92</v>
      </c>
      <c r="E30" s="8" t="s">
        <v>81</v>
      </c>
      <c r="F30" s="9" t="n">
        <v>45770</v>
      </c>
      <c r="G30" s="8" t="s">
        <v>93</v>
      </c>
    </row>
    <row r="31" customFormat="false" ht="15" hidden="false" customHeight="false" outlineLevel="0" collapsed="false">
      <c r="A31" s="8" t="n">
        <v>98</v>
      </c>
      <c r="B31" s="8" t="s">
        <v>94</v>
      </c>
      <c r="C31" s="8" t="s">
        <v>95</v>
      </c>
      <c r="D31" s="8" t="s">
        <v>96</v>
      </c>
      <c r="E31" s="8" t="s">
        <v>50</v>
      </c>
      <c r="F31" s="9" t="n">
        <v>46139</v>
      </c>
      <c r="G31" s="8" t="s">
        <v>97</v>
      </c>
    </row>
    <row r="32" customFormat="false" ht="15" hidden="false" customHeight="false" outlineLevel="0" collapsed="false">
      <c r="A32" s="8" t="n">
        <v>302</v>
      </c>
      <c r="B32" s="8" t="s">
        <v>98</v>
      </c>
      <c r="C32" s="8" t="s">
        <v>99</v>
      </c>
      <c r="D32" s="8" t="s">
        <v>100</v>
      </c>
      <c r="E32" s="8" t="s">
        <v>72</v>
      </c>
      <c r="F32" s="9" t="n">
        <v>46140</v>
      </c>
      <c r="G32" s="8" t="s">
        <v>97</v>
      </c>
    </row>
    <row r="33" customFormat="false" ht="23.85" hidden="false" customHeight="false" outlineLevel="0" collapsed="false">
      <c r="A33" s="8" t="n">
        <v>304</v>
      </c>
      <c r="B33" s="8" t="s">
        <v>101</v>
      </c>
      <c r="C33" s="8" t="s">
        <v>60</v>
      </c>
      <c r="D33" s="8" t="s">
        <v>100</v>
      </c>
      <c r="E33" s="8" t="s">
        <v>72</v>
      </c>
      <c r="F33" s="9" t="n">
        <v>46036</v>
      </c>
      <c r="G33" s="8" t="s">
        <v>93</v>
      </c>
    </row>
    <row r="34" customFormat="false" ht="15" hidden="false" customHeight="false" outlineLevel="0" collapsed="false">
      <c r="A34" s="8" t="n">
        <v>318</v>
      </c>
      <c r="B34" s="8" t="s">
        <v>102</v>
      </c>
      <c r="C34" s="8" t="s">
        <v>84</v>
      </c>
      <c r="D34" s="8" t="s">
        <v>100</v>
      </c>
      <c r="E34" s="8" t="s">
        <v>72</v>
      </c>
      <c r="F34" s="9" t="n">
        <v>45950</v>
      </c>
      <c r="G34" s="8" t="s">
        <v>97</v>
      </c>
    </row>
    <row r="35" customFormat="false" ht="15" hidden="false" customHeight="false" outlineLevel="0" collapsed="false">
      <c r="A35" s="8" t="n">
        <v>322</v>
      </c>
      <c r="B35" s="8" t="s">
        <v>103</v>
      </c>
      <c r="C35" s="8" t="s">
        <v>104</v>
      </c>
      <c r="D35" s="8" t="s">
        <v>100</v>
      </c>
      <c r="E35" s="8" t="s">
        <v>72</v>
      </c>
      <c r="F35" s="9" t="n">
        <v>46156</v>
      </c>
      <c r="G35" s="8" t="s">
        <v>97</v>
      </c>
    </row>
    <row r="37" customFormat="false" ht="15" hidden="false" customHeight="false" outlineLevel="0" collapsed="false">
      <c r="A37" s="2" t="s">
        <v>105</v>
      </c>
    </row>
    <row r="38" customFormat="false" ht="35.05" hidden="false" customHeight="false" outlineLevel="0" collapsed="false">
      <c r="A38" s="7" t="s">
        <v>106</v>
      </c>
      <c r="B38" s="7" t="s">
        <v>41</v>
      </c>
      <c r="C38" s="7" t="s">
        <v>107</v>
      </c>
    </row>
    <row r="39" customFormat="false" ht="35.05" hidden="false" customHeight="false" outlineLevel="0" collapsed="false">
      <c r="A39" s="8" t="n">
        <v>132</v>
      </c>
      <c r="B39" s="8" t="s">
        <v>108</v>
      </c>
      <c r="C39" s="8" t="s">
        <v>109</v>
      </c>
    </row>
    <row r="40" customFormat="false" ht="35.05" hidden="false" customHeight="false" outlineLevel="0" collapsed="false">
      <c r="A40" s="8" t="n">
        <v>133</v>
      </c>
      <c r="B40" s="8" t="s">
        <v>110</v>
      </c>
      <c r="C40" s="8" t="s">
        <v>109</v>
      </c>
    </row>
    <row r="41" customFormat="false" ht="35.05" hidden="false" customHeight="false" outlineLevel="0" collapsed="false">
      <c r="A41" s="8" t="n">
        <v>134</v>
      </c>
      <c r="B41" s="8" t="s">
        <v>111</v>
      </c>
      <c r="C41" s="8" t="s">
        <v>109</v>
      </c>
    </row>
    <row r="42" customFormat="false" ht="35.05" hidden="false" customHeight="false" outlineLevel="0" collapsed="false">
      <c r="A42" s="8" t="n">
        <v>135</v>
      </c>
      <c r="B42" s="8" t="s">
        <v>112</v>
      </c>
      <c r="C42" s="8" t="s">
        <v>109</v>
      </c>
    </row>
    <row r="43" customFormat="false" ht="35.05" hidden="false" customHeight="false" outlineLevel="0" collapsed="false">
      <c r="A43" s="8" t="n">
        <v>136</v>
      </c>
      <c r="B43" s="8" t="s">
        <v>113</v>
      </c>
      <c r="C43" s="8" t="s">
        <v>114</v>
      </c>
    </row>
    <row r="44" customFormat="false" ht="35.05" hidden="false" customHeight="false" outlineLevel="0" collapsed="false">
      <c r="A44" s="8" t="n">
        <v>137</v>
      </c>
      <c r="B44" s="8" t="s">
        <v>115</v>
      </c>
      <c r="C44" s="8" t="s">
        <v>114</v>
      </c>
    </row>
    <row r="45" customFormat="false" ht="35.05" hidden="false" customHeight="false" outlineLevel="0" collapsed="false">
      <c r="A45" s="8" t="n">
        <v>138</v>
      </c>
      <c r="B45" s="8" t="s">
        <v>116</v>
      </c>
      <c r="C45" s="8" t="s">
        <v>114</v>
      </c>
    </row>
    <row r="46" customFormat="false" ht="35.05" hidden="false" customHeight="false" outlineLevel="0" collapsed="false">
      <c r="A46" s="8" t="n">
        <v>139</v>
      </c>
      <c r="B46" s="8" t="s">
        <v>117</v>
      </c>
      <c r="C46" s="8" t="s">
        <v>118</v>
      </c>
    </row>
    <row r="47" customFormat="false" ht="35.05" hidden="false" customHeight="false" outlineLevel="0" collapsed="false">
      <c r="A47" s="8" t="n">
        <v>141</v>
      </c>
      <c r="B47" s="8" t="s">
        <v>119</v>
      </c>
      <c r="C47" s="8" t="s">
        <v>118</v>
      </c>
    </row>
    <row r="48" customFormat="false" ht="35.05" hidden="false" customHeight="false" outlineLevel="0" collapsed="false">
      <c r="A48" s="8" t="n">
        <v>146</v>
      </c>
      <c r="B48" s="8" t="s">
        <v>120</v>
      </c>
      <c r="C48" s="8" t="s">
        <v>121</v>
      </c>
    </row>
    <row r="49" customFormat="false" ht="35.05" hidden="false" customHeight="false" outlineLevel="0" collapsed="false">
      <c r="A49" s="8" t="n">
        <v>147</v>
      </c>
      <c r="B49" s="8" t="s">
        <v>122</v>
      </c>
      <c r="C49" s="8" t="s">
        <v>121</v>
      </c>
    </row>
    <row r="50" customFormat="false" ht="35.05" hidden="false" customHeight="false" outlineLevel="0" collapsed="false">
      <c r="A50" s="8" t="n">
        <v>148</v>
      </c>
      <c r="B50" s="8" t="s">
        <v>123</v>
      </c>
      <c r="C50" s="8" t="s">
        <v>121</v>
      </c>
    </row>
    <row r="51" customFormat="false" ht="35.05" hidden="false" customHeight="false" outlineLevel="0" collapsed="false">
      <c r="A51" s="8" t="n">
        <v>149</v>
      </c>
      <c r="B51" s="8" t="s">
        <v>124</v>
      </c>
      <c r="C51" s="8" t="s">
        <v>121</v>
      </c>
    </row>
    <row r="52" customFormat="false" ht="35.05" hidden="false" customHeight="false" outlineLevel="0" collapsed="false">
      <c r="A52" s="8" t="n">
        <v>150</v>
      </c>
      <c r="B52" s="8" t="s">
        <v>125</v>
      </c>
      <c r="C52" s="8" t="s">
        <v>121</v>
      </c>
    </row>
    <row r="53" customFormat="false" ht="35.05" hidden="false" customHeight="false" outlineLevel="0" collapsed="false">
      <c r="A53" s="8" t="n">
        <v>151</v>
      </c>
      <c r="B53" s="8" t="s">
        <v>126</v>
      </c>
      <c r="C53" s="8" t="s">
        <v>121</v>
      </c>
    </row>
    <row r="54" customFormat="false" ht="35.05" hidden="false" customHeight="false" outlineLevel="0" collapsed="false">
      <c r="A54" s="8" t="n">
        <v>152</v>
      </c>
      <c r="B54" s="8" t="s">
        <v>127</v>
      </c>
      <c r="C54" s="8" t="s">
        <v>121</v>
      </c>
    </row>
    <row r="55" customFormat="false" ht="35.05" hidden="false" customHeight="false" outlineLevel="0" collapsed="false">
      <c r="A55" s="8" t="n">
        <v>153</v>
      </c>
      <c r="B55" s="8" t="s">
        <v>128</v>
      </c>
      <c r="C55" s="8" t="s">
        <v>121</v>
      </c>
    </row>
    <row r="56" customFormat="false" ht="35.05" hidden="false" customHeight="false" outlineLevel="0" collapsed="false">
      <c r="A56" s="8" t="n">
        <v>154</v>
      </c>
      <c r="B56" s="8" t="s">
        <v>129</v>
      </c>
      <c r="C56" s="8" t="s">
        <v>130</v>
      </c>
    </row>
    <row r="57" customFormat="false" ht="35.05" hidden="false" customHeight="false" outlineLevel="0" collapsed="false">
      <c r="A57" s="8" t="n">
        <v>155</v>
      </c>
      <c r="B57" s="8" t="s">
        <v>131</v>
      </c>
      <c r="C57" s="8" t="s">
        <v>130</v>
      </c>
    </row>
    <row r="58" customFormat="false" ht="35.05" hidden="false" customHeight="false" outlineLevel="0" collapsed="false">
      <c r="A58" s="8" t="n">
        <v>156</v>
      </c>
      <c r="B58" s="8" t="s">
        <v>132</v>
      </c>
      <c r="C58" s="8" t="s">
        <v>130</v>
      </c>
    </row>
    <row r="59" customFormat="false" ht="35.05" hidden="false" customHeight="false" outlineLevel="0" collapsed="false">
      <c r="A59" s="8" t="n">
        <v>157</v>
      </c>
      <c r="B59" s="8" t="s">
        <v>133</v>
      </c>
      <c r="C59" s="8" t="s">
        <v>130</v>
      </c>
    </row>
    <row r="60" customFormat="false" ht="35.05" hidden="false" customHeight="false" outlineLevel="0" collapsed="false">
      <c r="A60" s="8" t="n">
        <v>158</v>
      </c>
      <c r="B60" s="8" t="s">
        <v>134</v>
      </c>
      <c r="C60" s="8" t="s">
        <v>130</v>
      </c>
    </row>
    <row r="61" customFormat="false" ht="35.05" hidden="false" customHeight="false" outlineLevel="0" collapsed="false">
      <c r="A61" s="8" t="n">
        <v>159</v>
      </c>
      <c r="B61" s="8" t="s">
        <v>135</v>
      </c>
      <c r="C61" s="8" t="s">
        <v>130</v>
      </c>
    </row>
    <row r="62" customFormat="false" ht="23.85" hidden="false" customHeight="false" outlineLevel="0" collapsed="false">
      <c r="A62" s="8" t="n">
        <v>160</v>
      </c>
      <c r="B62" s="8" t="s">
        <v>136</v>
      </c>
      <c r="C62" s="8" t="s">
        <v>137</v>
      </c>
    </row>
    <row r="63" customFormat="false" ht="35.05" hidden="false" customHeight="false" outlineLevel="0" collapsed="false">
      <c r="A63" s="8" t="n">
        <v>161</v>
      </c>
      <c r="B63" s="8" t="s">
        <v>138</v>
      </c>
      <c r="C63" s="8" t="s">
        <v>130</v>
      </c>
    </row>
    <row r="64" customFormat="false" ht="35.05" hidden="false" customHeight="false" outlineLevel="0" collapsed="false">
      <c r="A64" s="8" t="n">
        <v>163</v>
      </c>
      <c r="B64" s="8" t="s">
        <v>139</v>
      </c>
      <c r="C64" s="8" t="s">
        <v>140</v>
      </c>
    </row>
    <row r="65" customFormat="false" ht="35.05" hidden="false" customHeight="false" outlineLevel="0" collapsed="false">
      <c r="A65" s="8" t="n">
        <v>170</v>
      </c>
      <c r="B65" s="8" t="s">
        <v>141</v>
      </c>
      <c r="C65" s="8" t="s">
        <v>142</v>
      </c>
    </row>
    <row r="66" customFormat="false" ht="35.05" hidden="false" customHeight="false" outlineLevel="0" collapsed="false">
      <c r="A66" s="8" t="n">
        <v>173</v>
      </c>
      <c r="B66" s="8" t="s">
        <v>143</v>
      </c>
      <c r="C66" s="8" t="s">
        <v>144</v>
      </c>
    </row>
    <row r="67" customFormat="false" ht="35.05" hidden="false" customHeight="false" outlineLevel="0" collapsed="false">
      <c r="A67" s="8" t="n">
        <v>176</v>
      </c>
      <c r="B67" s="8" t="s">
        <v>145</v>
      </c>
      <c r="C67" s="8" t="s">
        <v>146</v>
      </c>
    </row>
    <row r="68" customFormat="false" ht="23.85" hidden="false" customHeight="false" outlineLevel="0" collapsed="false">
      <c r="A68" s="8" t="n">
        <v>178</v>
      </c>
      <c r="B68" s="8" t="s">
        <v>147</v>
      </c>
      <c r="C68" s="8" t="s">
        <v>148</v>
      </c>
    </row>
    <row r="69" customFormat="false" ht="23.85" hidden="false" customHeight="false" outlineLevel="0" collapsed="false">
      <c r="A69" s="8" t="n">
        <v>179</v>
      </c>
      <c r="B69" s="8" t="s">
        <v>149</v>
      </c>
      <c r="C69" s="8" t="s">
        <v>148</v>
      </c>
    </row>
    <row r="70" customFormat="false" ht="35.05" hidden="false" customHeight="false" outlineLevel="0" collapsed="false">
      <c r="A70" s="8" t="n">
        <v>180</v>
      </c>
      <c r="B70" s="8" t="s">
        <v>150</v>
      </c>
      <c r="C70" s="8" t="s">
        <v>151</v>
      </c>
    </row>
    <row r="71" customFormat="false" ht="35.05" hidden="false" customHeight="false" outlineLevel="0" collapsed="false">
      <c r="A71" s="8" t="n">
        <v>181</v>
      </c>
      <c r="B71" s="8" t="s">
        <v>152</v>
      </c>
      <c r="C71" s="8" t="s">
        <v>151</v>
      </c>
    </row>
    <row r="72" customFormat="false" ht="35.05" hidden="false" customHeight="false" outlineLevel="0" collapsed="false">
      <c r="A72" s="8" t="n">
        <v>182</v>
      </c>
      <c r="B72" s="8" t="s">
        <v>153</v>
      </c>
      <c r="C72" s="8" t="s">
        <v>154</v>
      </c>
    </row>
    <row r="73" customFormat="false" ht="35.05" hidden="false" customHeight="false" outlineLevel="0" collapsed="false">
      <c r="A73" s="8" t="n">
        <v>184</v>
      </c>
      <c r="B73" s="8" t="s">
        <v>155</v>
      </c>
      <c r="C73" s="8" t="s">
        <v>156</v>
      </c>
    </row>
    <row r="74" customFormat="false" ht="35.05" hidden="false" customHeight="false" outlineLevel="0" collapsed="false">
      <c r="A74" s="8" t="n">
        <v>187</v>
      </c>
      <c r="B74" s="8" t="s">
        <v>157</v>
      </c>
      <c r="C74" s="8" t="s">
        <v>158</v>
      </c>
    </row>
    <row r="75" customFormat="false" ht="35.05" hidden="false" customHeight="false" outlineLevel="0" collapsed="false">
      <c r="A75" s="8" t="n">
        <v>188</v>
      </c>
      <c r="B75" s="8" t="s">
        <v>159</v>
      </c>
      <c r="C75" s="8" t="s">
        <v>160</v>
      </c>
    </row>
    <row r="76" customFormat="false" ht="35.05" hidden="false" customHeight="false" outlineLevel="0" collapsed="false">
      <c r="A76" s="8" t="n">
        <v>189</v>
      </c>
      <c r="B76" s="8" t="s">
        <v>161</v>
      </c>
      <c r="C76" s="8" t="s">
        <v>160</v>
      </c>
    </row>
    <row r="77" customFormat="false" ht="35.05" hidden="false" customHeight="false" outlineLevel="0" collapsed="false">
      <c r="A77" s="8" t="n">
        <v>190</v>
      </c>
      <c r="B77" s="8" t="s">
        <v>162</v>
      </c>
      <c r="C77" s="8" t="s">
        <v>160</v>
      </c>
    </row>
    <row r="78" customFormat="false" ht="35.05" hidden="false" customHeight="false" outlineLevel="0" collapsed="false">
      <c r="A78" s="8" t="n">
        <v>191</v>
      </c>
      <c r="B78" s="8" t="s">
        <v>163</v>
      </c>
      <c r="C78" s="8" t="s">
        <v>164</v>
      </c>
    </row>
    <row r="79" customFormat="false" ht="35.05" hidden="false" customHeight="false" outlineLevel="0" collapsed="false">
      <c r="A79" s="8" t="n">
        <v>192</v>
      </c>
      <c r="B79" s="8" t="s">
        <v>165</v>
      </c>
      <c r="C79" s="8" t="s">
        <v>164</v>
      </c>
    </row>
    <row r="80" customFormat="false" ht="35.05" hidden="false" customHeight="false" outlineLevel="0" collapsed="false">
      <c r="A80" s="8" t="n">
        <v>193</v>
      </c>
      <c r="B80" s="8" t="s">
        <v>166</v>
      </c>
      <c r="C80" s="8" t="s">
        <v>167</v>
      </c>
    </row>
    <row r="81" customFormat="false" ht="35.05" hidden="false" customHeight="false" outlineLevel="0" collapsed="false">
      <c r="A81" s="8" t="n">
        <v>194</v>
      </c>
      <c r="B81" s="8" t="s">
        <v>168</v>
      </c>
      <c r="C81" s="8" t="s">
        <v>167</v>
      </c>
    </row>
    <row r="82" customFormat="false" ht="35.05" hidden="false" customHeight="false" outlineLevel="0" collapsed="false">
      <c r="A82" s="8" t="n">
        <v>195</v>
      </c>
      <c r="B82" s="8" t="s">
        <v>169</v>
      </c>
      <c r="C82" s="8" t="s">
        <v>167</v>
      </c>
    </row>
    <row r="83" customFormat="false" ht="35.05" hidden="false" customHeight="false" outlineLevel="0" collapsed="false">
      <c r="A83" s="8" t="n">
        <v>196</v>
      </c>
      <c r="B83" s="8" t="s">
        <v>170</v>
      </c>
      <c r="C83" s="8" t="s">
        <v>171</v>
      </c>
    </row>
    <row r="84" customFormat="false" ht="35.05" hidden="false" customHeight="false" outlineLevel="0" collapsed="false">
      <c r="A84" s="8" t="n">
        <v>320</v>
      </c>
      <c r="B84" s="8" t="s">
        <v>172</v>
      </c>
      <c r="C84" s="8" t="s">
        <v>173</v>
      </c>
    </row>
    <row r="85" customFormat="false" ht="35.05" hidden="false" customHeight="false" outlineLevel="0" collapsed="false">
      <c r="A85" s="8" t="n">
        <v>321</v>
      </c>
      <c r="B85" s="8" t="s">
        <v>174</v>
      </c>
      <c r="C85" s="8" t="s">
        <v>175</v>
      </c>
    </row>
    <row r="87" customFormat="false" ht="15" hidden="false" customHeight="false" outlineLevel="0" collapsed="false">
      <c r="A87" s="2" t="s">
        <v>176</v>
      </c>
    </row>
    <row r="88" customFormat="false" ht="15" hidden="false" customHeight="false" outlineLevel="0" collapsed="false">
      <c r="A88" s="4" t="s">
        <v>177</v>
      </c>
    </row>
    <row r="90" customFormat="false" ht="15" hidden="false" customHeight="false" outlineLevel="0" collapsed="false">
      <c r="A90" s="2" t="s">
        <v>178</v>
      </c>
    </row>
    <row r="91" customFormat="false" ht="15" hidden="false" customHeight="false" outlineLevel="0" collapsed="false">
      <c r="A91" s="7" t="s">
        <v>40</v>
      </c>
      <c r="B91" s="7" t="s">
        <v>41</v>
      </c>
      <c r="C91" s="7" t="s">
        <v>42</v>
      </c>
      <c r="D91" s="7" t="s">
        <v>43</v>
      </c>
      <c r="E91" s="7" t="s">
        <v>44</v>
      </c>
      <c r="F91" s="7" t="s">
        <v>45</v>
      </c>
      <c r="G91" s="7" t="s">
        <v>179</v>
      </c>
    </row>
    <row r="92" customFormat="false" ht="35.05" hidden="false" customHeight="false" outlineLevel="0" collapsed="false">
      <c r="A92" s="8" t="n">
        <v>1</v>
      </c>
      <c r="B92" s="8" t="s">
        <v>180</v>
      </c>
      <c r="C92" s="8" t="s">
        <v>181</v>
      </c>
      <c r="D92" s="8" t="s">
        <v>182</v>
      </c>
      <c r="E92" s="8" t="s">
        <v>50</v>
      </c>
      <c r="F92" s="9" t="n">
        <v>44258</v>
      </c>
      <c r="G92" s="8" t="s">
        <v>183</v>
      </c>
    </row>
    <row r="93" customFormat="false" ht="35.05" hidden="false" customHeight="false" outlineLevel="0" collapsed="false">
      <c r="A93" s="8" t="n">
        <v>2</v>
      </c>
      <c r="B93" s="8" t="s">
        <v>184</v>
      </c>
      <c r="C93" s="8" t="s">
        <v>185</v>
      </c>
      <c r="D93" s="8" t="s">
        <v>182</v>
      </c>
      <c r="E93" s="8" t="s">
        <v>50</v>
      </c>
      <c r="F93" s="9" t="n">
        <v>40210</v>
      </c>
      <c r="G93" s="8" t="s">
        <v>183</v>
      </c>
    </row>
    <row r="94" customFormat="false" ht="35.05" hidden="false" customHeight="false" outlineLevel="0" collapsed="false">
      <c r="A94" s="8" t="n">
        <v>3</v>
      </c>
      <c r="B94" s="8" t="s">
        <v>186</v>
      </c>
      <c r="C94" s="8" t="s">
        <v>181</v>
      </c>
      <c r="D94" s="8" t="s">
        <v>187</v>
      </c>
      <c r="E94" s="8" t="s">
        <v>50</v>
      </c>
      <c r="F94" s="9" t="n">
        <v>40878</v>
      </c>
      <c r="G94" s="8" t="s">
        <v>183</v>
      </c>
    </row>
    <row r="95" customFormat="false" ht="46.25" hidden="false" customHeight="false" outlineLevel="0" collapsed="false">
      <c r="A95" s="8" t="n">
        <v>4</v>
      </c>
      <c r="B95" s="8" t="s">
        <v>141</v>
      </c>
      <c r="C95" s="8" t="s">
        <v>188</v>
      </c>
      <c r="D95" s="8" t="s">
        <v>49</v>
      </c>
      <c r="E95" s="8" t="s">
        <v>50</v>
      </c>
      <c r="F95" s="9" t="n">
        <v>41061</v>
      </c>
      <c r="G95" s="8" t="s">
        <v>189</v>
      </c>
    </row>
    <row r="96" customFormat="false" ht="35.05" hidden="false" customHeight="false" outlineLevel="0" collapsed="false">
      <c r="A96" s="8" t="n">
        <v>5</v>
      </c>
      <c r="B96" s="8" t="s">
        <v>190</v>
      </c>
      <c r="C96" s="8" t="s">
        <v>181</v>
      </c>
      <c r="D96" s="8" t="s">
        <v>191</v>
      </c>
      <c r="E96" s="8" t="s">
        <v>50</v>
      </c>
      <c r="F96" s="9" t="n">
        <v>46286</v>
      </c>
      <c r="G96" s="8" t="s">
        <v>183</v>
      </c>
    </row>
    <row r="97" customFormat="false" ht="35.05" hidden="false" customHeight="false" outlineLevel="0" collapsed="false">
      <c r="A97" s="8" t="n">
        <v>6</v>
      </c>
      <c r="B97" s="8" t="s">
        <v>192</v>
      </c>
      <c r="C97" s="8" t="s">
        <v>193</v>
      </c>
      <c r="D97" s="8" t="s">
        <v>194</v>
      </c>
      <c r="E97" s="8" t="s">
        <v>50</v>
      </c>
      <c r="F97" s="9" t="n">
        <v>45180</v>
      </c>
      <c r="G97" s="8" t="s">
        <v>183</v>
      </c>
    </row>
    <row r="98" customFormat="false" ht="35.05" hidden="false" customHeight="false" outlineLevel="0" collapsed="false">
      <c r="A98" s="8" t="n">
        <v>7</v>
      </c>
      <c r="B98" s="8" t="s">
        <v>195</v>
      </c>
      <c r="C98" s="8" t="s">
        <v>193</v>
      </c>
      <c r="D98" s="8" t="s">
        <v>194</v>
      </c>
      <c r="E98" s="8" t="s">
        <v>50</v>
      </c>
      <c r="F98" s="9" t="n">
        <v>40030</v>
      </c>
      <c r="G98" s="8" t="s">
        <v>183</v>
      </c>
    </row>
    <row r="99" customFormat="false" ht="35.05" hidden="false" customHeight="false" outlineLevel="0" collapsed="false">
      <c r="A99" s="8" t="n">
        <v>8</v>
      </c>
      <c r="B99" s="8" t="s">
        <v>196</v>
      </c>
      <c r="C99" s="8" t="s">
        <v>197</v>
      </c>
      <c r="D99" s="8" t="s">
        <v>194</v>
      </c>
      <c r="E99" s="8" t="s">
        <v>50</v>
      </c>
      <c r="F99" s="9" t="n">
        <v>42461</v>
      </c>
      <c r="G99" s="8" t="s">
        <v>183</v>
      </c>
    </row>
    <row r="100" customFormat="false" ht="35.05" hidden="false" customHeight="false" outlineLevel="0" collapsed="false">
      <c r="A100" s="8" t="n">
        <v>9</v>
      </c>
      <c r="B100" s="8" t="s">
        <v>198</v>
      </c>
      <c r="C100" s="8" t="s">
        <v>199</v>
      </c>
      <c r="D100" s="8" t="s">
        <v>200</v>
      </c>
      <c r="E100" s="8" t="s">
        <v>72</v>
      </c>
      <c r="F100" s="9" t="n">
        <v>46237</v>
      </c>
      <c r="G100" s="8" t="s">
        <v>183</v>
      </c>
    </row>
    <row r="101" customFormat="false" ht="35.05" hidden="false" customHeight="false" outlineLevel="0" collapsed="false">
      <c r="A101" s="8" t="n">
        <v>10</v>
      </c>
      <c r="B101" s="8" t="s">
        <v>201</v>
      </c>
      <c r="C101" s="8" t="s">
        <v>202</v>
      </c>
      <c r="D101" s="8" t="s">
        <v>200</v>
      </c>
      <c r="E101" s="8" t="s">
        <v>72</v>
      </c>
      <c r="F101" s="9" t="n">
        <v>46286</v>
      </c>
      <c r="G101" s="8" t="s">
        <v>183</v>
      </c>
    </row>
    <row r="102" customFormat="false" ht="35.05" hidden="false" customHeight="false" outlineLevel="0" collapsed="false">
      <c r="A102" s="8" t="n">
        <v>11</v>
      </c>
      <c r="B102" s="8" t="s">
        <v>203</v>
      </c>
      <c r="C102" s="8" t="s">
        <v>181</v>
      </c>
      <c r="D102" s="8" t="s">
        <v>204</v>
      </c>
      <c r="E102" s="8" t="s">
        <v>72</v>
      </c>
      <c r="F102" s="9" t="n">
        <v>45028</v>
      </c>
      <c r="G102" s="8" t="s">
        <v>183</v>
      </c>
    </row>
    <row r="104" customFormat="false" ht="15" hidden="false" customHeight="false" outlineLevel="0" collapsed="false">
      <c r="A104" s="2" t="s">
        <v>205</v>
      </c>
    </row>
    <row r="105" customFormat="false" ht="15" hidden="false" customHeight="false" outlineLevel="0" collapsed="false">
      <c r="A105" s="7" t="s">
        <v>40</v>
      </c>
      <c r="B105" s="7" t="s">
        <v>206</v>
      </c>
      <c r="C105" s="7" t="s">
        <v>207</v>
      </c>
      <c r="D105" s="7" t="s">
        <v>208</v>
      </c>
    </row>
    <row r="106" customFormat="false" ht="35.05" hidden="false" customHeight="false" outlineLevel="0" collapsed="false">
      <c r="A106" s="8" t="s">
        <v>209</v>
      </c>
      <c r="B106" s="8" t="s">
        <v>210</v>
      </c>
      <c r="C106" s="8" t="s">
        <v>211</v>
      </c>
      <c r="D106" s="8" t="s">
        <v>212</v>
      </c>
    </row>
    <row r="107" customFormat="false" ht="35.05" hidden="false" customHeight="false" outlineLevel="0" collapsed="false">
      <c r="A107" s="8" t="s">
        <v>213</v>
      </c>
      <c r="B107" s="8" t="s">
        <v>214</v>
      </c>
      <c r="C107" s="8" t="s">
        <v>215</v>
      </c>
      <c r="D107" s="8" t="s">
        <v>216</v>
      </c>
    </row>
    <row r="108" customFormat="false" ht="57.45" hidden="false" customHeight="false" outlineLevel="0" collapsed="false">
      <c r="A108" s="8" t="s">
        <v>217</v>
      </c>
      <c r="B108" s="8" t="s">
        <v>218</v>
      </c>
      <c r="C108" s="8" t="s">
        <v>219</v>
      </c>
      <c r="D108" s="8" t="s">
        <v>220</v>
      </c>
    </row>
    <row r="109" customFormat="false" ht="35.05" hidden="false" customHeight="false" outlineLevel="0" collapsed="false">
      <c r="A109" s="8" t="s">
        <v>221</v>
      </c>
      <c r="B109" s="8" t="s">
        <v>222</v>
      </c>
      <c r="C109" s="8" t="s">
        <v>223</v>
      </c>
      <c r="D109" s="8" t="s">
        <v>224</v>
      </c>
    </row>
    <row r="110" customFormat="false" ht="79.85" hidden="false" customHeight="false" outlineLevel="0" collapsed="false">
      <c r="A110" s="8" t="s">
        <v>225</v>
      </c>
      <c r="B110" s="8" t="s">
        <v>226</v>
      </c>
      <c r="C110" s="8" t="s">
        <v>227</v>
      </c>
      <c r="D110" s="8" t="s">
        <v>228</v>
      </c>
    </row>
    <row r="111" customFormat="false" ht="23.85" hidden="false" customHeight="false" outlineLevel="0" collapsed="false">
      <c r="A111" s="8" t="s">
        <v>229</v>
      </c>
      <c r="B111" s="8" t="s">
        <v>230</v>
      </c>
      <c r="C111" s="8" t="s">
        <v>231</v>
      </c>
      <c r="D111" s="8" t="s">
        <v>212</v>
      </c>
    </row>
    <row r="112" customFormat="false" ht="57.45" hidden="false" customHeight="false" outlineLevel="0" collapsed="false">
      <c r="A112" s="8" t="s">
        <v>232</v>
      </c>
      <c r="B112" s="8" t="s">
        <v>233</v>
      </c>
      <c r="C112" s="8" t="s">
        <v>234</v>
      </c>
      <c r="D112" s="8" t="s">
        <v>235</v>
      </c>
    </row>
    <row r="113" customFormat="false" ht="35.05" hidden="false" customHeight="false" outlineLevel="0" collapsed="false">
      <c r="A113" s="8" t="s">
        <v>236</v>
      </c>
      <c r="B113" s="8" t="s">
        <v>237</v>
      </c>
      <c r="C113" s="8" t="s">
        <v>238</v>
      </c>
      <c r="D113" s="8" t="s">
        <v>239</v>
      </c>
    </row>
    <row r="114" customFormat="false" ht="23.85" hidden="false" customHeight="false" outlineLevel="0" collapsed="false">
      <c r="A114" s="8" t="s">
        <v>240</v>
      </c>
      <c r="B114" s="8" t="s">
        <v>241</v>
      </c>
      <c r="C114" s="8" t="s">
        <v>242</v>
      </c>
      <c r="D114" s="8" t="s">
        <v>243</v>
      </c>
    </row>
    <row r="115" customFormat="false" ht="23.85" hidden="false" customHeight="false" outlineLevel="0" collapsed="false">
      <c r="A115" s="8" t="s">
        <v>244</v>
      </c>
      <c r="B115" s="8" t="s">
        <v>245</v>
      </c>
      <c r="C115" s="8" t="s">
        <v>246</v>
      </c>
      <c r="D115" s="8" t="s">
        <v>212</v>
      </c>
    </row>
    <row r="116" customFormat="false" ht="35.05" hidden="false" customHeight="false" outlineLevel="0" collapsed="false">
      <c r="A116" s="8" t="s">
        <v>247</v>
      </c>
      <c r="B116" s="8" t="s">
        <v>248</v>
      </c>
      <c r="C116" s="8" t="s">
        <v>249</v>
      </c>
      <c r="D116" s="8" t="s">
        <v>250</v>
      </c>
    </row>
    <row r="117" customFormat="false" ht="46.25" hidden="false" customHeight="false" outlineLevel="0" collapsed="false">
      <c r="A117" s="8" t="s">
        <v>251</v>
      </c>
      <c r="B117" s="8" t="s">
        <v>252</v>
      </c>
      <c r="C117" s="8" t="s">
        <v>253</v>
      </c>
      <c r="D117" s="8" t="s">
        <v>254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625" defaultRowHeight="14.25"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3" min="3" style="0" width="34"/>
    <col collapsed="false" customWidth="true" hidden="false" outlineLevel="0" max="4" min="4" style="0" width="14"/>
    <col collapsed="false" customWidth="true" hidden="false" outlineLevel="0" max="5" min="5" style="0" width="42"/>
    <col collapsed="false" customWidth="true" hidden="false" outlineLevel="0" max="6" min="6" style="0" width="16"/>
    <col collapsed="false" customWidth="true" hidden="false" outlineLevel="0" max="7" min="7" style="0" width="46"/>
    <col collapsed="false" customWidth="true" hidden="false" outlineLevel="0" max="8" min="8" style="0" width="13"/>
  </cols>
  <sheetData>
    <row r="1" customFormat="false" ht="31.5" hidden="false" customHeight="true" outlineLevel="0" collapsed="false">
      <c r="A1" s="10" t="s">
        <v>255</v>
      </c>
      <c r="B1" s="10" t="s">
        <v>256</v>
      </c>
      <c r="C1" s="10" t="s">
        <v>257</v>
      </c>
      <c r="D1" s="10" t="s">
        <v>258</v>
      </c>
      <c r="E1" s="10" t="s">
        <v>259</v>
      </c>
      <c r="F1" s="10" t="s">
        <v>260</v>
      </c>
      <c r="G1" s="10" t="s">
        <v>261</v>
      </c>
      <c r="H1" s="10" t="s">
        <v>262</v>
      </c>
    </row>
    <row r="2" customFormat="false" ht="26.25" hidden="false" customHeight="true" outlineLevel="0" collapsed="false">
      <c r="A2" s="11" t="n">
        <v>1</v>
      </c>
      <c r="B2" s="8" t="s">
        <v>263</v>
      </c>
      <c r="C2" s="8" t="s">
        <v>264</v>
      </c>
      <c r="D2" s="12" t="n">
        <v>12</v>
      </c>
      <c r="E2" s="8" t="s">
        <v>265</v>
      </c>
      <c r="F2" s="12" t="s">
        <v>266</v>
      </c>
      <c r="G2" s="8"/>
      <c r="H2" s="11" t="n">
        <f aca="false">COUNTIF('Учёт медосмотров'!$H$2:$H$372,A2)</f>
        <v>3</v>
      </c>
    </row>
    <row r="3" customFormat="false" ht="39" hidden="false" customHeight="true" outlineLevel="0" collapsed="false">
      <c r="A3" s="11" t="n">
        <v>2</v>
      </c>
      <c r="B3" s="8" t="s">
        <v>267</v>
      </c>
      <c r="C3" s="8" t="s">
        <v>268</v>
      </c>
      <c r="D3" s="12" t="n">
        <v>12</v>
      </c>
      <c r="E3" s="8" t="s">
        <v>269</v>
      </c>
      <c r="F3" s="12" t="s">
        <v>270</v>
      </c>
      <c r="G3" s="8" t="s">
        <v>271</v>
      </c>
      <c r="H3" s="11" t="n">
        <f aca="false">COUNTIF('Учёт медосмотров'!$H$2:$H$372,A3)</f>
        <v>5</v>
      </c>
    </row>
    <row r="4" customFormat="false" ht="26.25" hidden="false" customHeight="true" outlineLevel="0" collapsed="false">
      <c r="A4" s="11" t="n">
        <v>3</v>
      </c>
      <c r="B4" s="8" t="s">
        <v>272</v>
      </c>
      <c r="C4" s="8" t="s">
        <v>273</v>
      </c>
      <c r="D4" s="12" t="n">
        <v>12</v>
      </c>
      <c r="E4" s="8" t="s">
        <v>269</v>
      </c>
      <c r="F4" s="12" t="s">
        <v>266</v>
      </c>
      <c r="G4" s="8"/>
      <c r="H4" s="11" t="n">
        <f aca="false">COUNTIF('Учёт медосмотров'!$H$2:$H$372,A4)</f>
        <v>1</v>
      </c>
    </row>
    <row r="5" customFormat="false" ht="14.25" hidden="false" customHeight="false" outlineLevel="0" collapsed="false">
      <c r="A5" s="11" t="n">
        <v>4</v>
      </c>
      <c r="B5" s="8" t="s">
        <v>274</v>
      </c>
      <c r="C5" s="8" t="s">
        <v>275</v>
      </c>
      <c r="D5" s="12" t="n">
        <v>12</v>
      </c>
      <c r="E5" s="8" t="s">
        <v>269</v>
      </c>
      <c r="F5" s="12" t="s">
        <v>266</v>
      </c>
      <c r="G5" s="8"/>
      <c r="H5" s="11" t="n">
        <f aca="false">COUNTIF('Учёт медосмотров'!$H$2:$H$372,A5)</f>
        <v>1</v>
      </c>
    </row>
    <row r="6" customFormat="false" ht="39" hidden="false" customHeight="true" outlineLevel="0" collapsed="false">
      <c r="A6" s="11" t="n">
        <v>5</v>
      </c>
      <c r="B6" s="8" t="s">
        <v>276</v>
      </c>
      <c r="C6" s="8" t="s">
        <v>277</v>
      </c>
      <c r="D6" s="12" t="n">
        <v>12</v>
      </c>
      <c r="E6" s="8" t="s">
        <v>278</v>
      </c>
      <c r="F6" s="12" t="s">
        <v>270</v>
      </c>
      <c r="G6" s="8" t="s">
        <v>279</v>
      </c>
      <c r="H6" s="11" t="n">
        <f aca="false">COUNTIF('Учёт медосмотров'!$H$2:$H$372,A6)</f>
        <v>1</v>
      </c>
    </row>
    <row r="7" customFormat="false" ht="39" hidden="false" customHeight="true" outlineLevel="0" collapsed="false">
      <c r="A7" s="11" t="n">
        <v>6</v>
      </c>
      <c r="B7" s="8" t="s">
        <v>280</v>
      </c>
      <c r="C7" s="8" t="s">
        <v>277</v>
      </c>
      <c r="D7" s="12" t="n">
        <v>12</v>
      </c>
      <c r="E7" s="8" t="s">
        <v>278</v>
      </c>
      <c r="F7" s="12" t="s">
        <v>281</v>
      </c>
      <c r="G7" s="8" t="s">
        <v>282</v>
      </c>
      <c r="H7" s="11" t="n">
        <f aca="false">COUNTIF('Учёт медосмотров'!$H$2:$H$372,A7)</f>
        <v>1</v>
      </c>
    </row>
    <row r="8" customFormat="false" ht="14.25" hidden="false" customHeight="false" outlineLevel="0" collapsed="false">
      <c r="A8" s="11" t="n">
        <v>7</v>
      </c>
      <c r="B8" s="8" t="s">
        <v>283</v>
      </c>
      <c r="C8" s="8" t="s">
        <v>264</v>
      </c>
      <c r="D8" s="12" t="n">
        <v>12</v>
      </c>
      <c r="E8" s="8" t="s">
        <v>265</v>
      </c>
      <c r="F8" s="12" t="s">
        <v>266</v>
      </c>
      <c r="G8" s="8"/>
      <c r="H8" s="11" t="n">
        <f aca="false">COUNTIF('Учёт медосмотров'!$H$2:$H$372,A8)</f>
        <v>3</v>
      </c>
    </row>
    <row r="9" customFormat="false" ht="14.25" hidden="false" customHeight="false" outlineLevel="0" collapsed="false">
      <c r="A9" s="11" t="n">
        <v>8</v>
      </c>
      <c r="B9" s="8" t="s">
        <v>284</v>
      </c>
      <c r="C9" s="8" t="s">
        <v>285</v>
      </c>
      <c r="D9" s="12" t="n">
        <v>12</v>
      </c>
      <c r="E9" s="8" t="s">
        <v>269</v>
      </c>
      <c r="F9" s="12" t="s">
        <v>266</v>
      </c>
      <c r="G9" s="8"/>
      <c r="H9" s="11" t="n">
        <f aca="false">COUNTIF('Учёт медосмотров'!$H$2:$H$372,A9)</f>
        <v>1</v>
      </c>
    </row>
    <row r="10" customFormat="false" ht="14.25" hidden="false" customHeight="false" outlineLevel="0" collapsed="false">
      <c r="A10" s="11" t="n">
        <v>9</v>
      </c>
      <c r="B10" s="8" t="s">
        <v>286</v>
      </c>
      <c r="C10" s="8" t="s">
        <v>287</v>
      </c>
      <c r="D10" s="12" t="n">
        <v>12</v>
      </c>
      <c r="E10" s="8" t="s">
        <v>288</v>
      </c>
      <c r="F10" s="12" t="s">
        <v>266</v>
      </c>
      <c r="G10" s="8"/>
      <c r="H10" s="11" t="n">
        <f aca="false">COUNTIF('Учёт медосмотров'!$H$2:$H$372,A10)</f>
        <v>2</v>
      </c>
    </row>
    <row r="11" customFormat="false" ht="39" hidden="false" customHeight="true" outlineLevel="0" collapsed="false">
      <c r="A11" s="11" t="n">
        <v>10</v>
      </c>
      <c r="B11" s="8" t="s">
        <v>289</v>
      </c>
      <c r="C11" s="8" t="s">
        <v>290</v>
      </c>
      <c r="D11" s="12" t="n">
        <v>12</v>
      </c>
      <c r="E11" s="8" t="s">
        <v>288</v>
      </c>
      <c r="F11" s="12" t="s">
        <v>266</v>
      </c>
      <c r="G11" s="8"/>
      <c r="H11" s="11" t="n">
        <f aca="false">COUNTIF('Учёт медосмотров'!$H$2:$H$372,A11)</f>
        <v>16</v>
      </c>
    </row>
    <row r="12" customFormat="false" ht="26.25" hidden="false" customHeight="true" outlineLevel="0" collapsed="false">
      <c r="A12" s="11" t="n">
        <v>11</v>
      </c>
      <c r="B12" s="8" t="s">
        <v>291</v>
      </c>
      <c r="C12" s="8" t="s">
        <v>292</v>
      </c>
      <c r="D12" s="12" t="n">
        <v>12</v>
      </c>
      <c r="E12" s="8" t="s">
        <v>293</v>
      </c>
      <c r="F12" s="12" t="s">
        <v>266</v>
      </c>
      <c r="G12" s="8"/>
      <c r="H12" s="11" t="n">
        <f aca="false">COUNTIF('Учёт медосмотров'!$H$2:$H$372,A12)</f>
        <v>2</v>
      </c>
    </row>
    <row r="13" customFormat="false" ht="14.25" hidden="false" customHeight="false" outlineLevel="0" collapsed="false">
      <c r="A13" s="11" t="n">
        <v>12</v>
      </c>
      <c r="B13" s="8" t="s">
        <v>294</v>
      </c>
      <c r="C13" s="8" t="s">
        <v>295</v>
      </c>
      <c r="D13" s="12" t="n">
        <v>12</v>
      </c>
      <c r="E13" s="8" t="s">
        <v>288</v>
      </c>
      <c r="F13" s="12" t="s">
        <v>266</v>
      </c>
      <c r="G13" s="8"/>
      <c r="H13" s="11" t="n">
        <f aca="false">COUNTIF('Учёт медосмотров'!$H$2:$H$372,A13)</f>
        <v>7</v>
      </c>
    </row>
    <row r="14" customFormat="false" ht="14.25" hidden="false" customHeight="false" outlineLevel="0" collapsed="false">
      <c r="A14" s="11" t="n">
        <v>13</v>
      </c>
      <c r="B14" s="8" t="s">
        <v>296</v>
      </c>
      <c r="C14" s="8" t="s">
        <v>295</v>
      </c>
      <c r="D14" s="12" t="n">
        <v>12</v>
      </c>
      <c r="E14" s="8" t="s">
        <v>288</v>
      </c>
      <c r="F14" s="12" t="s">
        <v>266</v>
      </c>
      <c r="G14" s="8"/>
      <c r="H14" s="11" t="n">
        <f aca="false">COUNTIF('Учёт медосмотров'!$H$2:$H$372,A14)</f>
        <v>14</v>
      </c>
    </row>
    <row r="15" customFormat="false" ht="26.25" hidden="false" customHeight="true" outlineLevel="0" collapsed="false">
      <c r="A15" s="11" t="n">
        <v>14</v>
      </c>
      <c r="B15" s="8" t="s">
        <v>297</v>
      </c>
      <c r="C15" s="8" t="s">
        <v>269</v>
      </c>
      <c r="D15" s="12" t="n">
        <v>12</v>
      </c>
      <c r="E15" s="8" t="s">
        <v>269</v>
      </c>
      <c r="F15" s="12" t="s">
        <v>266</v>
      </c>
      <c r="G15" s="8"/>
      <c r="H15" s="11" t="n">
        <f aca="false">COUNTIF('Учёт медосмотров'!$H$2:$H$372,A15)</f>
        <v>27</v>
      </c>
    </row>
    <row r="16" customFormat="false" ht="26.25" hidden="false" customHeight="true" outlineLevel="0" collapsed="false">
      <c r="A16" s="11" t="n">
        <v>15</v>
      </c>
      <c r="B16" s="8" t="s">
        <v>298</v>
      </c>
      <c r="C16" s="8" t="s">
        <v>299</v>
      </c>
      <c r="D16" s="12" t="n">
        <v>12</v>
      </c>
      <c r="E16" s="8" t="s">
        <v>278</v>
      </c>
      <c r="F16" s="12" t="s">
        <v>266</v>
      </c>
      <c r="G16" s="8"/>
      <c r="H16" s="11" t="n">
        <f aca="false">COUNTIF('Учёт медосмотров'!$H$2:$H$372,A16)</f>
        <v>1</v>
      </c>
    </row>
    <row r="17" customFormat="false" ht="26.25" hidden="false" customHeight="true" outlineLevel="0" collapsed="false">
      <c r="A17" s="11" t="n">
        <v>16</v>
      </c>
      <c r="B17" s="8" t="s">
        <v>300</v>
      </c>
      <c r="C17" s="8" t="s">
        <v>301</v>
      </c>
      <c r="D17" s="12" t="n">
        <v>12</v>
      </c>
      <c r="E17" s="8" t="s">
        <v>269</v>
      </c>
      <c r="F17" s="12" t="s">
        <v>266</v>
      </c>
      <c r="G17" s="8"/>
      <c r="H17" s="11" t="n">
        <f aca="false">COUNTIF('Учёт медосмотров'!$H$2:$H$372,A17)</f>
        <v>3</v>
      </c>
    </row>
    <row r="18" customFormat="false" ht="14.25" hidden="false" customHeight="false" outlineLevel="0" collapsed="false">
      <c r="A18" s="11" t="n">
        <v>17</v>
      </c>
      <c r="B18" s="8" t="s">
        <v>302</v>
      </c>
      <c r="C18" s="8" t="s">
        <v>303</v>
      </c>
      <c r="D18" s="12" t="n">
        <v>12</v>
      </c>
      <c r="E18" s="8" t="s">
        <v>269</v>
      </c>
      <c r="F18" s="12" t="s">
        <v>266</v>
      </c>
      <c r="G18" s="8"/>
      <c r="H18" s="11" t="n">
        <f aca="false">COUNTIF('Учёт медосмотров'!$H$2:$H$372,A18)</f>
        <v>0</v>
      </c>
    </row>
    <row r="19" customFormat="false" ht="14.25" hidden="false" customHeight="false" outlineLevel="0" collapsed="false">
      <c r="A19" s="11" t="n">
        <v>18</v>
      </c>
      <c r="B19" s="8" t="s">
        <v>304</v>
      </c>
      <c r="C19" s="8" t="s">
        <v>295</v>
      </c>
      <c r="D19" s="12" t="n">
        <v>12</v>
      </c>
      <c r="E19" s="8" t="s">
        <v>288</v>
      </c>
      <c r="F19" s="12" t="s">
        <v>266</v>
      </c>
      <c r="G19" s="8"/>
      <c r="H19" s="11" t="n">
        <f aca="false">COUNTIF('Учёт медосмотров'!$H$2:$H$372,A19)</f>
        <v>14</v>
      </c>
    </row>
    <row r="20" customFormat="false" ht="26.25" hidden="false" customHeight="true" outlineLevel="0" collapsed="false">
      <c r="A20" s="11" t="n">
        <v>19</v>
      </c>
      <c r="B20" s="8" t="s">
        <v>305</v>
      </c>
      <c r="C20" s="8" t="s">
        <v>306</v>
      </c>
      <c r="D20" s="12" t="n">
        <v>12</v>
      </c>
      <c r="E20" s="8" t="s">
        <v>269</v>
      </c>
      <c r="F20" s="12" t="s">
        <v>266</v>
      </c>
      <c r="G20" s="8"/>
      <c r="H20" s="11" t="n">
        <f aca="false">COUNTIF('Учёт медосмотров'!$H$2:$H$372,A20)</f>
        <v>67</v>
      </c>
    </row>
    <row r="21" customFormat="false" ht="26.25" hidden="false" customHeight="true" outlineLevel="0" collapsed="false">
      <c r="A21" s="11" t="n">
        <v>20</v>
      </c>
      <c r="B21" s="8" t="s">
        <v>307</v>
      </c>
      <c r="C21" s="8" t="s">
        <v>308</v>
      </c>
      <c r="D21" s="12" t="n">
        <v>12</v>
      </c>
      <c r="E21" s="8" t="s">
        <v>269</v>
      </c>
      <c r="F21" s="12" t="s">
        <v>270</v>
      </c>
      <c r="G21" s="8" t="s">
        <v>309</v>
      </c>
      <c r="H21" s="11" t="n">
        <f aca="false">COUNTIF('Учёт медосмотров'!$H$2:$H$372,A21)</f>
        <v>32</v>
      </c>
    </row>
    <row r="22" customFormat="false" ht="26.25" hidden="false" customHeight="true" outlineLevel="0" collapsed="false">
      <c r="A22" s="11" t="n">
        <v>21</v>
      </c>
      <c r="B22" s="8" t="s">
        <v>310</v>
      </c>
      <c r="C22" s="8" t="s">
        <v>311</v>
      </c>
      <c r="D22" s="12" t="n">
        <v>12</v>
      </c>
      <c r="E22" s="8" t="s">
        <v>288</v>
      </c>
      <c r="F22" s="12" t="s">
        <v>266</v>
      </c>
      <c r="G22" s="8"/>
      <c r="H22" s="11" t="n">
        <f aca="false">COUNTIF('Учёт медосмотров'!$H$2:$H$372,A22)</f>
        <v>23</v>
      </c>
    </row>
    <row r="23" customFormat="false" ht="14.25" hidden="false" customHeight="false" outlineLevel="0" collapsed="false">
      <c r="A23" s="11" t="n">
        <v>22</v>
      </c>
      <c r="B23" s="8" t="s">
        <v>312</v>
      </c>
      <c r="C23" s="8" t="s">
        <v>269</v>
      </c>
      <c r="D23" s="12" t="n">
        <v>12</v>
      </c>
      <c r="E23" s="8" t="s">
        <v>269</v>
      </c>
      <c r="F23" s="12" t="s">
        <v>266</v>
      </c>
      <c r="G23" s="8"/>
      <c r="H23" s="11" t="n">
        <f aca="false">COUNTIF('Учёт медосмотров'!$H$2:$H$372,A23)</f>
        <v>1</v>
      </c>
    </row>
    <row r="24" customFormat="false" ht="26.25" hidden="false" customHeight="true" outlineLevel="0" collapsed="false">
      <c r="A24" s="11" t="n">
        <v>23</v>
      </c>
      <c r="B24" s="8" t="s">
        <v>313</v>
      </c>
      <c r="C24" s="8" t="s">
        <v>311</v>
      </c>
      <c r="D24" s="12" t="n">
        <v>12</v>
      </c>
      <c r="E24" s="8" t="s">
        <v>288</v>
      </c>
      <c r="F24" s="12" t="s">
        <v>266</v>
      </c>
      <c r="G24" s="8"/>
      <c r="H24" s="11" t="n">
        <f aca="false">COUNTIF('Учёт медосмотров'!$H$2:$H$372,A24)</f>
        <v>6</v>
      </c>
    </row>
    <row r="25" customFormat="false" ht="26.25" hidden="false" customHeight="true" outlineLevel="0" collapsed="false">
      <c r="A25" s="11" t="n">
        <v>24</v>
      </c>
      <c r="B25" s="8" t="s">
        <v>314</v>
      </c>
      <c r="C25" s="8" t="s">
        <v>311</v>
      </c>
      <c r="D25" s="12" t="n">
        <v>12</v>
      </c>
      <c r="E25" s="8" t="s">
        <v>288</v>
      </c>
      <c r="F25" s="12" t="s">
        <v>266</v>
      </c>
      <c r="G25" s="8"/>
      <c r="H25" s="11" t="n">
        <f aca="false">COUNTIF('Учёт медосмотров'!$H$2:$H$372,A25)</f>
        <v>0</v>
      </c>
    </row>
    <row r="26" customFormat="false" ht="26.25" hidden="false" customHeight="true" outlineLevel="0" collapsed="false">
      <c r="A26" s="11" t="n">
        <v>25</v>
      </c>
      <c r="B26" s="8" t="s">
        <v>315</v>
      </c>
      <c r="C26" s="8" t="s">
        <v>316</v>
      </c>
      <c r="D26" s="12" t="n">
        <v>12</v>
      </c>
      <c r="E26" s="8" t="s">
        <v>288</v>
      </c>
      <c r="F26" s="12" t="s">
        <v>266</v>
      </c>
      <c r="G26" s="8"/>
      <c r="H26" s="11" t="n">
        <f aca="false">COUNTIF('Учёт медосмотров'!$H$2:$H$372,A26)</f>
        <v>7</v>
      </c>
    </row>
    <row r="27" customFormat="false" ht="39" hidden="false" customHeight="true" outlineLevel="0" collapsed="false">
      <c r="A27" s="11" t="n">
        <v>26</v>
      </c>
      <c r="B27" s="8" t="s">
        <v>317</v>
      </c>
      <c r="C27" s="8" t="s">
        <v>318</v>
      </c>
      <c r="D27" s="12" t="n">
        <v>12</v>
      </c>
      <c r="E27" s="8" t="s">
        <v>319</v>
      </c>
      <c r="F27" s="12" t="s">
        <v>281</v>
      </c>
      <c r="G27" s="8" t="s">
        <v>320</v>
      </c>
      <c r="H27" s="11" t="n">
        <f aca="false">COUNTIF('Учёт медосмотров'!$H$2:$H$372,A27)</f>
        <v>9</v>
      </c>
    </row>
    <row r="28" customFormat="false" ht="26.25" hidden="false" customHeight="true" outlineLevel="0" collapsed="false">
      <c r="A28" s="11" t="n">
        <v>27</v>
      </c>
      <c r="B28" s="8" t="s">
        <v>321</v>
      </c>
      <c r="C28" s="8" t="s">
        <v>295</v>
      </c>
      <c r="D28" s="12" t="n">
        <v>12</v>
      </c>
      <c r="E28" s="8" t="s">
        <v>288</v>
      </c>
      <c r="F28" s="12" t="s">
        <v>266</v>
      </c>
      <c r="G28" s="8"/>
      <c r="H28" s="11" t="n">
        <f aca="false">COUNTIF('Учёт медосмотров'!$H$2:$H$372,A28)</f>
        <v>5</v>
      </c>
    </row>
    <row r="29" customFormat="false" ht="14.25" hidden="false" customHeight="false" outlineLevel="0" collapsed="false">
      <c r="A29" s="11" t="n">
        <v>28</v>
      </c>
      <c r="B29" s="8" t="s">
        <v>322</v>
      </c>
      <c r="C29" s="8" t="s">
        <v>295</v>
      </c>
      <c r="D29" s="12" t="n">
        <v>12</v>
      </c>
      <c r="E29" s="8" t="s">
        <v>288</v>
      </c>
      <c r="F29" s="12" t="s">
        <v>266</v>
      </c>
      <c r="G29" s="8"/>
      <c r="H29" s="11" t="n">
        <f aca="false">COUNTIF('Учёт медосмотров'!$H$2:$H$372,A29)</f>
        <v>18</v>
      </c>
    </row>
    <row r="30" customFormat="false" ht="26.25" hidden="false" customHeight="true" outlineLevel="0" collapsed="false">
      <c r="A30" s="11" t="n">
        <v>29</v>
      </c>
      <c r="B30" s="8" t="s">
        <v>323</v>
      </c>
      <c r="C30" s="8" t="s">
        <v>308</v>
      </c>
      <c r="D30" s="12" t="n">
        <v>12</v>
      </c>
      <c r="E30" s="8" t="s">
        <v>269</v>
      </c>
      <c r="F30" s="12" t="s">
        <v>270</v>
      </c>
      <c r="G30" s="8" t="s">
        <v>309</v>
      </c>
      <c r="H30" s="11" t="n">
        <f aca="false">COUNTIF('Учёт медосмотров'!$H$2:$H$372,A30)</f>
        <v>2</v>
      </c>
    </row>
    <row r="31" customFormat="false" ht="26.25" hidden="false" customHeight="true" outlineLevel="0" collapsed="false">
      <c r="A31" s="11" t="n">
        <v>30</v>
      </c>
      <c r="B31" s="8" t="s">
        <v>324</v>
      </c>
      <c r="C31" s="8" t="s">
        <v>316</v>
      </c>
      <c r="D31" s="12" t="n">
        <v>12</v>
      </c>
      <c r="E31" s="8" t="s">
        <v>288</v>
      </c>
      <c r="F31" s="12" t="s">
        <v>266</v>
      </c>
      <c r="G31" s="8"/>
      <c r="H31" s="11" t="n">
        <f aca="false">COUNTIF('Учёт медосмотров'!$H$2:$H$372,A31)</f>
        <v>14</v>
      </c>
    </row>
    <row r="32" customFormat="false" ht="26.25" hidden="false" customHeight="true" outlineLevel="0" collapsed="false">
      <c r="A32" s="11" t="n">
        <v>31</v>
      </c>
      <c r="B32" s="8" t="s">
        <v>325</v>
      </c>
      <c r="C32" s="8" t="s">
        <v>326</v>
      </c>
      <c r="D32" s="12" t="n">
        <v>12</v>
      </c>
      <c r="E32" s="8" t="s">
        <v>288</v>
      </c>
      <c r="F32" s="12" t="s">
        <v>266</v>
      </c>
      <c r="G32" s="8"/>
      <c r="H32" s="11" t="n">
        <f aca="false">COUNTIF('Учёт медосмотров'!$H$2:$H$372,A32)</f>
        <v>1</v>
      </c>
    </row>
    <row r="33" customFormat="false" ht="14.25" hidden="false" customHeight="false" outlineLevel="0" collapsed="false">
      <c r="A33" s="11" t="n">
        <v>32</v>
      </c>
      <c r="B33" s="8" t="s">
        <v>327</v>
      </c>
      <c r="C33" s="8" t="s">
        <v>328</v>
      </c>
      <c r="D33" s="12" t="n">
        <v>12</v>
      </c>
      <c r="E33" s="8" t="s">
        <v>288</v>
      </c>
      <c r="F33" s="12" t="s">
        <v>266</v>
      </c>
      <c r="G33" s="8"/>
      <c r="H33" s="11" t="n">
        <f aca="false">COUNTIF('Учёт медосмотров'!$H$2:$H$372,A33)</f>
        <v>16</v>
      </c>
    </row>
    <row r="34" customFormat="false" ht="26.25" hidden="false" customHeight="true" outlineLevel="0" collapsed="false">
      <c r="A34" s="11" t="n">
        <v>33</v>
      </c>
      <c r="B34" s="8" t="s">
        <v>329</v>
      </c>
      <c r="C34" s="8" t="s">
        <v>316</v>
      </c>
      <c r="D34" s="12" t="n">
        <v>12</v>
      </c>
      <c r="E34" s="8" t="s">
        <v>288</v>
      </c>
      <c r="F34" s="12" t="s">
        <v>266</v>
      </c>
      <c r="G34" s="8"/>
      <c r="H34" s="11" t="n">
        <f aca="false">COUNTIF('Учёт медосмотров'!$H$2:$H$372,A34)</f>
        <v>2</v>
      </c>
    </row>
    <row r="35" customFormat="false" ht="26.25" hidden="false" customHeight="true" outlineLevel="0" collapsed="false">
      <c r="A35" s="11" t="n">
        <v>34</v>
      </c>
      <c r="B35" s="8" t="s">
        <v>330</v>
      </c>
      <c r="C35" s="8" t="s">
        <v>316</v>
      </c>
      <c r="D35" s="12" t="n">
        <v>12</v>
      </c>
      <c r="E35" s="8" t="s">
        <v>288</v>
      </c>
      <c r="F35" s="12" t="s">
        <v>266</v>
      </c>
      <c r="G35" s="8"/>
      <c r="H35" s="11" t="n">
        <f aca="false">COUNTIF('Учёт медосмотров'!$H$2:$H$372,A35)</f>
        <v>8</v>
      </c>
    </row>
    <row r="36" customFormat="false" ht="26.25" hidden="false" customHeight="true" outlineLevel="0" collapsed="false">
      <c r="A36" s="11" t="n">
        <v>35</v>
      </c>
      <c r="B36" s="8" t="s">
        <v>331</v>
      </c>
      <c r="C36" s="8" t="s">
        <v>316</v>
      </c>
      <c r="D36" s="12" t="n">
        <v>12</v>
      </c>
      <c r="E36" s="8" t="s">
        <v>288</v>
      </c>
      <c r="F36" s="12" t="s">
        <v>266</v>
      </c>
      <c r="G36" s="8"/>
      <c r="H36" s="11" t="n">
        <f aca="false">COUNTIF('Учёт медосмотров'!$H$2:$H$372,A36)</f>
        <v>2</v>
      </c>
    </row>
    <row r="37" customFormat="false" ht="39" hidden="false" customHeight="true" outlineLevel="0" collapsed="false">
      <c r="A37" s="11" t="n">
        <v>36</v>
      </c>
      <c r="B37" s="8" t="s">
        <v>332</v>
      </c>
      <c r="C37" s="8" t="s">
        <v>333</v>
      </c>
      <c r="D37" s="12" t="n">
        <v>12</v>
      </c>
      <c r="E37" s="8" t="s">
        <v>334</v>
      </c>
      <c r="F37" s="12" t="s">
        <v>266</v>
      </c>
      <c r="G37" s="8"/>
      <c r="H37" s="11" t="n">
        <f aca="false">COUNTIF('Учёт медосмотров'!$H$2:$H$372,A37)</f>
        <v>15</v>
      </c>
    </row>
    <row r="38" customFormat="false" ht="39" hidden="false" customHeight="true" outlineLevel="0" collapsed="false">
      <c r="A38" s="11" t="n">
        <v>37</v>
      </c>
      <c r="B38" s="8" t="s">
        <v>335</v>
      </c>
      <c r="C38" s="8" t="s">
        <v>336</v>
      </c>
      <c r="D38" s="12" t="n">
        <v>12</v>
      </c>
      <c r="E38" s="8" t="s">
        <v>337</v>
      </c>
      <c r="F38" s="12" t="s">
        <v>266</v>
      </c>
      <c r="G38" s="8"/>
      <c r="H38" s="11" t="n">
        <f aca="false">COUNTIF('Учёт медосмотров'!$H$2:$H$372,A38)</f>
        <v>0</v>
      </c>
    </row>
    <row r="39" customFormat="false" ht="39" hidden="false" customHeight="true" outlineLevel="0" collapsed="false">
      <c r="A39" s="11" t="n">
        <v>38</v>
      </c>
      <c r="B39" s="8" t="s">
        <v>338</v>
      </c>
      <c r="C39" s="8" t="s">
        <v>339</v>
      </c>
      <c r="D39" s="12" t="n">
        <v>12</v>
      </c>
      <c r="E39" s="8" t="s">
        <v>288</v>
      </c>
      <c r="F39" s="12" t="s">
        <v>270</v>
      </c>
      <c r="G39" s="8" t="s">
        <v>340</v>
      </c>
      <c r="H39" s="11" t="n">
        <f aca="false">COUNTIF('Учёт медосмотров'!$H$2:$H$372,A39)</f>
        <v>9</v>
      </c>
    </row>
    <row r="40" customFormat="false" ht="39" hidden="false" customHeight="true" outlineLevel="0" collapsed="false">
      <c r="A40" s="11" t="n">
        <v>39</v>
      </c>
      <c r="B40" s="8" t="s">
        <v>341</v>
      </c>
      <c r="C40" s="8" t="s">
        <v>342</v>
      </c>
      <c r="D40" s="12" t="n">
        <v>12</v>
      </c>
      <c r="E40" s="8" t="s">
        <v>288</v>
      </c>
      <c r="F40" s="12" t="s">
        <v>270</v>
      </c>
      <c r="G40" s="8" t="s">
        <v>340</v>
      </c>
      <c r="H40" s="11" t="n">
        <f aca="false">COUNTIF('Учёт медосмотров'!$H$2:$H$372,A40)</f>
        <v>1</v>
      </c>
    </row>
    <row r="41" customFormat="false" ht="26.25" hidden="false" customHeight="true" outlineLevel="0" collapsed="false">
      <c r="A41" s="11" t="n">
        <v>40</v>
      </c>
      <c r="B41" s="8" t="s">
        <v>343</v>
      </c>
      <c r="C41" s="8" t="s">
        <v>293</v>
      </c>
      <c r="D41" s="12" t="n">
        <v>12</v>
      </c>
      <c r="E41" s="8" t="s">
        <v>293</v>
      </c>
      <c r="F41" s="12" t="s">
        <v>266</v>
      </c>
      <c r="G41" s="8"/>
      <c r="H41" s="11" t="n">
        <f aca="false">COUNTIF('Учёт медосмотров'!$H$2:$H$372,A41)</f>
        <v>1</v>
      </c>
    </row>
    <row r="42" customFormat="false" ht="26.25" hidden="false" customHeight="true" outlineLevel="0" collapsed="false">
      <c r="A42" s="11" t="n">
        <v>41</v>
      </c>
      <c r="B42" s="8" t="s">
        <v>344</v>
      </c>
      <c r="C42" s="8" t="s">
        <v>316</v>
      </c>
      <c r="D42" s="12" t="n">
        <v>12</v>
      </c>
      <c r="E42" s="8" t="s">
        <v>288</v>
      </c>
      <c r="F42" s="12" t="s">
        <v>266</v>
      </c>
      <c r="G42" s="8"/>
      <c r="H42" s="11" t="n">
        <f aca="false">COUNTIF('Учёт медосмотров'!$H$2:$H$372,A42)</f>
        <v>1</v>
      </c>
    </row>
    <row r="43" customFormat="false" ht="26.25" hidden="false" customHeight="true" outlineLevel="0" collapsed="false">
      <c r="A43" s="11" t="n">
        <v>42</v>
      </c>
      <c r="B43" s="8" t="s">
        <v>345</v>
      </c>
      <c r="C43" s="8" t="s">
        <v>346</v>
      </c>
      <c r="D43" s="12" t="n">
        <v>12</v>
      </c>
      <c r="E43" s="8" t="s">
        <v>269</v>
      </c>
      <c r="F43" s="12" t="s">
        <v>266</v>
      </c>
      <c r="G43" s="8"/>
      <c r="H43" s="11" t="n">
        <f aca="false">COUNTIF('Учёт медосмотров'!$H$2:$H$372,A43)</f>
        <v>1</v>
      </c>
    </row>
    <row r="44" customFormat="false" ht="26.25" hidden="false" customHeight="true" outlineLevel="0" collapsed="false">
      <c r="A44" s="11" t="n">
        <v>43</v>
      </c>
      <c r="B44" s="8" t="s">
        <v>347</v>
      </c>
      <c r="C44" s="8" t="s">
        <v>348</v>
      </c>
      <c r="D44" s="12" t="n">
        <v>12</v>
      </c>
      <c r="E44" s="8" t="s">
        <v>288</v>
      </c>
      <c r="F44" s="12" t="s">
        <v>266</v>
      </c>
      <c r="G44" s="8"/>
      <c r="H44" s="11" t="n">
        <f aca="false">COUNTIF('Учёт медосмотров'!$H$2:$H$372,A44)</f>
        <v>0</v>
      </c>
    </row>
    <row r="45" customFormat="false" ht="26.25" hidden="false" customHeight="true" outlineLevel="0" collapsed="false">
      <c r="A45" s="11" t="n">
        <v>44</v>
      </c>
      <c r="B45" s="8" t="s">
        <v>349</v>
      </c>
      <c r="C45" s="8" t="s">
        <v>316</v>
      </c>
      <c r="D45" s="12" t="n">
        <v>12</v>
      </c>
      <c r="E45" s="8" t="s">
        <v>288</v>
      </c>
      <c r="F45" s="12" t="s">
        <v>266</v>
      </c>
      <c r="G45" s="8"/>
      <c r="H45" s="11" t="n">
        <f aca="false">COUNTIF('Учёт медосмотров'!$H$2:$H$372,A45)</f>
        <v>14</v>
      </c>
    </row>
    <row r="46" customFormat="false" ht="39" hidden="false" customHeight="true" outlineLevel="0" collapsed="false">
      <c r="A46" s="11" t="n">
        <v>45</v>
      </c>
      <c r="B46" s="8" t="s">
        <v>350</v>
      </c>
      <c r="C46" s="8" t="s">
        <v>351</v>
      </c>
      <c r="D46" s="12" t="n">
        <v>12</v>
      </c>
      <c r="E46" s="8" t="s">
        <v>352</v>
      </c>
      <c r="F46" s="12" t="s">
        <v>281</v>
      </c>
      <c r="G46" s="8" t="s">
        <v>353</v>
      </c>
      <c r="H46" s="11" t="n">
        <f aca="false">COUNTIF('Учёт медосмотров'!$H$2:$H$372,A46)</f>
        <v>13</v>
      </c>
    </row>
    <row r="48" customFormat="false" ht="90" hidden="false" customHeight="true" outlineLevel="0" collapsed="false">
      <c r="A48" s="13" t="s">
        <v>354</v>
      </c>
      <c r="B48" s="13"/>
      <c r="C48" s="13"/>
      <c r="D48" s="13"/>
      <c r="E48" s="13"/>
      <c r="F48" s="13"/>
      <c r="G48" s="13"/>
      <c r="H48" s="13"/>
    </row>
    <row r="49" customFormat="false" ht="105" hidden="false" customHeight="true" outlineLevel="0" collapsed="false">
      <c r="A49" s="13" t="s">
        <v>355</v>
      </c>
      <c r="B49" s="13"/>
      <c r="C49" s="13"/>
      <c r="D49" s="13"/>
      <c r="E49" s="13"/>
      <c r="F49" s="13"/>
      <c r="G49" s="13"/>
      <c r="H49" s="13"/>
    </row>
  </sheetData>
  <mergeCells count="2">
    <mergeCell ref="A48:H48"/>
    <mergeCell ref="A49:H4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7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330" activePane="bottomRight" state="frozen"/>
      <selection pane="topLeft" activeCell="A1" activeCellId="0" sqref="A1"/>
      <selection pane="topRight" activeCell="C1" activeCellId="0" sqref="C1"/>
      <selection pane="bottomLeft" activeCell="A330" activeCellId="0" sqref="A330"/>
      <selection pane="bottomRight" activeCell="I378" activeCellId="0" sqref="I378"/>
    </sheetView>
  </sheetViews>
  <sheetFormatPr defaultColWidth="8.5625" defaultRowHeight="14.25" zeroHeight="false" outlineLevelRow="0" outlineLevelCol="0"/>
  <cols>
    <col collapsed="false" customWidth="true" hidden="false" outlineLevel="0" max="1" min="1" style="0" width="5"/>
    <col collapsed="false" customWidth="true" hidden="false" outlineLevel="0" max="2" min="2" style="0" width="14"/>
    <col collapsed="false" customWidth="true" hidden="false" outlineLevel="0" max="3" min="3" style="0" width="26"/>
    <col collapsed="false" customWidth="true" hidden="false" outlineLevel="0" max="4" min="4" style="0" width="34"/>
    <col collapsed="false" customWidth="true" hidden="false" outlineLevel="0" max="5" min="5" style="0" width="26"/>
    <col collapsed="false" customWidth="true" hidden="false" outlineLevel="0" max="6" min="6" style="0" width="12"/>
    <col collapsed="false" customWidth="true" hidden="true" outlineLevel="0" max="7" min="7" style="0" width="1"/>
    <col collapsed="false" customWidth="true" hidden="false" outlineLevel="0" max="8" min="8" style="0" width="12"/>
    <col collapsed="false" customWidth="true" hidden="false" outlineLevel="0" max="9" min="9" style="0" width="30"/>
    <col collapsed="false" customWidth="true" hidden="false" outlineLevel="0" max="10" min="10" style="0" width="10"/>
    <col collapsed="false" customWidth="true" hidden="false" outlineLevel="0" max="11" min="11" style="0" width="18"/>
    <col collapsed="false" customWidth="true" hidden="false" outlineLevel="0" max="12" min="12" style="0" width="22"/>
    <col collapsed="false" customWidth="true" hidden="false" outlineLevel="0" max="13" min="13" style="0" width="20"/>
    <col collapsed="false" customWidth="true" hidden="false" outlineLevel="0" max="14" min="14" style="0" width="14"/>
    <col collapsed="false" customWidth="true" hidden="false" outlineLevel="0" max="15" min="15" style="0" width="18"/>
    <col collapsed="false" customWidth="true" hidden="false" outlineLevel="0" max="16" min="16" style="0" width="20"/>
    <col collapsed="false" customWidth="true" hidden="false" outlineLevel="0" max="17" min="17" style="0" width="14"/>
    <col collapsed="false" customWidth="true" hidden="false" outlineLevel="0" max="18" min="18" style="0" width="60"/>
  </cols>
  <sheetData>
    <row r="1" customFormat="false" ht="45" hidden="false" customHeight="true" outlineLevel="0" collapsed="false">
      <c r="A1" s="10" t="s">
        <v>40</v>
      </c>
      <c r="B1" s="10" t="s">
        <v>356</v>
      </c>
      <c r="C1" s="10" t="s">
        <v>41</v>
      </c>
      <c r="D1" s="10" t="s">
        <v>42</v>
      </c>
      <c r="E1" s="10" t="s">
        <v>43</v>
      </c>
      <c r="F1" s="10" t="s">
        <v>45</v>
      </c>
      <c r="G1" s="10" t="s">
        <v>357</v>
      </c>
      <c r="H1" s="10" t="s">
        <v>358</v>
      </c>
      <c r="I1" s="10" t="s">
        <v>359</v>
      </c>
      <c r="J1" s="10" t="s">
        <v>360</v>
      </c>
      <c r="K1" s="10" t="s">
        <v>361</v>
      </c>
      <c r="L1" s="10" t="s">
        <v>362</v>
      </c>
      <c r="M1" s="10" t="s">
        <v>363</v>
      </c>
      <c r="N1" s="10" t="s">
        <v>364</v>
      </c>
      <c r="O1" s="10" t="s">
        <v>365</v>
      </c>
      <c r="P1" s="10" t="s">
        <v>366</v>
      </c>
      <c r="Q1" s="10" t="s">
        <v>367</v>
      </c>
      <c r="R1" s="10" t="s">
        <v>368</v>
      </c>
    </row>
    <row r="2" customFormat="false" ht="14.25" hidden="false" customHeight="false" outlineLevel="0" collapsed="false">
      <c r="A2" s="14" t="n">
        <v>1</v>
      </c>
      <c r="B2" s="11" t="s">
        <v>369</v>
      </c>
      <c r="C2" s="14" t="s">
        <v>370</v>
      </c>
      <c r="D2" s="14" t="s">
        <v>371</v>
      </c>
      <c r="E2" s="14" t="s">
        <v>372</v>
      </c>
      <c r="F2" s="15" t="n">
        <v>45874</v>
      </c>
      <c r="G2" s="4" t="str">
        <f aca="false">IF(TRIM(SUBSTITUTE(SUBSTITUTE(SUBSTITUTE(SUBSTITUTE(SUBSTITUTE(SUBSTITUTE(SUBSTITUTE(SUBSTITUTE(SUBSTITUTE(SUBSTITUTE(SUBSTITUTE(LOWER(TRIM(D2)),"ё","е")," -","-"),"- ","-")," 2 разряда","")," 3 разряда","")," 4 разряда","")," 5 разряда","")," 6 разряда","")," 1 категории","")," 2 категории","")," 3 категории",""))="инженер",IF(AND(ISNUMBER(SEARCH("техническ",E2)),ISNUMBER(SEARCH("контрол",E2))),"инженер отк",IF(ISNUMBER(SEARCH("диспетч",E2)),"инженер пдо",TRIM(SUBSTITUTE(SUBSTITUTE(SUBSTITUTE(SUBSTITUTE(SUBSTITUTE(SUBSTITUTE(SUBSTITUTE(SUBSTITUTE(SUBSTITUTE(SUBSTITUTE(SUBSTITUTE(LOWER(TRIM(D2)),"ё","е"),"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категории","")))),IF(TRIM(SUBSTITUTE(SUBSTITUTE(SUBSTITUTE(SUBSTITUTE(SUBSTITUTE(SUBSTITUTE(SUBSTITUTE(SUBSTITUTE(SUBSTITUTE(SUBSTITUTE(SUBSTITUTE(LOWER(TRIM(D2)),"ё","е")," -","-"),"- ","-")," 2 разряда","")," 3 разряда","")," 4 разряда","")," 5 разряда","")," 6 разряда","")," 1 категории","")," 2 категории","")," 3 категории",""))="ведущий инженер",IF(ISNUMBER(SEARCH("диспетч",E2)),"ведущий инженер пдо",TRIM(SUBSTITUTE(SUBSTITUTE(SUBSTITUTE(SUBSTITUTE(SUBSTITUTE(SUBSTITUTE(SUBSTITUTE(SUBSTITUTE(SUBSTITUTE(SUBSTITUTE(SUBSTITUTE(LOWER(TRIM(D2)),"ё","е"),"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отк",TRIM(SUBSTITUTE(SUBSTITUTE(SUBSTITUTE(SUBSTITUTE(SUBSTITUTE(SUBSTITUTE(SUBSTITUTE(SUBSTITUTE(SUBSTITUTE(SUBSTITUTE(SUBSTITUTE(LOWER(TRIM(D2)),"ё","е")," -","-"),"- ","-")," 2 разряда","")," 3 разряда","")," 4 разряда","")," 5 разряда","")," 6 разряда","")," 1 категории","")," 2 категории","")," 3 категории","")))))</f>
        <v>инженер отк</v>
      </c>
      <c r="H2" s="11" t="n">
        <f aca="false">IFERROR(INDEX(Соответствие!$B$2:$B$76,MATCH(G2,Соответствие!$A$2:$A$76,0)),"?")</f>
        <v>13</v>
      </c>
      <c r="I2" s="8" t="str">
        <f aca="false">IFERROR(INDEX('Перечень должностей'!$C$2:$C$46,MATCH(H2,'Перечень должностей'!$A$2:$A$46,0)),"")</f>
        <v>п.4.4, п.5.1, п.5.2</v>
      </c>
      <c r="J2" s="11" t="n">
        <f aca="false">IFERROR(INDEX('Перечень должностей'!$D$2:$D$46,MATCH(H2,'Перечень должностей'!$A$2:$A$46,0)),12)</f>
        <v>12</v>
      </c>
      <c r="K2" s="16"/>
      <c r="L2" s="16"/>
      <c r="M2" s="15" t="str">
        <f aca="false">IF(K2="","",EDATE(IF(L2&lt;&gt;"",L2,K2),J2))</f>
        <v/>
      </c>
      <c r="N2" s="11" t="str">
        <f aca="false">IFERROR(INDEX('Перечень должностей'!$F$2:$F$46,MATCH(H2,'Перечень должностей'!$A$2:$A$46,0)),"")</f>
        <v>-</v>
      </c>
      <c r="O2" s="16"/>
      <c r="P2" s="15" t="str">
        <f aca="false">IF(O2="","",EDATE(O2,60))</f>
        <v/>
      </c>
      <c r="Q2" s="11" t="str">
        <f aca="false">IF(AND(K2&lt;&gt;"",F2&lt;&gt;"",K2&gt;F2),"ДА","")</f>
        <v/>
      </c>
      <c r="R2" s="8"/>
    </row>
    <row r="3" customFormat="false" ht="14.25" hidden="false" customHeight="false" outlineLevel="0" collapsed="false">
      <c r="A3" s="14" t="n">
        <v>2</v>
      </c>
      <c r="B3" s="11" t="s">
        <v>373</v>
      </c>
      <c r="C3" s="14" t="s">
        <v>374</v>
      </c>
      <c r="D3" s="14" t="s">
        <v>375</v>
      </c>
      <c r="E3" s="14" t="s">
        <v>372</v>
      </c>
      <c r="F3" s="15" t="n">
        <v>45870</v>
      </c>
      <c r="G3" s="4" t="str">
        <f aca="false">IF(TRIM(SUBSTITUTE(SUBSTITUTE(SUBSTITUTE(SUBSTITUTE(SUBSTITUTE(SUBSTITUTE(SUBSTITUTE(SUBSTITUTE(SUBSTITUTE(SUBSTITUTE(SUBSTITUTE(LOWER(TRIM(D3)),"ё","е")," -","-"),"- ","-")," 2 разряда","")," 3 разряда","")," 4 разряда","")," 5 разряда","")," 6 разряда","")," 1 категории","")," 2 категории","")," 3 категории",""))="инженер",IF(AND(ISNUMBER(SEARCH("техническ",E3)),ISNUMBER(SEARCH("контрол",E3))),"инженер отк",IF(ISNUMBER(SEARCH("диспетч",E3)),"инженер пдо",TRIM(SUBSTITUTE(SUBSTITUTE(SUBSTITUTE(SUBSTITUTE(SUBSTITUTE(SUBSTITUTE(SUBSTITUTE(SUBSTITUTE(SUBSTITUTE(SUBSTITUTE(SUBSTITUTE(LOWER(TRIM(D3)),"ё","е"),"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категории","")))),IF(TRIM(SUBSTITUTE(SUBSTITUTE(SUBSTITUTE(SUBSTITUTE(SUBSTITUTE(SUBSTITUTE(SUBSTITUTE(SUBSTITUTE(SUBSTITUTE(SUBSTITUTE(SUBSTITUTE(LOWER(TRIM(D3)),"ё","е")," -","-"),"- ","-")," 2 разряда","")," 3 разряда","")," 4 разряда","")," 5 разряда","")," 6 разряда","")," 1 категории","")," 2 категории","")," 3 категории",""))="ведущий инженер",IF(ISNUMBER(SEARCH("диспетч",E3)),"ведущий инженер пдо",TRIM(SUBSTITUTE(SUBSTITUTE(SUBSTITUTE(SUBSTITUTE(SUBSTITUTE(SUBSTITUTE(SUBSTITUTE(SUBSTITUTE(SUBSTITUTE(SUBSTITUTE(SUBSTITUTE(LOWER(TRIM(D3)),"ё","е"),"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отк",TRIM(SUBSTITUTE(SUBSTITUTE(SUBSTITUTE(SUBSTITUTE(SUBSTITUTE(SUBSTITUTE(SUBSTITUTE(SUBSTITUTE(SUBSTITUTE(SUBSTITUTE(SUBSTITUTE(LOWER(TRIM(D3)),"ё","е")," -","-"),"- ","-")," 2 разряда","")," 3 разряда","")," 4 разряда","")," 5 разряда","")," 6 разряда","")," 1 категории","")," 2 категории","")," 3 категории","")))))</f>
        <v>инженер отк</v>
      </c>
      <c r="H3" s="11" t="n">
        <f aca="false">IFERROR(INDEX(Соответствие!$B$2:$B$76,MATCH(G3,Соответствие!$A$2:$A$76,0)),"?")</f>
        <v>13</v>
      </c>
      <c r="I3" s="8" t="str">
        <f aca="false">IFERROR(INDEX('Перечень должностей'!$C$2:$C$46,MATCH(H3,'Перечень должностей'!$A$2:$A$46,0)),"")</f>
        <v>п.4.4, п.5.1, п.5.2</v>
      </c>
      <c r="J3" s="11" t="n">
        <f aca="false">IFERROR(INDEX('Перечень должностей'!$D$2:$D$46,MATCH(H3,'Перечень должностей'!$A$2:$A$46,0)),12)</f>
        <v>12</v>
      </c>
      <c r="K3" s="16"/>
      <c r="L3" s="16"/>
      <c r="M3" s="15" t="str">
        <f aca="false">IF(K3="","",EDATE(IF(L3&lt;&gt;"",L3,K3),J3))</f>
        <v/>
      </c>
      <c r="N3" s="11" t="str">
        <f aca="false">IFERROR(INDEX('Перечень должностей'!$F$2:$F$46,MATCH(H3,'Перечень должностей'!$A$2:$A$46,0)),"")</f>
        <v>-</v>
      </c>
      <c r="O3" s="16"/>
      <c r="P3" s="15" t="str">
        <f aca="false">IF(O3="","",EDATE(O3,60))</f>
        <v/>
      </c>
      <c r="Q3" s="11" t="str">
        <f aca="false">IF(AND(K3&lt;&gt;"",F3&lt;&gt;"",K3&gt;F3),"ДА","")</f>
        <v/>
      </c>
      <c r="R3" s="8"/>
    </row>
    <row r="4" customFormat="false" ht="14.25" hidden="false" customHeight="false" outlineLevel="0" collapsed="false">
      <c r="A4" s="14" t="n">
        <v>3</v>
      </c>
      <c r="B4" s="11" t="s">
        <v>50</v>
      </c>
      <c r="C4" s="14" t="s">
        <v>376</v>
      </c>
      <c r="D4" s="14" t="s">
        <v>375</v>
      </c>
      <c r="E4" s="14" t="s">
        <v>372</v>
      </c>
      <c r="F4" s="15" t="n">
        <v>38664</v>
      </c>
      <c r="G4" s="4" t="str">
        <f aca="false">IF(TRIM(SUBSTITUTE(SUBSTITUTE(SUBSTITUTE(SUBSTITUTE(SUBSTITUTE(SUBSTITUTE(SUBSTITUTE(SUBSTITUTE(SUBSTITUTE(SUBSTITUTE(SUBSTITUTE(LOWER(TRIM(D4)),"ё","е")," -","-"),"- ","-")," 2 разряда","")," 3 разряда","")," 4 разряда","")," 5 разряда","")," 6 разряда","")," 1 категории","")," 2 категории","")," 3 категории",""))="инженер",IF(AND(ISNUMBER(SEARCH("техническ",E4)),ISNUMBER(SEARCH("контрол",E4))),"инженер отк",IF(ISNUMBER(SEARCH("диспетч",E4)),"инженер пдо",TRIM(SUBSTITUTE(SUBSTITUTE(SUBSTITUTE(SUBSTITUTE(SUBSTITUTE(SUBSTITUTE(SUBSTITUTE(SUBSTITUTE(SUBSTITUTE(SUBSTITUTE(SUBSTITUTE(LOWER(TRIM(D4)),"ё","е"),"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категории","")))),IF(TRIM(SUBSTITUTE(SUBSTITUTE(SUBSTITUTE(SUBSTITUTE(SUBSTITUTE(SUBSTITUTE(SUBSTITUTE(SUBSTITUTE(SUBSTITUTE(SUBSTITUTE(SUBSTITUTE(LOWER(TRIM(D4)),"ё","е")," -","-"),"- ","-")," 2 разряда","")," 3 разряда","")," 4 разряда","")," 5 разряда","")," 6 разряда","")," 1 категории","")," 2 категории","")," 3 категории",""))="ведущий инженер",IF(ISNUMBER(SEARCH("диспетч",E4)),"ведущий инженер пдо",TRIM(SUBSTITUTE(SUBSTITUTE(SUBSTITUTE(SUBSTITUTE(SUBSTITUTE(SUBSTITUTE(SUBSTITUTE(SUBSTITUTE(SUBSTITUTE(SUBSTITUTE(SUBSTITUTE(LOWER(TRIM(D4)),"ё","е"),"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отк",TRIM(SUBSTITUTE(SUBSTITUTE(SUBSTITUTE(SUBSTITUTE(SUBSTITUTE(SUBSTITUTE(SUBSTITUTE(SUBSTITUTE(SUBSTITUTE(SUBSTITUTE(SUBSTITUTE(LOWER(TRIM(D4)),"ё","е")," -","-"),"- ","-")," 2 разряда","")," 3 разряда","")," 4 разряда","")," 5 разряда","")," 6 разряда","")," 1 категории","")," 2 категории","")," 3 категории","")))))</f>
        <v>инженер отк</v>
      </c>
      <c r="H4" s="11" t="n">
        <f aca="false">IFERROR(INDEX(Соответствие!$B$2:$B$76,MATCH(G4,Соответствие!$A$2:$A$76,0)),"?")</f>
        <v>13</v>
      </c>
      <c r="I4" s="8" t="str">
        <f aca="false">IFERROR(INDEX('Перечень должностей'!$C$2:$C$46,MATCH(H4,'Перечень должностей'!$A$2:$A$46,0)),"")</f>
        <v>п.4.4, п.5.1, п.5.2</v>
      </c>
      <c r="J4" s="11" t="n">
        <f aca="false">IFERROR(INDEX('Перечень должностей'!$D$2:$D$46,MATCH(H4,'Перечень должностей'!$A$2:$A$46,0)),12)</f>
        <v>12</v>
      </c>
      <c r="K4" s="16"/>
      <c r="L4" s="16"/>
      <c r="M4" s="15" t="str">
        <f aca="false">IF(K4="","",EDATE(IF(L4&lt;&gt;"",L4,K4),J4))</f>
        <v/>
      </c>
      <c r="N4" s="11" t="str">
        <f aca="false">IFERROR(INDEX('Перечень должностей'!$F$2:$F$46,MATCH(H4,'Перечень должностей'!$A$2:$A$46,0)),"")</f>
        <v>-</v>
      </c>
      <c r="O4" s="16"/>
      <c r="P4" s="15" t="str">
        <f aca="false">IF(O4="","",EDATE(O4,60))</f>
        <v/>
      </c>
      <c r="Q4" s="11" t="str">
        <f aca="false">IF(AND(K4&lt;&gt;"",F4&lt;&gt;"",K4&gt;F4),"ДА","")</f>
        <v/>
      </c>
      <c r="R4" s="8"/>
    </row>
    <row r="5" customFormat="false" ht="14.25" hidden="false" customHeight="false" outlineLevel="0" collapsed="false">
      <c r="A5" s="14" t="n">
        <v>4</v>
      </c>
      <c r="B5" s="11" t="s">
        <v>377</v>
      </c>
      <c r="C5" s="14" t="s">
        <v>378</v>
      </c>
      <c r="D5" s="14" t="s">
        <v>379</v>
      </c>
      <c r="E5" s="14" t="s">
        <v>372</v>
      </c>
      <c r="F5" s="15" t="n">
        <v>44970</v>
      </c>
      <c r="G5" s="4" t="str">
        <f aca="false">IF(TRIM(SUBSTITUTE(SUBSTITUTE(SUBSTITUTE(SUBSTITUTE(SUBSTITUTE(SUBSTITUTE(SUBSTITUTE(SUBSTITUTE(SUBSTITUTE(SUBSTITUTE(SUBSTITUTE(LOWER(TRIM(D5)),"ё","е")," -","-"),"- ","-")," 2 разряда","")," 3 разряда","")," 4 разряда","")," 5 разряда","")," 6 разряда","")," 1 категории","")," 2 категории","")," 3 категории",""))="инженер",IF(AND(ISNUMBER(SEARCH("техническ",E5)),ISNUMBER(SEARCH("контрол",E5))),"инженер отк",IF(ISNUMBER(SEARCH("диспетч",E5)),"инженер пдо",TRIM(SUBSTITUTE(SUBSTITUTE(SUBSTITUTE(SUBSTITUTE(SUBSTITUTE(SUBSTITUTE(SUBSTITUTE(SUBSTITUTE(SUBSTITUTE(SUBSTITUTE(SUBSTITUTE(LOWER(TRIM(D5)),"ё","е"),"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категории","")))),IF(TRIM(SUBSTITUTE(SUBSTITUTE(SUBSTITUTE(SUBSTITUTE(SUBSTITUTE(SUBSTITUTE(SUBSTITUTE(SUBSTITUTE(SUBSTITUTE(SUBSTITUTE(SUBSTITUTE(LOWER(TRIM(D5)),"ё","е")," -","-"),"- ","-")," 2 разряда","")," 3 разряда","")," 4 разряда","")," 5 разряда","")," 6 разряда","")," 1 категории","")," 2 категории","")," 3 категории",""))="ведущий инженер",IF(ISNUMBER(SEARCH("диспетч",E5)),"ведущий инженер пдо",TRIM(SUBSTITUTE(SUBSTITUTE(SUBSTITUTE(SUBSTITUTE(SUBSTITUTE(SUBSTITUTE(SUBSTITUTE(SUBSTITUTE(SUBSTITUTE(SUBSTITUTE(SUBSTITUTE(LOWER(TRIM(D5)),"ё","е"),"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отк",TRIM(SUBSTITUTE(SUBSTITUTE(SUBSTITUTE(SUBSTITUTE(SUBSTITUTE(SUBSTITUTE(SUBSTITUTE(SUBSTITUTE(SUBSTITUTE(SUBSTITUTE(SUBSTITUTE(LOWER(TRIM(D5)),"ё","е")," -","-"),"- ","-")," 2 разряда","")," 3 разряда","")," 4 разряда","")," 5 разряда","")," 6 разряда","")," 1 категории","")," 2 категории","")," 3 категории","")))))</f>
        <v>инженер отк</v>
      </c>
      <c r="H5" s="11" t="n">
        <f aca="false">IFERROR(INDEX(Соответствие!$B$2:$B$76,MATCH(G5,Соответствие!$A$2:$A$76,0)),"?")</f>
        <v>13</v>
      </c>
      <c r="I5" s="8" t="str">
        <f aca="false">IFERROR(INDEX('Перечень должностей'!$C$2:$C$46,MATCH(H5,'Перечень должностей'!$A$2:$A$46,0)),"")</f>
        <v>п.4.4, п.5.1, п.5.2</v>
      </c>
      <c r="J5" s="11" t="n">
        <f aca="false">IFERROR(INDEX('Перечень должностей'!$D$2:$D$46,MATCH(H5,'Перечень должностей'!$A$2:$A$46,0)),12)</f>
        <v>12</v>
      </c>
      <c r="K5" s="16"/>
      <c r="L5" s="16"/>
      <c r="M5" s="15" t="str">
        <f aca="false">IF(K5="","",EDATE(IF(L5&lt;&gt;"",L5,K5),J5))</f>
        <v/>
      </c>
      <c r="N5" s="11" t="str">
        <f aca="false">IFERROR(INDEX('Перечень должностей'!$F$2:$F$46,MATCH(H5,'Перечень должностей'!$A$2:$A$46,0)),"")</f>
        <v>-</v>
      </c>
      <c r="O5" s="16"/>
      <c r="P5" s="15" t="str">
        <f aca="false">IF(O5="","",EDATE(O5,60))</f>
        <v/>
      </c>
      <c r="Q5" s="11" t="str">
        <f aca="false">IF(AND(K5&lt;&gt;"",F5&lt;&gt;"",K5&gt;F5),"ДА","")</f>
        <v/>
      </c>
      <c r="R5" s="8"/>
    </row>
    <row r="6" customFormat="false" ht="14.25" hidden="false" customHeight="false" outlineLevel="0" collapsed="false">
      <c r="A6" s="14" t="n">
        <v>5</v>
      </c>
      <c r="B6" s="11" t="s">
        <v>50</v>
      </c>
      <c r="C6" s="14" t="s">
        <v>380</v>
      </c>
      <c r="D6" s="14" t="s">
        <v>381</v>
      </c>
      <c r="E6" s="14" t="s">
        <v>372</v>
      </c>
      <c r="F6" s="15" t="n">
        <v>45720</v>
      </c>
      <c r="G6" s="4" t="str">
        <f aca="false">IF(TRIM(SUBSTITUTE(SUBSTITUTE(SUBSTITUTE(SUBSTITUTE(SUBSTITUTE(SUBSTITUTE(SUBSTITUTE(SUBSTITUTE(SUBSTITUTE(SUBSTITUTE(SUBSTITUTE(LOWER(TRIM(D6)),"ё","е")," -","-"),"- ","-")," 2 разряда","")," 3 разряда","")," 4 разряда","")," 5 разряда","")," 6 разряда","")," 1 категории","")," 2 категории","")," 3 категории",""))="инженер",IF(AND(ISNUMBER(SEARCH("техническ",E6)),ISNUMBER(SEARCH("контрол",E6))),"инженер отк",IF(ISNUMBER(SEARCH("диспетч",E6)),"инженер пдо",TRIM(SUBSTITUTE(SUBSTITUTE(SUBSTITUTE(SUBSTITUTE(SUBSTITUTE(SUBSTITUTE(SUBSTITUTE(SUBSTITUTE(SUBSTITUTE(SUBSTITUTE(SUBSTITUTE(LOWER(TRIM(D6)),"ё","е"),"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категории","")))),IF(TRIM(SUBSTITUTE(SUBSTITUTE(SUBSTITUTE(SUBSTITUTE(SUBSTITUTE(SUBSTITUTE(SUBSTITUTE(SUBSTITUTE(SUBSTITUTE(SUBSTITUTE(SUBSTITUTE(LOWER(TRIM(D6)),"ё","е")," -","-"),"- ","-")," 2 разряда","")," 3 разряда","")," 4 разряда","")," 5 разряда","")," 6 разряда","")," 1 категории","")," 2 категории","")," 3 категории",""))="ведущий инженер",IF(ISNUMBER(SEARCH("диспетч",E6)),"ведущий инженер пдо",TRIM(SUBSTITUTE(SUBSTITUTE(SUBSTITUTE(SUBSTITUTE(SUBSTITUTE(SUBSTITUTE(SUBSTITUTE(SUBSTITUTE(SUBSTITUTE(SUBSTITUTE(SUBSTITUTE(LOWER(TRIM(D6)),"ё","е"),"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отк",TRIM(SUBSTITUTE(SUBSTITUTE(SUBSTITUTE(SUBSTITUTE(SUBSTITUTE(SUBSTITUTE(SUBSTITUTE(SUBSTITUTE(SUBSTITUTE(SUBSTITUTE(SUBSTITUTE(LOWER(TRIM(D6)),"ё","е")," -","-"),"- ","-")," 2 разряда","")," 3 разряда","")," 4 разряда","")," 5 разряда","")," 6 разряда","")," 1 категории","")," 2 категории","")," 3 категории","")))))</f>
        <v>контролер отк</v>
      </c>
      <c r="H6" s="11" t="n">
        <f aca="false">IFERROR(INDEX(Соответствие!$B$2:$B$76,MATCH(G6,Соответствие!$A$2:$A$76,0)),"?")</f>
        <v>13</v>
      </c>
      <c r="I6" s="8" t="str">
        <f aca="false">IFERROR(INDEX('Перечень должностей'!$C$2:$C$46,MATCH(H6,'Перечень должностей'!$A$2:$A$46,0)),"")</f>
        <v>п.4.4, п.5.1, п.5.2</v>
      </c>
      <c r="J6" s="11" t="n">
        <f aca="false">IFERROR(INDEX('Перечень должностей'!$D$2:$D$46,MATCH(H6,'Перечень должностей'!$A$2:$A$46,0)),12)</f>
        <v>12</v>
      </c>
      <c r="K6" s="16"/>
      <c r="L6" s="16"/>
      <c r="M6" s="15" t="str">
        <f aca="false">IF(K6="","",EDATE(IF(L6&lt;&gt;"",L6,K6),J6))</f>
        <v/>
      </c>
      <c r="N6" s="11" t="str">
        <f aca="false">IFERROR(INDEX('Перечень должностей'!$F$2:$F$46,MATCH(H6,'Перечень должностей'!$A$2:$A$46,0)),"")</f>
        <v>-</v>
      </c>
      <c r="O6" s="16"/>
      <c r="P6" s="15" t="str">
        <f aca="false">IF(O6="","",EDATE(O6,60))</f>
        <v/>
      </c>
      <c r="Q6" s="11" t="str">
        <f aca="false">IF(AND(K6&lt;&gt;"",F6&lt;&gt;"",K6&gt;F6),"ДА","")</f>
        <v/>
      </c>
      <c r="R6" s="8"/>
    </row>
    <row r="7" customFormat="false" ht="14.25" hidden="false" customHeight="false" outlineLevel="0" collapsed="false">
      <c r="A7" s="14" t="n">
        <v>6</v>
      </c>
      <c r="B7" s="11" t="s">
        <v>50</v>
      </c>
      <c r="C7" s="14" t="s">
        <v>382</v>
      </c>
      <c r="D7" s="14" t="s">
        <v>381</v>
      </c>
      <c r="E7" s="14" t="s">
        <v>372</v>
      </c>
      <c r="F7" s="15" t="n">
        <v>45908</v>
      </c>
      <c r="G7" s="4" t="str">
        <f aca="false">IF(TRIM(SUBSTITUTE(SUBSTITUTE(SUBSTITUTE(SUBSTITUTE(SUBSTITUTE(SUBSTITUTE(SUBSTITUTE(SUBSTITUTE(SUBSTITUTE(SUBSTITUTE(SUBSTITUTE(LOWER(TRIM(D7)),"ё","е")," -","-"),"- ","-")," 2 разряда","")," 3 разряда","")," 4 разряда","")," 5 разряда","")," 6 разряда","")," 1 категории","")," 2 категории","")," 3 категории",""))="инженер",IF(AND(ISNUMBER(SEARCH("техническ",E7)),ISNUMBER(SEARCH("контрол",E7))),"инженер отк",IF(ISNUMBER(SEARCH("диспетч",E7)),"инженер пдо",TRIM(SUBSTITUTE(SUBSTITUTE(SUBSTITUTE(SUBSTITUTE(SUBSTITUTE(SUBSTITUTE(SUBSTITUTE(SUBSTITUTE(SUBSTITUTE(SUBSTITUTE(SUBSTITUTE(LOWER(TRIM(D7)),"ё","е"),"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категории","")))),IF(TRIM(SUBSTITUTE(SUBSTITUTE(SUBSTITUTE(SUBSTITUTE(SUBSTITUTE(SUBSTITUTE(SUBSTITUTE(SUBSTITUTE(SUBSTITUTE(SUBSTITUTE(SUBSTITUTE(LOWER(TRIM(D7)),"ё","е")," -","-"),"- ","-")," 2 разряда","")," 3 разряда","")," 4 разряда","")," 5 разряда","")," 6 разряда","")," 1 категории","")," 2 категории","")," 3 категории",""))="ведущий инженер",IF(ISNUMBER(SEARCH("диспетч",E7)),"ведущий инженер пдо",TRIM(SUBSTITUTE(SUBSTITUTE(SUBSTITUTE(SUBSTITUTE(SUBSTITUTE(SUBSTITUTE(SUBSTITUTE(SUBSTITUTE(SUBSTITUTE(SUBSTITUTE(SUBSTITUTE(LOWER(TRIM(D7)),"ё","е"),"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отк",TRIM(SUBSTITUTE(SUBSTITUTE(SUBSTITUTE(SUBSTITUTE(SUBSTITUTE(SUBSTITUTE(SUBSTITUTE(SUBSTITUTE(SUBSTITUTE(SUBSTITUTE(SUBSTITUTE(LOWER(TRIM(D7)),"ё","е")," -","-"),"- ","-")," 2 разряда","")," 3 разряда","")," 4 разряда","")," 5 разряда","")," 6 разряда","")," 1 категории","")," 2 категории","")," 3 категории","")))))</f>
        <v>контролер отк</v>
      </c>
      <c r="H7" s="11" t="n">
        <f aca="false">IFERROR(INDEX(Соответствие!$B$2:$B$76,MATCH(G7,Соответствие!$A$2:$A$76,0)),"?")</f>
        <v>13</v>
      </c>
      <c r="I7" s="8" t="str">
        <f aca="false">IFERROR(INDEX('Перечень должностей'!$C$2:$C$46,MATCH(H7,'Перечень должностей'!$A$2:$A$46,0)),"")</f>
        <v>п.4.4, п.5.1, п.5.2</v>
      </c>
      <c r="J7" s="11" t="n">
        <f aca="false">IFERROR(INDEX('Перечень должностей'!$D$2:$D$46,MATCH(H7,'Перечень должностей'!$A$2:$A$46,0)),12)</f>
        <v>12</v>
      </c>
      <c r="K7" s="16"/>
      <c r="L7" s="16"/>
      <c r="M7" s="15" t="str">
        <f aca="false">IF(K7="","",EDATE(IF(L7&lt;&gt;"",L7,K7),J7))</f>
        <v/>
      </c>
      <c r="N7" s="11" t="str">
        <f aca="false">IFERROR(INDEX('Перечень должностей'!$F$2:$F$46,MATCH(H7,'Перечень должностей'!$A$2:$A$46,0)),"")</f>
        <v>-</v>
      </c>
      <c r="O7" s="16"/>
      <c r="P7" s="15" t="str">
        <f aca="false">IF(O7="","",EDATE(O7,60))</f>
        <v/>
      </c>
      <c r="Q7" s="11" t="str">
        <f aca="false">IF(AND(K7&lt;&gt;"",F7&lt;&gt;"",K7&gt;F7),"ДА","")</f>
        <v/>
      </c>
      <c r="R7" s="8"/>
    </row>
    <row r="8" customFormat="false" ht="26.25" hidden="false" customHeight="true" outlineLevel="0" collapsed="false">
      <c r="A8" s="14" t="n">
        <v>7</v>
      </c>
      <c r="B8" s="11" t="s">
        <v>377</v>
      </c>
      <c r="C8" s="14" t="s">
        <v>383</v>
      </c>
      <c r="D8" s="14" t="s">
        <v>341</v>
      </c>
      <c r="E8" s="14" t="s">
        <v>384</v>
      </c>
      <c r="F8" s="15" t="n">
        <v>41365</v>
      </c>
      <c r="G8" s="4" t="str">
        <f aca="false">IF(TRIM(SUBSTITUTE(SUBSTITUTE(SUBSTITUTE(SUBSTITUTE(SUBSTITUTE(SUBSTITUTE(SUBSTITUTE(SUBSTITUTE(SUBSTITUTE(SUBSTITUTE(SUBSTITUTE(LOWER(TRIM(D8)),"ё","е")," -","-"),"- ","-")," 2 разряда","")," 3 разряда","")," 4 разряда","")," 5 разряда","")," 6 разряда","")," 1 категории","")," 2 категории","")," 3 категории",""))="инженер",IF(AND(ISNUMBER(SEARCH("техническ",E8)),ISNUMBER(SEARCH("контрол",E8))),"инженер отк",IF(ISNUMBER(SEARCH("диспетч",E8)),"инженер пдо",TRIM(SUBSTITUTE(SUBSTITUTE(SUBSTITUTE(SUBSTITUTE(SUBSTITUTE(SUBSTITUTE(SUBSTITUTE(SUBSTITUTE(SUBSTITUTE(SUBSTITUTE(SUBSTITUTE(LOWER(TRIM(D8)),"ё","е"),"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категории","")))),IF(TRIM(SUBSTITUTE(SUBSTITUTE(SUBSTITUTE(SUBSTITUTE(SUBSTITUTE(SUBSTITUTE(SUBSTITUTE(SUBSTITUTE(SUBSTITUTE(SUBSTITUTE(SUBSTITUTE(LOWER(TRIM(D8)),"ё","е")," -","-"),"- ","-")," 2 разряда","")," 3 разряда","")," 4 разряда","")," 5 разряда","")," 6 разряда","")," 1 категории","")," 2 категории","")," 3 категории",""))="ведущий инженер",IF(ISNUMBER(SEARCH("диспетч",E8)),"ведущий инженер пдо",TRIM(SUBSTITUTE(SUBSTITUTE(SUBSTITUTE(SUBSTITUTE(SUBSTITUTE(SUBSTITUTE(SUBSTITUTE(SUBSTITUTE(SUBSTITUTE(SUBSTITUTE(SUBSTITUTE(LOWER(TRIM(D8)),"ё","е"),"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отк",TRIM(SUBSTITUTE(SUBSTITUTE(SUBSTITUTE(SUBSTITUTE(SUBSTITUTE(SUBSTITUTE(SUBSTITUTE(SUBSTITUTE(SUBSTITUTE(SUBSTITUTE(SUBSTITUTE(LOWER(TRIM(D8)),"ё","е")," -","-"),"- ","-")," 2 разряда","")," 3 разряда","")," 4 разряда","")," 5 разряда","")," 6 разряда","")," 1 категории","")," 2 категории","")," 3 категории","")))))</f>
        <v>водитель автомобиля (персональный)</v>
      </c>
      <c r="H8" s="11" t="n">
        <f aca="false">IFERROR(INDEX(Соответствие!$B$2:$B$76,MATCH(G8,Соответствие!$A$2:$A$76,0)),"?")</f>
        <v>39</v>
      </c>
      <c r="I8" s="8" t="str">
        <f aca="false">IFERROR(INDEX('Перечень должностей'!$C$2:$C$46,MATCH(H8,'Перечень должностей'!$A$2:$A$46,0)),"")</f>
        <v>п.4.3.1, п.4.3.2, п.4.4, п.5.1, п.5.2, п.18.1</v>
      </c>
      <c r="J8" s="11" t="n">
        <f aca="false">IFERROR(INDEX('Перечень должностей'!$D$2:$D$46,MATCH(H8,'Перечень должностей'!$A$2:$A$46,0)),12)</f>
        <v>12</v>
      </c>
      <c r="K8" s="16"/>
      <c r="L8" s="16"/>
      <c r="M8" s="15" t="str">
        <f aca="false">IF(K8="","",EDATE(IF(L8&lt;&gt;"",L8,K8),J8))</f>
        <v/>
      </c>
      <c r="N8" s="11" t="str">
        <f aca="false">IFERROR(INDEX('Перечень должностей'!$F$2:$F$46,MATCH(H8,'Перечень должностей'!$A$2:$A$46,0)),"")</f>
        <v>Да</v>
      </c>
      <c r="O8" s="16"/>
      <c r="P8" s="15" t="str">
        <f aca="false">IF(O8="","",EDATE(O8,60))</f>
        <v/>
      </c>
      <c r="Q8" s="11" t="str">
        <f aca="false">IF(AND(K8&lt;&gt;"",F8&lt;&gt;"",K8&gt;F8),"ДА","")</f>
        <v/>
      </c>
      <c r="R8" s="8"/>
    </row>
    <row r="9" customFormat="false" ht="14.25" hidden="false" customHeight="false" outlineLevel="0" collapsed="false">
      <c r="A9" s="14" t="n">
        <v>8</v>
      </c>
      <c r="B9" s="11" t="s">
        <v>377</v>
      </c>
      <c r="C9" s="14" t="s">
        <v>385</v>
      </c>
      <c r="D9" s="14" t="s">
        <v>294</v>
      </c>
      <c r="E9" s="14" t="s">
        <v>386</v>
      </c>
      <c r="F9" s="15" t="n">
        <v>46097</v>
      </c>
      <c r="G9" s="4" t="str">
        <f aca="false">IF(TRIM(SUBSTITUTE(SUBSTITUTE(SUBSTITUTE(SUBSTITUTE(SUBSTITUTE(SUBSTITUTE(SUBSTITUTE(SUBSTITUTE(SUBSTITUTE(SUBSTITUTE(SUBSTITUTE(LOWER(TRIM(D9)),"ё","е")," -","-"),"- ","-")," 2 разряда","")," 3 разряда","")," 4 разряда","")," 5 разряда","")," 6 разряда","")," 1 категории","")," 2 категории","")," 3 категории",""))="инженер",IF(AND(ISNUMBER(SEARCH("техническ",E9)),ISNUMBER(SEARCH("контрол",E9))),"инженер отк",IF(ISNUMBER(SEARCH("диспетч",E9)),"инженер пдо",TRIM(SUBSTITUTE(SUBSTITUTE(SUBSTITUTE(SUBSTITUTE(SUBSTITUTE(SUBSTITUTE(SUBSTITUTE(SUBSTITUTE(SUBSTITUTE(SUBSTITUTE(SUBSTITUTE(LOWER(TRIM(D9)),"ё","е"),"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категории","")))),IF(TRIM(SUBSTITUTE(SUBSTITUTE(SUBSTITUTE(SUBSTITUTE(SUBSTITUTE(SUBSTITUTE(SUBSTITUTE(SUBSTITUTE(SUBSTITUTE(SUBSTITUTE(SUBSTITUTE(LOWER(TRIM(D9)),"ё","е")," -","-"),"- ","-")," 2 разряда","")," 3 разряда","")," 4 разряда","")," 5 разряда","")," 6 разряда","")," 1 категории","")," 2 категории","")," 3 категории",""))="ведущий инженер",IF(ISNUMBER(SEARCH("диспетч",E9)),"ведущий инженер пдо",TRIM(SUBSTITUTE(SUBSTITUTE(SUBSTITUTE(SUBSTITUTE(SUBSTITUTE(SUBSTITUTE(SUBSTITUTE(SUBSTITUTE(SUBSTITUTE(SUBSTITUTE(SUBSTITUTE(LOWER(TRIM(D9)),"ё","е"),"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отк",TRIM(SUBSTITUTE(SUBSTITUTE(SUBSTITUTE(SUBSTITUTE(SUBSTITUTE(SUBSTITUTE(SUBSTITUTE(SUBSTITUTE(SUBSTITUTE(SUBSTITUTE(SUBSTITUTE(LOWER(TRIM(D9)),"ё","е")," -","-"),"- ","-")," 2 разряда","")," 3 разряда","")," 4 разряда","")," 5 разряда","")," 6 разряда","")," 1 категории","")," 2 категории","")," 3 категории","")))))</f>
        <v>специалист</v>
      </c>
      <c r="H9" s="11" t="n">
        <f aca="false">IFERROR(INDEX(Соответствие!$B$2:$B$76,MATCH(G9,Соответствие!$A$2:$A$76,0)),"?")</f>
        <v>12</v>
      </c>
      <c r="I9" s="8" t="str">
        <f aca="false">IFERROR(INDEX('Перечень должностей'!$C$2:$C$46,MATCH(H9,'Перечень должностей'!$A$2:$A$46,0)),"")</f>
        <v>п.4.4, п.5.1, п.5.2</v>
      </c>
      <c r="J9" s="11" t="n">
        <f aca="false">IFERROR(INDEX('Перечень должностей'!$D$2:$D$46,MATCH(H9,'Перечень должностей'!$A$2:$A$46,0)),12)</f>
        <v>12</v>
      </c>
      <c r="K9" s="16"/>
      <c r="L9" s="16"/>
      <c r="M9" s="15" t="str">
        <f aca="false">IF(K9="","",EDATE(IF(L9&lt;&gt;"",L9,K9),J9))</f>
        <v/>
      </c>
      <c r="N9" s="11" t="str">
        <f aca="false">IFERROR(INDEX('Перечень должностей'!$F$2:$F$46,MATCH(H9,'Перечень должностей'!$A$2:$A$46,0)),"")</f>
        <v>-</v>
      </c>
      <c r="O9" s="16"/>
      <c r="P9" s="15" t="str">
        <f aca="false">IF(O9="","",EDATE(O9,60))</f>
        <v/>
      </c>
      <c r="Q9" s="11" t="str">
        <f aca="false">IF(AND(K9&lt;&gt;"",F9&lt;&gt;"",K9&gt;F9),"ДА","")</f>
        <v/>
      </c>
      <c r="R9" s="8"/>
    </row>
    <row r="10" customFormat="false" ht="14.25" hidden="false" customHeight="false" outlineLevel="0" collapsed="false">
      <c r="A10" s="14" t="n">
        <v>9</v>
      </c>
      <c r="B10" s="11" t="s">
        <v>377</v>
      </c>
      <c r="C10" s="14" t="s">
        <v>387</v>
      </c>
      <c r="D10" s="14" t="s">
        <v>294</v>
      </c>
      <c r="E10" s="14" t="s">
        <v>388</v>
      </c>
      <c r="F10" s="15" t="n">
        <v>46266</v>
      </c>
      <c r="G10" s="4" t="str">
        <f aca="false">IF(TRIM(SUBSTITUTE(SUBSTITUTE(SUBSTITUTE(SUBSTITUTE(SUBSTITUTE(SUBSTITUTE(SUBSTITUTE(SUBSTITUTE(SUBSTITUTE(SUBSTITUTE(SUBSTITUTE(LOWER(TRIM(D10)),"ё","е")," -","-"),"- ","-")," 2 разряда","")," 3 разряда","")," 4 разряда","")," 5 разряда","")," 6 разряда","")," 1 категории","")," 2 категории","")," 3 категории",""))="инженер",IF(AND(ISNUMBER(SEARCH("техническ",E10)),ISNUMBER(SEARCH("контрол",E10))),"инженер отк",IF(ISNUMBER(SEARCH("диспетч",E10)),"инженер пдо",TRIM(SUBSTITUTE(SUBSTITUTE(SUBSTITUTE(SUBSTITUTE(SUBSTITUTE(SUBSTITUTE(SUBSTITUTE(SUBSTITUTE(SUBSTITUTE(SUBSTITUTE(SUBSTITUTE(LOWER(TRIM(D10)),"ё","е"),"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категории","")))),IF(TRIM(SUBSTITUTE(SUBSTITUTE(SUBSTITUTE(SUBSTITUTE(SUBSTITUTE(SUBSTITUTE(SUBSTITUTE(SUBSTITUTE(SUBSTITUTE(SUBSTITUTE(SUBSTITUTE(LOWER(TRIM(D10)),"ё","е")," -","-"),"- ","-")," 2 разряда","")," 3 разряда","")," 4 разряда","")," 5 разряда","")," 6 разряда","")," 1 категории","")," 2 категории","")," 3 категории",""))="ведущий инженер",IF(ISNUMBER(SEARCH("диспетч",E10)),"ведущий инженер пдо",TRIM(SUBSTITUTE(SUBSTITUTE(SUBSTITUTE(SUBSTITUTE(SUBSTITUTE(SUBSTITUTE(SUBSTITUTE(SUBSTITUTE(SUBSTITUTE(SUBSTITUTE(SUBSTITUTE(LOWER(TRIM(D10)),"ё","е"),"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отк",TRIM(SUBSTITUTE(SUBSTITUTE(SUBSTITUTE(SUBSTITUTE(SUBSTITUTE(SUBSTITUTE(SUBSTITUTE(SUBSTITUTE(SUBSTITUTE(SUBSTITUTE(SUBSTITUTE(LOWER(TRIM(D10)),"ё","е")," -","-"),"- ","-")," 2 разряда","")," 3 разряда","")," 4 разряда","")," 5 разряда","")," 6 разряда","")," 1 категории","")," 2 категории","")," 3 категории","")))))</f>
        <v>специалист</v>
      </c>
      <c r="H10" s="11" t="n">
        <f aca="false">IFERROR(INDEX(Соответствие!$B$2:$B$76,MATCH(G10,Соответствие!$A$2:$A$76,0)),"?")</f>
        <v>12</v>
      </c>
      <c r="I10" s="8" t="str">
        <f aca="false">IFERROR(INDEX('Перечень должностей'!$C$2:$C$46,MATCH(H10,'Перечень должностей'!$A$2:$A$46,0)),"")</f>
        <v>п.4.4, п.5.1, п.5.2</v>
      </c>
      <c r="J10" s="11" t="n">
        <f aca="false">IFERROR(INDEX('Перечень должностей'!$D$2:$D$46,MATCH(H10,'Перечень должностей'!$A$2:$A$46,0)),12)</f>
        <v>12</v>
      </c>
      <c r="K10" s="16"/>
      <c r="L10" s="16"/>
      <c r="M10" s="15" t="str">
        <f aca="false">IF(K10="","",EDATE(IF(L10&lt;&gt;"",L10,K10),J10))</f>
        <v/>
      </c>
      <c r="N10" s="11" t="str">
        <f aca="false">IFERROR(INDEX('Перечень должностей'!$F$2:$F$46,MATCH(H10,'Перечень должностей'!$A$2:$A$46,0)),"")</f>
        <v>-</v>
      </c>
      <c r="O10" s="16"/>
      <c r="P10" s="15" t="str">
        <f aca="false">IF(O10="","",EDATE(O10,60))</f>
        <v/>
      </c>
      <c r="Q10" s="11" t="str">
        <f aca="false">IF(AND(K10&lt;&gt;"",F10&lt;&gt;"",K10&gt;F10),"ДА","")</f>
        <v/>
      </c>
      <c r="R10" s="8"/>
    </row>
    <row r="11" customFormat="false" ht="14.25" hidden="false" customHeight="false" outlineLevel="0" collapsed="false">
      <c r="A11" s="14" t="n">
        <v>10</v>
      </c>
      <c r="B11" s="11" t="s">
        <v>377</v>
      </c>
      <c r="C11" s="14" t="s">
        <v>389</v>
      </c>
      <c r="D11" s="14" t="s">
        <v>294</v>
      </c>
      <c r="E11" s="14" t="s">
        <v>390</v>
      </c>
      <c r="F11" s="15" t="n">
        <v>46104</v>
      </c>
      <c r="G11" s="4" t="str">
        <f aca="false">IF(TRIM(SUBSTITUTE(SUBSTITUTE(SUBSTITUTE(SUBSTITUTE(SUBSTITUTE(SUBSTITUTE(SUBSTITUTE(SUBSTITUTE(SUBSTITUTE(SUBSTITUTE(SUBSTITUTE(LOWER(TRIM(D11)),"ё","е")," -","-"),"- ","-")," 2 разряда","")," 3 разряда","")," 4 разряда","")," 5 разряда","")," 6 разряда","")," 1 категории","")," 2 категории","")," 3 категории",""))="инженер",IF(AND(ISNUMBER(SEARCH("техническ",E11)),ISNUMBER(SEARCH("контрол",E11))),"инженер отк",IF(ISNUMBER(SEARCH("диспетч",E11)),"инженер пдо",TRIM(SUBSTITUTE(SUBSTITUTE(SUBSTITUTE(SUBSTITUTE(SUBSTITUTE(SUBSTITUTE(SUBSTITUTE(SUBSTITUTE(SUBSTITUTE(SUBSTITUTE(SUBSTITUTE(LOWER(TRIM(D11)),"ё","е"),"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категории","")))),IF(TRIM(SUBSTITUTE(SUBSTITUTE(SUBSTITUTE(SUBSTITUTE(SUBSTITUTE(SUBSTITUTE(SUBSTITUTE(SUBSTITUTE(SUBSTITUTE(SUBSTITUTE(SUBSTITUTE(LOWER(TRIM(D11)),"ё","е")," -","-"),"- ","-")," 2 разряда","")," 3 разряда","")," 4 разряда","")," 5 разряда","")," 6 разряда","")," 1 категории","")," 2 категории","")," 3 категории",""))="ведущий инженер",IF(ISNUMBER(SEARCH("диспетч",E11)),"ведущий инженер пдо",TRIM(SUBSTITUTE(SUBSTITUTE(SUBSTITUTE(SUBSTITUTE(SUBSTITUTE(SUBSTITUTE(SUBSTITUTE(SUBSTITUTE(SUBSTITUTE(SUBSTITUTE(SUBSTITUTE(LOWER(TRIM(D11)),"ё","е"),"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отк",TRIM(SUBSTITUTE(SUBSTITUTE(SUBSTITUTE(SUBSTITUTE(SUBSTITUTE(SUBSTITUTE(SUBSTITUTE(SUBSTITUTE(SUBSTITUTE(SUBSTITUTE(SUBSTITUTE(LOWER(TRIM(D11)),"ё","е")," -","-"),"- ","-")," 2 разряда","")," 3 разряда","")," 4 разряда","")," 5 разряда","")," 6 разряда","")," 1 категории","")," 2 категории","")," 3 категории","")))))</f>
        <v>специалист</v>
      </c>
      <c r="H11" s="11" t="n">
        <f aca="false">IFERROR(INDEX(Соответствие!$B$2:$B$76,MATCH(G11,Соответствие!$A$2:$A$76,0)),"?")</f>
        <v>12</v>
      </c>
      <c r="I11" s="8" t="str">
        <f aca="false">IFERROR(INDEX('Перечень должностей'!$C$2:$C$46,MATCH(H11,'Перечень должностей'!$A$2:$A$46,0)),"")</f>
        <v>п.4.4, п.5.1, п.5.2</v>
      </c>
      <c r="J11" s="11" t="n">
        <f aca="false">IFERROR(INDEX('Перечень должностей'!$D$2:$D$46,MATCH(H11,'Перечень должностей'!$A$2:$A$46,0)),12)</f>
        <v>12</v>
      </c>
      <c r="K11" s="16"/>
      <c r="L11" s="16"/>
      <c r="M11" s="15" t="str">
        <f aca="false">IF(K11="","",EDATE(IF(L11&lt;&gt;"",L11,K11),J11))</f>
        <v/>
      </c>
      <c r="N11" s="11" t="str">
        <f aca="false">IFERROR(INDEX('Перечень должностей'!$F$2:$F$46,MATCH(H11,'Перечень должностей'!$A$2:$A$46,0)),"")</f>
        <v>-</v>
      </c>
      <c r="O11" s="16"/>
      <c r="P11" s="15" t="str">
        <f aca="false">IF(O11="","",EDATE(O11,60))</f>
        <v/>
      </c>
      <c r="Q11" s="11" t="str">
        <f aca="false">IF(AND(K11&lt;&gt;"",F11&lt;&gt;"",K11&gt;F11),"ДА","")</f>
        <v/>
      </c>
      <c r="R11" s="8"/>
    </row>
    <row r="12" customFormat="false" ht="14.25" hidden="false" customHeight="false" outlineLevel="0" collapsed="false">
      <c r="A12" s="14" t="n">
        <v>11</v>
      </c>
      <c r="B12" s="11" t="s">
        <v>377</v>
      </c>
      <c r="C12" s="14" t="s">
        <v>391</v>
      </c>
      <c r="D12" s="14" t="s">
        <v>392</v>
      </c>
      <c r="E12" s="14" t="s">
        <v>393</v>
      </c>
      <c r="F12" s="15" t="n">
        <v>43283</v>
      </c>
      <c r="G12" s="4" t="str">
        <f aca="false">IF(TRIM(SUBSTITUTE(SUBSTITUTE(SUBSTITUTE(SUBSTITUTE(SUBSTITUTE(SUBSTITUTE(SUBSTITUTE(SUBSTITUTE(SUBSTITUTE(SUBSTITUTE(SUBSTITUTE(LOWER(TRIM(D12)),"ё","е")," -","-"),"- ","-")," 2 разряда","")," 3 разряда","")," 4 разряда","")," 5 разряда","")," 6 разряда","")," 1 категории","")," 2 категории","")," 3 категории",""))="инженер",IF(AND(ISNUMBER(SEARCH("техническ",E12)),ISNUMBER(SEARCH("контрол",E12))),"инженер отк",IF(ISNUMBER(SEARCH("диспетч",E12)),"инженер пдо",TRIM(SUBSTITUTE(SUBSTITUTE(SUBSTITUTE(SUBSTITUTE(SUBSTITUTE(SUBSTITUTE(SUBSTITUTE(SUBSTITUTE(SUBSTITUTE(SUBSTITUTE(SUBSTITUTE(LOWER(TRIM(D12)),"ё","е"),"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категории","")))),IF(TRIM(SUBSTITUTE(SUBSTITUTE(SUBSTITUTE(SUBSTITUTE(SUBSTITUTE(SUBSTITUTE(SUBSTITUTE(SUBSTITUTE(SUBSTITUTE(SUBSTITUTE(SUBSTITUTE(LOWER(TRIM(D12)),"ё","е")," -","-"),"- ","-")," 2 разряда","")," 3 разряда","")," 4 разряда","")," 5 разряда","")," 6 разряда","")," 1 категории","")," 2 категории","")," 3 категории",""))="ведущий инженер",IF(ISNUMBER(SEARCH("диспетч",E12)),"ведущий инженер пдо",TRIM(SUBSTITUTE(SUBSTITUTE(SUBSTITUTE(SUBSTITUTE(SUBSTITUTE(SUBSTITUTE(SUBSTITUTE(SUBSTITUTE(SUBSTITUTE(SUBSTITUTE(SUBSTITUTE(LOWER(TRIM(D12)),"ё","е"),"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отк",TRIM(SUBSTITUTE(SUBSTITUTE(SUBSTITUTE(SUBSTITUTE(SUBSTITUTE(SUBSTITUTE(SUBSTITUTE(SUBSTITUTE(SUBSTITUTE(SUBSTITUTE(SUBSTITUTE(LOWER(TRIM(D12)),"ё","е")," -","-"),"- ","-")," 2 разряда","")," 3 разряда","")," 4 разряда","")," 5 разряда","")," 6 разряда","")," 1 категории","")," 2 категории","")," 3 категории","")))))</f>
        <v>старший технический работник</v>
      </c>
      <c r="H12" s="11" t="n">
        <f aca="false">IFERROR(INDEX(Соответствие!$B$2:$B$76,MATCH(G12,Соответствие!$A$2:$A$76,0)),"?")</f>
        <v>10</v>
      </c>
      <c r="I12" s="8" t="str">
        <f aca="false">IFERROR(INDEX('Перечень должностей'!$C$2:$C$46,MATCH(H12,'Перечень должностей'!$A$2:$A$46,0)),"")</f>
        <v>п.1.48, п.4.3.1, п.4.4, п.5.1</v>
      </c>
      <c r="J12" s="11" t="n">
        <f aca="false">IFERROR(INDEX('Перечень должностей'!$D$2:$D$46,MATCH(H12,'Перечень должностей'!$A$2:$A$46,0)),12)</f>
        <v>12</v>
      </c>
      <c r="K12" s="16"/>
      <c r="L12" s="16"/>
      <c r="M12" s="15" t="str">
        <f aca="false">IF(K12="","",EDATE(IF(L12&lt;&gt;"",L12,K12),J12))</f>
        <v/>
      </c>
      <c r="N12" s="11" t="str">
        <f aca="false">IFERROR(INDEX('Перечень должностей'!$F$2:$F$46,MATCH(H12,'Перечень должностей'!$A$2:$A$46,0)),"")</f>
        <v>-</v>
      </c>
      <c r="O12" s="16"/>
      <c r="P12" s="15" t="str">
        <f aca="false">IF(O12="","",EDATE(O12,60))</f>
        <v/>
      </c>
      <c r="Q12" s="11" t="str">
        <f aca="false">IF(AND(K12&lt;&gt;"",F12&lt;&gt;"",K12&gt;F12),"ДА","")</f>
        <v/>
      </c>
      <c r="R12" s="8"/>
    </row>
    <row r="13" customFormat="false" ht="14.25" hidden="false" customHeight="false" outlineLevel="0" collapsed="false">
      <c r="A13" s="14" t="n">
        <v>12</v>
      </c>
      <c r="B13" s="11" t="s">
        <v>377</v>
      </c>
      <c r="C13" s="14" t="s">
        <v>394</v>
      </c>
      <c r="D13" s="14" t="s">
        <v>392</v>
      </c>
      <c r="E13" s="14" t="s">
        <v>393</v>
      </c>
      <c r="F13" s="15" t="n">
        <v>46065</v>
      </c>
      <c r="G13" s="4" t="str">
        <f aca="false">IF(TRIM(SUBSTITUTE(SUBSTITUTE(SUBSTITUTE(SUBSTITUTE(SUBSTITUTE(SUBSTITUTE(SUBSTITUTE(SUBSTITUTE(SUBSTITUTE(SUBSTITUTE(SUBSTITUTE(LOWER(TRIM(D13)),"ё","е")," -","-"),"- ","-")," 2 разряда","")," 3 разряда","")," 4 разряда","")," 5 разряда","")," 6 разряда","")," 1 категории","")," 2 категории","")," 3 категории",""))="инженер",IF(AND(ISNUMBER(SEARCH("техническ",E13)),ISNUMBER(SEARCH("контрол",E13))),"инженер отк",IF(ISNUMBER(SEARCH("диспетч",E13)),"инженер пдо",TRIM(SUBSTITUTE(SUBSTITUTE(SUBSTITUTE(SUBSTITUTE(SUBSTITUTE(SUBSTITUTE(SUBSTITUTE(SUBSTITUTE(SUBSTITUTE(SUBSTITUTE(SUBSTITUTE(LOWER(TRIM(D13)),"ё","е"),"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категории","")))),IF(TRIM(SUBSTITUTE(SUBSTITUTE(SUBSTITUTE(SUBSTITUTE(SUBSTITUTE(SUBSTITUTE(SUBSTITUTE(SUBSTITUTE(SUBSTITUTE(SUBSTITUTE(SUBSTITUTE(LOWER(TRIM(D13)),"ё","е")," -","-"),"- ","-")," 2 разряда","")," 3 разряда","")," 4 разряда","")," 5 разряда","")," 6 разряда","")," 1 категории","")," 2 категории","")," 3 категории",""))="ведущий инженер",IF(ISNUMBER(SEARCH("диспетч",E13)),"ведущий инженер пдо",TRIM(SUBSTITUTE(SUBSTITUTE(SUBSTITUTE(SUBSTITUTE(SUBSTITUTE(SUBSTITUTE(SUBSTITUTE(SUBSTITUTE(SUBSTITUTE(SUBSTITUTE(SUBSTITUTE(LOWER(TRIM(D13)),"ё","е"),"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отк",TRIM(SUBSTITUTE(SUBSTITUTE(SUBSTITUTE(SUBSTITUTE(SUBSTITUTE(SUBSTITUTE(SUBSTITUTE(SUBSTITUTE(SUBSTITUTE(SUBSTITUTE(SUBSTITUTE(LOWER(TRIM(D13)),"ё","е")," -","-"),"- ","-")," 2 разряда","")," 3 разряда","")," 4 разряда","")," 5 разряда","")," 6 разряда","")," 1 категории","")," 2 категории","")," 3 категории","")))))</f>
        <v>старший технический работник</v>
      </c>
      <c r="H13" s="11" t="n">
        <f aca="false">IFERROR(INDEX(Соответствие!$B$2:$B$76,MATCH(G13,Соответствие!$A$2:$A$76,0)),"?")</f>
        <v>10</v>
      </c>
      <c r="I13" s="8" t="str">
        <f aca="false">IFERROR(INDEX('Перечень должностей'!$C$2:$C$46,MATCH(H13,'Перечень должностей'!$A$2:$A$46,0)),"")</f>
        <v>п.1.48, п.4.3.1, п.4.4, п.5.1</v>
      </c>
      <c r="J13" s="11" t="n">
        <f aca="false">IFERROR(INDEX('Перечень должностей'!$D$2:$D$46,MATCH(H13,'Перечень должностей'!$A$2:$A$46,0)),12)</f>
        <v>12</v>
      </c>
      <c r="K13" s="16"/>
      <c r="L13" s="16"/>
      <c r="M13" s="15" t="str">
        <f aca="false">IF(K13="","",EDATE(IF(L13&lt;&gt;"",L13,K13),J13))</f>
        <v/>
      </c>
      <c r="N13" s="11" t="str">
        <f aca="false">IFERROR(INDEX('Перечень должностей'!$F$2:$F$46,MATCH(H13,'Перечень должностей'!$A$2:$A$46,0)),"")</f>
        <v>-</v>
      </c>
      <c r="O13" s="16"/>
      <c r="P13" s="15" t="str">
        <f aca="false">IF(O13="","",EDATE(O13,60))</f>
        <v/>
      </c>
      <c r="Q13" s="11" t="str">
        <f aca="false">IF(AND(K13&lt;&gt;"",F13&lt;&gt;"",K13&gt;F13),"ДА","")</f>
        <v/>
      </c>
      <c r="R13" s="8"/>
    </row>
    <row r="14" customFormat="false" ht="14.25" hidden="false" customHeight="false" outlineLevel="0" collapsed="false">
      <c r="A14" s="14" t="n">
        <v>13</v>
      </c>
      <c r="B14" s="11" t="s">
        <v>377</v>
      </c>
      <c r="C14" s="14" t="s">
        <v>395</v>
      </c>
      <c r="D14" s="14" t="s">
        <v>392</v>
      </c>
      <c r="E14" s="14" t="s">
        <v>393</v>
      </c>
      <c r="F14" s="15" t="n">
        <v>43845</v>
      </c>
      <c r="G14" s="4" t="str">
        <f aca="false">IF(TRIM(SUBSTITUTE(SUBSTITUTE(SUBSTITUTE(SUBSTITUTE(SUBSTITUTE(SUBSTITUTE(SUBSTITUTE(SUBSTITUTE(SUBSTITUTE(SUBSTITUTE(SUBSTITUTE(LOWER(TRIM(D14)),"ё","е")," -","-"),"- ","-")," 2 разряда","")," 3 разряда","")," 4 разряда","")," 5 разряда","")," 6 разряда","")," 1 категории","")," 2 категории","")," 3 категории",""))="инженер",IF(AND(ISNUMBER(SEARCH("техническ",E14)),ISNUMBER(SEARCH("контрол",E14))),"инженер отк",IF(ISNUMBER(SEARCH("диспетч",E14)),"инженер пдо",TRIM(SUBSTITUTE(SUBSTITUTE(SUBSTITUTE(SUBSTITUTE(SUBSTITUTE(SUBSTITUTE(SUBSTITUTE(SUBSTITUTE(SUBSTITUTE(SUBSTITUTE(SUBSTITUTE(LOWER(TRIM(D14)),"ё","е"),"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категории","")))),IF(TRIM(SUBSTITUTE(SUBSTITUTE(SUBSTITUTE(SUBSTITUTE(SUBSTITUTE(SUBSTITUTE(SUBSTITUTE(SUBSTITUTE(SUBSTITUTE(SUBSTITUTE(SUBSTITUTE(LOWER(TRIM(D14)),"ё","е")," -","-"),"- ","-")," 2 разряда","")," 3 разряда","")," 4 разряда","")," 5 разряда","")," 6 разряда","")," 1 категории","")," 2 категории","")," 3 категории",""))="ведущий инженер",IF(ISNUMBER(SEARCH("диспетч",E14)),"ведущий инженер пдо",TRIM(SUBSTITUTE(SUBSTITUTE(SUBSTITUTE(SUBSTITUTE(SUBSTITUTE(SUBSTITUTE(SUBSTITUTE(SUBSTITUTE(SUBSTITUTE(SUBSTITUTE(SUBSTITUTE(LOWER(TRIM(D14)),"ё","е"),"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отк",TRIM(SUBSTITUTE(SUBSTITUTE(SUBSTITUTE(SUBSTITUTE(SUBSTITUTE(SUBSTITUTE(SUBSTITUTE(SUBSTITUTE(SUBSTITUTE(SUBSTITUTE(SUBSTITUTE(LOWER(TRIM(D14)),"ё","е")," -","-"),"- ","-")," 2 разряда","")," 3 разряда","")," 4 разряда","")," 5 разряда","")," 6 разряда","")," 1 категории","")," 2 категории","")," 3 категории","")))))</f>
        <v>старший технический работник</v>
      </c>
      <c r="H14" s="11" t="n">
        <f aca="false">IFERROR(INDEX(Соответствие!$B$2:$B$76,MATCH(G14,Соответствие!$A$2:$A$76,0)),"?")</f>
        <v>10</v>
      </c>
      <c r="I14" s="8" t="str">
        <f aca="false">IFERROR(INDEX('Перечень должностей'!$C$2:$C$46,MATCH(H14,'Перечень должностей'!$A$2:$A$46,0)),"")</f>
        <v>п.1.48, п.4.3.1, п.4.4, п.5.1</v>
      </c>
      <c r="J14" s="11" t="n">
        <f aca="false">IFERROR(INDEX('Перечень должностей'!$D$2:$D$46,MATCH(H14,'Перечень должностей'!$A$2:$A$46,0)),12)</f>
        <v>12</v>
      </c>
      <c r="K14" s="16"/>
      <c r="L14" s="16"/>
      <c r="M14" s="15" t="str">
        <f aca="false">IF(K14="","",EDATE(IF(L14&lt;&gt;"",L14,K14),J14))</f>
        <v/>
      </c>
      <c r="N14" s="11" t="str">
        <f aca="false">IFERROR(INDEX('Перечень должностей'!$F$2:$F$46,MATCH(H14,'Перечень должностей'!$A$2:$A$46,0)),"")</f>
        <v>-</v>
      </c>
      <c r="O14" s="16"/>
      <c r="P14" s="15" t="str">
        <f aca="false">IF(O14="","",EDATE(O14,60))</f>
        <v/>
      </c>
      <c r="Q14" s="11" t="str">
        <f aca="false">IF(AND(K14&lt;&gt;"",F14&lt;&gt;"",K14&gt;F14),"ДА","")</f>
        <v/>
      </c>
      <c r="R14" s="8"/>
    </row>
    <row r="15" customFormat="false" ht="14.25" hidden="false" customHeight="false" outlineLevel="0" collapsed="false">
      <c r="A15" s="14" t="n">
        <v>14</v>
      </c>
      <c r="B15" s="11" t="s">
        <v>377</v>
      </c>
      <c r="C15" s="14" t="s">
        <v>396</v>
      </c>
      <c r="D15" s="14" t="s">
        <v>294</v>
      </c>
      <c r="E15" s="14" t="s">
        <v>397</v>
      </c>
      <c r="F15" s="15" t="n">
        <v>39479</v>
      </c>
      <c r="G15" s="4" t="str">
        <f aca="false">IF(TRIM(SUBSTITUTE(SUBSTITUTE(SUBSTITUTE(SUBSTITUTE(SUBSTITUTE(SUBSTITUTE(SUBSTITUTE(SUBSTITUTE(SUBSTITUTE(SUBSTITUTE(SUBSTITUTE(LOWER(TRIM(D15)),"ё","е")," -","-"),"- ","-")," 2 разряда","")," 3 разряда","")," 4 разряда","")," 5 разряда","")," 6 разряда","")," 1 категории","")," 2 категории","")," 3 категории",""))="инженер",IF(AND(ISNUMBER(SEARCH("техническ",E15)),ISNUMBER(SEARCH("контрол",E15))),"инженер отк",IF(ISNUMBER(SEARCH("диспетч",E15)),"инженер пдо",TRIM(SUBSTITUTE(SUBSTITUTE(SUBSTITUTE(SUBSTITUTE(SUBSTITUTE(SUBSTITUTE(SUBSTITUTE(SUBSTITUTE(SUBSTITUTE(SUBSTITUTE(SUBSTITUTE(LOWER(TRIM(D15)),"ё","е"),"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категории","")))),IF(TRIM(SUBSTITUTE(SUBSTITUTE(SUBSTITUTE(SUBSTITUTE(SUBSTITUTE(SUBSTITUTE(SUBSTITUTE(SUBSTITUTE(SUBSTITUTE(SUBSTITUTE(SUBSTITUTE(LOWER(TRIM(D15)),"ё","е")," -","-"),"- ","-")," 2 разряда","")," 3 разряда","")," 4 разряда","")," 5 разряда","")," 6 разряда","")," 1 категории","")," 2 категории","")," 3 категории",""))="ведущий инженер",IF(ISNUMBER(SEARCH("диспетч",E15)),"ведущий инженер пдо",TRIM(SUBSTITUTE(SUBSTITUTE(SUBSTITUTE(SUBSTITUTE(SUBSTITUTE(SUBSTITUTE(SUBSTITUTE(SUBSTITUTE(SUBSTITUTE(SUBSTITUTE(SUBSTITUTE(LOWER(TRIM(D15)),"ё","е"),"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отк",TRIM(SUBSTITUTE(SUBSTITUTE(SUBSTITUTE(SUBSTITUTE(SUBSTITUTE(SUBSTITUTE(SUBSTITUTE(SUBSTITUTE(SUBSTITUTE(SUBSTITUTE(SUBSTITUTE(LOWER(TRIM(D15)),"ё","е")," -","-"),"- ","-")," 2 разряда","")," 3 разряда","")," 4 разряда","")," 5 разряда","")," 6 разряда","")," 1 категории","")," 2 категории","")," 3 категории","")))))</f>
        <v>специалист</v>
      </c>
      <c r="H15" s="11" t="n">
        <f aca="false">IFERROR(INDEX(Соответствие!$B$2:$B$76,MATCH(G15,Соответствие!$A$2:$A$76,0)),"?")</f>
        <v>12</v>
      </c>
      <c r="I15" s="8" t="str">
        <f aca="false">IFERROR(INDEX('Перечень должностей'!$C$2:$C$46,MATCH(H15,'Перечень должностей'!$A$2:$A$46,0)),"")</f>
        <v>п.4.4, п.5.1, п.5.2</v>
      </c>
      <c r="J15" s="11" t="n">
        <f aca="false">IFERROR(INDEX('Перечень должностей'!$D$2:$D$46,MATCH(H15,'Перечень должностей'!$A$2:$A$46,0)),12)</f>
        <v>12</v>
      </c>
      <c r="K15" s="16"/>
      <c r="L15" s="16"/>
      <c r="M15" s="15" t="str">
        <f aca="false">IF(K15="","",EDATE(IF(L15&lt;&gt;"",L15,K15),J15))</f>
        <v/>
      </c>
      <c r="N15" s="11" t="str">
        <f aca="false">IFERROR(INDEX('Перечень должностей'!$F$2:$F$46,MATCH(H15,'Перечень должностей'!$A$2:$A$46,0)),"")</f>
        <v>-</v>
      </c>
      <c r="O15" s="16"/>
      <c r="P15" s="15" t="str">
        <f aca="false">IF(O15="","",EDATE(O15,60))</f>
        <v/>
      </c>
      <c r="Q15" s="11" t="str">
        <f aca="false">IF(AND(K15&lt;&gt;"",F15&lt;&gt;"",K15&gt;F15),"ДА","")</f>
        <v/>
      </c>
      <c r="R15" s="8"/>
    </row>
    <row r="16" customFormat="false" ht="14.25" hidden="false" customHeight="false" outlineLevel="0" collapsed="false">
      <c r="A16" s="14" t="n">
        <v>15</v>
      </c>
      <c r="B16" s="11" t="s">
        <v>377</v>
      </c>
      <c r="C16" s="14" t="s">
        <v>398</v>
      </c>
      <c r="D16" s="14" t="s">
        <v>294</v>
      </c>
      <c r="E16" s="14" t="s">
        <v>399</v>
      </c>
      <c r="F16" s="15" t="n">
        <v>46237</v>
      </c>
      <c r="G16" s="4" t="str">
        <f aca="false">IF(TRIM(SUBSTITUTE(SUBSTITUTE(SUBSTITUTE(SUBSTITUTE(SUBSTITUTE(SUBSTITUTE(SUBSTITUTE(SUBSTITUTE(SUBSTITUTE(SUBSTITUTE(SUBSTITUTE(LOWER(TRIM(D16)),"ё","е")," -","-"),"- ","-")," 2 разряда","")," 3 разряда","")," 4 разряда","")," 5 разряда","")," 6 разряда","")," 1 категории","")," 2 категории","")," 3 категории",""))="инженер",IF(AND(ISNUMBER(SEARCH("техническ",E16)),ISNUMBER(SEARCH("контрол",E16))),"инженер отк",IF(ISNUMBER(SEARCH("диспетч",E16)),"инженер пдо",TRIM(SUBSTITUTE(SUBSTITUTE(SUBSTITUTE(SUBSTITUTE(SUBSTITUTE(SUBSTITUTE(SUBSTITUTE(SUBSTITUTE(SUBSTITUTE(SUBSTITUTE(SUBSTITUTE(LOWER(TRIM(D16)),"ё","е"),"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категории","")))),IF(TRIM(SUBSTITUTE(SUBSTITUTE(SUBSTITUTE(SUBSTITUTE(SUBSTITUTE(SUBSTITUTE(SUBSTITUTE(SUBSTITUTE(SUBSTITUTE(SUBSTITUTE(SUBSTITUTE(LOWER(TRIM(D16)),"ё","е")," -","-"),"- ","-")," 2 разряда","")," 3 разряда","")," 4 разряда","")," 5 разряда","")," 6 разряда","")," 1 категории","")," 2 категории","")," 3 категории",""))="ведущий инженер",IF(ISNUMBER(SEARCH("диспетч",E16)),"ведущий инженер пдо",TRIM(SUBSTITUTE(SUBSTITUTE(SUBSTITUTE(SUBSTITUTE(SUBSTITUTE(SUBSTITUTE(SUBSTITUTE(SUBSTITUTE(SUBSTITUTE(SUBSTITUTE(SUBSTITUTE(LOWER(TRIM(D16)),"ё","е"),"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отк",TRIM(SUBSTITUTE(SUBSTITUTE(SUBSTITUTE(SUBSTITUTE(SUBSTITUTE(SUBSTITUTE(SUBSTITUTE(SUBSTITUTE(SUBSTITUTE(SUBSTITUTE(SUBSTITUTE(LOWER(TRIM(D16)),"ё","е")," -","-"),"- ","-")," 2 разряда","")," 3 разряда","")," 4 разряда","")," 5 разряда","")," 6 разряда","")," 1 категории","")," 2 категории","")," 3 категории","")))))</f>
        <v>специалист</v>
      </c>
      <c r="H16" s="11" t="n">
        <f aca="false">IFERROR(INDEX(Соответствие!$B$2:$B$76,MATCH(G16,Соответствие!$A$2:$A$76,0)),"?")</f>
        <v>12</v>
      </c>
      <c r="I16" s="8" t="str">
        <f aca="false">IFERROR(INDEX('Перечень должностей'!$C$2:$C$46,MATCH(H16,'Перечень должностей'!$A$2:$A$46,0)),"")</f>
        <v>п.4.4, п.5.1, п.5.2</v>
      </c>
      <c r="J16" s="11" t="n">
        <f aca="false">IFERROR(INDEX('Перечень должностей'!$D$2:$D$46,MATCH(H16,'Перечень должностей'!$A$2:$A$46,0)),12)</f>
        <v>12</v>
      </c>
      <c r="K16" s="16"/>
      <c r="L16" s="16"/>
      <c r="M16" s="15" t="str">
        <f aca="false">IF(K16="","",EDATE(IF(L16&lt;&gt;"",L16,K16),J16))</f>
        <v/>
      </c>
      <c r="N16" s="11" t="str">
        <f aca="false">IFERROR(INDEX('Перечень должностей'!$F$2:$F$46,MATCH(H16,'Перечень должностей'!$A$2:$A$46,0)),"")</f>
        <v>-</v>
      </c>
      <c r="O16" s="16"/>
      <c r="P16" s="15" t="str">
        <f aca="false">IF(O16="","",EDATE(O16,60))</f>
        <v/>
      </c>
      <c r="Q16" s="11" t="str">
        <f aca="false">IF(AND(K16&lt;&gt;"",F16&lt;&gt;"",K16&gt;F16),"ДА","")</f>
        <v/>
      </c>
      <c r="R16" s="8"/>
    </row>
    <row r="17" customFormat="false" ht="14.25" hidden="false" customHeight="false" outlineLevel="0" collapsed="false">
      <c r="A17" s="14" t="n">
        <v>16</v>
      </c>
      <c r="B17" s="11" t="s">
        <v>400</v>
      </c>
      <c r="C17" s="14" t="s">
        <v>401</v>
      </c>
      <c r="D17" s="14" t="s">
        <v>402</v>
      </c>
      <c r="E17" s="14" t="s">
        <v>403</v>
      </c>
      <c r="F17" s="15" t="n">
        <v>45789</v>
      </c>
      <c r="G17" s="4" t="str">
        <f aca="false">IF(TRIM(SUBSTITUTE(SUBSTITUTE(SUBSTITUTE(SUBSTITUTE(SUBSTITUTE(SUBSTITUTE(SUBSTITUTE(SUBSTITUTE(SUBSTITUTE(SUBSTITUTE(SUBSTITUTE(LOWER(TRIM(D17)),"ё","е")," -","-"),"- ","-")," 2 разряда","")," 3 разряда","")," 4 разряда","")," 5 разряда","")," 6 разряда","")," 1 категории","")," 2 категории","")," 3 категории",""))="инженер",IF(AND(ISNUMBER(SEARCH("техническ",E17)),ISNUMBER(SEARCH("контрол",E17))),"инженер отк",IF(ISNUMBER(SEARCH("диспетч",E17)),"инженер пдо",TRIM(SUBSTITUTE(SUBSTITUTE(SUBSTITUTE(SUBSTITUTE(SUBSTITUTE(SUBSTITUTE(SUBSTITUTE(SUBSTITUTE(SUBSTITUTE(SUBSTITUTE(SUBSTITUTE(LOWER(TRIM(D17)),"ё","е"),"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категории","")))),IF(TRIM(SUBSTITUTE(SUBSTITUTE(SUBSTITUTE(SUBSTITUTE(SUBSTITUTE(SUBSTITUTE(SUBSTITUTE(SUBSTITUTE(SUBSTITUTE(SUBSTITUTE(SUBSTITUTE(LOWER(TRIM(D17)),"ё","е")," -","-"),"- ","-")," 2 разряда","")," 3 разряда","")," 4 разряда","")," 5 разряда","")," 6 разряда","")," 1 категории","")," 2 категории","")," 3 категории",""))="ведущий инженер",IF(ISNUMBER(SEARCH("диспетч",E17)),"ведущий инженер пдо",TRIM(SUBSTITUTE(SUBSTITUTE(SUBSTITUTE(SUBSTITUTE(SUBSTITUTE(SUBSTITUTE(SUBSTITUTE(SUBSTITUTE(SUBSTITUTE(SUBSTITUTE(SUBSTITUTE(LOWER(TRIM(D17)),"ё","е"),"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отк",TRIM(SUBSTITUTE(SUBSTITUTE(SUBSTITUTE(SUBSTITUTE(SUBSTITUTE(SUBSTITUTE(SUBSTITUTE(SUBSTITUTE(SUBSTITUTE(SUBSTITUTE(SUBSTITUTE(LOWER(TRIM(D17)),"ё","е")," -","-"),"- ","-")," 2 разряда","")," 3 разряда","")," 4 разряда","")," 5 разряда","")," 6 разряда","")," 1 категории","")," 2 категории","")," 3 категории","")))))</f>
        <v>реставратор</v>
      </c>
      <c r="H17" s="11" t="n">
        <f aca="false">IFERROR(INDEX(Соответствие!$B$2:$B$76,MATCH(G17,Соответствие!$A$2:$A$76,0)),"?")</f>
        <v>9</v>
      </c>
      <c r="I17" s="8" t="str">
        <f aca="false">IFERROR(INDEX('Перечень должностей'!$C$2:$C$46,MATCH(H17,'Перечень должностей'!$A$2:$A$46,0)),"")</f>
        <v>п.4.3.1, п.4.4, п.5.1, п.5.2, п.15</v>
      </c>
      <c r="J17" s="11" t="n">
        <f aca="false">IFERROR(INDEX('Перечень должностей'!$D$2:$D$46,MATCH(H17,'Перечень должностей'!$A$2:$A$46,0)),12)</f>
        <v>12</v>
      </c>
      <c r="K17" s="16"/>
      <c r="L17" s="16"/>
      <c r="M17" s="15" t="str">
        <f aca="false">IF(K17="","",EDATE(IF(L17&lt;&gt;"",L17,K17),J17))</f>
        <v/>
      </c>
      <c r="N17" s="11" t="str">
        <f aca="false">IFERROR(INDEX('Перечень должностей'!$F$2:$F$46,MATCH(H17,'Перечень должностей'!$A$2:$A$46,0)),"")</f>
        <v>-</v>
      </c>
      <c r="O17" s="16"/>
      <c r="P17" s="15" t="str">
        <f aca="false">IF(O17="","",EDATE(O17,60))</f>
        <v/>
      </c>
      <c r="Q17" s="11" t="str">
        <f aca="false">IF(AND(K17&lt;&gt;"",F17&lt;&gt;"",K17&gt;F17),"ДА","")</f>
        <v/>
      </c>
      <c r="R17" s="8"/>
    </row>
    <row r="18" customFormat="false" ht="26.25" hidden="false" customHeight="true" outlineLevel="0" collapsed="false">
      <c r="A18" s="14" t="n">
        <v>17</v>
      </c>
      <c r="B18" s="11" t="s">
        <v>400</v>
      </c>
      <c r="C18" s="14" t="s">
        <v>404</v>
      </c>
      <c r="D18" s="14" t="s">
        <v>405</v>
      </c>
      <c r="E18" s="14" t="s">
        <v>403</v>
      </c>
      <c r="F18" s="15" t="n">
        <v>45429</v>
      </c>
      <c r="G18" s="4" t="str">
        <f aca="false">IF(TRIM(SUBSTITUTE(SUBSTITUTE(SUBSTITUTE(SUBSTITUTE(SUBSTITUTE(SUBSTITUTE(SUBSTITUTE(SUBSTITUTE(SUBSTITUTE(SUBSTITUTE(SUBSTITUTE(LOWER(TRIM(D18)),"ё","е")," -","-"),"- ","-")," 2 разряда","")," 3 разряда","")," 4 разряда","")," 5 разряда","")," 6 разряда","")," 1 категории","")," 2 категории","")," 3 категории",""))="инженер",IF(AND(ISNUMBER(SEARCH("техническ",E18)),ISNUMBER(SEARCH("контрол",E18))),"инженер отк",IF(ISNUMBER(SEARCH("диспетч",E18)),"инженер пдо",TRIM(SUBSTITUTE(SUBSTITUTE(SUBSTITUTE(SUBSTITUTE(SUBSTITUTE(SUBSTITUTE(SUBSTITUTE(SUBSTITUTE(SUBSTITUTE(SUBSTITUTE(SUBSTITUTE(LOWER(TRIM(D18)),"ё","е"),"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категории","")))),IF(TRIM(SUBSTITUTE(SUBSTITUTE(SUBSTITUTE(SUBSTITUTE(SUBSTITUTE(SUBSTITUTE(SUBSTITUTE(SUBSTITUTE(SUBSTITUTE(SUBSTITUTE(SUBSTITUTE(LOWER(TRIM(D18)),"ё","е")," -","-"),"- ","-")," 2 разряда","")," 3 разряда","")," 4 разряда","")," 5 разряда","")," 6 разряда","")," 1 категории","")," 2 категории","")," 3 категории",""))="ведущий инженер",IF(ISNUMBER(SEARCH("диспетч",E18)),"ведущий инженер пдо",TRIM(SUBSTITUTE(SUBSTITUTE(SUBSTITUTE(SUBSTITUTE(SUBSTITUTE(SUBSTITUTE(SUBSTITUTE(SUBSTITUTE(SUBSTITUTE(SUBSTITUTE(SUBSTITUTE(LOWER(TRIM(D18)),"ё","е"),"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отк",TRIM(SUBSTITUTE(SUBSTITUTE(SUBSTITUTE(SUBSTITUTE(SUBSTITUTE(SUBSTITUTE(SUBSTITUTE(SUBSTITUTE(SUBSTITUTE(SUBSTITUTE(SUBSTITUTE(LOWER(TRIM(D18)),"ё","е")," -","-"),"- ","-")," 2 разряда","")," 3 разряда","")," 4 разряда","")," 5 разряда","")," 6 разряда","")," 1 категории","")," 2 категории","")," 3 категории","")))))</f>
        <v>электромонтажник</v>
      </c>
      <c r="H18" s="11" t="n">
        <f aca="false">IFERROR(INDEX(Соответствие!$B$2:$B$76,MATCH(G18,Соответствие!$A$2:$A$76,0)),"?")</f>
        <v>20</v>
      </c>
      <c r="I18" s="8" t="str">
        <f aca="false">IFERROR(INDEX('Перечень должностей'!$C$2:$C$46,MATCH(H18,'Перечень должностей'!$A$2:$A$46,0)),"")</f>
        <v>п.4.3.1, п.4.3.2, п.4.4, п.4.9, п.5.1, п.5.2, п.6.2, п.9</v>
      </c>
      <c r="J18" s="11" t="n">
        <f aca="false">IFERROR(INDEX('Перечень должностей'!$D$2:$D$46,MATCH(H18,'Перечень должностей'!$A$2:$A$46,0)),12)</f>
        <v>12</v>
      </c>
      <c r="K18" s="16"/>
      <c r="L18" s="16"/>
      <c r="M18" s="15" t="str">
        <f aca="false">IF(K18="","",EDATE(IF(L18&lt;&gt;"",L18,K18),J18))</f>
        <v/>
      </c>
      <c r="N18" s="11" t="str">
        <f aca="false">IFERROR(INDEX('Перечень должностей'!$F$2:$F$46,MATCH(H18,'Перечень должностей'!$A$2:$A$46,0)),"")</f>
        <v>Да</v>
      </c>
      <c r="O18" s="16"/>
      <c r="P18" s="15" t="str">
        <f aca="false">IF(O18="","",EDATE(O18,60))</f>
        <v/>
      </c>
      <c r="Q18" s="11" t="str">
        <f aca="false">IF(AND(K18&lt;&gt;"",F18&lt;&gt;"",K18&gt;F18),"ДА","")</f>
        <v/>
      </c>
      <c r="R18" s="8"/>
    </row>
    <row r="19" customFormat="false" ht="26.25" hidden="false" customHeight="true" outlineLevel="0" collapsed="false">
      <c r="A19" s="14" t="n">
        <v>18</v>
      </c>
      <c r="B19" s="11" t="s">
        <v>400</v>
      </c>
      <c r="C19" s="14" t="s">
        <v>406</v>
      </c>
      <c r="D19" s="14" t="s">
        <v>407</v>
      </c>
      <c r="E19" s="14" t="s">
        <v>403</v>
      </c>
      <c r="F19" s="15" t="n">
        <v>44327</v>
      </c>
      <c r="G19" s="4" t="str">
        <f aca="false">IF(TRIM(SUBSTITUTE(SUBSTITUTE(SUBSTITUTE(SUBSTITUTE(SUBSTITUTE(SUBSTITUTE(SUBSTITUTE(SUBSTITUTE(SUBSTITUTE(SUBSTITUTE(SUBSTITUTE(LOWER(TRIM(D19)),"ё","е")," -","-"),"- ","-")," 2 разряда","")," 3 разряда","")," 4 разряда","")," 5 разряда","")," 6 разряда","")," 1 категории","")," 2 категории","")," 3 категории",""))="инженер",IF(AND(ISNUMBER(SEARCH("техническ",E19)),ISNUMBER(SEARCH("контрол",E19))),"инженер отк",IF(ISNUMBER(SEARCH("диспетч",E19)),"инженер пдо",TRIM(SUBSTITUTE(SUBSTITUTE(SUBSTITUTE(SUBSTITUTE(SUBSTITUTE(SUBSTITUTE(SUBSTITUTE(SUBSTITUTE(SUBSTITUTE(SUBSTITUTE(SUBSTITUTE(LOWER(TRIM(D19)),"ё","е"),"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категории","")))),IF(TRIM(SUBSTITUTE(SUBSTITUTE(SUBSTITUTE(SUBSTITUTE(SUBSTITUTE(SUBSTITUTE(SUBSTITUTE(SUBSTITUTE(SUBSTITUTE(SUBSTITUTE(SUBSTITUTE(LOWER(TRIM(D19)),"ё","е")," -","-"),"- ","-")," 2 разряда","")," 3 разряда","")," 4 разряда","")," 5 разряда","")," 6 разряда","")," 1 категории","")," 2 категории","")," 3 категории",""))="ведущий инженер",IF(ISNUMBER(SEARCH("диспетч",E19)),"ведущий инженер пдо",TRIM(SUBSTITUTE(SUBSTITUTE(SUBSTITUTE(SUBSTITUTE(SUBSTITUTE(SUBSTITUTE(SUBSTITUTE(SUBSTITUTE(SUBSTITUTE(SUBSTITUTE(SUBSTITUTE(LOWER(TRIM(D19)),"ё","е"),"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отк",TRIM(SUBSTITUTE(SUBSTITUTE(SUBSTITUTE(SUBSTITUTE(SUBSTITUTE(SUBSTITUTE(SUBSTITUTE(SUBSTITUTE(SUBSTITUTE(SUBSTITUTE(SUBSTITUTE(LOWER(TRIM(D19)),"ё","е")," -","-"),"- ","-")," 2 разряда","")," 3 разряда","")," 4 разряда","")," 5 разряда","")," 6 разряда","")," 1 категории","")," 2 категории","")," 3 категории","")))))</f>
        <v>электромонтажник</v>
      </c>
      <c r="H19" s="11" t="n">
        <f aca="false">IFERROR(INDEX(Соответствие!$B$2:$B$76,MATCH(G19,Соответствие!$A$2:$A$76,0)),"?")</f>
        <v>20</v>
      </c>
      <c r="I19" s="8" t="str">
        <f aca="false">IFERROR(INDEX('Перечень должностей'!$C$2:$C$46,MATCH(H19,'Перечень должностей'!$A$2:$A$46,0)),"")</f>
        <v>п.4.3.1, п.4.3.2, п.4.4, п.4.9, п.5.1, п.5.2, п.6.2, п.9</v>
      </c>
      <c r="J19" s="11" t="n">
        <f aca="false">IFERROR(INDEX('Перечень должностей'!$D$2:$D$46,MATCH(H19,'Перечень должностей'!$A$2:$A$46,0)),12)</f>
        <v>12</v>
      </c>
      <c r="K19" s="16"/>
      <c r="L19" s="16"/>
      <c r="M19" s="15" t="str">
        <f aca="false">IF(K19="","",EDATE(IF(L19&lt;&gt;"",L19,K19),J19))</f>
        <v/>
      </c>
      <c r="N19" s="11" t="str">
        <f aca="false">IFERROR(INDEX('Перечень должностей'!$F$2:$F$46,MATCH(H19,'Перечень должностей'!$A$2:$A$46,0)),"")</f>
        <v>Да</v>
      </c>
      <c r="O19" s="16"/>
      <c r="P19" s="15" t="str">
        <f aca="false">IF(O19="","",EDATE(O19,60))</f>
        <v/>
      </c>
      <c r="Q19" s="11" t="str">
        <f aca="false">IF(AND(K19&lt;&gt;"",F19&lt;&gt;"",K19&gt;F19),"ДА","")</f>
        <v/>
      </c>
      <c r="R19" s="8"/>
    </row>
    <row r="20" customFormat="false" ht="26.25" hidden="false" customHeight="true" outlineLevel="0" collapsed="false">
      <c r="A20" s="14" t="n">
        <v>19</v>
      </c>
      <c r="B20" s="11" t="s">
        <v>400</v>
      </c>
      <c r="C20" s="14" t="s">
        <v>408</v>
      </c>
      <c r="D20" s="14" t="s">
        <v>409</v>
      </c>
      <c r="E20" s="14" t="s">
        <v>403</v>
      </c>
      <c r="F20" s="15" t="n">
        <v>40087</v>
      </c>
      <c r="G20" s="4" t="str">
        <f aca="false">IF(TRIM(SUBSTITUTE(SUBSTITUTE(SUBSTITUTE(SUBSTITUTE(SUBSTITUTE(SUBSTITUTE(SUBSTITUTE(SUBSTITUTE(SUBSTITUTE(SUBSTITUTE(SUBSTITUTE(LOWER(TRIM(D20)),"ё","е")," -","-"),"- ","-")," 2 разряда","")," 3 разряда","")," 4 разряда","")," 5 разряда","")," 6 разряда","")," 1 категории","")," 2 категории","")," 3 категории",""))="инженер",IF(AND(ISNUMBER(SEARCH("техническ",E20)),ISNUMBER(SEARCH("контрол",E20))),"инженер отк",IF(ISNUMBER(SEARCH("диспетч",E20)),"инженер пдо",TRIM(SUBSTITUTE(SUBSTITUTE(SUBSTITUTE(SUBSTITUTE(SUBSTITUTE(SUBSTITUTE(SUBSTITUTE(SUBSTITUTE(SUBSTITUTE(SUBSTITUTE(SUBSTITUTE(LOWER(TRIM(D20)),"ё","е"),"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категории","")))),IF(TRIM(SUBSTITUTE(SUBSTITUTE(SUBSTITUTE(SUBSTITUTE(SUBSTITUTE(SUBSTITUTE(SUBSTITUTE(SUBSTITUTE(SUBSTITUTE(SUBSTITUTE(SUBSTITUTE(LOWER(TRIM(D20)),"ё","е")," -","-"),"- ","-")," 2 разряда","")," 3 разряда","")," 4 разряда","")," 5 разряда","")," 6 разряда","")," 1 категории","")," 2 категории","")," 3 категории",""))="ведущий инженер",IF(ISNUMBER(SEARCH("диспетч",E20)),"ведущий инженер пдо",TRIM(SUBSTITUTE(SUBSTITUTE(SUBSTITUTE(SUBSTITUTE(SUBSTITUTE(SUBSTITUTE(SUBSTITUTE(SUBSTITUTE(SUBSTITUTE(SUBSTITUTE(SUBSTITUTE(LOWER(TRIM(D20)),"ё","е"),"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отк",TRIM(SUBSTITUTE(SUBSTITUTE(SUBSTITUTE(SUBSTITUTE(SUBSTITUTE(SUBSTITUTE(SUBSTITUTE(SUBSTITUTE(SUBSTITUTE(SUBSTITUTE(SUBSTITUTE(LOWER(TRIM(D20)),"ё","е")," -","-"),"- ","-")," 2 разряда","")," 3 разряда","")," 4 разряда","")," 5 разряда","")," 6 разряда","")," 1 категории","")," 2 категории","")," 3 категории","")))))</f>
        <v>слесарь-сборщик</v>
      </c>
      <c r="H20" s="11" t="n">
        <f aca="false">IFERROR(INDEX(Соответствие!$B$2:$B$76,MATCH(G20,Соответствие!$A$2:$A$76,0)),"?")</f>
        <v>19</v>
      </c>
      <c r="I20" s="8" t="str">
        <f aca="false">IFERROR(INDEX('Перечень должностей'!$C$2:$C$46,MATCH(H20,'Перечень должностей'!$A$2:$A$46,0)),"")</f>
        <v>п.4.3.1, п.4.3.2, п.4.4, п.5.1, п.6.2, п.15</v>
      </c>
      <c r="J20" s="11" t="n">
        <f aca="false">IFERROR(INDEX('Перечень должностей'!$D$2:$D$46,MATCH(H20,'Перечень должностей'!$A$2:$A$46,0)),12)</f>
        <v>12</v>
      </c>
      <c r="K20" s="16"/>
      <c r="L20" s="16"/>
      <c r="M20" s="15" t="str">
        <f aca="false">IF(K20="","",EDATE(IF(L20&lt;&gt;"",L20,K20),J20))</f>
        <v/>
      </c>
      <c r="N20" s="11" t="str">
        <f aca="false">IFERROR(INDEX('Перечень должностей'!$F$2:$F$46,MATCH(H20,'Перечень должностей'!$A$2:$A$46,0)),"")</f>
        <v>-</v>
      </c>
      <c r="O20" s="16"/>
      <c r="P20" s="15" t="str">
        <f aca="false">IF(O20="","",EDATE(O20,60))</f>
        <v/>
      </c>
      <c r="Q20" s="11" t="str">
        <f aca="false">IF(AND(K20&lt;&gt;"",F20&lt;&gt;"",K20&gt;F20),"ДА","")</f>
        <v/>
      </c>
      <c r="R20" s="8"/>
    </row>
    <row r="21" customFormat="false" ht="14.25" hidden="false" customHeight="false" outlineLevel="0" collapsed="false">
      <c r="A21" s="14" t="n">
        <v>20</v>
      </c>
      <c r="B21" s="11" t="s">
        <v>400</v>
      </c>
      <c r="C21" s="14" t="s">
        <v>410</v>
      </c>
      <c r="D21" s="14" t="s">
        <v>411</v>
      </c>
      <c r="E21" s="14" t="s">
        <v>403</v>
      </c>
      <c r="F21" s="15" t="n">
        <v>40210</v>
      </c>
      <c r="G21" s="4" t="str">
        <f aca="false">IF(TRIM(SUBSTITUTE(SUBSTITUTE(SUBSTITUTE(SUBSTITUTE(SUBSTITUTE(SUBSTITUTE(SUBSTITUTE(SUBSTITUTE(SUBSTITUTE(SUBSTITUTE(SUBSTITUTE(LOWER(TRIM(D21)),"ё","е")," -","-"),"- ","-")," 2 разряда","")," 3 разряда","")," 4 разряда","")," 5 разряда","")," 6 разряда","")," 1 категории","")," 2 категории","")," 3 категории",""))="инженер",IF(AND(ISNUMBER(SEARCH("техническ",E21)),ISNUMBER(SEARCH("контрол",E21))),"инженер отк",IF(ISNUMBER(SEARCH("диспетч",E21)),"инженер пдо",TRIM(SUBSTITUTE(SUBSTITUTE(SUBSTITUTE(SUBSTITUTE(SUBSTITUTE(SUBSTITUTE(SUBSTITUTE(SUBSTITUTE(SUBSTITUTE(SUBSTITUTE(SUBSTITUTE(LOWER(TRIM(D21)),"ё","е"),"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категории","")))),IF(TRIM(SUBSTITUTE(SUBSTITUTE(SUBSTITUTE(SUBSTITUTE(SUBSTITUTE(SUBSTITUTE(SUBSTITUTE(SUBSTITUTE(SUBSTITUTE(SUBSTITUTE(SUBSTITUTE(LOWER(TRIM(D21)),"ё","е")," -","-"),"- ","-")," 2 разряда","")," 3 разряда","")," 4 разряда","")," 5 разряда","")," 6 разряда","")," 1 категории","")," 2 категории","")," 3 категории",""))="ведущий инженер",IF(ISNUMBER(SEARCH("диспетч",E21)),"ведущий инженер пдо",TRIM(SUBSTITUTE(SUBSTITUTE(SUBSTITUTE(SUBSTITUTE(SUBSTITUTE(SUBSTITUTE(SUBSTITUTE(SUBSTITUTE(SUBSTITUTE(SUBSTITUTE(SUBSTITUTE(LOWER(TRIM(D21)),"ё","е"),"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отк",TRIM(SUBSTITUTE(SUBSTITUTE(SUBSTITUTE(SUBSTITUTE(SUBSTITUTE(SUBSTITUTE(SUBSTITUTE(SUBSTITUTE(SUBSTITUTE(SUBSTITUTE(SUBSTITUTE(LOWER(TRIM(D21)),"ё","е")," -","-"),"- ","-")," 2 разряда","")," 3 разряда","")," 4 разряда","")," 5 разряда","")," 6 разряда","")," 1 категории","")," 2 категории","")," 3 категории","")))))</f>
        <v>ведущий специалист по реставрации</v>
      </c>
      <c r="H21" s="11" t="n">
        <f aca="false">IFERROR(INDEX(Соответствие!$B$2:$B$76,MATCH(G21,Соответствие!$A$2:$A$76,0)),"?")</f>
        <v>9</v>
      </c>
      <c r="I21" s="8" t="str">
        <f aca="false">IFERROR(INDEX('Перечень должностей'!$C$2:$C$46,MATCH(H21,'Перечень должностей'!$A$2:$A$46,0)),"")</f>
        <v>п.4.3.1, п.4.4, п.5.1, п.5.2, п.15</v>
      </c>
      <c r="J21" s="11" t="n">
        <f aca="false">IFERROR(INDEX('Перечень должностей'!$D$2:$D$46,MATCH(H21,'Перечень должностей'!$A$2:$A$46,0)),12)</f>
        <v>12</v>
      </c>
      <c r="K21" s="16"/>
      <c r="L21" s="16"/>
      <c r="M21" s="15" t="str">
        <f aca="false">IF(K21="","",EDATE(IF(L21&lt;&gt;"",L21,K21),J21))</f>
        <v/>
      </c>
      <c r="N21" s="11" t="str">
        <f aca="false">IFERROR(INDEX('Перечень должностей'!$F$2:$F$46,MATCH(H21,'Перечень должностей'!$A$2:$A$46,0)),"")</f>
        <v>-</v>
      </c>
      <c r="O21" s="16"/>
      <c r="P21" s="15" t="str">
        <f aca="false">IF(O21="","",EDATE(O21,60))</f>
        <v/>
      </c>
      <c r="Q21" s="11" t="str">
        <f aca="false">IF(AND(K21&lt;&gt;"",F21&lt;&gt;"",K21&gt;F21),"ДА","")</f>
        <v/>
      </c>
      <c r="R21" s="8"/>
    </row>
    <row r="22" customFormat="false" ht="26.25" hidden="false" customHeight="true" outlineLevel="0" collapsed="false">
      <c r="A22" s="14" t="n">
        <v>21</v>
      </c>
      <c r="B22" s="11" t="s">
        <v>400</v>
      </c>
      <c r="C22" s="14" t="s">
        <v>412</v>
      </c>
      <c r="D22" s="14" t="s">
        <v>84</v>
      </c>
      <c r="E22" s="14" t="s">
        <v>403</v>
      </c>
      <c r="F22" s="15" t="n">
        <v>42438</v>
      </c>
      <c r="G22" s="4" t="str">
        <f aca="false">IF(TRIM(SUBSTITUTE(SUBSTITUTE(SUBSTITUTE(SUBSTITUTE(SUBSTITUTE(SUBSTITUTE(SUBSTITUTE(SUBSTITUTE(SUBSTITUTE(SUBSTITUTE(SUBSTITUTE(LOWER(TRIM(D22)),"ё","е")," -","-"),"- ","-")," 2 разряда","")," 3 разряда","")," 4 разряда","")," 5 разряда","")," 6 разряда","")," 1 категории","")," 2 категории","")," 3 категории",""))="инженер",IF(AND(ISNUMBER(SEARCH("техническ",E22)),ISNUMBER(SEARCH("контрол",E22))),"инженер отк",IF(ISNUMBER(SEARCH("диспетч",E22)),"инженер пдо",TRIM(SUBSTITUTE(SUBSTITUTE(SUBSTITUTE(SUBSTITUTE(SUBSTITUTE(SUBSTITUTE(SUBSTITUTE(SUBSTITUTE(SUBSTITUTE(SUBSTITUTE(SUBSTITUTE(LOWER(TRIM(D22)),"ё","е"),"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категории","")))),IF(TRIM(SUBSTITUTE(SUBSTITUTE(SUBSTITUTE(SUBSTITUTE(SUBSTITUTE(SUBSTITUTE(SUBSTITUTE(SUBSTITUTE(SUBSTITUTE(SUBSTITUTE(SUBSTITUTE(LOWER(TRIM(D22)),"ё","е")," -","-"),"- ","-")," 2 разряда","")," 3 разряда","")," 4 разряда","")," 5 разряда","")," 6 разряда","")," 1 категории","")," 2 категории","")," 3 категории",""))="ведущий инженер",IF(ISNUMBER(SEARCH("диспетч",E22)),"ведущий инженер пдо",TRIM(SUBSTITUTE(SUBSTITUTE(SUBSTITUTE(SUBSTITUTE(SUBSTITUTE(SUBSTITUTE(SUBSTITUTE(SUBSTITUTE(SUBSTITUTE(SUBSTITUTE(SUBSTITUTE(LOWER(TRIM(D22)),"ё","е"),"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отк",TRIM(SUBSTITUTE(SUBSTITUTE(SUBSTITUTE(SUBSTITUTE(SUBSTITUTE(SUBSTITUTE(SUBSTITUTE(SUBSTITUTE(SUBSTITUTE(SUBSTITUTE(SUBSTITUTE(LOWER(TRIM(D22)),"ё","е")," -","-"),"- ","-")," 2 разряда","")," 3 разряда","")," 4 разряда","")," 5 разряда","")," 6 разряда","")," 1 категории","")," 2 категории","")," 3 категории","")))))</f>
        <v>слесарь-сборщик</v>
      </c>
      <c r="H22" s="11" t="n">
        <f aca="false">IFERROR(INDEX(Соответствие!$B$2:$B$76,MATCH(G22,Соответствие!$A$2:$A$76,0)),"?")</f>
        <v>19</v>
      </c>
      <c r="I22" s="8" t="str">
        <f aca="false">IFERROR(INDEX('Перечень должностей'!$C$2:$C$46,MATCH(H22,'Перечень должностей'!$A$2:$A$46,0)),"")</f>
        <v>п.4.3.1, п.4.3.2, п.4.4, п.5.1, п.6.2, п.15</v>
      </c>
      <c r="J22" s="11" t="n">
        <f aca="false">IFERROR(INDEX('Перечень должностей'!$D$2:$D$46,MATCH(H22,'Перечень должностей'!$A$2:$A$46,0)),12)</f>
        <v>12</v>
      </c>
      <c r="K22" s="16"/>
      <c r="L22" s="16"/>
      <c r="M22" s="15" t="str">
        <f aca="false">IF(K22="","",EDATE(IF(L22&lt;&gt;"",L22,K22),J22))</f>
        <v/>
      </c>
      <c r="N22" s="11" t="str">
        <f aca="false">IFERROR(INDEX('Перечень должностей'!$F$2:$F$46,MATCH(H22,'Перечень должностей'!$A$2:$A$46,0)),"")</f>
        <v>-</v>
      </c>
      <c r="O22" s="16"/>
      <c r="P22" s="15" t="str">
        <f aca="false">IF(O22="","",EDATE(O22,60))</f>
        <v/>
      </c>
      <c r="Q22" s="11" t="str">
        <f aca="false">IF(AND(K22&lt;&gt;"",F22&lt;&gt;"",K22&gt;F22),"ДА","")</f>
        <v/>
      </c>
      <c r="R22" s="8"/>
    </row>
    <row r="23" customFormat="false" ht="26.25" hidden="false" customHeight="true" outlineLevel="0" collapsed="false">
      <c r="A23" s="14" t="n">
        <v>22</v>
      </c>
      <c r="B23" s="11" t="s">
        <v>400</v>
      </c>
      <c r="C23" s="14" t="s">
        <v>413</v>
      </c>
      <c r="D23" s="14" t="s">
        <v>84</v>
      </c>
      <c r="E23" s="14" t="s">
        <v>403</v>
      </c>
      <c r="F23" s="15" t="n">
        <v>45208</v>
      </c>
      <c r="G23" s="4" t="str">
        <f aca="false">IF(TRIM(SUBSTITUTE(SUBSTITUTE(SUBSTITUTE(SUBSTITUTE(SUBSTITUTE(SUBSTITUTE(SUBSTITUTE(SUBSTITUTE(SUBSTITUTE(SUBSTITUTE(SUBSTITUTE(LOWER(TRIM(D23)),"ё","е")," -","-"),"- ","-")," 2 разряда","")," 3 разряда","")," 4 разряда","")," 5 разряда","")," 6 разряда","")," 1 категории","")," 2 категории","")," 3 категории",""))="инженер",IF(AND(ISNUMBER(SEARCH("техническ",E23)),ISNUMBER(SEARCH("контрол",E23))),"инженер отк",IF(ISNUMBER(SEARCH("диспетч",E23)),"инженер пдо",TRIM(SUBSTITUTE(SUBSTITUTE(SUBSTITUTE(SUBSTITUTE(SUBSTITUTE(SUBSTITUTE(SUBSTITUTE(SUBSTITUTE(SUBSTITUTE(SUBSTITUTE(SUBSTITUTE(LOWER(TRIM(D23)),"ё","е"),"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категории","")))),IF(TRIM(SUBSTITUTE(SUBSTITUTE(SUBSTITUTE(SUBSTITUTE(SUBSTITUTE(SUBSTITUTE(SUBSTITUTE(SUBSTITUTE(SUBSTITUTE(SUBSTITUTE(SUBSTITUTE(LOWER(TRIM(D23)),"ё","е")," -","-"),"- ","-")," 2 разряда","")," 3 разряда","")," 4 разряда","")," 5 разряда","")," 6 разряда","")," 1 категории","")," 2 категории","")," 3 категории",""))="ведущий инженер",IF(ISNUMBER(SEARCH("диспетч",E23)),"ведущий инженер пдо",TRIM(SUBSTITUTE(SUBSTITUTE(SUBSTITUTE(SUBSTITUTE(SUBSTITUTE(SUBSTITUTE(SUBSTITUTE(SUBSTITUTE(SUBSTITUTE(SUBSTITUTE(SUBSTITUTE(LOWER(TRIM(D23)),"ё","е"),"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отк",TRIM(SUBSTITUTE(SUBSTITUTE(SUBSTITUTE(SUBSTITUTE(SUBSTITUTE(SUBSTITUTE(SUBSTITUTE(SUBSTITUTE(SUBSTITUTE(SUBSTITUTE(SUBSTITUTE(LOWER(TRIM(D23)),"ё","е")," -","-"),"- ","-")," 2 разряда","")," 3 разряда","")," 4 разряда","")," 5 разряда","")," 6 разряда","")," 1 категории","")," 2 категории","")," 3 категории","")))))</f>
        <v>слесарь-сборщик</v>
      </c>
      <c r="H23" s="11" t="n">
        <f aca="false">IFERROR(INDEX(Соответствие!$B$2:$B$76,MATCH(G23,Соответствие!$A$2:$A$76,0)),"?")</f>
        <v>19</v>
      </c>
      <c r="I23" s="8" t="str">
        <f aca="false">IFERROR(INDEX('Перечень должностей'!$C$2:$C$46,MATCH(H23,'Перечень должностей'!$A$2:$A$46,0)),"")</f>
        <v>п.4.3.1, п.4.3.2, п.4.4, п.5.1, п.6.2, п.15</v>
      </c>
      <c r="J23" s="11" t="n">
        <f aca="false">IFERROR(INDEX('Перечень должностей'!$D$2:$D$46,MATCH(H23,'Перечень должностей'!$A$2:$A$46,0)),12)</f>
        <v>12</v>
      </c>
      <c r="K23" s="16"/>
      <c r="L23" s="16"/>
      <c r="M23" s="15" t="str">
        <f aca="false">IF(K23="","",EDATE(IF(L23&lt;&gt;"",L23,K23),J23))</f>
        <v/>
      </c>
      <c r="N23" s="11" t="str">
        <f aca="false">IFERROR(INDEX('Перечень должностей'!$F$2:$F$46,MATCH(H23,'Перечень должностей'!$A$2:$A$46,0)),"")</f>
        <v>-</v>
      </c>
      <c r="O23" s="16"/>
      <c r="P23" s="15" t="str">
        <f aca="false">IF(O23="","",EDATE(O23,60))</f>
        <v/>
      </c>
      <c r="Q23" s="11" t="str">
        <f aca="false">IF(AND(K23&lt;&gt;"",F23&lt;&gt;"",K23&gt;F23),"ДА","")</f>
        <v/>
      </c>
      <c r="R23" s="8"/>
    </row>
    <row r="24" customFormat="false" ht="26.25" hidden="false" customHeight="true" outlineLevel="0" collapsed="false">
      <c r="A24" s="14" t="n">
        <v>23</v>
      </c>
      <c r="B24" s="11" t="s">
        <v>400</v>
      </c>
      <c r="C24" s="14" t="s">
        <v>414</v>
      </c>
      <c r="D24" s="14" t="s">
        <v>415</v>
      </c>
      <c r="E24" s="14" t="s">
        <v>403</v>
      </c>
      <c r="F24" s="15" t="n">
        <v>45950</v>
      </c>
      <c r="G24" s="4" t="str">
        <f aca="false">IF(TRIM(SUBSTITUTE(SUBSTITUTE(SUBSTITUTE(SUBSTITUTE(SUBSTITUTE(SUBSTITUTE(SUBSTITUTE(SUBSTITUTE(SUBSTITUTE(SUBSTITUTE(SUBSTITUTE(LOWER(TRIM(D24)),"ё","е")," -","-"),"- ","-")," 2 разряда","")," 3 разряда","")," 4 разряда","")," 5 разряда","")," 6 разряда","")," 1 категории","")," 2 категории","")," 3 категории",""))="инженер",IF(AND(ISNUMBER(SEARCH("техническ",E24)),ISNUMBER(SEARCH("контрол",E24))),"инженер отк",IF(ISNUMBER(SEARCH("диспетч",E24)),"инженер пдо",TRIM(SUBSTITUTE(SUBSTITUTE(SUBSTITUTE(SUBSTITUTE(SUBSTITUTE(SUBSTITUTE(SUBSTITUTE(SUBSTITUTE(SUBSTITUTE(SUBSTITUTE(SUBSTITUTE(LOWER(TRIM(D24)),"ё","е"),"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категории","")))),IF(TRIM(SUBSTITUTE(SUBSTITUTE(SUBSTITUTE(SUBSTITUTE(SUBSTITUTE(SUBSTITUTE(SUBSTITUTE(SUBSTITUTE(SUBSTITUTE(SUBSTITUTE(SUBSTITUTE(LOWER(TRIM(D24)),"ё","е")," -","-"),"- ","-")," 2 разряда","")," 3 разряда","")," 4 разряда","")," 5 разряда","")," 6 разряда","")," 1 категории","")," 2 категории","")," 3 категории",""))="ведущий инженер",IF(ISNUMBER(SEARCH("диспетч",E24)),"ведущий инженер пдо",TRIM(SUBSTITUTE(SUBSTITUTE(SUBSTITUTE(SUBSTITUTE(SUBSTITUTE(SUBSTITUTE(SUBSTITUTE(SUBSTITUTE(SUBSTITUTE(SUBSTITUTE(SUBSTITUTE(LOWER(TRIM(D24)),"ё","е"),"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отк",TRIM(SUBSTITUTE(SUBSTITUTE(SUBSTITUTE(SUBSTITUTE(SUBSTITUTE(SUBSTITUTE(SUBSTITUTE(SUBSTITUTE(SUBSTITUTE(SUBSTITUTE(SUBSTITUTE(LOWER(TRIM(D24)),"ё","е")," -","-"),"- ","-")," 2 разряда","")," 3 разряда","")," 4 разряда","")," 5 разряда","")," 6 разряда","")," 1 категории","")," 2 категории","")," 3 категории","")))))</f>
        <v>слесарь-сборщик</v>
      </c>
      <c r="H24" s="11" t="n">
        <f aca="false">IFERROR(INDEX(Соответствие!$B$2:$B$76,MATCH(G24,Соответствие!$A$2:$A$76,0)),"?")</f>
        <v>19</v>
      </c>
      <c r="I24" s="8" t="str">
        <f aca="false">IFERROR(INDEX('Перечень должностей'!$C$2:$C$46,MATCH(H24,'Перечень должностей'!$A$2:$A$46,0)),"")</f>
        <v>п.4.3.1, п.4.3.2, п.4.4, п.5.1, п.6.2, п.15</v>
      </c>
      <c r="J24" s="11" t="n">
        <f aca="false">IFERROR(INDEX('Перечень должностей'!$D$2:$D$46,MATCH(H24,'Перечень должностей'!$A$2:$A$46,0)),12)</f>
        <v>12</v>
      </c>
      <c r="K24" s="16" t="n">
        <v>45940</v>
      </c>
      <c r="L24" s="16"/>
      <c r="M24" s="15" t="n">
        <f aca="false">IF(K24="","",EDATE(IF(L24&lt;&gt;"",L24,K24),J24))</f>
        <v>46305</v>
      </c>
      <c r="N24" s="11" t="str">
        <f aca="false">IFERROR(INDEX('Перечень должностей'!$F$2:$F$46,MATCH(H24,'Перечень должностей'!$A$2:$A$46,0)),"")</f>
        <v>-</v>
      </c>
      <c r="O24" s="16"/>
      <c r="P24" s="15" t="str">
        <f aca="false">IF(O24="","",EDATE(O24,60))</f>
        <v/>
      </c>
      <c r="Q24" s="11" t="str">
        <f aca="false">IF(AND(K24&lt;&gt;"",F24&lt;&gt;"",K24&gt;F24),"ДА","")</f>
        <v/>
      </c>
      <c r="R24" s="8"/>
    </row>
    <row r="25" customFormat="false" ht="14.25" hidden="false" customHeight="false" outlineLevel="0" collapsed="false">
      <c r="A25" s="14" t="n">
        <v>24</v>
      </c>
      <c r="B25" s="11" t="s">
        <v>400</v>
      </c>
      <c r="C25" s="14" t="s">
        <v>416</v>
      </c>
      <c r="D25" s="14" t="s">
        <v>312</v>
      </c>
      <c r="E25" s="14" t="s">
        <v>403</v>
      </c>
      <c r="F25" s="15" t="n">
        <v>44152</v>
      </c>
      <c r="G25" s="4" t="str">
        <f aca="false">IF(TRIM(SUBSTITUTE(SUBSTITUTE(SUBSTITUTE(SUBSTITUTE(SUBSTITUTE(SUBSTITUTE(SUBSTITUTE(SUBSTITUTE(SUBSTITUTE(SUBSTITUTE(SUBSTITUTE(LOWER(TRIM(D25)),"ё","е")," -","-"),"- ","-")," 2 разряда","")," 3 разряда","")," 4 разряда","")," 5 разряда","")," 6 разряда","")," 1 категории","")," 2 категории","")," 3 категории",""))="инженер",IF(AND(ISNUMBER(SEARCH("техническ",E25)),ISNUMBER(SEARCH("контрол",E25))),"инженер отк",IF(ISNUMBER(SEARCH("диспетч",E25)),"инженер пдо",TRIM(SUBSTITUTE(SUBSTITUTE(SUBSTITUTE(SUBSTITUTE(SUBSTITUTE(SUBSTITUTE(SUBSTITUTE(SUBSTITUTE(SUBSTITUTE(SUBSTITUTE(SUBSTITUTE(LOWER(TRIM(D25)),"ё","е"),"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категории","")))),IF(TRIM(SUBSTITUTE(SUBSTITUTE(SUBSTITUTE(SUBSTITUTE(SUBSTITUTE(SUBSTITUTE(SUBSTITUTE(SUBSTITUTE(SUBSTITUTE(SUBSTITUTE(SUBSTITUTE(LOWER(TRIM(D25)),"ё","е")," -","-"),"- ","-")," 2 разряда","")," 3 разряда","")," 4 разряда","")," 5 разряда","")," 6 разряда","")," 1 категории","")," 2 категории","")," 3 категории",""))="ведущий инженер",IF(ISNUMBER(SEARCH("диспетч",E25)),"ведущий инженер пдо",TRIM(SUBSTITUTE(SUBSTITUTE(SUBSTITUTE(SUBSTITUTE(SUBSTITUTE(SUBSTITUTE(SUBSTITUTE(SUBSTITUTE(SUBSTITUTE(SUBSTITUTE(SUBSTITUTE(LOWER(TRIM(D25)),"ё","е"),"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отк",TRIM(SUBSTITUTE(SUBSTITUTE(SUBSTITUTE(SUBSTITUTE(SUBSTITUTE(SUBSTITUTE(SUBSTITUTE(SUBSTITUTE(SUBSTITUTE(SUBSTITUTE(SUBSTITUTE(LOWER(TRIM(D25)),"ё","е")," -","-"),"- ","-")," 2 разряда","")," 3 разряда","")," 4 разряда","")," 5 разряда","")," 6 разряда","")," 1 категории","")," 2 категории","")," 3 категории","")))))</f>
        <v>менеджер-комплектовщик</v>
      </c>
      <c r="H25" s="11" t="n">
        <f aca="false">IFERROR(INDEX(Соответствие!$B$2:$B$76,MATCH(G25,Соответствие!$A$2:$A$76,0)),"?")</f>
        <v>22</v>
      </c>
      <c r="I25" s="8" t="str">
        <f aca="false">IFERROR(INDEX('Перечень должностей'!$C$2:$C$46,MATCH(H25,'Перечень должностей'!$A$2:$A$46,0)),"")</f>
        <v>п.4.4, п.5.1, п.6.2</v>
      </c>
      <c r="J25" s="11" t="n">
        <f aca="false">IFERROR(INDEX('Перечень должностей'!$D$2:$D$46,MATCH(H25,'Перечень должностей'!$A$2:$A$46,0)),12)</f>
        <v>12</v>
      </c>
      <c r="K25" s="16"/>
      <c r="L25" s="16"/>
      <c r="M25" s="15" t="str">
        <f aca="false">IF(K25="","",EDATE(IF(L25&lt;&gt;"",L25,K25),J25))</f>
        <v/>
      </c>
      <c r="N25" s="11" t="str">
        <f aca="false">IFERROR(INDEX('Перечень должностей'!$F$2:$F$46,MATCH(H25,'Перечень должностей'!$A$2:$A$46,0)),"")</f>
        <v>-</v>
      </c>
      <c r="O25" s="16"/>
      <c r="P25" s="15" t="str">
        <f aca="false">IF(O25="","",EDATE(O25,60))</f>
        <v/>
      </c>
      <c r="Q25" s="11" t="str">
        <f aca="false">IF(AND(K25&lt;&gt;"",F25&lt;&gt;"",K25&gt;F25),"ДА","")</f>
        <v/>
      </c>
      <c r="R25" s="8"/>
    </row>
    <row r="26" customFormat="false" ht="14.25" hidden="false" customHeight="false" outlineLevel="0" collapsed="false">
      <c r="A26" s="14" t="n">
        <v>25</v>
      </c>
      <c r="B26" s="11" t="s">
        <v>400</v>
      </c>
      <c r="C26" s="14" t="s">
        <v>417</v>
      </c>
      <c r="D26" s="14" t="s">
        <v>418</v>
      </c>
      <c r="E26" s="14" t="s">
        <v>403</v>
      </c>
      <c r="F26" s="15" t="n">
        <v>41334</v>
      </c>
      <c r="G26" s="4" t="str">
        <f aca="false">IF(TRIM(SUBSTITUTE(SUBSTITUTE(SUBSTITUTE(SUBSTITUTE(SUBSTITUTE(SUBSTITUTE(SUBSTITUTE(SUBSTITUTE(SUBSTITUTE(SUBSTITUTE(SUBSTITUTE(LOWER(TRIM(D26)),"ё","е")," -","-"),"- ","-")," 2 разряда","")," 3 разряда","")," 4 разряда","")," 5 разряда","")," 6 разряда","")," 1 категории","")," 2 категории","")," 3 категории",""))="инженер",IF(AND(ISNUMBER(SEARCH("техническ",E26)),ISNUMBER(SEARCH("контрол",E26))),"инженер отк",IF(ISNUMBER(SEARCH("диспетч",E26)),"инженер пдо",TRIM(SUBSTITUTE(SUBSTITUTE(SUBSTITUTE(SUBSTITUTE(SUBSTITUTE(SUBSTITUTE(SUBSTITUTE(SUBSTITUTE(SUBSTITUTE(SUBSTITUTE(SUBSTITUTE(LOWER(TRIM(D26)),"ё","е"),"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категории","")))),IF(TRIM(SUBSTITUTE(SUBSTITUTE(SUBSTITUTE(SUBSTITUTE(SUBSTITUTE(SUBSTITUTE(SUBSTITUTE(SUBSTITUTE(SUBSTITUTE(SUBSTITUTE(SUBSTITUTE(LOWER(TRIM(D26)),"ё","е")," -","-"),"- ","-")," 2 разряда","")," 3 разряда","")," 4 разряда","")," 5 разряда","")," 6 разряда","")," 1 категории","")," 2 категории","")," 3 категории",""))="ведущий инженер",IF(ISNUMBER(SEARCH("диспетч",E26)),"ведущий инженер пдо",TRIM(SUBSTITUTE(SUBSTITUTE(SUBSTITUTE(SUBSTITUTE(SUBSTITUTE(SUBSTITUTE(SUBSTITUTE(SUBSTITUTE(SUBSTITUTE(SUBSTITUTE(SUBSTITUTE(LOWER(TRIM(D26)),"ё","е"),"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отк",TRIM(SUBSTITUTE(SUBSTITUTE(SUBSTITUTE(SUBSTITUTE(SUBSTITUTE(SUBSTITUTE(SUBSTITUTE(SUBSTITUTE(SUBSTITUTE(SUBSTITUTE(SUBSTITUTE(LOWER(TRIM(D26)),"ё","е")," -","-"),"- ","-")," 2 разряда","")," 3 разряда","")," 4 разряда","")," 5 разряда","")," 6 разряда","")," 1 категории","")," 2 категории","")," 3 категории","")))))</f>
        <v>заместитель директора департамента-начальник производственного подразделения</v>
      </c>
      <c r="H26" s="11" t="n">
        <f aca="false">IFERROR(INDEX(Соответствие!$B$2:$B$76,MATCH(G26,Соответствие!$A$2:$A$76,0)),"?")</f>
        <v>42</v>
      </c>
      <c r="I26" s="8" t="str">
        <f aca="false">IFERROR(INDEX('Перечень должностей'!$C$2:$C$46,MATCH(H26,'Перечень должностей'!$A$2:$A$46,0)),"")</f>
        <v>п.4.3.2, п.4.4, п.5.1, п.5.2, п.6.2</v>
      </c>
      <c r="J26" s="11" t="n">
        <f aca="false">IFERROR(INDEX('Перечень должностей'!$D$2:$D$46,MATCH(H26,'Перечень должностей'!$A$2:$A$46,0)),12)</f>
        <v>12</v>
      </c>
      <c r="K26" s="16"/>
      <c r="L26" s="16"/>
      <c r="M26" s="15" t="str">
        <f aca="false">IF(K26="","",EDATE(IF(L26&lt;&gt;"",L26,K26),J26))</f>
        <v/>
      </c>
      <c r="N26" s="11" t="str">
        <f aca="false">IFERROR(INDEX('Перечень должностей'!$F$2:$F$46,MATCH(H26,'Перечень должностей'!$A$2:$A$46,0)),"")</f>
        <v>-</v>
      </c>
      <c r="O26" s="16"/>
      <c r="P26" s="15" t="str">
        <f aca="false">IF(O26="","",EDATE(O26,60))</f>
        <v/>
      </c>
      <c r="Q26" s="11" t="str">
        <f aca="false">IF(AND(K26&lt;&gt;"",F26&lt;&gt;"",K26&gt;F26),"ДА","")</f>
        <v/>
      </c>
      <c r="R26" s="8"/>
    </row>
    <row r="27" customFormat="false" ht="14.25" hidden="false" customHeight="false" outlineLevel="0" collapsed="false">
      <c r="A27" s="14" t="n">
        <v>26</v>
      </c>
      <c r="B27" s="11" t="s">
        <v>377</v>
      </c>
      <c r="C27" s="14" t="s">
        <v>419</v>
      </c>
      <c r="D27" s="14" t="s">
        <v>420</v>
      </c>
      <c r="E27" s="14" t="s">
        <v>421</v>
      </c>
      <c r="F27" s="15" t="n">
        <v>45957</v>
      </c>
      <c r="G27" s="4" t="str">
        <f aca="false">IF(TRIM(SUBSTITUTE(SUBSTITUTE(SUBSTITUTE(SUBSTITUTE(SUBSTITUTE(SUBSTITUTE(SUBSTITUTE(SUBSTITUTE(SUBSTITUTE(SUBSTITUTE(SUBSTITUTE(LOWER(TRIM(D27)),"ё","е")," -","-"),"- ","-")," 2 разряда","")," 3 разряда","")," 4 разряда","")," 5 разряда","")," 6 разряда","")," 1 категории","")," 2 категории","")," 3 категории",""))="инженер",IF(AND(ISNUMBER(SEARCH("техническ",E27)),ISNUMBER(SEARCH("контрол",E27))),"инженер отк",IF(ISNUMBER(SEARCH("диспетч",E27)),"инженер пдо",TRIM(SUBSTITUTE(SUBSTITUTE(SUBSTITUTE(SUBSTITUTE(SUBSTITUTE(SUBSTITUTE(SUBSTITUTE(SUBSTITUTE(SUBSTITUTE(SUBSTITUTE(SUBSTITUTE(LOWER(TRIM(D27)),"ё","е"),"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категории","")))),IF(TRIM(SUBSTITUTE(SUBSTITUTE(SUBSTITUTE(SUBSTITUTE(SUBSTITUTE(SUBSTITUTE(SUBSTITUTE(SUBSTITUTE(SUBSTITUTE(SUBSTITUTE(SUBSTITUTE(LOWER(TRIM(D27)),"ё","е")," -","-"),"- ","-")," 2 разряда","")," 3 разряда","")," 4 разряда","")," 5 разряда","")," 6 разряда","")," 1 категории","")," 2 категории","")," 3 категории",""))="ведущий инженер",IF(ISNUMBER(SEARCH("диспетч",E27)),"ведущий инженер пдо",TRIM(SUBSTITUTE(SUBSTITUTE(SUBSTITUTE(SUBSTITUTE(SUBSTITUTE(SUBSTITUTE(SUBSTITUTE(SUBSTITUTE(SUBSTITUTE(SUBSTITUTE(SUBSTITUTE(LOWER(TRIM(D27)),"ё","е"),"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отк",TRIM(SUBSTITUTE(SUBSTITUTE(SUBSTITUTE(SUBSTITUTE(SUBSTITUTE(SUBSTITUTE(SUBSTITUTE(SUBSTITUTE(SUBSTITUTE(SUBSTITUTE(SUBSTITUTE(LOWER(TRIM(D27)),"ё","е")," -","-"),"- ","-")," 2 разряда","")," 3 разряда","")," 4 разряда","")," 5 разряда","")," 6 разряда","")," 1 категории","")," 2 категории","")," 3 категории","")))))</f>
        <v>старший оперативный дежурный</v>
      </c>
      <c r="H27" s="11" t="n">
        <f aca="false">IFERROR(INDEX(Соответствие!$B$2:$B$76,MATCH(G27,Соответствие!$A$2:$A$76,0)),"?")</f>
        <v>45</v>
      </c>
      <c r="I27" s="8" t="str">
        <f aca="false">IFERROR(INDEX('Перечень должностей'!$C$2:$C$46,MATCH(H27,'Перечень должностей'!$A$2:$A$46,0)),"")</f>
        <v>п.4.7, п.4.8, п.5.1, п.5.2</v>
      </c>
      <c r="J27" s="11" t="n">
        <f aca="false">IFERROR(INDEX('Перечень должностей'!$D$2:$D$46,MATCH(H27,'Перечень должностей'!$A$2:$A$46,0)),12)</f>
        <v>12</v>
      </c>
      <c r="K27" s="16"/>
      <c r="L27" s="16"/>
      <c r="M27" s="15" t="str">
        <f aca="false">IF(K27="","",EDATE(IF(L27&lt;&gt;"",L27,K27),J27))</f>
        <v/>
      </c>
      <c r="N27" s="11" t="str">
        <f aca="false">IFERROR(INDEX('Перечень должностей'!$F$2:$F$46,MATCH(H27,'Перечень должностей'!$A$2:$A$46,0)),"")</f>
        <v>Нет</v>
      </c>
      <c r="O27" s="16"/>
      <c r="P27" s="15" t="str">
        <f aca="false">IF(O27="","",EDATE(O27,60))</f>
        <v/>
      </c>
      <c r="Q27" s="11" t="str">
        <f aca="false">IF(AND(K27&lt;&gt;"",F27&lt;&gt;"",K27&gt;F27),"ДА","")</f>
        <v/>
      </c>
      <c r="R27" s="8"/>
    </row>
    <row r="28" customFormat="false" ht="14.25" hidden="false" customHeight="false" outlineLevel="0" collapsed="false">
      <c r="A28" s="14" t="n">
        <v>27</v>
      </c>
      <c r="B28" s="11" t="s">
        <v>377</v>
      </c>
      <c r="C28" s="14" t="s">
        <v>422</v>
      </c>
      <c r="D28" s="14" t="s">
        <v>423</v>
      </c>
      <c r="E28" s="14" t="s">
        <v>421</v>
      </c>
      <c r="F28" s="15" t="n">
        <v>45551</v>
      </c>
      <c r="G28" s="4" t="str">
        <f aca="false">IF(TRIM(SUBSTITUTE(SUBSTITUTE(SUBSTITUTE(SUBSTITUTE(SUBSTITUTE(SUBSTITUTE(SUBSTITUTE(SUBSTITUTE(SUBSTITUTE(SUBSTITUTE(SUBSTITUTE(LOWER(TRIM(D28)),"ё","е")," -","-"),"- ","-")," 2 разряда","")," 3 разряда","")," 4 разряда","")," 5 разряда","")," 6 разряда","")," 1 категории","")," 2 категории","")," 3 категории",""))="инженер",IF(AND(ISNUMBER(SEARCH("техническ",E28)),ISNUMBER(SEARCH("контрол",E28))),"инженер отк",IF(ISNUMBER(SEARCH("диспетч",E28)),"инженер пдо",TRIM(SUBSTITUTE(SUBSTITUTE(SUBSTITUTE(SUBSTITUTE(SUBSTITUTE(SUBSTITUTE(SUBSTITUTE(SUBSTITUTE(SUBSTITUTE(SUBSTITUTE(SUBSTITUTE(LOWER(TRIM(D28)),"ё","е"),"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категории","")))),IF(TRIM(SUBSTITUTE(SUBSTITUTE(SUBSTITUTE(SUBSTITUTE(SUBSTITUTE(SUBSTITUTE(SUBSTITUTE(SUBSTITUTE(SUBSTITUTE(SUBSTITUTE(SUBSTITUTE(LOWER(TRIM(D28)),"ё","е")," -","-"),"- ","-")," 2 разряда","")," 3 разряда","")," 4 разряда","")," 5 разряда","")," 6 разряда","")," 1 категории","")," 2 категории","")," 3 категории",""))="ведущий инженер",IF(ISNUMBER(SEARCH("диспетч",E28)),"ведущий инженер пдо",TRIM(SUBSTITUTE(SUBSTITUTE(SUBSTITUTE(SUBSTITUTE(SUBSTITUTE(SUBSTITUTE(SUBSTITUTE(SUBSTITUTE(SUBSTITUTE(SUBSTITUTE(SUBSTITUTE(LOWER(TRIM(D28)),"ё","е"),"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отк",TRIM(SUBSTITUTE(SUBSTITUTE(SUBSTITUTE(SUBSTITUTE(SUBSTITUTE(SUBSTITUTE(SUBSTITUTE(SUBSTITUTE(SUBSTITUTE(SUBSTITUTE(SUBSTITUTE(LOWER(TRIM(D28)),"ё","е")," -","-"),"- ","-")," 2 разряда","")," 3 разряда","")," 4 разряда","")," 5 разряда","")," 6 разряда","")," 1 категории","")," 2 категории","")," 3 категории","")))))</f>
        <v>оперативный дежурный</v>
      </c>
      <c r="H28" s="11" t="n">
        <f aca="false">IFERROR(INDEX(Соответствие!$B$2:$B$76,MATCH(G28,Соответствие!$A$2:$A$76,0)),"?")</f>
        <v>45</v>
      </c>
      <c r="I28" s="8" t="str">
        <f aca="false">IFERROR(INDEX('Перечень должностей'!$C$2:$C$46,MATCH(H28,'Перечень должностей'!$A$2:$A$46,0)),"")</f>
        <v>п.4.7, п.4.8, п.5.1, п.5.2</v>
      </c>
      <c r="J28" s="11" t="n">
        <f aca="false">IFERROR(INDEX('Перечень должностей'!$D$2:$D$46,MATCH(H28,'Перечень должностей'!$A$2:$A$46,0)),12)</f>
        <v>12</v>
      </c>
      <c r="K28" s="16"/>
      <c r="L28" s="16"/>
      <c r="M28" s="15" t="str">
        <f aca="false">IF(K28="","",EDATE(IF(L28&lt;&gt;"",L28,K28),J28))</f>
        <v/>
      </c>
      <c r="N28" s="11" t="str">
        <f aca="false">IFERROR(INDEX('Перечень должностей'!$F$2:$F$46,MATCH(H28,'Перечень должностей'!$A$2:$A$46,0)),"")</f>
        <v>Нет</v>
      </c>
      <c r="O28" s="16"/>
      <c r="P28" s="15" t="str">
        <f aca="false">IF(O28="","",EDATE(O28,60))</f>
        <v/>
      </c>
      <c r="Q28" s="11" t="str">
        <f aca="false">IF(AND(K28&lt;&gt;"",F28&lt;&gt;"",K28&gt;F28),"ДА","")</f>
        <v/>
      </c>
      <c r="R28" s="8"/>
    </row>
    <row r="29" customFormat="false" ht="14.25" hidden="false" customHeight="false" outlineLevel="0" collapsed="false">
      <c r="A29" s="14" t="n">
        <v>28</v>
      </c>
      <c r="B29" s="11" t="s">
        <v>377</v>
      </c>
      <c r="C29" s="14" t="s">
        <v>424</v>
      </c>
      <c r="D29" s="14" t="s">
        <v>423</v>
      </c>
      <c r="E29" s="14" t="s">
        <v>421</v>
      </c>
      <c r="F29" s="15" t="n">
        <v>44092</v>
      </c>
      <c r="G29" s="4" t="str">
        <f aca="false">IF(TRIM(SUBSTITUTE(SUBSTITUTE(SUBSTITUTE(SUBSTITUTE(SUBSTITUTE(SUBSTITUTE(SUBSTITUTE(SUBSTITUTE(SUBSTITUTE(SUBSTITUTE(SUBSTITUTE(LOWER(TRIM(D29)),"ё","е")," -","-"),"- ","-")," 2 разряда","")," 3 разряда","")," 4 разряда","")," 5 разряда","")," 6 разряда","")," 1 категории","")," 2 категории","")," 3 категории",""))="инженер",IF(AND(ISNUMBER(SEARCH("техническ",E29)),ISNUMBER(SEARCH("контрол",E29))),"инженер отк",IF(ISNUMBER(SEARCH("диспетч",E29)),"инженер пдо",TRIM(SUBSTITUTE(SUBSTITUTE(SUBSTITUTE(SUBSTITUTE(SUBSTITUTE(SUBSTITUTE(SUBSTITUTE(SUBSTITUTE(SUBSTITUTE(SUBSTITUTE(SUBSTITUTE(LOWER(TRIM(D29)),"ё","е"),"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категории","")))),IF(TRIM(SUBSTITUTE(SUBSTITUTE(SUBSTITUTE(SUBSTITUTE(SUBSTITUTE(SUBSTITUTE(SUBSTITUTE(SUBSTITUTE(SUBSTITUTE(SUBSTITUTE(SUBSTITUTE(LOWER(TRIM(D29)),"ё","е")," -","-"),"- ","-")," 2 разряда","")," 3 разряда","")," 4 разряда","")," 5 разряда","")," 6 разряда","")," 1 категории","")," 2 категории","")," 3 категории",""))="ведущий инженер",IF(ISNUMBER(SEARCH("диспетч",E29)),"ведущий инженер пдо",TRIM(SUBSTITUTE(SUBSTITUTE(SUBSTITUTE(SUBSTITUTE(SUBSTITUTE(SUBSTITUTE(SUBSTITUTE(SUBSTITUTE(SUBSTITUTE(SUBSTITUTE(SUBSTITUTE(LOWER(TRIM(D29)),"ё","е"),"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отк",TRIM(SUBSTITUTE(SUBSTITUTE(SUBSTITUTE(SUBSTITUTE(SUBSTITUTE(SUBSTITUTE(SUBSTITUTE(SUBSTITUTE(SUBSTITUTE(SUBSTITUTE(SUBSTITUTE(LOWER(TRIM(D29)),"ё","е")," -","-"),"- ","-")," 2 разряда","")," 3 разряда","")," 4 разряда","")," 5 разряда","")," 6 разряда","")," 1 категории","")," 2 категории","")," 3 категории","")))))</f>
        <v>оперативный дежурный</v>
      </c>
      <c r="H29" s="11" t="n">
        <f aca="false">IFERROR(INDEX(Соответствие!$B$2:$B$76,MATCH(G29,Соответствие!$A$2:$A$76,0)),"?")</f>
        <v>45</v>
      </c>
      <c r="I29" s="8" t="str">
        <f aca="false">IFERROR(INDEX('Перечень должностей'!$C$2:$C$46,MATCH(H29,'Перечень должностей'!$A$2:$A$46,0)),"")</f>
        <v>п.4.7, п.4.8, п.5.1, п.5.2</v>
      </c>
      <c r="J29" s="11" t="n">
        <f aca="false">IFERROR(INDEX('Перечень должностей'!$D$2:$D$46,MATCH(H29,'Перечень должностей'!$A$2:$A$46,0)),12)</f>
        <v>12</v>
      </c>
      <c r="K29" s="16"/>
      <c r="L29" s="16"/>
      <c r="M29" s="15" t="str">
        <f aca="false">IF(K29="","",EDATE(IF(L29&lt;&gt;"",L29,K29),J29))</f>
        <v/>
      </c>
      <c r="N29" s="11" t="str">
        <f aca="false">IFERROR(INDEX('Перечень должностей'!$F$2:$F$46,MATCH(H29,'Перечень должностей'!$A$2:$A$46,0)),"")</f>
        <v>Нет</v>
      </c>
      <c r="O29" s="16"/>
      <c r="P29" s="15" t="str">
        <f aca="false">IF(O29="","",EDATE(O29,60))</f>
        <v/>
      </c>
      <c r="Q29" s="11" t="str">
        <f aca="false">IF(AND(K29&lt;&gt;"",F29&lt;&gt;"",K29&gt;F29),"ДА","")</f>
        <v/>
      </c>
      <c r="R29" s="8"/>
    </row>
    <row r="30" customFormat="false" ht="14.25" hidden="false" customHeight="false" outlineLevel="0" collapsed="false">
      <c r="A30" s="14" t="n">
        <v>29</v>
      </c>
      <c r="B30" s="11" t="s">
        <v>377</v>
      </c>
      <c r="C30" s="14" t="s">
        <v>425</v>
      </c>
      <c r="D30" s="14" t="s">
        <v>423</v>
      </c>
      <c r="E30" s="14" t="s">
        <v>421</v>
      </c>
      <c r="F30" s="15" t="n">
        <v>46052</v>
      </c>
      <c r="G30" s="4" t="str">
        <f aca="false">IF(TRIM(SUBSTITUTE(SUBSTITUTE(SUBSTITUTE(SUBSTITUTE(SUBSTITUTE(SUBSTITUTE(SUBSTITUTE(SUBSTITUTE(SUBSTITUTE(SUBSTITUTE(SUBSTITUTE(LOWER(TRIM(D30)),"ё","е")," -","-"),"- ","-")," 2 разряда","")," 3 разряда","")," 4 разряда","")," 5 разряда","")," 6 разряда","")," 1 категории","")," 2 категории","")," 3 категории",""))="инженер",IF(AND(ISNUMBER(SEARCH("техническ",E30)),ISNUMBER(SEARCH("контрол",E30))),"инженер отк",IF(ISNUMBER(SEARCH("диспетч",E30)),"инженер пдо",TRIM(SUBSTITUTE(SUBSTITUTE(SUBSTITUTE(SUBSTITUTE(SUBSTITUTE(SUBSTITUTE(SUBSTITUTE(SUBSTITUTE(SUBSTITUTE(SUBSTITUTE(SUBSTITUTE(LOWER(TRIM(D30)),"ё","е"),"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категории","")))),IF(TRIM(SUBSTITUTE(SUBSTITUTE(SUBSTITUTE(SUBSTITUTE(SUBSTITUTE(SUBSTITUTE(SUBSTITUTE(SUBSTITUTE(SUBSTITUTE(SUBSTITUTE(SUBSTITUTE(LOWER(TRIM(D30)),"ё","е")," -","-"),"- ","-")," 2 разряда","")," 3 разряда","")," 4 разряда","")," 5 разряда","")," 6 разряда","")," 1 категории","")," 2 категории","")," 3 категории",""))="ведущий инженер",IF(ISNUMBER(SEARCH("диспетч",E30)),"ведущий инженер пдо",TRIM(SUBSTITUTE(SUBSTITUTE(SUBSTITUTE(SUBSTITUTE(SUBSTITUTE(SUBSTITUTE(SUBSTITUTE(SUBSTITUTE(SUBSTITUTE(SUBSTITUTE(SUBSTITUTE(LOWER(TRIM(D30)),"ё","е"),"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отк",TRIM(SUBSTITUTE(SUBSTITUTE(SUBSTITUTE(SUBSTITUTE(SUBSTITUTE(SUBSTITUTE(SUBSTITUTE(SUBSTITUTE(SUBSTITUTE(SUBSTITUTE(SUBSTITUTE(LOWER(TRIM(D30)),"ё","е")," -","-"),"- ","-")," 2 разряда","")," 3 разряда","")," 4 разряда","")," 5 разряда","")," 6 разряда","")," 1 категории","")," 2 категории","")," 3 категории","")))))</f>
        <v>оперативный дежурный</v>
      </c>
      <c r="H30" s="11" t="n">
        <f aca="false">IFERROR(INDEX(Соответствие!$B$2:$B$76,MATCH(G30,Соответствие!$A$2:$A$76,0)),"?")</f>
        <v>45</v>
      </c>
      <c r="I30" s="8" t="str">
        <f aca="false">IFERROR(INDEX('Перечень должностей'!$C$2:$C$46,MATCH(H30,'Перечень должностей'!$A$2:$A$46,0)),"")</f>
        <v>п.4.7, п.4.8, п.5.1, п.5.2</v>
      </c>
      <c r="J30" s="11" t="n">
        <f aca="false">IFERROR(INDEX('Перечень должностей'!$D$2:$D$46,MATCH(H30,'Перечень должностей'!$A$2:$A$46,0)),12)</f>
        <v>12</v>
      </c>
      <c r="K30" s="16"/>
      <c r="L30" s="16"/>
      <c r="M30" s="15" t="str">
        <f aca="false">IF(K30="","",EDATE(IF(L30&lt;&gt;"",L30,K30),J30))</f>
        <v/>
      </c>
      <c r="N30" s="11" t="str">
        <f aca="false">IFERROR(INDEX('Перечень должностей'!$F$2:$F$46,MATCH(H30,'Перечень должностей'!$A$2:$A$46,0)),"")</f>
        <v>Нет</v>
      </c>
      <c r="O30" s="16"/>
      <c r="P30" s="15" t="str">
        <f aca="false">IF(O30="","",EDATE(O30,60))</f>
        <v/>
      </c>
      <c r="Q30" s="11" t="str">
        <f aca="false">IF(AND(K30&lt;&gt;"",F30&lt;&gt;"",K30&gt;F30),"ДА","")</f>
        <v/>
      </c>
      <c r="R30" s="8"/>
    </row>
    <row r="31" customFormat="false" ht="26.25" hidden="false" customHeight="true" outlineLevel="0" collapsed="false">
      <c r="A31" s="14" t="n">
        <v>30</v>
      </c>
      <c r="B31" s="11" t="s">
        <v>81</v>
      </c>
      <c r="C31" s="14" t="s">
        <v>426</v>
      </c>
      <c r="D31" s="14" t="s">
        <v>427</v>
      </c>
      <c r="E31" s="14" t="s">
        <v>428</v>
      </c>
      <c r="F31" s="15" t="n">
        <v>45693</v>
      </c>
      <c r="G31" s="4" t="str">
        <f aca="false">IF(TRIM(SUBSTITUTE(SUBSTITUTE(SUBSTITUTE(SUBSTITUTE(SUBSTITUTE(SUBSTITUTE(SUBSTITUTE(SUBSTITUTE(SUBSTITUTE(SUBSTITUTE(SUBSTITUTE(LOWER(TRIM(D31)),"ё","е")," -","-"),"- ","-")," 2 разряда","")," 3 разряда","")," 4 разряда","")," 5 разряда","")," 6 разряда","")," 1 категории","")," 2 категории","")," 3 категории",""))="инженер",IF(AND(ISNUMBER(SEARCH("техническ",E31)),ISNUMBER(SEARCH("контрол",E31))),"инженер отк",IF(ISNUMBER(SEARCH("диспетч",E31)),"инженер пдо",TRIM(SUBSTITUTE(SUBSTITUTE(SUBSTITUTE(SUBSTITUTE(SUBSTITUTE(SUBSTITUTE(SUBSTITUTE(SUBSTITUTE(SUBSTITUTE(SUBSTITUTE(SUBSTITUTE(LOWER(TRIM(D31)),"ё","е"),"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категории","")))),IF(TRIM(SUBSTITUTE(SUBSTITUTE(SUBSTITUTE(SUBSTITUTE(SUBSTITUTE(SUBSTITUTE(SUBSTITUTE(SUBSTITUTE(SUBSTITUTE(SUBSTITUTE(SUBSTITUTE(LOWER(TRIM(D31)),"ё","е")," -","-"),"- ","-")," 2 разряда","")," 3 разряда","")," 4 разряда","")," 5 разряда","")," 6 разряда","")," 1 категории","")," 2 категории","")," 3 категории",""))="ведущий инженер",IF(ISNUMBER(SEARCH("диспетч",E31)),"ведущий инженер пдо",TRIM(SUBSTITUTE(SUBSTITUTE(SUBSTITUTE(SUBSTITUTE(SUBSTITUTE(SUBSTITUTE(SUBSTITUTE(SUBSTITUTE(SUBSTITUTE(SUBSTITUTE(SUBSTITUTE(LOWER(TRIM(D31)),"ё","е"),"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отк",TRIM(SUBSTITUTE(SUBSTITUTE(SUBSTITUTE(SUBSTITUTE(SUBSTITUTE(SUBSTITUTE(SUBSTITUTE(SUBSTITUTE(SUBSTITUTE(SUBSTITUTE(SUBSTITUTE(LOWER(TRIM(D31)),"ё","е")," -","-"),"- ","-")," 2 разряда","")," 3 разряда","")," 4 разряда","")," 5 разряда","")," 6 разряда","")," 1 категории","")," 2 категории","")," 3 категории","")))))</f>
        <v>слесарь-сборщик</v>
      </c>
      <c r="H31" s="11" t="n">
        <f aca="false">IFERROR(INDEX(Соответствие!$B$2:$B$76,MATCH(G31,Соответствие!$A$2:$A$76,0)),"?")</f>
        <v>19</v>
      </c>
      <c r="I31" s="8" t="str">
        <f aca="false">IFERROR(INDEX('Перечень должностей'!$C$2:$C$46,MATCH(H31,'Перечень должностей'!$A$2:$A$46,0)),"")</f>
        <v>п.4.3.1, п.4.3.2, п.4.4, п.5.1, п.6.2, п.15</v>
      </c>
      <c r="J31" s="11" t="n">
        <f aca="false">IFERROR(INDEX('Перечень должностей'!$D$2:$D$46,MATCH(H31,'Перечень должностей'!$A$2:$A$46,0)),12)</f>
        <v>12</v>
      </c>
      <c r="K31" s="16"/>
      <c r="L31" s="16"/>
      <c r="M31" s="15" t="str">
        <f aca="false">IF(K31="","",EDATE(IF(L31&lt;&gt;"",L31,K31),J31))</f>
        <v/>
      </c>
      <c r="N31" s="11" t="str">
        <f aca="false">IFERROR(INDEX('Перечень должностей'!$F$2:$F$46,MATCH(H31,'Перечень должностей'!$A$2:$A$46,0)),"")</f>
        <v>-</v>
      </c>
      <c r="O31" s="16"/>
      <c r="P31" s="15" t="str">
        <f aca="false">IF(O31="","",EDATE(O31,60))</f>
        <v/>
      </c>
      <c r="Q31" s="11" t="str">
        <f aca="false">IF(AND(K31&lt;&gt;"",F31&lt;&gt;"",K31&gt;F31),"ДА","")</f>
        <v/>
      </c>
      <c r="R31" s="8"/>
    </row>
    <row r="32" customFormat="false" ht="26.25" hidden="false" customHeight="true" outlineLevel="0" collapsed="false">
      <c r="A32" s="14" t="n">
        <v>31</v>
      </c>
      <c r="B32" s="11" t="s">
        <v>81</v>
      </c>
      <c r="C32" s="14" t="s">
        <v>429</v>
      </c>
      <c r="D32" s="14" t="s">
        <v>427</v>
      </c>
      <c r="E32" s="14" t="s">
        <v>428</v>
      </c>
      <c r="F32" s="15" t="n">
        <v>45901</v>
      </c>
      <c r="G32" s="4" t="str">
        <f aca="false">IF(TRIM(SUBSTITUTE(SUBSTITUTE(SUBSTITUTE(SUBSTITUTE(SUBSTITUTE(SUBSTITUTE(SUBSTITUTE(SUBSTITUTE(SUBSTITUTE(SUBSTITUTE(SUBSTITUTE(LOWER(TRIM(D32)),"ё","е")," -","-"),"- ","-")," 2 разряда","")," 3 разряда","")," 4 разряда","")," 5 разряда","")," 6 разряда","")," 1 категории","")," 2 категории","")," 3 категории",""))="инженер",IF(AND(ISNUMBER(SEARCH("техническ",E32)),ISNUMBER(SEARCH("контрол",E32))),"инженер отк",IF(ISNUMBER(SEARCH("диспетч",E32)),"инженер пдо",TRIM(SUBSTITUTE(SUBSTITUTE(SUBSTITUTE(SUBSTITUTE(SUBSTITUTE(SUBSTITUTE(SUBSTITUTE(SUBSTITUTE(SUBSTITUTE(SUBSTITUTE(SUBSTITUTE(LOWER(TRIM(D32)),"ё","е"),"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категории","")))),IF(TRIM(SUBSTITUTE(SUBSTITUTE(SUBSTITUTE(SUBSTITUTE(SUBSTITUTE(SUBSTITUTE(SUBSTITUTE(SUBSTITUTE(SUBSTITUTE(SUBSTITUTE(SUBSTITUTE(LOWER(TRIM(D32)),"ё","е")," -","-"),"- ","-")," 2 разряда","")," 3 разряда","")," 4 разряда","")," 5 разряда","")," 6 разряда","")," 1 категории","")," 2 категории","")," 3 категории",""))="ведущий инженер",IF(ISNUMBER(SEARCH("диспетч",E32)),"ведущий инженер пдо",TRIM(SUBSTITUTE(SUBSTITUTE(SUBSTITUTE(SUBSTITUTE(SUBSTITUTE(SUBSTITUTE(SUBSTITUTE(SUBSTITUTE(SUBSTITUTE(SUBSTITUTE(SUBSTITUTE(LOWER(TRIM(D32)),"ё","е"),"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отк",TRIM(SUBSTITUTE(SUBSTITUTE(SUBSTITUTE(SUBSTITUTE(SUBSTITUTE(SUBSTITUTE(SUBSTITUTE(SUBSTITUTE(SUBSTITUTE(SUBSTITUTE(SUBSTITUTE(LOWER(TRIM(D32)),"ё","е")," -","-"),"- ","-")," 2 разряда","")," 3 разряда","")," 4 разряда","")," 5 разряда","")," 6 разряда","")," 1 категории","")," 2 категории","")," 3 категории","")))))</f>
        <v>слесарь-сборщик</v>
      </c>
      <c r="H32" s="11" t="n">
        <f aca="false">IFERROR(INDEX(Соответствие!$B$2:$B$76,MATCH(G32,Соответствие!$A$2:$A$76,0)),"?")</f>
        <v>19</v>
      </c>
      <c r="I32" s="8" t="str">
        <f aca="false">IFERROR(INDEX('Перечень должностей'!$C$2:$C$46,MATCH(H32,'Перечень должностей'!$A$2:$A$46,0)),"")</f>
        <v>п.4.3.1, п.4.3.2, п.4.4, п.5.1, п.6.2, п.15</v>
      </c>
      <c r="J32" s="11" t="n">
        <f aca="false">IFERROR(INDEX('Перечень должностей'!$D$2:$D$46,MATCH(H32,'Перечень должностей'!$A$2:$A$46,0)),12)</f>
        <v>12</v>
      </c>
      <c r="K32" s="16"/>
      <c r="L32" s="16"/>
      <c r="M32" s="15" t="str">
        <f aca="false">IF(K32="","",EDATE(IF(L32&lt;&gt;"",L32,K32),J32))</f>
        <v/>
      </c>
      <c r="N32" s="11" t="str">
        <f aca="false">IFERROR(INDEX('Перечень должностей'!$F$2:$F$46,MATCH(H32,'Перечень должностей'!$A$2:$A$46,0)),"")</f>
        <v>-</v>
      </c>
      <c r="O32" s="16"/>
      <c r="P32" s="15" t="str">
        <f aca="false">IF(O32="","",EDATE(O32,60))</f>
        <v/>
      </c>
      <c r="Q32" s="11" t="str">
        <f aca="false">IF(AND(K32&lt;&gt;"",F32&lt;&gt;"",K32&gt;F32),"ДА","")</f>
        <v/>
      </c>
      <c r="R32" s="8"/>
    </row>
    <row r="33" customFormat="false" ht="26.25" hidden="false" customHeight="true" outlineLevel="0" collapsed="false">
      <c r="A33" s="14" t="n">
        <v>32</v>
      </c>
      <c r="B33" s="11" t="s">
        <v>81</v>
      </c>
      <c r="C33" s="14" t="s">
        <v>430</v>
      </c>
      <c r="D33" s="14" t="s">
        <v>415</v>
      </c>
      <c r="E33" s="14" t="s">
        <v>85</v>
      </c>
      <c r="F33" s="15" t="n">
        <v>46141</v>
      </c>
      <c r="G33" s="4" t="str">
        <f aca="false">IF(TRIM(SUBSTITUTE(SUBSTITUTE(SUBSTITUTE(SUBSTITUTE(SUBSTITUTE(SUBSTITUTE(SUBSTITUTE(SUBSTITUTE(SUBSTITUTE(SUBSTITUTE(SUBSTITUTE(LOWER(TRIM(D33)),"ё","е")," -","-"),"- ","-")," 2 разряда","")," 3 разряда","")," 4 разряда","")," 5 разряда","")," 6 разряда","")," 1 категории","")," 2 категории","")," 3 категории",""))="инженер",IF(AND(ISNUMBER(SEARCH("техническ",E33)),ISNUMBER(SEARCH("контрол",E33))),"инженер отк",IF(ISNUMBER(SEARCH("диспетч",E33)),"инженер пдо",TRIM(SUBSTITUTE(SUBSTITUTE(SUBSTITUTE(SUBSTITUTE(SUBSTITUTE(SUBSTITUTE(SUBSTITUTE(SUBSTITUTE(SUBSTITUTE(SUBSTITUTE(SUBSTITUTE(LOWER(TRIM(D33)),"ё","е"),"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категории","")))),IF(TRIM(SUBSTITUTE(SUBSTITUTE(SUBSTITUTE(SUBSTITUTE(SUBSTITUTE(SUBSTITUTE(SUBSTITUTE(SUBSTITUTE(SUBSTITUTE(SUBSTITUTE(SUBSTITUTE(LOWER(TRIM(D33)),"ё","е")," -","-"),"- ","-")," 2 разряда","")," 3 разряда","")," 4 разряда","")," 5 разряда","")," 6 разряда","")," 1 категории","")," 2 категории","")," 3 категории",""))="ведущий инженер",IF(ISNUMBER(SEARCH("диспетч",E33)),"ведущий инженер пдо",TRIM(SUBSTITUTE(SUBSTITUTE(SUBSTITUTE(SUBSTITUTE(SUBSTITUTE(SUBSTITUTE(SUBSTITUTE(SUBSTITUTE(SUBSTITUTE(SUBSTITUTE(SUBSTITUTE(LOWER(TRIM(D33)),"ё","е"),"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отк",TRIM(SUBSTITUTE(SUBSTITUTE(SUBSTITUTE(SUBSTITUTE(SUBSTITUTE(SUBSTITUTE(SUBSTITUTE(SUBSTITUTE(SUBSTITUTE(SUBSTITUTE(SUBSTITUTE(LOWER(TRIM(D33)),"ё","е")," -","-"),"- ","-")," 2 разряда","")," 3 разряда","")," 4 разряда","")," 5 разряда","")," 6 разряда","")," 1 категории","")," 2 категории","")," 3 категории","")))))</f>
        <v>слесарь-сборщик</v>
      </c>
      <c r="H33" s="11" t="n">
        <f aca="false">IFERROR(INDEX(Соответствие!$B$2:$B$76,MATCH(G33,Соответствие!$A$2:$A$76,0)),"?")</f>
        <v>19</v>
      </c>
      <c r="I33" s="8" t="str">
        <f aca="false">IFERROR(INDEX('Перечень должностей'!$C$2:$C$46,MATCH(H33,'Перечень должностей'!$A$2:$A$46,0)),"")</f>
        <v>п.4.3.1, п.4.3.2, п.4.4, п.5.1, п.6.2, п.15</v>
      </c>
      <c r="J33" s="11" t="n">
        <f aca="false">IFERROR(INDEX('Перечень должностей'!$D$2:$D$46,MATCH(H33,'Перечень должностей'!$A$2:$A$46,0)),12)</f>
        <v>12</v>
      </c>
      <c r="K33" s="16"/>
      <c r="L33" s="16"/>
      <c r="M33" s="15" t="str">
        <f aca="false">IF(K33="","",EDATE(IF(L33&lt;&gt;"",L33,K33),J33))</f>
        <v/>
      </c>
      <c r="N33" s="11" t="str">
        <f aca="false">IFERROR(INDEX('Перечень должностей'!$F$2:$F$46,MATCH(H33,'Перечень должностей'!$A$2:$A$46,0)),"")</f>
        <v>-</v>
      </c>
      <c r="O33" s="16"/>
      <c r="P33" s="15" t="str">
        <f aca="false">IF(O33="","",EDATE(O33,60))</f>
        <v/>
      </c>
      <c r="Q33" s="11" t="str">
        <f aca="false">IF(AND(K33&lt;&gt;"",F33&lt;&gt;"",K33&gt;F33),"ДА","")</f>
        <v/>
      </c>
      <c r="R33" s="8" t="s">
        <v>431</v>
      </c>
    </row>
    <row r="34" customFormat="false" ht="26.25" hidden="false" customHeight="true" outlineLevel="0" collapsed="false">
      <c r="A34" s="14" t="n">
        <v>33</v>
      </c>
      <c r="B34" s="11" t="s">
        <v>81</v>
      </c>
      <c r="C34" s="14" t="s">
        <v>432</v>
      </c>
      <c r="D34" s="14" t="s">
        <v>415</v>
      </c>
      <c r="E34" s="14" t="s">
        <v>85</v>
      </c>
      <c r="F34" s="15" t="n">
        <v>45551</v>
      </c>
      <c r="G34" s="4" t="str">
        <f aca="false">IF(TRIM(SUBSTITUTE(SUBSTITUTE(SUBSTITUTE(SUBSTITUTE(SUBSTITUTE(SUBSTITUTE(SUBSTITUTE(SUBSTITUTE(SUBSTITUTE(SUBSTITUTE(SUBSTITUTE(LOWER(TRIM(D34)),"ё","е")," -","-"),"- ","-")," 2 разряда","")," 3 разряда","")," 4 разряда","")," 5 разряда","")," 6 разряда","")," 1 категории","")," 2 категории","")," 3 категории",""))="инженер",IF(AND(ISNUMBER(SEARCH("техническ",E34)),ISNUMBER(SEARCH("контрол",E34))),"инженер отк",IF(ISNUMBER(SEARCH("диспетч",E34)),"инженер пдо",TRIM(SUBSTITUTE(SUBSTITUTE(SUBSTITUTE(SUBSTITUTE(SUBSTITUTE(SUBSTITUTE(SUBSTITUTE(SUBSTITUTE(SUBSTITUTE(SUBSTITUTE(SUBSTITUTE(LOWER(TRIM(D34)),"ё","е"),"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категории","")))),IF(TRIM(SUBSTITUTE(SUBSTITUTE(SUBSTITUTE(SUBSTITUTE(SUBSTITUTE(SUBSTITUTE(SUBSTITUTE(SUBSTITUTE(SUBSTITUTE(SUBSTITUTE(SUBSTITUTE(LOWER(TRIM(D34)),"ё","е")," -","-"),"- ","-")," 2 разряда","")," 3 разряда","")," 4 разряда","")," 5 разряда","")," 6 разряда","")," 1 категории","")," 2 категории","")," 3 категории",""))="ведущий инженер",IF(ISNUMBER(SEARCH("диспетч",E34)),"ведущий инженер пдо",TRIM(SUBSTITUTE(SUBSTITUTE(SUBSTITUTE(SUBSTITUTE(SUBSTITUTE(SUBSTITUTE(SUBSTITUTE(SUBSTITUTE(SUBSTITUTE(SUBSTITUTE(SUBSTITUTE(LOWER(TRIM(D34)),"ё","е"),"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отк",TRIM(SUBSTITUTE(SUBSTITUTE(SUBSTITUTE(SUBSTITUTE(SUBSTITUTE(SUBSTITUTE(SUBSTITUTE(SUBSTITUTE(SUBSTITUTE(SUBSTITUTE(SUBSTITUTE(LOWER(TRIM(D34)),"ё","е")," -","-"),"- ","-")," 2 разряда","")," 3 разряда","")," 4 разряда","")," 5 разряда","")," 6 разряда","")," 1 категории","")," 2 категории","")," 3 категории","")))))</f>
        <v>слесарь-сборщик</v>
      </c>
      <c r="H34" s="11" t="n">
        <f aca="false">IFERROR(INDEX(Соответствие!$B$2:$B$76,MATCH(G34,Соответствие!$A$2:$A$76,0)),"?")</f>
        <v>19</v>
      </c>
      <c r="I34" s="8" t="str">
        <f aca="false">IFERROR(INDEX('Перечень должностей'!$C$2:$C$46,MATCH(H34,'Перечень должностей'!$A$2:$A$46,0)),"")</f>
        <v>п.4.3.1, п.4.3.2, п.4.4, п.5.1, п.6.2, п.15</v>
      </c>
      <c r="J34" s="11" t="n">
        <f aca="false">IFERROR(INDEX('Перечень должностей'!$D$2:$D$46,MATCH(H34,'Перечень должностей'!$A$2:$A$46,0)),12)</f>
        <v>12</v>
      </c>
      <c r="K34" s="16"/>
      <c r="L34" s="16"/>
      <c r="M34" s="15" t="str">
        <f aca="false">IF(K34="","",EDATE(IF(L34&lt;&gt;"",L34,K34),J34))</f>
        <v/>
      </c>
      <c r="N34" s="11" t="str">
        <f aca="false">IFERROR(INDEX('Перечень должностей'!$F$2:$F$46,MATCH(H34,'Перечень должностей'!$A$2:$A$46,0)),"")</f>
        <v>-</v>
      </c>
      <c r="O34" s="16"/>
      <c r="P34" s="15" t="str">
        <f aca="false">IF(O34="","",EDATE(O34,60))</f>
        <v/>
      </c>
      <c r="Q34" s="11" t="str">
        <f aca="false">IF(AND(K34&lt;&gt;"",F34&lt;&gt;"",K34&gt;F34),"ДА","")</f>
        <v/>
      </c>
      <c r="R34" s="8" t="s">
        <v>431</v>
      </c>
    </row>
    <row r="35" customFormat="false" ht="26.25" hidden="false" customHeight="true" outlineLevel="0" collapsed="false">
      <c r="A35" s="14" t="n">
        <v>34</v>
      </c>
      <c r="B35" s="11" t="s">
        <v>81</v>
      </c>
      <c r="C35" s="14" t="s">
        <v>433</v>
      </c>
      <c r="D35" s="14" t="s">
        <v>427</v>
      </c>
      <c r="E35" s="14" t="s">
        <v>428</v>
      </c>
      <c r="F35" s="15" t="n">
        <v>46043</v>
      </c>
      <c r="G35" s="4" t="str">
        <f aca="false">IF(TRIM(SUBSTITUTE(SUBSTITUTE(SUBSTITUTE(SUBSTITUTE(SUBSTITUTE(SUBSTITUTE(SUBSTITUTE(SUBSTITUTE(SUBSTITUTE(SUBSTITUTE(SUBSTITUTE(LOWER(TRIM(D35)),"ё","е")," -","-"),"- ","-")," 2 разряда","")," 3 разряда","")," 4 разряда","")," 5 разряда","")," 6 разряда","")," 1 категории","")," 2 категории","")," 3 категории",""))="инженер",IF(AND(ISNUMBER(SEARCH("техническ",E35)),ISNUMBER(SEARCH("контрол",E35))),"инженер отк",IF(ISNUMBER(SEARCH("диспетч",E35)),"инженер пдо",TRIM(SUBSTITUTE(SUBSTITUTE(SUBSTITUTE(SUBSTITUTE(SUBSTITUTE(SUBSTITUTE(SUBSTITUTE(SUBSTITUTE(SUBSTITUTE(SUBSTITUTE(SUBSTITUTE(LOWER(TRIM(D35)),"ё","е"),"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категории","")))),IF(TRIM(SUBSTITUTE(SUBSTITUTE(SUBSTITUTE(SUBSTITUTE(SUBSTITUTE(SUBSTITUTE(SUBSTITUTE(SUBSTITUTE(SUBSTITUTE(SUBSTITUTE(SUBSTITUTE(LOWER(TRIM(D35)),"ё","е")," -","-"),"- ","-")," 2 разряда","")," 3 разряда","")," 4 разряда","")," 5 разряда","")," 6 разряда","")," 1 категории","")," 2 категории","")," 3 категории",""))="ведущий инженер",IF(ISNUMBER(SEARCH("диспетч",E35)),"ведущий инженер пдо",TRIM(SUBSTITUTE(SUBSTITUTE(SUBSTITUTE(SUBSTITUTE(SUBSTITUTE(SUBSTITUTE(SUBSTITUTE(SUBSTITUTE(SUBSTITUTE(SUBSTITUTE(SUBSTITUTE(LOWER(TRIM(D35)),"ё","е"),"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отк",TRIM(SUBSTITUTE(SUBSTITUTE(SUBSTITUTE(SUBSTITUTE(SUBSTITUTE(SUBSTITUTE(SUBSTITUTE(SUBSTITUTE(SUBSTITUTE(SUBSTITUTE(SUBSTITUTE(LOWER(TRIM(D35)),"ё","е")," -","-"),"- ","-")," 2 разряда","")," 3 разряда","")," 4 разряда","")," 5 разряда","")," 6 разряда","")," 1 категории","")," 2 категории","")," 3 категории","")))))</f>
        <v>слесарь-сборщик</v>
      </c>
      <c r="H35" s="11" t="n">
        <f aca="false">IFERROR(INDEX(Соответствие!$B$2:$B$76,MATCH(G35,Соответствие!$A$2:$A$76,0)),"?")</f>
        <v>19</v>
      </c>
      <c r="I35" s="8" t="str">
        <f aca="false">IFERROR(INDEX('Перечень должностей'!$C$2:$C$46,MATCH(H35,'Перечень должностей'!$A$2:$A$46,0)),"")</f>
        <v>п.4.3.1, п.4.3.2, п.4.4, п.5.1, п.6.2, п.15</v>
      </c>
      <c r="J35" s="11" t="n">
        <f aca="false">IFERROR(INDEX('Перечень должностей'!$D$2:$D$46,MATCH(H35,'Перечень должностей'!$A$2:$A$46,0)),12)</f>
        <v>12</v>
      </c>
      <c r="K35" s="16"/>
      <c r="L35" s="16"/>
      <c r="M35" s="15" t="str">
        <f aca="false">IF(K35="","",EDATE(IF(L35&lt;&gt;"",L35,K35),J35))</f>
        <v/>
      </c>
      <c r="N35" s="11" t="str">
        <f aca="false">IFERROR(INDEX('Перечень должностей'!$F$2:$F$46,MATCH(H35,'Перечень должностей'!$A$2:$A$46,0)),"")</f>
        <v>-</v>
      </c>
      <c r="O35" s="16"/>
      <c r="P35" s="15" t="str">
        <f aca="false">IF(O35="","",EDATE(O35,60))</f>
        <v/>
      </c>
      <c r="Q35" s="11" t="str">
        <f aca="false">IF(AND(K35&lt;&gt;"",F35&lt;&gt;"",K35&gt;F35),"ДА","")</f>
        <v/>
      </c>
      <c r="R35" s="8"/>
    </row>
    <row r="36" customFormat="false" ht="26.25" hidden="false" customHeight="true" outlineLevel="0" collapsed="false">
      <c r="A36" s="14" t="n">
        <v>35</v>
      </c>
      <c r="B36" s="11" t="s">
        <v>81</v>
      </c>
      <c r="C36" s="14" t="s">
        <v>434</v>
      </c>
      <c r="D36" s="14" t="s">
        <v>415</v>
      </c>
      <c r="E36" s="14" t="s">
        <v>85</v>
      </c>
      <c r="F36" s="15" t="n">
        <v>45614</v>
      </c>
      <c r="G36" s="4" t="str">
        <f aca="false">IF(TRIM(SUBSTITUTE(SUBSTITUTE(SUBSTITUTE(SUBSTITUTE(SUBSTITUTE(SUBSTITUTE(SUBSTITUTE(SUBSTITUTE(SUBSTITUTE(SUBSTITUTE(SUBSTITUTE(LOWER(TRIM(D36)),"ё","е")," -","-"),"- ","-")," 2 разряда","")," 3 разряда","")," 4 разряда","")," 5 разряда","")," 6 разряда","")," 1 категории","")," 2 категории","")," 3 категории",""))="инженер",IF(AND(ISNUMBER(SEARCH("техническ",E36)),ISNUMBER(SEARCH("контрол",E36))),"инженер отк",IF(ISNUMBER(SEARCH("диспетч",E36)),"инженер пдо",TRIM(SUBSTITUTE(SUBSTITUTE(SUBSTITUTE(SUBSTITUTE(SUBSTITUTE(SUBSTITUTE(SUBSTITUTE(SUBSTITUTE(SUBSTITUTE(SUBSTITUTE(SUBSTITUTE(LOWER(TRIM(D36)),"ё","е"),"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категории","")))),IF(TRIM(SUBSTITUTE(SUBSTITUTE(SUBSTITUTE(SUBSTITUTE(SUBSTITUTE(SUBSTITUTE(SUBSTITUTE(SUBSTITUTE(SUBSTITUTE(SUBSTITUTE(SUBSTITUTE(LOWER(TRIM(D36)),"ё","е")," -","-"),"- ","-")," 2 разряда","")," 3 разряда","")," 4 разряда","")," 5 разряда","")," 6 разряда","")," 1 категории","")," 2 категории","")," 3 категории",""))="ведущий инженер",IF(ISNUMBER(SEARCH("диспетч",E36)),"ведущий инженер пдо",TRIM(SUBSTITUTE(SUBSTITUTE(SUBSTITUTE(SUBSTITUTE(SUBSTITUTE(SUBSTITUTE(SUBSTITUTE(SUBSTITUTE(SUBSTITUTE(SUBSTITUTE(SUBSTITUTE(LOWER(TRIM(D36)),"ё","е"),"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отк",TRIM(SUBSTITUTE(SUBSTITUTE(SUBSTITUTE(SUBSTITUTE(SUBSTITUTE(SUBSTITUTE(SUBSTITUTE(SUBSTITUTE(SUBSTITUTE(SUBSTITUTE(SUBSTITUTE(LOWER(TRIM(D36)),"ё","е")," -","-"),"- ","-")," 2 разряда","")," 3 разряда","")," 4 разряда","")," 5 разряда","")," 6 разряда","")," 1 категории","")," 2 категории","")," 3 категории","")))))</f>
        <v>слесарь-сборщик</v>
      </c>
      <c r="H36" s="11" t="n">
        <f aca="false">IFERROR(INDEX(Соответствие!$B$2:$B$76,MATCH(G36,Соответствие!$A$2:$A$76,0)),"?")</f>
        <v>19</v>
      </c>
      <c r="I36" s="8" t="str">
        <f aca="false">IFERROR(INDEX('Перечень должностей'!$C$2:$C$46,MATCH(H36,'Перечень должностей'!$A$2:$A$46,0)),"")</f>
        <v>п.4.3.1, п.4.3.2, п.4.4, п.5.1, п.6.2, п.15</v>
      </c>
      <c r="J36" s="11" t="n">
        <f aca="false">IFERROR(INDEX('Перечень должностей'!$D$2:$D$46,MATCH(H36,'Перечень должностей'!$A$2:$A$46,0)),12)</f>
        <v>12</v>
      </c>
      <c r="K36" s="16"/>
      <c r="L36" s="16"/>
      <c r="M36" s="15" t="str">
        <f aca="false">IF(K36="","",EDATE(IF(L36&lt;&gt;"",L36,K36),J36))</f>
        <v/>
      </c>
      <c r="N36" s="11" t="str">
        <f aca="false">IFERROR(INDEX('Перечень должностей'!$F$2:$F$46,MATCH(H36,'Перечень должностей'!$A$2:$A$46,0)),"")</f>
        <v>-</v>
      </c>
      <c r="O36" s="16"/>
      <c r="P36" s="15" t="str">
        <f aca="false">IF(O36="","",EDATE(O36,60))</f>
        <v/>
      </c>
      <c r="Q36" s="11" t="str">
        <f aca="false">IF(AND(K36&lt;&gt;"",F36&lt;&gt;"",K36&gt;F36),"ДА","")</f>
        <v/>
      </c>
      <c r="R36" s="8" t="s">
        <v>431</v>
      </c>
    </row>
    <row r="37" customFormat="false" ht="26.25" hidden="false" customHeight="true" outlineLevel="0" collapsed="false">
      <c r="A37" s="14" t="n">
        <v>36</v>
      </c>
      <c r="B37" s="11" t="s">
        <v>81</v>
      </c>
      <c r="C37" s="14" t="s">
        <v>435</v>
      </c>
      <c r="D37" s="14" t="s">
        <v>427</v>
      </c>
      <c r="E37" s="14" t="s">
        <v>428</v>
      </c>
      <c r="F37" s="15" t="n">
        <v>45911</v>
      </c>
      <c r="G37" s="4" t="str">
        <f aca="false">IF(TRIM(SUBSTITUTE(SUBSTITUTE(SUBSTITUTE(SUBSTITUTE(SUBSTITUTE(SUBSTITUTE(SUBSTITUTE(SUBSTITUTE(SUBSTITUTE(SUBSTITUTE(SUBSTITUTE(LOWER(TRIM(D37)),"ё","е")," -","-"),"- ","-")," 2 разряда","")," 3 разряда","")," 4 разряда","")," 5 разряда","")," 6 разряда","")," 1 категории","")," 2 категории","")," 3 категории",""))="инженер",IF(AND(ISNUMBER(SEARCH("техническ",E37)),ISNUMBER(SEARCH("контрол",E37))),"инженер отк",IF(ISNUMBER(SEARCH("диспетч",E37)),"инженер пдо",TRIM(SUBSTITUTE(SUBSTITUTE(SUBSTITUTE(SUBSTITUTE(SUBSTITUTE(SUBSTITUTE(SUBSTITUTE(SUBSTITUTE(SUBSTITUTE(SUBSTITUTE(SUBSTITUTE(LOWER(TRIM(D37)),"ё","е"),"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категории","")))),IF(TRIM(SUBSTITUTE(SUBSTITUTE(SUBSTITUTE(SUBSTITUTE(SUBSTITUTE(SUBSTITUTE(SUBSTITUTE(SUBSTITUTE(SUBSTITUTE(SUBSTITUTE(SUBSTITUTE(LOWER(TRIM(D37)),"ё","е")," -","-"),"- ","-")," 2 разряда","")," 3 разряда","")," 4 разряда","")," 5 разряда","")," 6 разряда","")," 1 категории","")," 2 категории","")," 3 категории",""))="ведущий инженер",IF(ISNUMBER(SEARCH("диспетч",E37)),"ведущий инженер пдо",TRIM(SUBSTITUTE(SUBSTITUTE(SUBSTITUTE(SUBSTITUTE(SUBSTITUTE(SUBSTITUTE(SUBSTITUTE(SUBSTITUTE(SUBSTITUTE(SUBSTITUTE(SUBSTITUTE(LOWER(TRIM(D37)),"ё","е"),"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отк",TRIM(SUBSTITUTE(SUBSTITUTE(SUBSTITUTE(SUBSTITUTE(SUBSTITUTE(SUBSTITUTE(SUBSTITUTE(SUBSTITUTE(SUBSTITUTE(SUBSTITUTE(SUBSTITUTE(LOWER(TRIM(D37)),"ё","е")," -","-"),"- ","-")," 2 разряда","")," 3 разряда","")," 4 разряда","")," 5 разряда","")," 6 разряда","")," 1 категории","")," 2 категории","")," 3 категории","")))))</f>
        <v>слесарь-сборщик</v>
      </c>
      <c r="H37" s="11" t="n">
        <f aca="false">IFERROR(INDEX(Соответствие!$B$2:$B$76,MATCH(G37,Соответствие!$A$2:$A$76,0)),"?")</f>
        <v>19</v>
      </c>
      <c r="I37" s="8" t="str">
        <f aca="false">IFERROR(INDEX('Перечень должностей'!$C$2:$C$46,MATCH(H37,'Перечень должностей'!$A$2:$A$46,0)),"")</f>
        <v>п.4.3.1, п.4.3.2, п.4.4, п.5.1, п.6.2, п.15</v>
      </c>
      <c r="J37" s="11" t="n">
        <f aca="false">IFERROR(INDEX('Перечень должностей'!$D$2:$D$46,MATCH(H37,'Перечень должностей'!$A$2:$A$46,0)),12)</f>
        <v>12</v>
      </c>
      <c r="K37" s="16"/>
      <c r="L37" s="16"/>
      <c r="M37" s="15" t="str">
        <f aca="false">IF(K37="","",EDATE(IF(L37&lt;&gt;"",L37,K37),J37))</f>
        <v/>
      </c>
      <c r="N37" s="11" t="str">
        <f aca="false">IFERROR(INDEX('Перечень должностей'!$F$2:$F$46,MATCH(H37,'Перечень должностей'!$A$2:$A$46,0)),"")</f>
        <v>-</v>
      </c>
      <c r="O37" s="16"/>
      <c r="P37" s="15" t="str">
        <f aca="false">IF(O37="","",EDATE(O37,60))</f>
        <v/>
      </c>
      <c r="Q37" s="11" t="str">
        <f aca="false">IF(AND(K37&lt;&gt;"",F37&lt;&gt;"",K37&gt;F37),"ДА","")</f>
        <v/>
      </c>
      <c r="R37" s="8"/>
    </row>
    <row r="38" customFormat="false" ht="26.25" hidden="false" customHeight="true" outlineLevel="0" collapsed="false">
      <c r="A38" s="14" t="n">
        <v>37</v>
      </c>
      <c r="B38" s="11" t="s">
        <v>81</v>
      </c>
      <c r="C38" s="14" t="s">
        <v>436</v>
      </c>
      <c r="D38" s="14" t="s">
        <v>415</v>
      </c>
      <c r="E38" s="14" t="s">
        <v>85</v>
      </c>
      <c r="F38" s="15" t="n">
        <v>45817</v>
      </c>
      <c r="G38" s="4" t="str">
        <f aca="false">IF(TRIM(SUBSTITUTE(SUBSTITUTE(SUBSTITUTE(SUBSTITUTE(SUBSTITUTE(SUBSTITUTE(SUBSTITUTE(SUBSTITUTE(SUBSTITUTE(SUBSTITUTE(SUBSTITUTE(LOWER(TRIM(D38)),"ё","е")," -","-"),"- ","-")," 2 разряда","")," 3 разряда","")," 4 разряда","")," 5 разряда","")," 6 разряда","")," 1 категории","")," 2 категории","")," 3 категории",""))="инженер",IF(AND(ISNUMBER(SEARCH("техническ",E38)),ISNUMBER(SEARCH("контрол",E38))),"инженер отк",IF(ISNUMBER(SEARCH("диспетч",E38)),"инженер пдо",TRIM(SUBSTITUTE(SUBSTITUTE(SUBSTITUTE(SUBSTITUTE(SUBSTITUTE(SUBSTITUTE(SUBSTITUTE(SUBSTITUTE(SUBSTITUTE(SUBSTITUTE(SUBSTITUTE(LOWER(TRIM(D38)),"ё","е"),"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категории","")))),IF(TRIM(SUBSTITUTE(SUBSTITUTE(SUBSTITUTE(SUBSTITUTE(SUBSTITUTE(SUBSTITUTE(SUBSTITUTE(SUBSTITUTE(SUBSTITUTE(SUBSTITUTE(SUBSTITUTE(LOWER(TRIM(D38)),"ё","е")," -","-"),"- ","-")," 2 разряда","")," 3 разряда","")," 4 разряда","")," 5 разряда","")," 6 разряда","")," 1 категории","")," 2 категории","")," 3 категории",""))="ведущий инженер",IF(ISNUMBER(SEARCH("диспетч",E38)),"ведущий инженер пдо",TRIM(SUBSTITUTE(SUBSTITUTE(SUBSTITUTE(SUBSTITUTE(SUBSTITUTE(SUBSTITUTE(SUBSTITUTE(SUBSTITUTE(SUBSTITUTE(SUBSTITUTE(SUBSTITUTE(LOWER(TRIM(D38)),"ё","е"),"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отк",TRIM(SUBSTITUTE(SUBSTITUTE(SUBSTITUTE(SUBSTITUTE(SUBSTITUTE(SUBSTITUTE(SUBSTITUTE(SUBSTITUTE(SUBSTITUTE(SUBSTITUTE(SUBSTITUTE(LOWER(TRIM(D38)),"ё","е")," -","-"),"- ","-")," 2 разряда","")," 3 разряда","")," 4 разряда","")," 5 разряда","")," 6 разряда","")," 1 категории","")," 2 категории","")," 3 категории","")))))</f>
        <v>слесарь-сборщик</v>
      </c>
      <c r="H38" s="11" t="n">
        <f aca="false">IFERROR(INDEX(Соответствие!$B$2:$B$76,MATCH(G38,Соответствие!$A$2:$A$76,0)),"?")</f>
        <v>19</v>
      </c>
      <c r="I38" s="8" t="str">
        <f aca="false">IFERROR(INDEX('Перечень должностей'!$C$2:$C$46,MATCH(H38,'Перечень должностей'!$A$2:$A$46,0)),"")</f>
        <v>п.4.3.1, п.4.3.2, п.4.4, п.5.1, п.6.2, п.15</v>
      </c>
      <c r="J38" s="11" t="n">
        <f aca="false">IFERROR(INDEX('Перечень должностей'!$D$2:$D$46,MATCH(H38,'Перечень должностей'!$A$2:$A$46,0)),12)</f>
        <v>12</v>
      </c>
      <c r="K38" s="16" t="n">
        <v>45813</v>
      </c>
      <c r="L38" s="16"/>
      <c r="M38" s="15" t="n">
        <f aca="false">IF(K38="","",EDATE(IF(L38&lt;&gt;"",L38,K38),J38))</f>
        <v>46178</v>
      </c>
      <c r="N38" s="11" t="str">
        <f aca="false">IFERROR(INDEX('Перечень должностей'!$F$2:$F$46,MATCH(H38,'Перечень должностей'!$A$2:$A$46,0)),"")</f>
        <v>-</v>
      </c>
      <c r="O38" s="16"/>
      <c r="P38" s="15" t="str">
        <f aca="false">IF(O38="","",EDATE(O38,60))</f>
        <v/>
      </c>
      <c r="Q38" s="11" t="str">
        <f aca="false">IF(AND(K38&lt;&gt;"",F38&lt;&gt;"",K38&gt;F38),"ДА","")</f>
        <v/>
      </c>
      <c r="R38" s="8" t="s">
        <v>431</v>
      </c>
    </row>
    <row r="39" customFormat="false" ht="26.25" hidden="false" customHeight="true" outlineLevel="0" collapsed="false">
      <c r="A39" s="14" t="n">
        <v>38</v>
      </c>
      <c r="B39" s="11" t="s">
        <v>81</v>
      </c>
      <c r="C39" s="14" t="s">
        <v>437</v>
      </c>
      <c r="D39" s="14" t="s">
        <v>427</v>
      </c>
      <c r="E39" s="14" t="s">
        <v>428</v>
      </c>
      <c r="F39" s="15" t="n">
        <v>45782</v>
      </c>
      <c r="G39" s="4" t="str">
        <f aca="false">IF(TRIM(SUBSTITUTE(SUBSTITUTE(SUBSTITUTE(SUBSTITUTE(SUBSTITUTE(SUBSTITUTE(SUBSTITUTE(SUBSTITUTE(SUBSTITUTE(SUBSTITUTE(SUBSTITUTE(LOWER(TRIM(D39)),"ё","е")," -","-"),"- ","-")," 2 разряда","")," 3 разряда","")," 4 разряда","")," 5 разряда","")," 6 разряда","")," 1 категории","")," 2 категории","")," 3 категории",""))="инженер",IF(AND(ISNUMBER(SEARCH("техническ",E39)),ISNUMBER(SEARCH("контрол",E39))),"инженер отк",IF(ISNUMBER(SEARCH("диспетч",E39)),"инженер пдо",TRIM(SUBSTITUTE(SUBSTITUTE(SUBSTITUTE(SUBSTITUTE(SUBSTITUTE(SUBSTITUTE(SUBSTITUTE(SUBSTITUTE(SUBSTITUTE(SUBSTITUTE(SUBSTITUTE(LOWER(TRIM(D39)),"ё","е"),"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категории","")))),IF(TRIM(SUBSTITUTE(SUBSTITUTE(SUBSTITUTE(SUBSTITUTE(SUBSTITUTE(SUBSTITUTE(SUBSTITUTE(SUBSTITUTE(SUBSTITUTE(SUBSTITUTE(SUBSTITUTE(LOWER(TRIM(D39)),"ё","е")," -","-"),"- ","-")," 2 разряда","")," 3 разряда","")," 4 разряда","")," 5 разряда","")," 6 разряда","")," 1 категории","")," 2 категории","")," 3 категории",""))="ведущий инженер",IF(ISNUMBER(SEARCH("диспетч",E39)),"ведущий инженер пдо",TRIM(SUBSTITUTE(SUBSTITUTE(SUBSTITUTE(SUBSTITUTE(SUBSTITUTE(SUBSTITUTE(SUBSTITUTE(SUBSTITUTE(SUBSTITUTE(SUBSTITUTE(SUBSTITUTE(LOWER(TRIM(D39)),"ё","е"),"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отк",TRIM(SUBSTITUTE(SUBSTITUTE(SUBSTITUTE(SUBSTITUTE(SUBSTITUTE(SUBSTITUTE(SUBSTITUTE(SUBSTITUTE(SUBSTITUTE(SUBSTITUTE(SUBSTITUTE(LOWER(TRIM(D39)),"ё","е")," -","-"),"- ","-")," 2 разряда","")," 3 разряда","")," 4 разряда","")," 5 разряда","")," 6 разряда","")," 1 категории","")," 2 категории","")," 3 категории","")))))</f>
        <v>слесарь-сборщик</v>
      </c>
      <c r="H39" s="11" t="n">
        <f aca="false">IFERROR(INDEX(Соответствие!$B$2:$B$76,MATCH(G39,Соответствие!$A$2:$A$76,0)),"?")</f>
        <v>19</v>
      </c>
      <c r="I39" s="8" t="str">
        <f aca="false">IFERROR(INDEX('Перечень должностей'!$C$2:$C$46,MATCH(H39,'Перечень должностей'!$A$2:$A$46,0)),"")</f>
        <v>п.4.3.1, п.4.3.2, п.4.4, п.5.1, п.6.2, п.15</v>
      </c>
      <c r="J39" s="11" t="n">
        <f aca="false">IFERROR(INDEX('Перечень должностей'!$D$2:$D$46,MATCH(H39,'Перечень должностей'!$A$2:$A$46,0)),12)</f>
        <v>12</v>
      </c>
      <c r="K39" s="16"/>
      <c r="L39" s="16"/>
      <c r="M39" s="15" t="str">
        <f aca="false">IF(K39="","",EDATE(IF(L39&lt;&gt;"",L39,K39),J39))</f>
        <v/>
      </c>
      <c r="N39" s="11" t="str">
        <f aca="false">IFERROR(INDEX('Перечень должностей'!$F$2:$F$46,MATCH(H39,'Перечень должностей'!$A$2:$A$46,0)),"")</f>
        <v>-</v>
      </c>
      <c r="O39" s="16"/>
      <c r="P39" s="15" t="str">
        <f aca="false">IF(O39="","",EDATE(O39,60))</f>
        <v/>
      </c>
      <c r="Q39" s="11" t="str">
        <f aca="false">IF(AND(K39&lt;&gt;"",F39&lt;&gt;"",K39&gt;F39),"ДА","")</f>
        <v/>
      </c>
      <c r="R39" s="8"/>
    </row>
    <row r="40" customFormat="false" ht="26.25" hidden="false" customHeight="true" outlineLevel="0" collapsed="false">
      <c r="A40" s="14" t="n">
        <v>39</v>
      </c>
      <c r="B40" s="11" t="s">
        <v>81</v>
      </c>
      <c r="C40" s="14" t="s">
        <v>438</v>
      </c>
      <c r="D40" s="14" t="s">
        <v>427</v>
      </c>
      <c r="E40" s="14" t="s">
        <v>428</v>
      </c>
      <c r="F40" s="15" t="n">
        <v>46073</v>
      </c>
      <c r="G40" s="4" t="str">
        <f aca="false">IF(TRIM(SUBSTITUTE(SUBSTITUTE(SUBSTITUTE(SUBSTITUTE(SUBSTITUTE(SUBSTITUTE(SUBSTITUTE(SUBSTITUTE(SUBSTITUTE(SUBSTITUTE(SUBSTITUTE(LOWER(TRIM(D40)),"ё","е")," -","-"),"- ","-")," 2 разряда","")," 3 разряда","")," 4 разряда","")," 5 разряда","")," 6 разряда","")," 1 категории","")," 2 категории","")," 3 категории",""))="инженер",IF(AND(ISNUMBER(SEARCH("техническ",E40)),ISNUMBER(SEARCH("контрол",E40))),"инженер отк",IF(ISNUMBER(SEARCH("диспетч",E40)),"инженер пдо",TRIM(SUBSTITUTE(SUBSTITUTE(SUBSTITUTE(SUBSTITUTE(SUBSTITUTE(SUBSTITUTE(SUBSTITUTE(SUBSTITUTE(SUBSTITUTE(SUBSTITUTE(SUBSTITUTE(LOWER(TRIM(D40)),"ё","е"),"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категории","")))),IF(TRIM(SUBSTITUTE(SUBSTITUTE(SUBSTITUTE(SUBSTITUTE(SUBSTITUTE(SUBSTITUTE(SUBSTITUTE(SUBSTITUTE(SUBSTITUTE(SUBSTITUTE(SUBSTITUTE(LOWER(TRIM(D40)),"ё","е")," -","-"),"- ","-")," 2 разряда","")," 3 разряда","")," 4 разряда","")," 5 разряда","")," 6 разряда","")," 1 категории","")," 2 категории","")," 3 категории",""))="ведущий инженер",IF(ISNUMBER(SEARCH("диспетч",E40)),"ведущий инженер пдо",TRIM(SUBSTITUTE(SUBSTITUTE(SUBSTITUTE(SUBSTITUTE(SUBSTITUTE(SUBSTITUTE(SUBSTITUTE(SUBSTITUTE(SUBSTITUTE(SUBSTITUTE(SUBSTITUTE(LOWER(TRIM(D40)),"ё","е"),"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отк",TRIM(SUBSTITUTE(SUBSTITUTE(SUBSTITUTE(SUBSTITUTE(SUBSTITUTE(SUBSTITUTE(SUBSTITUTE(SUBSTITUTE(SUBSTITUTE(SUBSTITUTE(SUBSTITUTE(LOWER(TRIM(D40)),"ё","е")," -","-"),"- ","-")," 2 разряда","")," 3 разряда","")," 4 разряда","")," 5 разряда","")," 6 разряда","")," 1 категории","")," 2 категории","")," 3 категории","")))))</f>
        <v>слесарь-сборщик</v>
      </c>
      <c r="H40" s="11" t="n">
        <f aca="false">IFERROR(INDEX(Соответствие!$B$2:$B$76,MATCH(G40,Соответствие!$A$2:$A$76,0)),"?")</f>
        <v>19</v>
      </c>
      <c r="I40" s="8" t="str">
        <f aca="false">IFERROR(INDEX('Перечень должностей'!$C$2:$C$46,MATCH(H40,'Перечень должностей'!$A$2:$A$46,0)),"")</f>
        <v>п.4.3.1, п.4.3.2, п.4.4, п.5.1, п.6.2, п.15</v>
      </c>
      <c r="J40" s="11" t="n">
        <f aca="false">IFERROR(INDEX('Перечень должностей'!$D$2:$D$46,MATCH(H40,'Перечень должностей'!$A$2:$A$46,0)),12)</f>
        <v>12</v>
      </c>
      <c r="K40" s="16" t="n">
        <v>46059</v>
      </c>
      <c r="L40" s="16"/>
      <c r="M40" s="15" t="n">
        <f aca="false">IF(K40="","",EDATE(IF(L40&lt;&gt;"",L40,K40),J40))</f>
        <v>46424</v>
      </c>
      <c r="N40" s="11" t="str">
        <f aca="false">IFERROR(INDEX('Перечень должностей'!$F$2:$F$46,MATCH(H40,'Перечень должностей'!$A$2:$A$46,0)),"")</f>
        <v>-</v>
      </c>
      <c r="O40" s="16"/>
      <c r="P40" s="15" t="str">
        <f aca="false">IF(O40="","",EDATE(O40,60))</f>
        <v/>
      </c>
      <c r="Q40" s="11" t="str">
        <f aca="false">IF(AND(K40&lt;&gt;"",F40&lt;&gt;"",K40&gt;F40),"ДА","")</f>
        <v/>
      </c>
      <c r="R40" s="8"/>
    </row>
    <row r="41" customFormat="false" ht="26.25" hidden="false" customHeight="true" outlineLevel="0" collapsed="false">
      <c r="A41" s="14" t="n">
        <v>40</v>
      </c>
      <c r="B41" s="11" t="s">
        <v>81</v>
      </c>
      <c r="C41" s="14" t="s">
        <v>439</v>
      </c>
      <c r="D41" s="14" t="s">
        <v>427</v>
      </c>
      <c r="E41" s="14" t="s">
        <v>428</v>
      </c>
      <c r="F41" s="15" t="n">
        <v>45847</v>
      </c>
      <c r="G41" s="4" t="str">
        <f aca="false">IF(TRIM(SUBSTITUTE(SUBSTITUTE(SUBSTITUTE(SUBSTITUTE(SUBSTITUTE(SUBSTITUTE(SUBSTITUTE(SUBSTITUTE(SUBSTITUTE(SUBSTITUTE(SUBSTITUTE(LOWER(TRIM(D41)),"ё","е")," -","-"),"- ","-")," 2 разряда","")," 3 разряда","")," 4 разряда","")," 5 разряда","")," 6 разряда","")," 1 категории","")," 2 категории","")," 3 категории",""))="инженер",IF(AND(ISNUMBER(SEARCH("техническ",E41)),ISNUMBER(SEARCH("контрол",E41))),"инженер отк",IF(ISNUMBER(SEARCH("диспетч",E41)),"инженер пдо",TRIM(SUBSTITUTE(SUBSTITUTE(SUBSTITUTE(SUBSTITUTE(SUBSTITUTE(SUBSTITUTE(SUBSTITUTE(SUBSTITUTE(SUBSTITUTE(SUBSTITUTE(SUBSTITUTE(LOWER(TRIM(D41)),"ё","е"),"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категории","")))),IF(TRIM(SUBSTITUTE(SUBSTITUTE(SUBSTITUTE(SUBSTITUTE(SUBSTITUTE(SUBSTITUTE(SUBSTITUTE(SUBSTITUTE(SUBSTITUTE(SUBSTITUTE(SUBSTITUTE(LOWER(TRIM(D41)),"ё","е")," -","-"),"- ","-")," 2 разряда","")," 3 разряда","")," 4 разряда","")," 5 разряда","")," 6 разряда","")," 1 категории","")," 2 категории","")," 3 категории",""))="ведущий инженер",IF(ISNUMBER(SEARCH("диспетч",E41)),"ведущий инженер пдо",TRIM(SUBSTITUTE(SUBSTITUTE(SUBSTITUTE(SUBSTITUTE(SUBSTITUTE(SUBSTITUTE(SUBSTITUTE(SUBSTITUTE(SUBSTITUTE(SUBSTITUTE(SUBSTITUTE(LOWER(TRIM(D41)),"ё","е"),"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отк",TRIM(SUBSTITUTE(SUBSTITUTE(SUBSTITUTE(SUBSTITUTE(SUBSTITUTE(SUBSTITUTE(SUBSTITUTE(SUBSTITUTE(SUBSTITUTE(SUBSTITUTE(SUBSTITUTE(LOWER(TRIM(D41)),"ё","е")," -","-"),"- ","-")," 2 разряда","")," 3 разряда","")," 4 разряда","")," 5 разряда","")," 6 разряда","")," 1 категории","")," 2 категории","")," 3 категории","")))))</f>
        <v>слесарь-сборщик</v>
      </c>
      <c r="H41" s="11" t="n">
        <f aca="false">IFERROR(INDEX(Соответствие!$B$2:$B$76,MATCH(G41,Соответствие!$A$2:$A$76,0)),"?")</f>
        <v>19</v>
      </c>
      <c r="I41" s="8" t="str">
        <f aca="false">IFERROR(INDEX('Перечень должностей'!$C$2:$C$46,MATCH(H41,'Перечень должностей'!$A$2:$A$46,0)),"")</f>
        <v>п.4.3.1, п.4.3.2, п.4.4, п.5.1, п.6.2, п.15</v>
      </c>
      <c r="J41" s="11" t="n">
        <f aca="false">IFERROR(INDEX('Перечень должностей'!$D$2:$D$46,MATCH(H41,'Перечень должностей'!$A$2:$A$46,0)),12)</f>
        <v>12</v>
      </c>
      <c r="K41" s="16"/>
      <c r="L41" s="16"/>
      <c r="M41" s="15" t="str">
        <f aca="false">IF(K41="","",EDATE(IF(L41&lt;&gt;"",L41,K41),J41))</f>
        <v/>
      </c>
      <c r="N41" s="11" t="str">
        <f aca="false">IFERROR(INDEX('Перечень должностей'!$F$2:$F$46,MATCH(H41,'Перечень должностей'!$A$2:$A$46,0)),"")</f>
        <v>-</v>
      </c>
      <c r="O41" s="16"/>
      <c r="P41" s="15" t="str">
        <f aca="false">IF(O41="","",EDATE(O41,60))</f>
        <v/>
      </c>
      <c r="Q41" s="11" t="str">
        <f aca="false">IF(AND(K41&lt;&gt;"",F41&lt;&gt;"",K41&gt;F41),"ДА","")</f>
        <v/>
      </c>
      <c r="R41" s="8"/>
    </row>
    <row r="42" customFormat="false" ht="26.25" hidden="false" customHeight="true" outlineLevel="0" collapsed="false">
      <c r="A42" s="14" t="n">
        <v>41</v>
      </c>
      <c r="B42" s="11" t="s">
        <v>81</v>
      </c>
      <c r="C42" s="14" t="s">
        <v>440</v>
      </c>
      <c r="D42" s="14" t="s">
        <v>415</v>
      </c>
      <c r="E42" s="14" t="s">
        <v>85</v>
      </c>
      <c r="F42" s="15" t="n">
        <v>45969</v>
      </c>
      <c r="G42" s="4" t="str">
        <f aca="false">IF(TRIM(SUBSTITUTE(SUBSTITUTE(SUBSTITUTE(SUBSTITUTE(SUBSTITUTE(SUBSTITUTE(SUBSTITUTE(SUBSTITUTE(SUBSTITUTE(SUBSTITUTE(SUBSTITUTE(LOWER(TRIM(D42)),"ё","е")," -","-"),"- ","-")," 2 разряда","")," 3 разряда","")," 4 разряда","")," 5 разряда","")," 6 разряда","")," 1 категории","")," 2 категории","")," 3 категории",""))="инженер",IF(AND(ISNUMBER(SEARCH("техническ",E42)),ISNUMBER(SEARCH("контрол",E42))),"инженер отк",IF(ISNUMBER(SEARCH("диспетч",E42)),"инженер пдо",TRIM(SUBSTITUTE(SUBSTITUTE(SUBSTITUTE(SUBSTITUTE(SUBSTITUTE(SUBSTITUTE(SUBSTITUTE(SUBSTITUTE(SUBSTITUTE(SUBSTITUTE(SUBSTITUTE(LOWER(TRIM(D42)),"ё","е"),"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категории","")))),IF(TRIM(SUBSTITUTE(SUBSTITUTE(SUBSTITUTE(SUBSTITUTE(SUBSTITUTE(SUBSTITUTE(SUBSTITUTE(SUBSTITUTE(SUBSTITUTE(SUBSTITUTE(SUBSTITUTE(LOWER(TRIM(D42)),"ё","е")," -","-"),"- ","-")," 2 разряда","")," 3 разряда","")," 4 разряда","")," 5 разряда","")," 6 разряда","")," 1 категории","")," 2 категории","")," 3 категории",""))="ведущий инженер",IF(ISNUMBER(SEARCH("диспетч",E42)),"ведущий инженер пдо",TRIM(SUBSTITUTE(SUBSTITUTE(SUBSTITUTE(SUBSTITUTE(SUBSTITUTE(SUBSTITUTE(SUBSTITUTE(SUBSTITUTE(SUBSTITUTE(SUBSTITUTE(SUBSTITUTE(LOWER(TRIM(D42)),"ё","е"),"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отк",TRIM(SUBSTITUTE(SUBSTITUTE(SUBSTITUTE(SUBSTITUTE(SUBSTITUTE(SUBSTITUTE(SUBSTITUTE(SUBSTITUTE(SUBSTITUTE(SUBSTITUTE(SUBSTITUTE(LOWER(TRIM(D42)),"ё","е")," -","-"),"- ","-")," 2 разряда","")," 3 разряда","")," 4 разряда","")," 5 разряда","")," 6 разряда","")," 1 категории","")," 2 категории","")," 3 категории","")))))</f>
        <v>слесарь-сборщик</v>
      </c>
      <c r="H42" s="11" t="n">
        <f aca="false">IFERROR(INDEX(Соответствие!$B$2:$B$76,MATCH(G42,Соответствие!$A$2:$A$76,0)),"?")</f>
        <v>19</v>
      </c>
      <c r="I42" s="8" t="str">
        <f aca="false">IFERROR(INDEX('Перечень должностей'!$C$2:$C$46,MATCH(H42,'Перечень должностей'!$A$2:$A$46,0)),"")</f>
        <v>п.4.3.1, п.4.3.2, п.4.4, п.5.1, п.6.2, п.15</v>
      </c>
      <c r="J42" s="11" t="n">
        <f aca="false">IFERROR(INDEX('Перечень должностей'!$D$2:$D$46,MATCH(H42,'Перечень должностей'!$A$2:$A$46,0)),12)</f>
        <v>12</v>
      </c>
      <c r="K42" s="16" t="n">
        <v>45948</v>
      </c>
      <c r="L42" s="16"/>
      <c r="M42" s="15" t="n">
        <f aca="false">IF(K42="","",EDATE(IF(L42&lt;&gt;"",L42,K42),J42))</f>
        <v>46313</v>
      </c>
      <c r="N42" s="11" t="str">
        <f aca="false">IFERROR(INDEX('Перечень должностей'!$F$2:$F$46,MATCH(H42,'Перечень должностей'!$A$2:$A$46,0)),"")</f>
        <v>-</v>
      </c>
      <c r="O42" s="16"/>
      <c r="P42" s="15" t="str">
        <f aca="false">IF(O42="","",EDATE(O42,60))</f>
        <v/>
      </c>
      <c r="Q42" s="11" t="str">
        <f aca="false">IF(AND(K42&lt;&gt;"",F42&lt;&gt;"",K42&gt;F42),"ДА","")</f>
        <v/>
      </c>
      <c r="R42" s="8" t="s">
        <v>431</v>
      </c>
    </row>
    <row r="43" customFormat="false" ht="26.25" hidden="false" customHeight="true" outlineLevel="0" collapsed="false">
      <c r="A43" s="14" t="n">
        <v>42</v>
      </c>
      <c r="B43" s="11" t="s">
        <v>81</v>
      </c>
      <c r="C43" s="14" t="s">
        <v>441</v>
      </c>
      <c r="D43" s="14" t="s">
        <v>415</v>
      </c>
      <c r="E43" s="14" t="s">
        <v>85</v>
      </c>
      <c r="F43" s="15" t="n">
        <v>45775</v>
      </c>
      <c r="G43" s="4" t="str">
        <f aca="false">IF(TRIM(SUBSTITUTE(SUBSTITUTE(SUBSTITUTE(SUBSTITUTE(SUBSTITUTE(SUBSTITUTE(SUBSTITUTE(SUBSTITUTE(SUBSTITUTE(SUBSTITUTE(SUBSTITUTE(LOWER(TRIM(D43)),"ё","е")," -","-"),"- ","-")," 2 разряда","")," 3 разряда","")," 4 разряда","")," 5 разряда","")," 6 разряда","")," 1 категории","")," 2 категории","")," 3 категории",""))="инженер",IF(AND(ISNUMBER(SEARCH("техническ",E43)),ISNUMBER(SEARCH("контрол",E43))),"инженер отк",IF(ISNUMBER(SEARCH("диспетч",E43)),"инженер пдо",TRIM(SUBSTITUTE(SUBSTITUTE(SUBSTITUTE(SUBSTITUTE(SUBSTITUTE(SUBSTITUTE(SUBSTITUTE(SUBSTITUTE(SUBSTITUTE(SUBSTITUTE(SUBSTITUTE(LOWER(TRIM(D43)),"ё","е"),"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категории","")))),IF(TRIM(SUBSTITUTE(SUBSTITUTE(SUBSTITUTE(SUBSTITUTE(SUBSTITUTE(SUBSTITUTE(SUBSTITUTE(SUBSTITUTE(SUBSTITUTE(SUBSTITUTE(SUBSTITUTE(LOWER(TRIM(D43)),"ё","е")," -","-"),"- ","-")," 2 разряда","")," 3 разряда","")," 4 разряда","")," 5 разряда","")," 6 разряда","")," 1 категории","")," 2 категории","")," 3 категории",""))="ведущий инженер",IF(ISNUMBER(SEARCH("диспетч",E43)),"ведущий инженер пдо",TRIM(SUBSTITUTE(SUBSTITUTE(SUBSTITUTE(SUBSTITUTE(SUBSTITUTE(SUBSTITUTE(SUBSTITUTE(SUBSTITUTE(SUBSTITUTE(SUBSTITUTE(SUBSTITUTE(LOWER(TRIM(D43)),"ё","е"),"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отк",TRIM(SUBSTITUTE(SUBSTITUTE(SUBSTITUTE(SUBSTITUTE(SUBSTITUTE(SUBSTITUTE(SUBSTITUTE(SUBSTITUTE(SUBSTITUTE(SUBSTITUTE(SUBSTITUTE(LOWER(TRIM(D43)),"ё","е")," -","-"),"- ","-")," 2 разряда","")," 3 разряда","")," 4 разряда","")," 5 разряда","")," 6 разряда","")," 1 категории","")," 2 категории","")," 3 категории","")))))</f>
        <v>слесарь-сборщик</v>
      </c>
      <c r="H43" s="11" t="n">
        <f aca="false">IFERROR(INDEX(Соответствие!$B$2:$B$76,MATCH(G43,Соответствие!$A$2:$A$76,0)),"?")</f>
        <v>19</v>
      </c>
      <c r="I43" s="8" t="str">
        <f aca="false">IFERROR(INDEX('Перечень должностей'!$C$2:$C$46,MATCH(H43,'Перечень должностей'!$A$2:$A$46,0)),"")</f>
        <v>п.4.3.1, п.4.3.2, п.4.4, п.5.1, п.6.2, п.15</v>
      </c>
      <c r="J43" s="11" t="n">
        <f aca="false">IFERROR(INDEX('Перечень должностей'!$D$2:$D$46,MATCH(H43,'Перечень должностей'!$A$2:$A$46,0)),12)</f>
        <v>12</v>
      </c>
      <c r="K43" s="16"/>
      <c r="L43" s="16"/>
      <c r="M43" s="15" t="str">
        <f aca="false">IF(K43="","",EDATE(IF(L43&lt;&gt;"",L43,K43),J43))</f>
        <v/>
      </c>
      <c r="N43" s="11" t="str">
        <f aca="false">IFERROR(INDEX('Перечень должностей'!$F$2:$F$46,MATCH(H43,'Перечень должностей'!$A$2:$A$46,0)),"")</f>
        <v>-</v>
      </c>
      <c r="O43" s="16"/>
      <c r="P43" s="15" t="str">
        <f aca="false">IF(O43="","",EDATE(O43,60))</f>
        <v/>
      </c>
      <c r="Q43" s="11" t="str">
        <f aca="false">IF(AND(K43&lt;&gt;"",F43&lt;&gt;"",K43&gt;F43),"ДА","")</f>
        <v/>
      </c>
      <c r="R43" s="8" t="s">
        <v>431</v>
      </c>
    </row>
    <row r="44" customFormat="false" ht="26.25" hidden="false" customHeight="true" outlineLevel="0" collapsed="false">
      <c r="A44" s="14" t="n">
        <v>43</v>
      </c>
      <c r="B44" s="11" t="s">
        <v>81</v>
      </c>
      <c r="C44" s="14" t="s">
        <v>442</v>
      </c>
      <c r="D44" s="14" t="s">
        <v>415</v>
      </c>
      <c r="E44" s="14" t="s">
        <v>85</v>
      </c>
      <c r="F44" s="15" t="n">
        <v>45775</v>
      </c>
      <c r="G44" s="4" t="str">
        <f aca="false">IF(TRIM(SUBSTITUTE(SUBSTITUTE(SUBSTITUTE(SUBSTITUTE(SUBSTITUTE(SUBSTITUTE(SUBSTITUTE(SUBSTITUTE(SUBSTITUTE(SUBSTITUTE(SUBSTITUTE(LOWER(TRIM(D44)),"ё","е")," -","-"),"- ","-")," 2 разряда","")," 3 разряда","")," 4 разряда","")," 5 разряда","")," 6 разряда","")," 1 категории","")," 2 категории","")," 3 категории",""))="инженер",IF(AND(ISNUMBER(SEARCH("техническ",E44)),ISNUMBER(SEARCH("контрол",E44))),"инженер отк",IF(ISNUMBER(SEARCH("диспетч",E44)),"инженер пдо",TRIM(SUBSTITUTE(SUBSTITUTE(SUBSTITUTE(SUBSTITUTE(SUBSTITUTE(SUBSTITUTE(SUBSTITUTE(SUBSTITUTE(SUBSTITUTE(SUBSTITUTE(SUBSTITUTE(LOWER(TRIM(D44)),"ё","е"),"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категории","")))),IF(TRIM(SUBSTITUTE(SUBSTITUTE(SUBSTITUTE(SUBSTITUTE(SUBSTITUTE(SUBSTITUTE(SUBSTITUTE(SUBSTITUTE(SUBSTITUTE(SUBSTITUTE(SUBSTITUTE(LOWER(TRIM(D44)),"ё","е")," -","-"),"- ","-")," 2 разряда","")," 3 разряда","")," 4 разряда","")," 5 разряда","")," 6 разряда","")," 1 категории","")," 2 категории","")," 3 категории",""))="ведущий инженер",IF(ISNUMBER(SEARCH("диспетч",E44)),"ведущий инженер пдо",TRIM(SUBSTITUTE(SUBSTITUTE(SUBSTITUTE(SUBSTITUTE(SUBSTITUTE(SUBSTITUTE(SUBSTITUTE(SUBSTITUTE(SUBSTITUTE(SUBSTITUTE(SUBSTITUTE(LOWER(TRIM(D44)),"ё","е"),"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отк",TRIM(SUBSTITUTE(SUBSTITUTE(SUBSTITUTE(SUBSTITUTE(SUBSTITUTE(SUBSTITUTE(SUBSTITUTE(SUBSTITUTE(SUBSTITUTE(SUBSTITUTE(SUBSTITUTE(LOWER(TRIM(D44)),"ё","е")," -","-"),"- ","-")," 2 разряда","")," 3 разряда","")," 4 разряда","")," 5 разряда","")," 6 разряда","")," 1 категории","")," 2 категории","")," 3 категории","")))))</f>
        <v>слесарь-сборщик</v>
      </c>
      <c r="H44" s="11" t="n">
        <f aca="false">IFERROR(INDEX(Соответствие!$B$2:$B$76,MATCH(G44,Соответствие!$A$2:$A$76,0)),"?")</f>
        <v>19</v>
      </c>
      <c r="I44" s="8" t="str">
        <f aca="false">IFERROR(INDEX('Перечень должностей'!$C$2:$C$46,MATCH(H44,'Перечень должностей'!$A$2:$A$46,0)),"")</f>
        <v>п.4.3.1, п.4.3.2, п.4.4, п.5.1, п.6.2, п.15</v>
      </c>
      <c r="J44" s="11" t="n">
        <f aca="false">IFERROR(INDEX('Перечень должностей'!$D$2:$D$46,MATCH(H44,'Перечень должностей'!$A$2:$A$46,0)),12)</f>
        <v>12</v>
      </c>
      <c r="K44" s="16"/>
      <c r="L44" s="16"/>
      <c r="M44" s="15" t="str">
        <f aca="false">IF(K44="","",EDATE(IF(L44&lt;&gt;"",L44,K44),J44))</f>
        <v/>
      </c>
      <c r="N44" s="11" t="str">
        <f aca="false">IFERROR(INDEX('Перечень должностей'!$F$2:$F$46,MATCH(H44,'Перечень должностей'!$A$2:$A$46,0)),"")</f>
        <v>-</v>
      </c>
      <c r="O44" s="16"/>
      <c r="P44" s="15" t="str">
        <f aca="false">IF(O44="","",EDATE(O44,60))</f>
        <v/>
      </c>
      <c r="Q44" s="11" t="str">
        <f aca="false">IF(AND(K44&lt;&gt;"",F44&lt;&gt;"",K44&gt;F44),"ДА","")</f>
        <v/>
      </c>
      <c r="R44" s="8" t="s">
        <v>431</v>
      </c>
    </row>
    <row r="45" customFormat="false" ht="26.25" hidden="false" customHeight="true" outlineLevel="0" collapsed="false">
      <c r="A45" s="14" t="n">
        <v>44</v>
      </c>
      <c r="B45" s="11" t="s">
        <v>81</v>
      </c>
      <c r="C45" s="14" t="s">
        <v>443</v>
      </c>
      <c r="D45" s="14" t="s">
        <v>415</v>
      </c>
      <c r="E45" s="14" t="s">
        <v>85</v>
      </c>
      <c r="F45" s="15" t="n">
        <v>45995</v>
      </c>
      <c r="G45" s="4" t="str">
        <f aca="false">IF(TRIM(SUBSTITUTE(SUBSTITUTE(SUBSTITUTE(SUBSTITUTE(SUBSTITUTE(SUBSTITUTE(SUBSTITUTE(SUBSTITUTE(SUBSTITUTE(SUBSTITUTE(SUBSTITUTE(LOWER(TRIM(D45)),"ё","е")," -","-"),"- ","-")," 2 разряда","")," 3 разряда","")," 4 разряда","")," 5 разряда","")," 6 разряда","")," 1 категории","")," 2 категории","")," 3 категории",""))="инженер",IF(AND(ISNUMBER(SEARCH("техническ",E45)),ISNUMBER(SEARCH("контрол",E45))),"инженер отк",IF(ISNUMBER(SEARCH("диспетч",E45)),"инженер пдо",TRIM(SUBSTITUTE(SUBSTITUTE(SUBSTITUTE(SUBSTITUTE(SUBSTITUTE(SUBSTITUTE(SUBSTITUTE(SUBSTITUTE(SUBSTITUTE(SUBSTITUTE(SUBSTITUTE(LOWER(TRIM(D45)),"ё","е"),"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категории","")))),IF(TRIM(SUBSTITUTE(SUBSTITUTE(SUBSTITUTE(SUBSTITUTE(SUBSTITUTE(SUBSTITUTE(SUBSTITUTE(SUBSTITUTE(SUBSTITUTE(SUBSTITUTE(SUBSTITUTE(LOWER(TRIM(D45)),"ё","е")," -","-"),"- ","-")," 2 разряда","")," 3 разряда","")," 4 разряда","")," 5 разряда","")," 6 разряда","")," 1 категории","")," 2 категории","")," 3 категории",""))="ведущий инженер",IF(ISNUMBER(SEARCH("диспетч",E45)),"ведущий инженер пдо",TRIM(SUBSTITUTE(SUBSTITUTE(SUBSTITUTE(SUBSTITUTE(SUBSTITUTE(SUBSTITUTE(SUBSTITUTE(SUBSTITUTE(SUBSTITUTE(SUBSTITUTE(SUBSTITUTE(LOWER(TRIM(D45)),"ё","е"),"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отк",TRIM(SUBSTITUTE(SUBSTITUTE(SUBSTITUTE(SUBSTITUTE(SUBSTITUTE(SUBSTITUTE(SUBSTITUTE(SUBSTITUTE(SUBSTITUTE(SUBSTITUTE(SUBSTITUTE(LOWER(TRIM(D45)),"ё","е")," -","-"),"- ","-")," 2 разряда","")," 3 разряда","")," 4 разряда","")," 5 разряда","")," 6 разряда","")," 1 категории","")," 2 категории","")," 3 категории","")))))</f>
        <v>слесарь-сборщик</v>
      </c>
      <c r="H45" s="11" t="n">
        <f aca="false">IFERROR(INDEX(Соответствие!$B$2:$B$76,MATCH(G45,Соответствие!$A$2:$A$76,0)),"?")</f>
        <v>19</v>
      </c>
      <c r="I45" s="8" t="str">
        <f aca="false">IFERROR(INDEX('Перечень должностей'!$C$2:$C$46,MATCH(H45,'Перечень должностей'!$A$2:$A$46,0)),"")</f>
        <v>п.4.3.1, п.4.3.2, п.4.4, п.5.1, п.6.2, п.15</v>
      </c>
      <c r="J45" s="11" t="n">
        <f aca="false">IFERROR(INDEX('Перечень должностей'!$D$2:$D$46,MATCH(H45,'Перечень должностей'!$A$2:$A$46,0)),12)</f>
        <v>12</v>
      </c>
      <c r="K45" s="16"/>
      <c r="L45" s="16"/>
      <c r="M45" s="15" t="str">
        <f aca="false">IF(K45="","",EDATE(IF(L45&lt;&gt;"",L45,K45),J45))</f>
        <v/>
      </c>
      <c r="N45" s="11" t="str">
        <f aca="false">IFERROR(INDEX('Перечень должностей'!$F$2:$F$46,MATCH(H45,'Перечень должностей'!$A$2:$A$46,0)),"")</f>
        <v>-</v>
      </c>
      <c r="O45" s="16"/>
      <c r="P45" s="15" t="str">
        <f aca="false">IF(O45="","",EDATE(O45,60))</f>
        <v/>
      </c>
      <c r="Q45" s="11" t="str">
        <f aca="false">IF(AND(K45&lt;&gt;"",F45&lt;&gt;"",K45&gt;F45),"ДА","")</f>
        <v/>
      </c>
      <c r="R45" s="8" t="s">
        <v>431</v>
      </c>
    </row>
    <row r="46" customFormat="false" ht="26.25" hidden="false" customHeight="true" outlineLevel="0" collapsed="false">
      <c r="A46" s="14" t="n">
        <v>45</v>
      </c>
      <c r="B46" s="11" t="s">
        <v>81</v>
      </c>
      <c r="C46" s="14" t="s">
        <v>444</v>
      </c>
      <c r="D46" s="14" t="s">
        <v>415</v>
      </c>
      <c r="E46" s="14" t="s">
        <v>85</v>
      </c>
      <c r="F46" s="15" t="n">
        <v>44977</v>
      </c>
      <c r="G46" s="4" t="str">
        <f aca="false">IF(TRIM(SUBSTITUTE(SUBSTITUTE(SUBSTITUTE(SUBSTITUTE(SUBSTITUTE(SUBSTITUTE(SUBSTITUTE(SUBSTITUTE(SUBSTITUTE(SUBSTITUTE(SUBSTITUTE(LOWER(TRIM(D46)),"ё","е")," -","-"),"- ","-")," 2 разряда","")," 3 разряда","")," 4 разряда","")," 5 разряда","")," 6 разряда","")," 1 категории","")," 2 категории","")," 3 категории",""))="инженер",IF(AND(ISNUMBER(SEARCH("техническ",E46)),ISNUMBER(SEARCH("контрол",E46))),"инженер отк",IF(ISNUMBER(SEARCH("диспетч",E46)),"инженер пдо",TRIM(SUBSTITUTE(SUBSTITUTE(SUBSTITUTE(SUBSTITUTE(SUBSTITUTE(SUBSTITUTE(SUBSTITUTE(SUBSTITUTE(SUBSTITUTE(SUBSTITUTE(SUBSTITUTE(LOWER(TRIM(D46)),"ё","е"),"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категории","")))),IF(TRIM(SUBSTITUTE(SUBSTITUTE(SUBSTITUTE(SUBSTITUTE(SUBSTITUTE(SUBSTITUTE(SUBSTITUTE(SUBSTITUTE(SUBSTITUTE(SUBSTITUTE(SUBSTITUTE(LOWER(TRIM(D46)),"ё","е")," -","-"),"- ","-")," 2 разряда","")," 3 разряда","")," 4 разряда","")," 5 разряда","")," 6 разряда","")," 1 категории","")," 2 категории","")," 3 категории",""))="ведущий инженер",IF(ISNUMBER(SEARCH("диспетч",E46)),"ведущий инженер пдо",TRIM(SUBSTITUTE(SUBSTITUTE(SUBSTITUTE(SUBSTITUTE(SUBSTITUTE(SUBSTITUTE(SUBSTITUTE(SUBSTITUTE(SUBSTITUTE(SUBSTITUTE(SUBSTITUTE(LOWER(TRIM(D46)),"ё","е"),"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отк",TRIM(SUBSTITUTE(SUBSTITUTE(SUBSTITUTE(SUBSTITUTE(SUBSTITUTE(SUBSTITUTE(SUBSTITUTE(SUBSTITUTE(SUBSTITUTE(SUBSTITUTE(SUBSTITUTE(LOWER(TRIM(D46)),"ё","е")," -","-"),"- ","-")," 2 разряда","")," 3 разряда","")," 4 разряда","")," 5 разряда","")," 6 разряда","")," 1 категории","")," 2 категории","")," 3 категории","")))))</f>
        <v>слесарь-сборщик</v>
      </c>
      <c r="H46" s="11" t="n">
        <f aca="false">IFERROR(INDEX(Соответствие!$B$2:$B$76,MATCH(G46,Соответствие!$A$2:$A$76,0)),"?")</f>
        <v>19</v>
      </c>
      <c r="I46" s="8" t="str">
        <f aca="false">IFERROR(INDEX('Перечень должностей'!$C$2:$C$46,MATCH(H46,'Перечень должностей'!$A$2:$A$46,0)),"")</f>
        <v>п.4.3.1, п.4.3.2, п.4.4, п.5.1, п.6.2, п.15</v>
      </c>
      <c r="J46" s="11" t="n">
        <f aca="false">IFERROR(INDEX('Перечень должностей'!$D$2:$D$46,MATCH(H46,'Перечень должностей'!$A$2:$A$46,0)),12)</f>
        <v>12</v>
      </c>
      <c r="K46" s="16"/>
      <c r="L46" s="16"/>
      <c r="M46" s="15" t="str">
        <f aca="false">IF(K46="","",EDATE(IF(L46&lt;&gt;"",L46,K46),J46))</f>
        <v/>
      </c>
      <c r="N46" s="11" t="str">
        <f aca="false">IFERROR(INDEX('Перечень должностей'!$F$2:$F$46,MATCH(H46,'Перечень должностей'!$A$2:$A$46,0)),"")</f>
        <v>-</v>
      </c>
      <c r="O46" s="16"/>
      <c r="P46" s="15" t="str">
        <f aca="false">IF(O46="","",EDATE(O46,60))</f>
        <v/>
      </c>
      <c r="Q46" s="11" t="str">
        <f aca="false">IF(AND(K46&lt;&gt;"",F46&lt;&gt;"",K46&gt;F46),"ДА","")</f>
        <v/>
      </c>
      <c r="R46" s="8" t="s">
        <v>431</v>
      </c>
    </row>
    <row r="47" customFormat="false" ht="26.25" hidden="false" customHeight="true" outlineLevel="0" collapsed="false">
      <c r="A47" s="14" t="n">
        <v>46</v>
      </c>
      <c r="B47" s="11" t="s">
        <v>81</v>
      </c>
      <c r="C47" s="14" t="s">
        <v>445</v>
      </c>
      <c r="D47" s="14" t="s">
        <v>415</v>
      </c>
      <c r="E47" s="14" t="s">
        <v>85</v>
      </c>
      <c r="F47" s="15" t="n">
        <v>45567</v>
      </c>
      <c r="G47" s="4" t="str">
        <f aca="false">IF(TRIM(SUBSTITUTE(SUBSTITUTE(SUBSTITUTE(SUBSTITUTE(SUBSTITUTE(SUBSTITUTE(SUBSTITUTE(SUBSTITUTE(SUBSTITUTE(SUBSTITUTE(SUBSTITUTE(LOWER(TRIM(D47)),"ё","е")," -","-"),"- ","-")," 2 разряда","")," 3 разряда","")," 4 разряда","")," 5 разряда","")," 6 разряда","")," 1 категории","")," 2 категории","")," 3 категории",""))="инженер",IF(AND(ISNUMBER(SEARCH("техническ",E47)),ISNUMBER(SEARCH("контрол",E47))),"инженер отк",IF(ISNUMBER(SEARCH("диспетч",E47)),"инженер пдо",TRIM(SUBSTITUTE(SUBSTITUTE(SUBSTITUTE(SUBSTITUTE(SUBSTITUTE(SUBSTITUTE(SUBSTITUTE(SUBSTITUTE(SUBSTITUTE(SUBSTITUTE(SUBSTITUTE(LOWER(TRIM(D47)),"ё","е"),"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категории","")))),IF(TRIM(SUBSTITUTE(SUBSTITUTE(SUBSTITUTE(SUBSTITUTE(SUBSTITUTE(SUBSTITUTE(SUBSTITUTE(SUBSTITUTE(SUBSTITUTE(SUBSTITUTE(SUBSTITUTE(LOWER(TRIM(D47)),"ё","е")," -","-"),"- ","-")," 2 разряда","")," 3 разряда","")," 4 разряда","")," 5 разряда","")," 6 разряда","")," 1 категории","")," 2 категории","")," 3 категории",""))="ведущий инженер",IF(ISNUMBER(SEARCH("диспетч",E47)),"ведущий инженер пдо",TRIM(SUBSTITUTE(SUBSTITUTE(SUBSTITUTE(SUBSTITUTE(SUBSTITUTE(SUBSTITUTE(SUBSTITUTE(SUBSTITUTE(SUBSTITUTE(SUBSTITUTE(SUBSTITUTE(LOWER(TRIM(D47)),"ё","е"),"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отк",TRIM(SUBSTITUTE(SUBSTITUTE(SUBSTITUTE(SUBSTITUTE(SUBSTITUTE(SUBSTITUTE(SUBSTITUTE(SUBSTITUTE(SUBSTITUTE(SUBSTITUTE(SUBSTITUTE(LOWER(TRIM(D47)),"ё","е")," -","-"),"- ","-")," 2 разряда","")," 3 разряда","")," 4 разряда","")," 5 разряда","")," 6 разряда","")," 1 категории","")," 2 категории","")," 3 категории","")))))</f>
        <v>слесарь-сборщик</v>
      </c>
      <c r="H47" s="11" t="n">
        <f aca="false">IFERROR(INDEX(Соответствие!$B$2:$B$76,MATCH(G47,Соответствие!$A$2:$A$76,0)),"?")</f>
        <v>19</v>
      </c>
      <c r="I47" s="8" t="str">
        <f aca="false">IFERROR(INDEX('Перечень должностей'!$C$2:$C$46,MATCH(H47,'Перечень должностей'!$A$2:$A$46,0)),"")</f>
        <v>п.4.3.1, п.4.3.2, п.4.4, п.5.1, п.6.2, п.15</v>
      </c>
      <c r="J47" s="11" t="n">
        <f aca="false">IFERROR(INDEX('Перечень должностей'!$D$2:$D$46,MATCH(H47,'Перечень должностей'!$A$2:$A$46,0)),12)</f>
        <v>12</v>
      </c>
      <c r="K47" s="16"/>
      <c r="L47" s="16"/>
      <c r="M47" s="15" t="str">
        <f aca="false">IF(K47="","",EDATE(IF(L47&lt;&gt;"",L47,K47),J47))</f>
        <v/>
      </c>
      <c r="N47" s="11" t="str">
        <f aca="false">IFERROR(INDEX('Перечень должностей'!$F$2:$F$46,MATCH(H47,'Перечень должностей'!$A$2:$A$46,0)),"")</f>
        <v>-</v>
      </c>
      <c r="O47" s="16"/>
      <c r="P47" s="15" t="str">
        <f aca="false">IF(O47="","",EDATE(O47,60))</f>
        <v/>
      </c>
      <c r="Q47" s="11" t="str">
        <f aca="false">IF(AND(K47&lt;&gt;"",F47&lt;&gt;"",K47&gt;F47),"ДА","")</f>
        <v/>
      </c>
      <c r="R47" s="8" t="s">
        <v>431</v>
      </c>
    </row>
    <row r="48" customFormat="false" ht="26.25" hidden="false" customHeight="true" outlineLevel="0" collapsed="false">
      <c r="A48" s="14" t="n">
        <v>47</v>
      </c>
      <c r="B48" s="11" t="s">
        <v>81</v>
      </c>
      <c r="C48" s="14" t="s">
        <v>446</v>
      </c>
      <c r="D48" s="14" t="s">
        <v>415</v>
      </c>
      <c r="E48" s="14" t="s">
        <v>85</v>
      </c>
      <c r="F48" s="15" t="n">
        <v>45896</v>
      </c>
      <c r="G48" s="4" t="str">
        <f aca="false">IF(TRIM(SUBSTITUTE(SUBSTITUTE(SUBSTITUTE(SUBSTITUTE(SUBSTITUTE(SUBSTITUTE(SUBSTITUTE(SUBSTITUTE(SUBSTITUTE(SUBSTITUTE(SUBSTITUTE(LOWER(TRIM(D48)),"ё","е")," -","-"),"- ","-")," 2 разряда","")," 3 разряда","")," 4 разряда","")," 5 разряда","")," 6 разряда","")," 1 категории","")," 2 категории","")," 3 категории",""))="инженер",IF(AND(ISNUMBER(SEARCH("техническ",E48)),ISNUMBER(SEARCH("контрол",E48))),"инженер отк",IF(ISNUMBER(SEARCH("диспетч",E48)),"инженер пдо",TRIM(SUBSTITUTE(SUBSTITUTE(SUBSTITUTE(SUBSTITUTE(SUBSTITUTE(SUBSTITUTE(SUBSTITUTE(SUBSTITUTE(SUBSTITUTE(SUBSTITUTE(SUBSTITUTE(LOWER(TRIM(D48)),"ё","е"),"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категории","")))),IF(TRIM(SUBSTITUTE(SUBSTITUTE(SUBSTITUTE(SUBSTITUTE(SUBSTITUTE(SUBSTITUTE(SUBSTITUTE(SUBSTITUTE(SUBSTITUTE(SUBSTITUTE(SUBSTITUTE(LOWER(TRIM(D48)),"ё","е")," -","-"),"- ","-")," 2 разряда","")," 3 разряда","")," 4 разряда","")," 5 разряда","")," 6 разряда","")," 1 категории","")," 2 категории","")," 3 категории",""))="ведущий инженер",IF(ISNUMBER(SEARCH("диспетч",E48)),"ведущий инженер пдо",TRIM(SUBSTITUTE(SUBSTITUTE(SUBSTITUTE(SUBSTITUTE(SUBSTITUTE(SUBSTITUTE(SUBSTITUTE(SUBSTITUTE(SUBSTITUTE(SUBSTITUTE(SUBSTITUTE(LOWER(TRIM(D48)),"ё","е"),"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отк",TRIM(SUBSTITUTE(SUBSTITUTE(SUBSTITUTE(SUBSTITUTE(SUBSTITUTE(SUBSTITUTE(SUBSTITUTE(SUBSTITUTE(SUBSTITUTE(SUBSTITUTE(SUBSTITUTE(LOWER(TRIM(D48)),"ё","е")," -","-"),"- ","-")," 2 разряда","")," 3 разряда","")," 4 разряда","")," 5 разряда","")," 6 разряда","")," 1 категории","")," 2 категории","")," 3 категории","")))))</f>
        <v>слесарь-сборщик</v>
      </c>
      <c r="H48" s="11" t="n">
        <f aca="false">IFERROR(INDEX(Соответствие!$B$2:$B$76,MATCH(G48,Соответствие!$A$2:$A$76,0)),"?")</f>
        <v>19</v>
      </c>
      <c r="I48" s="8" t="str">
        <f aca="false">IFERROR(INDEX('Перечень должностей'!$C$2:$C$46,MATCH(H48,'Перечень должностей'!$A$2:$A$46,0)),"")</f>
        <v>п.4.3.1, п.4.3.2, п.4.4, п.5.1, п.6.2, п.15</v>
      </c>
      <c r="J48" s="11" t="n">
        <f aca="false">IFERROR(INDEX('Перечень должностей'!$D$2:$D$46,MATCH(H48,'Перечень должностей'!$A$2:$A$46,0)),12)</f>
        <v>12</v>
      </c>
      <c r="K48" s="16"/>
      <c r="L48" s="16"/>
      <c r="M48" s="15" t="str">
        <f aca="false">IF(K48="","",EDATE(IF(L48&lt;&gt;"",L48,K48),J48))</f>
        <v/>
      </c>
      <c r="N48" s="11" t="str">
        <f aca="false">IFERROR(INDEX('Перечень должностей'!$F$2:$F$46,MATCH(H48,'Перечень должностей'!$A$2:$A$46,0)),"")</f>
        <v>-</v>
      </c>
      <c r="O48" s="16"/>
      <c r="P48" s="15" t="str">
        <f aca="false">IF(O48="","",EDATE(O48,60))</f>
        <v/>
      </c>
      <c r="Q48" s="11" t="str">
        <f aca="false">IF(AND(K48&lt;&gt;"",F48&lt;&gt;"",K48&gt;F48),"ДА","")</f>
        <v/>
      </c>
      <c r="R48" s="8" t="s">
        <v>431</v>
      </c>
    </row>
    <row r="49" customFormat="false" ht="26.25" hidden="false" customHeight="true" outlineLevel="0" collapsed="false">
      <c r="A49" s="14" t="n">
        <v>48</v>
      </c>
      <c r="B49" s="11" t="s">
        <v>81</v>
      </c>
      <c r="C49" s="14" t="s">
        <v>447</v>
      </c>
      <c r="D49" s="14" t="s">
        <v>427</v>
      </c>
      <c r="E49" s="14" t="s">
        <v>428</v>
      </c>
      <c r="F49" s="15" t="n">
        <v>45765</v>
      </c>
      <c r="G49" s="4" t="str">
        <f aca="false">IF(TRIM(SUBSTITUTE(SUBSTITUTE(SUBSTITUTE(SUBSTITUTE(SUBSTITUTE(SUBSTITUTE(SUBSTITUTE(SUBSTITUTE(SUBSTITUTE(SUBSTITUTE(SUBSTITUTE(LOWER(TRIM(D49)),"ё","е")," -","-"),"- ","-")," 2 разряда","")," 3 разряда","")," 4 разряда","")," 5 разряда","")," 6 разряда","")," 1 категории","")," 2 категории","")," 3 категории",""))="инженер",IF(AND(ISNUMBER(SEARCH("техническ",E49)),ISNUMBER(SEARCH("контрол",E49))),"инженер отк",IF(ISNUMBER(SEARCH("диспетч",E49)),"инженер пдо",TRIM(SUBSTITUTE(SUBSTITUTE(SUBSTITUTE(SUBSTITUTE(SUBSTITUTE(SUBSTITUTE(SUBSTITUTE(SUBSTITUTE(SUBSTITUTE(SUBSTITUTE(SUBSTITUTE(LOWER(TRIM(D49)),"ё","е"),"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категории","")))),IF(TRIM(SUBSTITUTE(SUBSTITUTE(SUBSTITUTE(SUBSTITUTE(SUBSTITUTE(SUBSTITUTE(SUBSTITUTE(SUBSTITUTE(SUBSTITUTE(SUBSTITUTE(SUBSTITUTE(LOWER(TRIM(D49)),"ё","е")," -","-"),"- ","-")," 2 разряда","")," 3 разряда","")," 4 разряда","")," 5 разряда","")," 6 разряда","")," 1 категории","")," 2 категории","")," 3 категории",""))="ведущий инженер",IF(ISNUMBER(SEARCH("диспетч",E49)),"ведущий инженер пдо",TRIM(SUBSTITUTE(SUBSTITUTE(SUBSTITUTE(SUBSTITUTE(SUBSTITUTE(SUBSTITUTE(SUBSTITUTE(SUBSTITUTE(SUBSTITUTE(SUBSTITUTE(SUBSTITUTE(LOWER(TRIM(D49)),"ё","е"),"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категории",""))),IF(TRIM(SUBSTITUTE(SUBSTITUTE(SUBSTITUTE(SUBSTITUTE(SUBSTITUTE(SUBSTITUTE(SUBSTITUTE(SUBSTITUTE(SUBSTITUTE(SUBSTITUTE(SUBSTITUTE(LOWER(TRIM(D49)),"ё","е"),"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отк",TRIM(SUBSTITUTE(SUBSTITUTE(SUBSTITUTE(SUBSTITUTE(SUBSTITUTE(SUBSTITUTE(SUBSTITUTE(SUBSTITUTE(SUBSTITUTE(SUBSTITUTE(SUBSTITUTE(LOWER(TRIM(D49)),"ё","е")," -","-"),"- ","-")," 2 разряда","")," 3 разряда","")," 4 разряда","")," 5 разряда","")," 6 разряда","")," 1 категории","")," 2 категории","")," 3 категории","")))))</f>
        <v>слесарь-сборщик</v>
      </c>
      <c r="H49" s="11" t="n">
        <f aca="false">IFERROR(INDEX(Соответствие!$B$2:$B$76,MATCH(G49,Соответствие!$A$2:$A$76,0)),"?")</f>
        <v>19</v>
      </c>
      <c r="I49" s="8" t="str">
        <f aca="false">IFERROR(INDEX('Перечень должностей'!$C$2:$C$46,MATCH(H49,'Перечень должностей'!$A$2:$A$46,0)),"")</f>
        <v>п.4.3.1, п.4.3.2, п.4.4, п.5.1, п.6.2, п.15</v>
      </c>
      <c r="J49" s="11" t="n">
        <f aca="false">IFERROR(INDEX('Перечень должностей'!$D$2:$D$46,MATCH(H49,'Перечень должностей'!$A$2:$A$46,0)),12)</f>
        <v>12</v>
      </c>
      <c r="K49" s="16"/>
      <c r="L49" s="16"/>
      <c r="M49" s="15" t="str">
        <f aca="false">IF(K49="","",EDATE(IF(L49&lt;&gt;"",L49,K49),J49))</f>
        <v/>
      </c>
      <c r="N49" s="11" t="str">
        <f aca="false">IFERROR(INDEX('Перечень должностей'!$F$2:$F$46,MATCH(H49,'Перечень должностей'!$A$2:$A$46,0)),"")</f>
        <v>-</v>
      </c>
      <c r="O49" s="16"/>
      <c r="P49" s="15" t="str">
        <f aca="false">IF(O49="","",EDATE(O49,60))</f>
        <v/>
      </c>
      <c r="Q49" s="11" t="str">
        <f aca="false">IF(AND(K49&lt;&gt;"",F49&lt;&gt;"",K49&gt;F49),"ДА","")</f>
        <v/>
      </c>
      <c r="R49" s="8"/>
    </row>
    <row r="50" customFormat="false" ht="26.25" hidden="false" customHeight="true" outlineLevel="0" collapsed="false">
      <c r="A50" s="14" t="n">
        <v>49</v>
      </c>
      <c r="B50" s="11" t="s">
        <v>81</v>
      </c>
      <c r="C50" s="14" t="s">
        <v>448</v>
      </c>
      <c r="D50" s="14" t="s">
        <v>427</v>
      </c>
      <c r="E50" s="14" t="s">
        <v>428</v>
      </c>
      <c r="F50" s="15" t="n">
        <v>45666</v>
      </c>
      <c r="G50" s="4" t="str">
        <f aca="false">IF(TRIM(SUBSTITUTE(SUBSTITUTE(SUBSTITUTE(SUBSTITUTE(SUBSTITUTE(SUBSTITUTE(SUBSTITUTE(SUBSTITUTE(SUBSTITUTE(SUBSTITUTE(SUBSTITUTE(LOWER(TRIM(D50)),"ё","е")," -","-"),"- ","-")," 2 разряда","")," 3 разряда","")," 4 разряда","")," 5 разряда","")," 6 разряда","")," 1 категории","")," 2 категории","")," 3 категории",""))="инженер",IF(AND(ISNUMBER(SEARCH("техническ",E50)),ISNUMBER(SEARCH("контрол",E50))),"инженер отк",IF(ISNUMBER(SEARCH("диспетч",E50)),"инженер пдо",TRIM(SUBSTITUTE(SUBSTITUTE(SUBSTITUTE(SUBSTITUTE(SUBSTITUTE(SUBSTITUTE(SUBSTITUTE(SUBSTITUTE(SUBSTITUTE(SUBSTITUTE(SUBSTITUTE(LOWER(TRIM(D50)),"ё","е"),"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категории","")))),IF(TRIM(SUBSTITUTE(SUBSTITUTE(SUBSTITUTE(SUBSTITUTE(SUBSTITUTE(SUBSTITUTE(SUBSTITUTE(SUBSTITUTE(SUBSTITUTE(SUBSTITUTE(SUBSTITUTE(LOWER(TRIM(D50)),"ё","е")," -","-"),"- ","-")," 2 разряда","")," 3 разряда","")," 4 разряда","")," 5 разряда","")," 6 разряда","")," 1 категории","")," 2 категории","")," 3 категории",""))="ведущий инженер",IF(ISNUMBER(SEARCH("диспетч",E50)),"ведущий инженер пдо",TRIM(SUBSTITUTE(SUBSTITUTE(SUBSTITUTE(SUBSTITUTE(SUBSTITUTE(SUBSTITUTE(SUBSTITUTE(SUBSTITUTE(SUBSTITUTE(SUBSTITUTE(SUBSTITUTE(LOWER(TRIM(D50)),"ё","е"),"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отк",TRIM(SUBSTITUTE(SUBSTITUTE(SUBSTITUTE(SUBSTITUTE(SUBSTITUTE(SUBSTITUTE(SUBSTITUTE(SUBSTITUTE(SUBSTITUTE(SUBSTITUTE(SUBSTITUTE(LOWER(TRIM(D50)),"ё","е")," -","-"),"- ","-")," 2 разряда","")," 3 разряда","")," 4 разряда","")," 5 разряда","")," 6 разряда","")," 1 категории","")," 2 категории","")," 3 категории","")))))</f>
        <v>слесарь-сборщик</v>
      </c>
      <c r="H50" s="11" t="n">
        <f aca="false">IFERROR(INDEX(Соответствие!$B$2:$B$76,MATCH(G50,Соответствие!$A$2:$A$76,0)),"?")</f>
        <v>19</v>
      </c>
      <c r="I50" s="8" t="str">
        <f aca="false">IFERROR(INDEX('Перечень должностей'!$C$2:$C$46,MATCH(H50,'Перечень должностей'!$A$2:$A$46,0)),"")</f>
        <v>п.4.3.1, п.4.3.2, п.4.4, п.5.1, п.6.2, п.15</v>
      </c>
      <c r="J50" s="11" t="n">
        <f aca="false">IFERROR(INDEX('Перечень должностей'!$D$2:$D$46,MATCH(H50,'Перечень должностей'!$A$2:$A$46,0)),12)</f>
        <v>12</v>
      </c>
      <c r="K50" s="16"/>
      <c r="L50" s="16"/>
      <c r="M50" s="15" t="str">
        <f aca="false">IF(K50="","",EDATE(IF(L50&lt;&gt;"",L50,K50),J50))</f>
        <v/>
      </c>
      <c r="N50" s="11" t="str">
        <f aca="false">IFERROR(INDEX('Перечень должностей'!$F$2:$F$46,MATCH(H50,'Перечень должностей'!$A$2:$A$46,0)),"")</f>
        <v>-</v>
      </c>
      <c r="O50" s="16"/>
      <c r="P50" s="15" t="str">
        <f aca="false">IF(O50="","",EDATE(O50,60))</f>
        <v/>
      </c>
      <c r="Q50" s="11" t="str">
        <f aca="false">IF(AND(K50&lt;&gt;"",F50&lt;&gt;"",K50&gt;F50),"ДА","")</f>
        <v/>
      </c>
      <c r="R50" s="8"/>
    </row>
    <row r="51" customFormat="false" ht="26.25" hidden="false" customHeight="true" outlineLevel="0" collapsed="false">
      <c r="A51" s="14" t="n">
        <v>50</v>
      </c>
      <c r="B51" s="11" t="s">
        <v>81</v>
      </c>
      <c r="C51" s="14" t="s">
        <v>449</v>
      </c>
      <c r="D51" s="14" t="s">
        <v>427</v>
      </c>
      <c r="E51" s="14" t="s">
        <v>428</v>
      </c>
      <c r="F51" s="15" t="n">
        <v>46062</v>
      </c>
      <c r="G51" s="4" t="str">
        <f aca="false">IF(TRIM(SUBSTITUTE(SUBSTITUTE(SUBSTITUTE(SUBSTITUTE(SUBSTITUTE(SUBSTITUTE(SUBSTITUTE(SUBSTITUTE(SUBSTITUTE(SUBSTITUTE(SUBSTITUTE(LOWER(TRIM(D51)),"ё","е")," -","-"),"- ","-")," 2 разряда","")," 3 разряда","")," 4 разряда","")," 5 разряда","")," 6 разряда","")," 1 категории","")," 2 категории","")," 3 категории",""))="инженер",IF(AND(ISNUMBER(SEARCH("техническ",E51)),ISNUMBER(SEARCH("контрол",E51))),"инженер отк",IF(ISNUMBER(SEARCH("диспетч",E51)),"инженер пдо",TRIM(SUBSTITUTE(SUBSTITUTE(SUBSTITUTE(SUBSTITUTE(SUBSTITUTE(SUBSTITUTE(SUBSTITUTE(SUBSTITUTE(SUBSTITUTE(SUBSTITUTE(SUBSTITUTE(LOWER(TRIM(D51)),"ё","е"),"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категории","")))),IF(TRIM(SUBSTITUTE(SUBSTITUTE(SUBSTITUTE(SUBSTITUTE(SUBSTITUTE(SUBSTITUTE(SUBSTITUTE(SUBSTITUTE(SUBSTITUTE(SUBSTITUTE(SUBSTITUTE(LOWER(TRIM(D51)),"ё","е")," -","-"),"- ","-")," 2 разряда","")," 3 разряда","")," 4 разряда","")," 5 разряда","")," 6 разряда","")," 1 категории","")," 2 категории","")," 3 категории",""))="ведущий инженер",IF(ISNUMBER(SEARCH("диспетч",E51)),"ведущий инженер пдо",TRIM(SUBSTITUTE(SUBSTITUTE(SUBSTITUTE(SUBSTITUTE(SUBSTITUTE(SUBSTITUTE(SUBSTITUTE(SUBSTITUTE(SUBSTITUTE(SUBSTITUTE(SUBSTITUTE(LOWER(TRIM(D51)),"ё","е"),"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отк",TRIM(SUBSTITUTE(SUBSTITUTE(SUBSTITUTE(SUBSTITUTE(SUBSTITUTE(SUBSTITUTE(SUBSTITUTE(SUBSTITUTE(SUBSTITUTE(SUBSTITUTE(SUBSTITUTE(LOWER(TRIM(D51)),"ё","е")," -","-"),"- ","-")," 2 разряда","")," 3 разряда","")," 4 разряда","")," 5 разряда","")," 6 разряда","")," 1 категории","")," 2 категории","")," 3 категории","")))))</f>
        <v>слесарь-сборщик</v>
      </c>
      <c r="H51" s="11" t="n">
        <f aca="false">IFERROR(INDEX(Соответствие!$B$2:$B$76,MATCH(G51,Соответствие!$A$2:$A$76,0)),"?")</f>
        <v>19</v>
      </c>
      <c r="I51" s="8" t="str">
        <f aca="false">IFERROR(INDEX('Перечень должностей'!$C$2:$C$46,MATCH(H51,'Перечень должностей'!$A$2:$A$46,0)),"")</f>
        <v>п.4.3.1, п.4.3.2, п.4.4, п.5.1, п.6.2, п.15</v>
      </c>
      <c r="J51" s="11" t="n">
        <f aca="false">IFERROR(INDEX('Перечень должностей'!$D$2:$D$46,MATCH(H51,'Перечень должностей'!$A$2:$A$46,0)),12)</f>
        <v>12</v>
      </c>
      <c r="K51" s="16"/>
      <c r="L51" s="16"/>
      <c r="M51" s="15" t="str">
        <f aca="false">IF(K51="","",EDATE(IF(L51&lt;&gt;"",L51,K51),J51))</f>
        <v/>
      </c>
      <c r="N51" s="11" t="str">
        <f aca="false">IFERROR(INDEX('Перечень должностей'!$F$2:$F$46,MATCH(H51,'Перечень должностей'!$A$2:$A$46,0)),"")</f>
        <v>-</v>
      </c>
      <c r="O51" s="16"/>
      <c r="P51" s="15" t="str">
        <f aca="false">IF(O51="","",EDATE(O51,60))</f>
        <v/>
      </c>
      <c r="Q51" s="11" t="str">
        <f aca="false">IF(AND(K51&lt;&gt;"",F51&lt;&gt;"",K51&gt;F51),"ДА","")</f>
        <v/>
      </c>
      <c r="R51" s="8"/>
    </row>
    <row r="52" customFormat="false" ht="23.85" hidden="false" customHeight="false" outlineLevel="0" collapsed="false">
      <c r="A52" s="14" t="n">
        <v>51</v>
      </c>
      <c r="B52" s="11" t="s">
        <v>81</v>
      </c>
      <c r="C52" s="14" t="s">
        <v>450</v>
      </c>
      <c r="D52" s="14" t="s">
        <v>75</v>
      </c>
      <c r="E52" s="14" t="s">
        <v>88</v>
      </c>
      <c r="F52" s="15" t="n">
        <v>46127</v>
      </c>
      <c r="G52" s="4" t="str">
        <f aca="false">IF(TRIM(SUBSTITUTE(SUBSTITUTE(SUBSTITUTE(SUBSTITUTE(SUBSTITUTE(SUBSTITUTE(SUBSTITUTE(SUBSTITUTE(SUBSTITUTE(SUBSTITUTE(SUBSTITUTE(LOWER(TRIM(D52)),"ё","е")," -","-"),"- ","-")," 2 разряда","")," 3 разряда","")," 4 разряда","")," 5 разряда","")," 6 разряда","")," 1 категории","")," 2 категории","")," 3 категории",""))="инженер",IF(AND(ISNUMBER(SEARCH("техническ",E52)),ISNUMBER(SEARCH("контрол",E52))),"инженер отк",IF(ISNUMBER(SEARCH("диспетч",E52)),"инженер пдо",TRIM(SUBSTITUTE(SUBSTITUTE(SUBSTITUTE(SUBSTITUTE(SUBSTITUTE(SUBSTITUTE(SUBSTITUTE(SUBSTITUTE(SUBSTITUTE(SUBSTITUTE(SUBSTITUTE(LOWER(TRIM(D52)),"ё","е"),"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категории","")))),IF(TRIM(SUBSTITUTE(SUBSTITUTE(SUBSTITUTE(SUBSTITUTE(SUBSTITUTE(SUBSTITUTE(SUBSTITUTE(SUBSTITUTE(SUBSTITUTE(SUBSTITUTE(SUBSTITUTE(LOWER(TRIM(D52)),"ё","е")," -","-"),"- ","-")," 2 разряда","")," 3 разряда","")," 4 разряда","")," 5 разряда","")," 6 разряда","")," 1 категории","")," 2 категории","")," 3 категории",""))="ведущий инженер",IF(ISNUMBER(SEARCH("диспетч",E52)),"ведущий инженер пдо",TRIM(SUBSTITUTE(SUBSTITUTE(SUBSTITUTE(SUBSTITUTE(SUBSTITUTE(SUBSTITUTE(SUBSTITUTE(SUBSTITUTE(SUBSTITUTE(SUBSTITUTE(SUBSTITUTE(LOWER(TRIM(D52)),"ё","е"),"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отк",TRIM(SUBSTITUTE(SUBSTITUTE(SUBSTITUTE(SUBSTITUTE(SUBSTITUTE(SUBSTITUTE(SUBSTITUTE(SUBSTITUTE(SUBSTITUTE(SUBSTITUTE(SUBSTITUTE(LOWER(TRIM(D52)),"ё","е")," -","-"),"- ","-")," 2 разряда","")," 3 разряда","")," 4 разряда","")," 5 разряда","")," 6 разряда","")," 1 категории","")," 2 категории","")," 3 категории","")))))</f>
        <v>кладовщик</v>
      </c>
      <c r="H52" s="11" t="n">
        <f aca="false">IFERROR(INDEX(Соответствие!$B$2:$B$76,MATCH(G52,Соответствие!$A$2:$A$76,0)),"?")</f>
        <v>14</v>
      </c>
      <c r="I52" s="8" t="str">
        <f aca="false">IFERROR(INDEX('Перечень должностей'!$C$2:$C$46,MATCH(H52,'Перечень должностей'!$A$2:$A$46,0)),"")</f>
        <v>п.4.4, п.5.1, п.6.2</v>
      </c>
      <c r="J52" s="11" t="n">
        <f aca="false">IFERROR(INDEX('Перечень должностей'!$D$2:$D$46,MATCH(H52,'Перечень должностей'!$A$2:$A$46,0)),12)</f>
        <v>12</v>
      </c>
      <c r="K52" s="16"/>
      <c r="L52" s="16"/>
      <c r="M52" s="15" t="str">
        <f aca="false">IF(K52="","",EDATE(IF(L52&lt;&gt;"",L52,K52),J52))</f>
        <v/>
      </c>
      <c r="N52" s="11" t="str">
        <f aca="false">IFERROR(INDEX('Перечень должностей'!$F$2:$F$46,MATCH(H52,'Перечень должностей'!$A$2:$A$46,0)),"")</f>
        <v>-</v>
      </c>
      <c r="O52" s="16"/>
      <c r="P52" s="15" t="str">
        <f aca="false">IF(O52="","",EDATE(O52,60))</f>
        <v/>
      </c>
      <c r="Q52" s="11" t="str">
        <f aca="false">IF(AND(K52&lt;&gt;"",F52&lt;&gt;"",K52&gt;F52),"ДА","")</f>
        <v/>
      </c>
      <c r="R52" s="8" t="s">
        <v>451</v>
      </c>
    </row>
    <row r="53" customFormat="false" ht="23.85" hidden="false" customHeight="false" outlineLevel="0" collapsed="false">
      <c r="A53" s="14" t="n">
        <v>52</v>
      </c>
      <c r="B53" s="11" t="s">
        <v>81</v>
      </c>
      <c r="C53" s="14" t="s">
        <v>452</v>
      </c>
      <c r="D53" s="14" t="s">
        <v>407</v>
      </c>
      <c r="E53" s="14" t="s">
        <v>80</v>
      </c>
      <c r="F53" s="15" t="n">
        <v>45852</v>
      </c>
      <c r="G53" s="4" t="str">
        <f aca="false">IF(TRIM(SUBSTITUTE(SUBSTITUTE(SUBSTITUTE(SUBSTITUTE(SUBSTITUTE(SUBSTITUTE(SUBSTITUTE(SUBSTITUTE(SUBSTITUTE(SUBSTITUTE(SUBSTITUTE(LOWER(TRIM(D53)),"ё","е")," -","-"),"- ","-")," 2 разряда","")," 3 разряда","")," 4 разряда","")," 5 разряда","")," 6 разряда","")," 1 категории","")," 2 категории","")," 3 категории",""))="инженер",IF(AND(ISNUMBER(SEARCH("техническ",E53)),ISNUMBER(SEARCH("контрол",E53))),"инженер отк",IF(ISNUMBER(SEARCH("диспетч",E53)),"инженер пдо",TRIM(SUBSTITUTE(SUBSTITUTE(SUBSTITUTE(SUBSTITUTE(SUBSTITUTE(SUBSTITUTE(SUBSTITUTE(SUBSTITUTE(SUBSTITUTE(SUBSTITUTE(SUBSTITUTE(LOWER(TRIM(D53)),"ё","е"),"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категории","")))),IF(TRIM(SUBSTITUTE(SUBSTITUTE(SUBSTITUTE(SUBSTITUTE(SUBSTITUTE(SUBSTITUTE(SUBSTITUTE(SUBSTITUTE(SUBSTITUTE(SUBSTITUTE(SUBSTITUTE(LOWER(TRIM(D53)),"ё","е")," -","-"),"- ","-")," 2 разряда","")," 3 разряда","")," 4 разряда","")," 5 разряда","")," 6 разряда","")," 1 категории","")," 2 категории","")," 3 категории",""))="ведущий инженер",IF(ISNUMBER(SEARCH("диспетч",E53)),"ведущий инженер пдо",TRIM(SUBSTITUTE(SUBSTITUTE(SUBSTITUTE(SUBSTITUTE(SUBSTITUTE(SUBSTITUTE(SUBSTITUTE(SUBSTITUTE(SUBSTITUTE(SUBSTITUTE(SUBSTITUTE(LOWER(TRIM(D53)),"ё","е"),"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отк",TRIM(SUBSTITUTE(SUBSTITUTE(SUBSTITUTE(SUBSTITUTE(SUBSTITUTE(SUBSTITUTE(SUBSTITUTE(SUBSTITUTE(SUBSTITUTE(SUBSTITUTE(SUBSTITUTE(LOWER(TRIM(D53)),"ё","е")," -","-"),"- ","-")," 2 разряда","")," 3 разряда","")," 4 разряда","")," 5 разряда","")," 6 разряда","")," 1 категории","")," 2 категории","")," 3 категории","")))))</f>
        <v>электромонтажник</v>
      </c>
      <c r="H53" s="11" t="n">
        <f aca="false">IFERROR(INDEX(Соответствие!$B$2:$B$76,MATCH(G53,Соответствие!$A$2:$A$76,0)),"?")</f>
        <v>20</v>
      </c>
      <c r="I53" s="8" t="str">
        <f aca="false">IFERROR(INDEX('Перечень должностей'!$C$2:$C$46,MATCH(H53,'Перечень должностей'!$A$2:$A$46,0)),"")</f>
        <v>п.4.3.1, п.4.3.2, п.4.4, п.4.9, п.5.1, п.5.2, п.6.2, п.9</v>
      </c>
      <c r="J53" s="11" t="n">
        <f aca="false">IFERROR(INDEX('Перечень должностей'!$D$2:$D$46,MATCH(H53,'Перечень должностей'!$A$2:$A$46,0)),12)</f>
        <v>12</v>
      </c>
      <c r="K53" s="16"/>
      <c r="L53" s="16"/>
      <c r="M53" s="15" t="str">
        <f aca="false">IF(K53="","",EDATE(IF(L53&lt;&gt;"",L53,K53),J53))</f>
        <v/>
      </c>
      <c r="N53" s="11" t="str">
        <f aca="false">IFERROR(INDEX('Перечень должностей'!$F$2:$F$46,MATCH(H53,'Перечень должностей'!$A$2:$A$46,0)),"")</f>
        <v>Да</v>
      </c>
      <c r="O53" s="16"/>
      <c r="P53" s="15" t="str">
        <f aca="false">IF(O53="","",EDATE(O53,60))</f>
        <v/>
      </c>
      <c r="Q53" s="11" t="str">
        <f aca="false">IF(AND(K53&lt;&gt;"",F53&lt;&gt;"",K53&gt;F53),"ДА","")</f>
        <v/>
      </c>
      <c r="R53" s="8" t="s">
        <v>453</v>
      </c>
    </row>
    <row r="54" customFormat="false" ht="26.25" hidden="false" customHeight="true" outlineLevel="0" collapsed="false">
      <c r="A54" s="14" t="n">
        <v>53</v>
      </c>
      <c r="B54" s="11" t="s">
        <v>81</v>
      </c>
      <c r="C54" s="14" t="s">
        <v>454</v>
      </c>
      <c r="D54" s="14" t="s">
        <v>405</v>
      </c>
      <c r="E54" s="14" t="s">
        <v>80</v>
      </c>
      <c r="F54" s="15" t="n">
        <v>46140</v>
      </c>
      <c r="G54" s="4" t="str">
        <f aca="false">IF(TRIM(SUBSTITUTE(SUBSTITUTE(SUBSTITUTE(SUBSTITUTE(SUBSTITUTE(SUBSTITUTE(SUBSTITUTE(SUBSTITUTE(SUBSTITUTE(SUBSTITUTE(SUBSTITUTE(LOWER(TRIM(D54)),"ё","е")," -","-"),"- ","-")," 2 разряда","")," 3 разряда","")," 4 разряда","")," 5 разряда","")," 6 разряда","")," 1 категории","")," 2 категории","")," 3 категории",""))="инженер",IF(AND(ISNUMBER(SEARCH("техническ",E54)),ISNUMBER(SEARCH("контрол",E54))),"инженер отк",IF(ISNUMBER(SEARCH("диспетч",E54)),"инженер пдо",TRIM(SUBSTITUTE(SUBSTITUTE(SUBSTITUTE(SUBSTITUTE(SUBSTITUTE(SUBSTITUTE(SUBSTITUTE(SUBSTITUTE(SUBSTITUTE(SUBSTITUTE(SUBSTITUTE(LOWER(TRIM(D54)),"ё","е"),"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категории","")))),IF(TRIM(SUBSTITUTE(SUBSTITUTE(SUBSTITUTE(SUBSTITUTE(SUBSTITUTE(SUBSTITUTE(SUBSTITUTE(SUBSTITUTE(SUBSTITUTE(SUBSTITUTE(SUBSTITUTE(LOWER(TRIM(D54)),"ё","е")," -","-"),"- ","-")," 2 разряда","")," 3 разряда","")," 4 разряда","")," 5 разряда","")," 6 разряда","")," 1 категории","")," 2 категории","")," 3 категории",""))="ведущий инженер",IF(ISNUMBER(SEARCH("диспетч",E54)),"ведущий инженер пдо",TRIM(SUBSTITUTE(SUBSTITUTE(SUBSTITUTE(SUBSTITUTE(SUBSTITUTE(SUBSTITUTE(SUBSTITUTE(SUBSTITUTE(SUBSTITUTE(SUBSTITUTE(SUBSTITUTE(LOWER(TRIM(D54)),"ё","е"),"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отк",TRIM(SUBSTITUTE(SUBSTITUTE(SUBSTITUTE(SUBSTITUTE(SUBSTITUTE(SUBSTITUTE(SUBSTITUTE(SUBSTITUTE(SUBSTITUTE(SUBSTITUTE(SUBSTITUTE(LOWER(TRIM(D54)),"ё","е")," -","-"),"- ","-")," 2 разряда","")," 3 разряда","")," 4 разряда","")," 5 разряда","")," 6 разряда","")," 1 категории","")," 2 категории","")," 3 категории","")))))</f>
        <v>электромонтажник</v>
      </c>
      <c r="H54" s="11" t="n">
        <f aca="false">IFERROR(INDEX(Соответствие!$B$2:$B$76,MATCH(G54,Соответствие!$A$2:$A$76,0)),"?")</f>
        <v>20</v>
      </c>
      <c r="I54" s="8" t="str">
        <f aca="false">IFERROR(INDEX('Перечень должностей'!$C$2:$C$46,MATCH(H54,'Перечень должностей'!$A$2:$A$46,0)),"")</f>
        <v>п.4.3.1, п.4.3.2, п.4.4, п.4.9, п.5.1, п.5.2, п.6.2, п.9</v>
      </c>
      <c r="J54" s="11" t="n">
        <f aca="false">IFERROR(INDEX('Перечень должностей'!$D$2:$D$46,MATCH(H54,'Перечень должностей'!$A$2:$A$46,0)),12)</f>
        <v>12</v>
      </c>
      <c r="K54" s="16"/>
      <c r="L54" s="16"/>
      <c r="M54" s="15" t="str">
        <f aca="false">IF(K54="","",EDATE(IF(L54&lt;&gt;"",L54,K54),J54))</f>
        <v/>
      </c>
      <c r="N54" s="11" t="str">
        <f aca="false">IFERROR(INDEX('Перечень должностей'!$F$2:$F$46,MATCH(H54,'Перечень должностей'!$A$2:$A$46,0)),"")</f>
        <v>Да</v>
      </c>
      <c r="O54" s="16"/>
      <c r="P54" s="15" t="str">
        <f aca="false">IF(O54="","",EDATE(O54,60))</f>
        <v/>
      </c>
      <c r="Q54" s="11" t="str">
        <f aca="false">IF(AND(K54&lt;&gt;"",F54&lt;&gt;"",K54&gt;F54),"ДА","")</f>
        <v/>
      </c>
      <c r="R54" s="8" t="s">
        <v>453</v>
      </c>
    </row>
    <row r="55" customFormat="false" ht="26.25" hidden="false" customHeight="true" outlineLevel="0" collapsed="false">
      <c r="A55" s="14" t="n">
        <v>54</v>
      </c>
      <c r="B55" s="11" t="s">
        <v>81</v>
      </c>
      <c r="C55" s="14" t="s">
        <v>455</v>
      </c>
      <c r="D55" s="14" t="s">
        <v>405</v>
      </c>
      <c r="E55" s="14" t="s">
        <v>80</v>
      </c>
      <c r="F55" s="15" t="n">
        <v>45796</v>
      </c>
      <c r="G55" s="4" t="str">
        <f aca="false">IF(TRIM(SUBSTITUTE(SUBSTITUTE(SUBSTITUTE(SUBSTITUTE(SUBSTITUTE(SUBSTITUTE(SUBSTITUTE(SUBSTITUTE(SUBSTITUTE(SUBSTITUTE(SUBSTITUTE(LOWER(TRIM(D55)),"ё","е")," -","-"),"- ","-")," 2 разряда","")," 3 разряда","")," 4 разряда","")," 5 разряда","")," 6 разряда","")," 1 категории","")," 2 категории","")," 3 категории",""))="инженер",IF(AND(ISNUMBER(SEARCH("техническ",E55)),ISNUMBER(SEARCH("контрол",E55))),"инженер отк",IF(ISNUMBER(SEARCH("диспетч",E55)),"инженер пдо",TRIM(SUBSTITUTE(SUBSTITUTE(SUBSTITUTE(SUBSTITUTE(SUBSTITUTE(SUBSTITUTE(SUBSTITUTE(SUBSTITUTE(SUBSTITUTE(SUBSTITUTE(SUBSTITUTE(LOWER(TRIM(D55)),"ё","е"),"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категории","")))),IF(TRIM(SUBSTITUTE(SUBSTITUTE(SUBSTITUTE(SUBSTITUTE(SUBSTITUTE(SUBSTITUTE(SUBSTITUTE(SUBSTITUTE(SUBSTITUTE(SUBSTITUTE(SUBSTITUTE(LOWER(TRIM(D55)),"ё","е")," -","-"),"- ","-")," 2 разряда","")," 3 разряда","")," 4 разряда","")," 5 разряда","")," 6 разряда","")," 1 категории","")," 2 категории","")," 3 категории",""))="ведущий инженер",IF(ISNUMBER(SEARCH("диспетч",E55)),"ведущий инженер пдо",TRIM(SUBSTITUTE(SUBSTITUTE(SUBSTITUTE(SUBSTITUTE(SUBSTITUTE(SUBSTITUTE(SUBSTITUTE(SUBSTITUTE(SUBSTITUTE(SUBSTITUTE(SUBSTITUTE(LOWER(TRIM(D55)),"ё","е"),"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отк",TRIM(SUBSTITUTE(SUBSTITUTE(SUBSTITUTE(SUBSTITUTE(SUBSTITUTE(SUBSTITUTE(SUBSTITUTE(SUBSTITUTE(SUBSTITUTE(SUBSTITUTE(SUBSTITUTE(LOWER(TRIM(D55)),"ё","е")," -","-"),"- ","-")," 2 разряда","")," 3 разряда","")," 4 разряда","")," 5 разряда","")," 6 разряда","")," 1 категории","")," 2 категории","")," 3 категории","")))))</f>
        <v>электромонтажник</v>
      </c>
      <c r="H55" s="11" t="n">
        <f aca="false">IFERROR(INDEX(Соответствие!$B$2:$B$76,MATCH(G55,Соответствие!$A$2:$A$76,0)),"?")</f>
        <v>20</v>
      </c>
      <c r="I55" s="8" t="str">
        <f aca="false">IFERROR(INDEX('Перечень должностей'!$C$2:$C$46,MATCH(H55,'Перечень должностей'!$A$2:$A$46,0)),"")</f>
        <v>п.4.3.1, п.4.3.2, п.4.4, п.4.9, п.5.1, п.5.2, п.6.2, п.9</v>
      </c>
      <c r="J55" s="11" t="n">
        <f aca="false">IFERROR(INDEX('Перечень должностей'!$D$2:$D$46,MATCH(H55,'Перечень должностей'!$A$2:$A$46,0)),12)</f>
        <v>12</v>
      </c>
      <c r="K55" s="16" t="n">
        <v>45784</v>
      </c>
      <c r="L55" s="16"/>
      <c r="M55" s="15" t="n">
        <f aca="false">IF(K55="","",EDATE(IF(L55&lt;&gt;"",L55,K55),J55))</f>
        <v>46149</v>
      </c>
      <c r="N55" s="11" t="str">
        <f aca="false">IFERROR(INDEX('Перечень должностей'!$F$2:$F$46,MATCH(H55,'Перечень должностей'!$A$2:$A$46,0)),"")</f>
        <v>Да</v>
      </c>
      <c r="O55" s="16"/>
      <c r="P55" s="15" t="str">
        <f aca="false">IF(O55="","",EDATE(O55,60))</f>
        <v/>
      </c>
      <c r="Q55" s="11" t="str">
        <f aca="false">IF(AND(K55&lt;&gt;"",F55&lt;&gt;"",K55&gt;F55),"ДА","")</f>
        <v/>
      </c>
      <c r="R55" s="8" t="s">
        <v>453</v>
      </c>
    </row>
    <row r="56" customFormat="false" ht="26.25" hidden="false" customHeight="true" outlineLevel="0" collapsed="false">
      <c r="A56" s="14" t="n">
        <v>55</v>
      </c>
      <c r="B56" s="11" t="s">
        <v>81</v>
      </c>
      <c r="C56" s="14" t="s">
        <v>456</v>
      </c>
      <c r="D56" s="14" t="s">
        <v>405</v>
      </c>
      <c r="E56" s="14" t="s">
        <v>80</v>
      </c>
      <c r="F56" s="15" t="n">
        <v>45873</v>
      </c>
      <c r="G56" s="4" t="str">
        <f aca="false">IF(TRIM(SUBSTITUTE(SUBSTITUTE(SUBSTITUTE(SUBSTITUTE(SUBSTITUTE(SUBSTITUTE(SUBSTITUTE(SUBSTITUTE(SUBSTITUTE(SUBSTITUTE(SUBSTITUTE(LOWER(TRIM(D56)),"ё","е")," -","-"),"- ","-")," 2 разряда","")," 3 разряда","")," 4 разряда","")," 5 разряда","")," 6 разряда","")," 1 категории","")," 2 категории","")," 3 категории",""))="инженер",IF(AND(ISNUMBER(SEARCH("техническ",E56)),ISNUMBER(SEARCH("контрол",E56))),"инженер отк",IF(ISNUMBER(SEARCH("диспетч",E56)),"инженер пдо",TRIM(SUBSTITUTE(SUBSTITUTE(SUBSTITUTE(SUBSTITUTE(SUBSTITUTE(SUBSTITUTE(SUBSTITUTE(SUBSTITUTE(SUBSTITUTE(SUBSTITUTE(SUBSTITUTE(LOWER(TRIM(D56)),"ё","е"),"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категории","")))),IF(TRIM(SUBSTITUTE(SUBSTITUTE(SUBSTITUTE(SUBSTITUTE(SUBSTITUTE(SUBSTITUTE(SUBSTITUTE(SUBSTITUTE(SUBSTITUTE(SUBSTITUTE(SUBSTITUTE(LOWER(TRIM(D56)),"ё","е")," -","-"),"- ","-")," 2 разряда","")," 3 разряда","")," 4 разряда","")," 5 разряда","")," 6 разряда","")," 1 категории","")," 2 категории","")," 3 категории",""))="ведущий инженер",IF(ISNUMBER(SEARCH("диспетч",E56)),"ведущий инженер пдо",TRIM(SUBSTITUTE(SUBSTITUTE(SUBSTITUTE(SUBSTITUTE(SUBSTITUTE(SUBSTITUTE(SUBSTITUTE(SUBSTITUTE(SUBSTITUTE(SUBSTITUTE(SUBSTITUTE(LOWER(TRIM(D56)),"ё","е"),"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отк",TRIM(SUBSTITUTE(SUBSTITUTE(SUBSTITUTE(SUBSTITUTE(SUBSTITUTE(SUBSTITUTE(SUBSTITUTE(SUBSTITUTE(SUBSTITUTE(SUBSTITUTE(SUBSTITUTE(LOWER(TRIM(D56)),"ё","е")," -","-"),"- ","-")," 2 разряда","")," 3 разряда","")," 4 разряда","")," 5 разряда","")," 6 разряда","")," 1 категории","")," 2 категории","")," 3 категории","")))))</f>
        <v>электромонтажник</v>
      </c>
      <c r="H56" s="11" t="n">
        <f aca="false">IFERROR(INDEX(Соответствие!$B$2:$B$76,MATCH(G56,Соответствие!$A$2:$A$76,0)),"?")</f>
        <v>20</v>
      </c>
      <c r="I56" s="8" t="str">
        <f aca="false">IFERROR(INDEX('Перечень должностей'!$C$2:$C$46,MATCH(H56,'Перечень должностей'!$A$2:$A$46,0)),"")</f>
        <v>п.4.3.1, п.4.3.2, п.4.4, п.4.9, п.5.1, п.5.2, п.6.2, п.9</v>
      </c>
      <c r="J56" s="11" t="n">
        <f aca="false">IFERROR(INDEX('Перечень должностей'!$D$2:$D$46,MATCH(H56,'Перечень должностей'!$A$2:$A$46,0)),12)</f>
        <v>12</v>
      </c>
      <c r="K56" s="16"/>
      <c r="L56" s="16"/>
      <c r="M56" s="15" t="str">
        <f aca="false">IF(K56="","",EDATE(IF(L56&lt;&gt;"",L56,K56),J56))</f>
        <v/>
      </c>
      <c r="N56" s="11" t="str">
        <f aca="false">IFERROR(INDEX('Перечень должностей'!$F$2:$F$46,MATCH(H56,'Перечень должностей'!$A$2:$A$46,0)),"")</f>
        <v>Да</v>
      </c>
      <c r="O56" s="16"/>
      <c r="P56" s="15" t="str">
        <f aca="false">IF(O56="","",EDATE(O56,60))</f>
        <v/>
      </c>
      <c r="Q56" s="11" t="str">
        <f aca="false">IF(AND(K56&lt;&gt;"",F56&lt;&gt;"",K56&gt;F56),"ДА","")</f>
        <v/>
      </c>
      <c r="R56" s="8" t="s">
        <v>453</v>
      </c>
    </row>
    <row r="57" customFormat="false" ht="26.25" hidden="false" customHeight="true" outlineLevel="0" collapsed="false">
      <c r="A57" s="14" t="n">
        <v>56</v>
      </c>
      <c r="B57" s="11" t="s">
        <v>81</v>
      </c>
      <c r="C57" s="14" t="s">
        <v>457</v>
      </c>
      <c r="D57" s="14" t="s">
        <v>405</v>
      </c>
      <c r="E57" s="14" t="s">
        <v>80</v>
      </c>
      <c r="F57" s="15" t="n">
        <v>45813</v>
      </c>
      <c r="G57" s="4" t="str">
        <f aca="false">IF(TRIM(SUBSTITUTE(SUBSTITUTE(SUBSTITUTE(SUBSTITUTE(SUBSTITUTE(SUBSTITUTE(SUBSTITUTE(SUBSTITUTE(SUBSTITUTE(SUBSTITUTE(SUBSTITUTE(LOWER(TRIM(D57)),"ё","е")," -","-"),"- ","-")," 2 разряда","")," 3 разряда","")," 4 разряда","")," 5 разряда","")," 6 разряда","")," 1 категории","")," 2 категории","")," 3 категории",""))="инженер",IF(AND(ISNUMBER(SEARCH("техническ",E57)),ISNUMBER(SEARCH("контрол",E57))),"инженер отк",IF(ISNUMBER(SEARCH("диспетч",E57)),"инженер пдо",TRIM(SUBSTITUTE(SUBSTITUTE(SUBSTITUTE(SUBSTITUTE(SUBSTITUTE(SUBSTITUTE(SUBSTITUTE(SUBSTITUTE(SUBSTITUTE(SUBSTITUTE(SUBSTITUTE(LOWER(TRIM(D57)),"ё","е"),"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категории","")))),IF(TRIM(SUBSTITUTE(SUBSTITUTE(SUBSTITUTE(SUBSTITUTE(SUBSTITUTE(SUBSTITUTE(SUBSTITUTE(SUBSTITUTE(SUBSTITUTE(SUBSTITUTE(SUBSTITUTE(LOWER(TRIM(D57)),"ё","е")," -","-"),"- ","-")," 2 разряда","")," 3 разряда","")," 4 разряда","")," 5 разряда","")," 6 разряда","")," 1 категории","")," 2 категории","")," 3 категории",""))="ведущий инженер",IF(ISNUMBER(SEARCH("диспетч",E57)),"ведущий инженер пдо",TRIM(SUBSTITUTE(SUBSTITUTE(SUBSTITUTE(SUBSTITUTE(SUBSTITUTE(SUBSTITUTE(SUBSTITUTE(SUBSTITUTE(SUBSTITUTE(SUBSTITUTE(SUBSTITUTE(LOWER(TRIM(D57)),"ё","е"),"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отк",TRIM(SUBSTITUTE(SUBSTITUTE(SUBSTITUTE(SUBSTITUTE(SUBSTITUTE(SUBSTITUTE(SUBSTITUTE(SUBSTITUTE(SUBSTITUTE(SUBSTITUTE(SUBSTITUTE(LOWER(TRIM(D57)),"ё","е")," -","-"),"- ","-")," 2 разряда","")," 3 разряда","")," 4 разряда","")," 5 разряда","")," 6 разряда","")," 1 категории","")," 2 категории","")," 3 категории","")))))</f>
        <v>электромонтажник</v>
      </c>
      <c r="H57" s="11" t="n">
        <f aca="false">IFERROR(INDEX(Соответствие!$B$2:$B$76,MATCH(G57,Соответствие!$A$2:$A$76,0)),"?")</f>
        <v>20</v>
      </c>
      <c r="I57" s="8" t="str">
        <f aca="false">IFERROR(INDEX('Перечень должностей'!$C$2:$C$46,MATCH(H57,'Перечень должностей'!$A$2:$A$46,0)),"")</f>
        <v>п.4.3.1, п.4.3.2, п.4.4, п.4.9, п.5.1, п.5.2, п.6.2, п.9</v>
      </c>
      <c r="J57" s="11" t="n">
        <f aca="false">IFERROR(INDEX('Перечень должностей'!$D$2:$D$46,MATCH(H57,'Перечень должностей'!$A$2:$A$46,0)),12)</f>
        <v>12</v>
      </c>
      <c r="K57" s="16" t="n">
        <v>45810</v>
      </c>
      <c r="L57" s="16"/>
      <c r="M57" s="15" t="n">
        <f aca="false">IF(K57="","",EDATE(IF(L57&lt;&gt;"",L57,K57),J57))</f>
        <v>46175</v>
      </c>
      <c r="N57" s="11" t="str">
        <f aca="false">IFERROR(INDEX('Перечень должностей'!$F$2:$F$46,MATCH(H57,'Перечень должностей'!$A$2:$A$46,0)),"")</f>
        <v>Да</v>
      </c>
      <c r="O57" s="16"/>
      <c r="P57" s="15" t="str">
        <f aca="false">IF(O57="","",EDATE(O57,60))</f>
        <v/>
      </c>
      <c r="Q57" s="11" t="str">
        <f aca="false">IF(AND(K57&lt;&gt;"",F57&lt;&gt;"",K57&gt;F57),"ДА","")</f>
        <v/>
      </c>
      <c r="R57" s="8" t="s">
        <v>453</v>
      </c>
    </row>
    <row r="58" customFormat="false" ht="26.25" hidden="false" customHeight="true" outlineLevel="0" collapsed="false">
      <c r="A58" s="14" t="n">
        <v>57</v>
      </c>
      <c r="B58" s="11" t="s">
        <v>81</v>
      </c>
      <c r="C58" s="14" t="s">
        <v>458</v>
      </c>
      <c r="D58" s="14" t="s">
        <v>405</v>
      </c>
      <c r="E58" s="14" t="s">
        <v>80</v>
      </c>
      <c r="F58" s="15" t="n">
        <v>45789</v>
      </c>
      <c r="G58" s="4" t="str">
        <f aca="false">IF(TRIM(SUBSTITUTE(SUBSTITUTE(SUBSTITUTE(SUBSTITUTE(SUBSTITUTE(SUBSTITUTE(SUBSTITUTE(SUBSTITUTE(SUBSTITUTE(SUBSTITUTE(SUBSTITUTE(LOWER(TRIM(D58)),"ё","е")," -","-"),"- ","-")," 2 разряда","")," 3 разряда","")," 4 разряда","")," 5 разряда","")," 6 разряда","")," 1 категории","")," 2 категории","")," 3 категории",""))="инженер",IF(AND(ISNUMBER(SEARCH("техническ",E58)),ISNUMBER(SEARCH("контрол",E58))),"инженер отк",IF(ISNUMBER(SEARCH("диспетч",E58)),"инженер пдо",TRIM(SUBSTITUTE(SUBSTITUTE(SUBSTITUTE(SUBSTITUTE(SUBSTITUTE(SUBSTITUTE(SUBSTITUTE(SUBSTITUTE(SUBSTITUTE(SUBSTITUTE(SUBSTITUTE(LOWER(TRIM(D58)),"ё","е"),"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категории","")))),IF(TRIM(SUBSTITUTE(SUBSTITUTE(SUBSTITUTE(SUBSTITUTE(SUBSTITUTE(SUBSTITUTE(SUBSTITUTE(SUBSTITUTE(SUBSTITUTE(SUBSTITUTE(SUBSTITUTE(LOWER(TRIM(D58)),"ё","е")," -","-"),"- ","-")," 2 разряда","")," 3 разряда","")," 4 разряда","")," 5 разряда","")," 6 разряда","")," 1 категории","")," 2 категории","")," 3 категории",""))="ведущий инженер",IF(ISNUMBER(SEARCH("диспетч",E58)),"ведущий инженер пдо",TRIM(SUBSTITUTE(SUBSTITUTE(SUBSTITUTE(SUBSTITUTE(SUBSTITUTE(SUBSTITUTE(SUBSTITUTE(SUBSTITUTE(SUBSTITUTE(SUBSTITUTE(SUBSTITUTE(LOWER(TRIM(D58)),"ё","е"),"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отк",TRIM(SUBSTITUTE(SUBSTITUTE(SUBSTITUTE(SUBSTITUTE(SUBSTITUTE(SUBSTITUTE(SUBSTITUTE(SUBSTITUTE(SUBSTITUTE(SUBSTITUTE(SUBSTITUTE(LOWER(TRIM(D58)),"ё","е")," -","-"),"- ","-")," 2 разряда","")," 3 разряда","")," 4 разряда","")," 5 разряда","")," 6 разряда","")," 1 категории","")," 2 категории","")," 3 категории","")))))</f>
        <v>электромонтажник</v>
      </c>
      <c r="H58" s="11" t="n">
        <f aca="false">IFERROR(INDEX(Соответствие!$B$2:$B$76,MATCH(G58,Соответствие!$A$2:$A$76,0)),"?")</f>
        <v>20</v>
      </c>
      <c r="I58" s="8" t="str">
        <f aca="false">IFERROR(INDEX('Перечень должностей'!$C$2:$C$46,MATCH(H58,'Перечень должностей'!$A$2:$A$46,0)),"")</f>
        <v>п.4.3.1, п.4.3.2, п.4.4, п.4.9, п.5.1, п.5.2, п.6.2, п.9</v>
      </c>
      <c r="J58" s="11" t="n">
        <f aca="false">IFERROR(INDEX('Перечень должностей'!$D$2:$D$46,MATCH(H58,'Перечень должностей'!$A$2:$A$46,0)),12)</f>
        <v>12</v>
      </c>
      <c r="K58" s="16"/>
      <c r="L58" s="16"/>
      <c r="M58" s="15" t="str">
        <f aca="false">IF(K58="","",EDATE(IF(L58&lt;&gt;"",L58,K58),J58))</f>
        <v/>
      </c>
      <c r="N58" s="11" t="str">
        <f aca="false">IFERROR(INDEX('Перечень должностей'!$F$2:$F$46,MATCH(H58,'Перечень должностей'!$A$2:$A$46,0)),"")</f>
        <v>Да</v>
      </c>
      <c r="O58" s="16"/>
      <c r="P58" s="15" t="str">
        <f aca="false">IF(O58="","",EDATE(O58,60))</f>
        <v/>
      </c>
      <c r="Q58" s="11" t="str">
        <f aca="false">IF(AND(K58&lt;&gt;"",F58&lt;&gt;"",K58&gt;F58),"ДА","")</f>
        <v/>
      </c>
      <c r="R58" s="8" t="s">
        <v>453</v>
      </c>
    </row>
    <row r="59" customFormat="false" ht="26.25" hidden="false" customHeight="true" outlineLevel="0" collapsed="false">
      <c r="A59" s="14" t="n">
        <v>58</v>
      </c>
      <c r="B59" s="11" t="s">
        <v>81</v>
      </c>
      <c r="C59" s="14" t="s">
        <v>459</v>
      </c>
      <c r="D59" s="14" t="s">
        <v>405</v>
      </c>
      <c r="E59" s="14" t="s">
        <v>80</v>
      </c>
      <c r="F59" s="15" t="n">
        <v>45769</v>
      </c>
      <c r="G59" s="4" t="str">
        <f aca="false">IF(TRIM(SUBSTITUTE(SUBSTITUTE(SUBSTITUTE(SUBSTITUTE(SUBSTITUTE(SUBSTITUTE(SUBSTITUTE(SUBSTITUTE(SUBSTITUTE(SUBSTITUTE(SUBSTITUTE(LOWER(TRIM(D59)),"ё","е")," -","-"),"- ","-")," 2 разряда","")," 3 разряда","")," 4 разряда","")," 5 разряда","")," 6 разряда","")," 1 категории","")," 2 категории","")," 3 категории",""))="инженер",IF(AND(ISNUMBER(SEARCH("техническ",E59)),ISNUMBER(SEARCH("контрол",E59))),"инженер отк",IF(ISNUMBER(SEARCH("диспетч",E59)),"инженер пдо",TRIM(SUBSTITUTE(SUBSTITUTE(SUBSTITUTE(SUBSTITUTE(SUBSTITUTE(SUBSTITUTE(SUBSTITUTE(SUBSTITUTE(SUBSTITUTE(SUBSTITUTE(SUBSTITUTE(LOWER(TRIM(D59)),"ё","е"),"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категории","")))),IF(TRIM(SUBSTITUTE(SUBSTITUTE(SUBSTITUTE(SUBSTITUTE(SUBSTITUTE(SUBSTITUTE(SUBSTITUTE(SUBSTITUTE(SUBSTITUTE(SUBSTITUTE(SUBSTITUTE(LOWER(TRIM(D59)),"ё","е")," -","-"),"- ","-")," 2 разряда","")," 3 разряда","")," 4 разряда","")," 5 разряда","")," 6 разряда","")," 1 категории","")," 2 категории","")," 3 категории",""))="ведущий инженер",IF(ISNUMBER(SEARCH("диспетч",E59)),"ведущий инженер пдо",TRIM(SUBSTITUTE(SUBSTITUTE(SUBSTITUTE(SUBSTITUTE(SUBSTITUTE(SUBSTITUTE(SUBSTITUTE(SUBSTITUTE(SUBSTITUTE(SUBSTITUTE(SUBSTITUTE(LOWER(TRIM(D59)),"ё","е"),"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категории",""))),IF(TRIM(SUBSTITUTE(SUBSTITUTE(SUBSTITUTE(SUBSTITUTE(SUBSTITUTE(SUBSTITUTE(SUBSTITUTE(SUBSTITUTE(SUBSTITUTE(SUBSTITUTE(SUBSTITUTE(LOWER(TRIM(D59)),"ё","е"),"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отк",TRIM(SUBSTITUTE(SUBSTITUTE(SUBSTITUTE(SUBSTITUTE(SUBSTITUTE(SUBSTITUTE(SUBSTITUTE(SUBSTITUTE(SUBSTITUTE(SUBSTITUTE(SUBSTITUTE(LOWER(TRIM(D59)),"ё","е")," -","-"),"- ","-")," 2 разряда","")," 3 разряда","")," 4 разряда","")," 5 разряда","")," 6 разряда","")," 1 категории","")," 2 категории","")," 3 категории","")))))</f>
        <v>электромонтажник</v>
      </c>
      <c r="H59" s="11" t="n">
        <f aca="false">IFERROR(INDEX(Соответствие!$B$2:$B$76,MATCH(G59,Соответствие!$A$2:$A$76,0)),"?")</f>
        <v>20</v>
      </c>
      <c r="I59" s="8" t="str">
        <f aca="false">IFERROR(INDEX('Перечень должностей'!$C$2:$C$46,MATCH(H59,'Перечень должностей'!$A$2:$A$46,0)),"")</f>
        <v>п.4.3.1, п.4.3.2, п.4.4, п.4.9, п.5.1, п.5.2, п.6.2, п.9</v>
      </c>
      <c r="J59" s="11" t="n">
        <f aca="false">IFERROR(INDEX('Перечень должностей'!$D$2:$D$46,MATCH(H59,'Перечень должностей'!$A$2:$A$46,0)),12)</f>
        <v>12</v>
      </c>
      <c r="K59" s="16"/>
      <c r="L59" s="16"/>
      <c r="M59" s="15" t="str">
        <f aca="false">IF(K59="","",EDATE(IF(L59&lt;&gt;"",L59,K59),J59))</f>
        <v/>
      </c>
      <c r="N59" s="11" t="str">
        <f aca="false">IFERROR(INDEX('Перечень должностей'!$F$2:$F$46,MATCH(H59,'Перечень должностей'!$A$2:$A$46,0)),"")</f>
        <v>Да</v>
      </c>
      <c r="O59" s="16"/>
      <c r="P59" s="15" t="str">
        <f aca="false">IF(O59="","",EDATE(O59,60))</f>
        <v/>
      </c>
      <c r="Q59" s="11" t="str">
        <f aca="false">IF(AND(K59&lt;&gt;"",F59&lt;&gt;"",K59&gt;F59),"ДА","")</f>
        <v/>
      </c>
      <c r="R59" s="8" t="s">
        <v>453</v>
      </c>
    </row>
    <row r="60" customFormat="false" ht="26.25" hidden="false" customHeight="true" outlineLevel="0" collapsed="false">
      <c r="A60" s="14" t="n">
        <v>59</v>
      </c>
      <c r="B60" s="11" t="s">
        <v>81</v>
      </c>
      <c r="C60" s="14" t="s">
        <v>460</v>
      </c>
      <c r="D60" s="14" t="s">
        <v>407</v>
      </c>
      <c r="E60" s="14" t="s">
        <v>80</v>
      </c>
      <c r="F60" s="15" t="n">
        <v>45797</v>
      </c>
      <c r="G60" s="4" t="str">
        <f aca="false">IF(TRIM(SUBSTITUTE(SUBSTITUTE(SUBSTITUTE(SUBSTITUTE(SUBSTITUTE(SUBSTITUTE(SUBSTITUTE(SUBSTITUTE(SUBSTITUTE(SUBSTITUTE(SUBSTITUTE(LOWER(TRIM(D60)),"ё","е")," -","-"),"- ","-")," 2 разряда","")," 3 разряда","")," 4 разряда","")," 5 разряда","")," 6 разряда","")," 1 категории","")," 2 категории","")," 3 категории",""))="инженер",IF(AND(ISNUMBER(SEARCH("техническ",E60)),ISNUMBER(SEARCH("контрол",E60))),"инженер отк",IF(ISNUMBER(SEARCH("диспетч",E60)),"инженер пдо",TRIM(SUBSTITUTE(SUBSTITUTE(SUBSTITUTE(SUBSTITUTE(SUBSTITUTE(SUBSTITUTE(SUBSTITUTE(SUBSTITUTE(SUBSTITUTE(SUBSTITUTE(SUBSTITUTE(LOWER(TRIM(D60)),"ё","е"),"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категории","")))),IF(TRIM(SUBSTITUTE(SUBSTITUTE(SUBSTITUTE(SUBSTITUTE(SUBSTITUTE(SUBSTITUTE(SUBSTITUTE(SUBSTITUTE(SUBSTITUTE(SUBSTITUTE(SUBSTITUTE(LOWER(TRIM(D60)),"ё","е")," -","-"),"- ","-")," 2 разряда","")," 3 разряда","")," 4 разряда","")," 5 разряда","")," 6 разряда","")," 1 категории","")," 2 категории","")," 3 категории",""))="ведущий инженер",IF(ISNUMBER(SEARCH("диспетч",E60)),"ведущий инженер пдо",TRIM(SUBSTITUTE(SUBSTITUTE(SUBSTITUTE(SUBSTITUTE(SUBSTITUTE(SUBSTITUTE(SUBSTITUTE(SUBSTITUTE(SUBSTITUTE(SUBSTITUTE(SUBSTITUTE(LOWER(TRIM(D60)),"ё","е"),"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отк",TRIM(SUBSTITUTE(SUBSTITUTE(SUBSTITUTE(SUBSTITUTE(SUBSTITUTE(SUBSTITUTE(SUBSTITUTE(SUBSTITUTE(SUBSTITUTE(SUBSTITUTE(SUBSTITUTE(LOWER(TRIM(D60)),"ё","е")," -","-"),"- ","-")," 2 разряда","")," 3 разряда","")," 4 разряда","")," 5 разряда","")," 6 разряда","")," 1 категории","")," 2 категории","")," 3 категории","")))))</f>
        <v>электромонтажник</v>
      </c>
      <c r="H60" s="11" t="n">
        <f aca="false">IFERROR(INDEX(Соответствие!$B$2:$B$76,MATCH(G60,Соответствие!$A$2:$A$76,0)),"?")</f>
        <v>20</v>
      </c>
      <c r="I60" s="8" t="str">
        <f aca="false">IFERROR(INDEX('Перечень должностей'!$C$2:$C$46,MATCH(H60,'Перечень должностей'!$A$2:$A$46,0)),"")</f>
        <v>п.4.3.1, п.4.3.2, п.4.4, п.4.9, п.5.1, п.5.2, п.6.2, п.9</v>
      </c>
      <c r="J60" s="11" t="n">
        <f aca="false">IFERROR(INDEX('Перечень должностей'!$D$2:$D$46,MATCH(H60,'Перечень должностей'!$A$2:$A$46,0)),12)</f>
        <v>12</v>
      </c>
      <c r="K60" s="16" t="n">
        <v>45768</v>
      </c>
      <c r="L60" s="16"/>
      <c r="M60" s="15" t="n">
        <f aca="false">IF(K60="","",EDATE(IF(L60&lt;&gt;"",L60,K60),J60))</f>
        <v>46133</v>
      </c>
      <c r="N60" s="11" t="str">
        <f aca="false">IFERROR(INDEX('Перечень должностей'!$F$2:$F$46,MATCH(H60,'Перечень должностей'!$A$2:$A$46,0)),"")</f>
        <v>Да</v>
      </c>
      <c r="O60" s="16"/>
      <c r="P60" s="15" t="str">
        <f aca="false">IF(O60="","",EDATE(O60,60))</f>
        <v/>
      </c>
      <c r="Q60" s="11" t="str">
        <f aca="false">IF(AND(K60&lt;&gt;"",F60&lt;&gt;"",K60&gt;F60),"ДА","")</f>
        <v/>
      </c>
      <c r="R60" s="8" t="s">
        <v>453</v>
      </c>
    </row>
    <row r="61" customFormat="false" ht="26.25" hidden="false" customHeight="true" outlineLevel="0" collapsed="false">
      <c r="A61" s="14" t="n">
        <v>60</v>
      </c>
      <c r="B61" s="11" t="s">
        <v>81</v>
      </c>
      <c r="C61" s="14" t="s">
        <v>461</v>
      </c>
      <c r="D61" s="14" t="s">
        <v>407</v>
      </c>
      <c r="E61" s="14" t="s">
        <v>428</v>
      </c>
      <c r="F61" s="15" t="n">
        <v>44124</v>
      </c>
      <c r="G61" s="4" t="str">
        <f aca="false">IF(TRIM(SUBSTITUTE(SUBSTITUTE(SUBSTITUTE(SUBSTITUTE(SUBSTITUTE(SUBSTITUTE(SUBSTITUTE(SUBSTITUTE(SUBSTITUTE(SUBSTITUTE(SUBSTITUTE(LOWER(TRIM(D61)),"ё","е")," -","-"),"- ","-")," 2 разряда","")," 3 разряда","")," 4 разряда","")," 5 разряда","")," 6 разряда","")," 1 категории","")," 2 категории","")," 3 категории",""))="инженер",IF(AND(ISNUMBER(SEARCH("техническ",E61)),ISNUMBER(SEARCH("контрол",E61))),"инженер отк",IF(ISNUMBER(SEARCH("диспетч",E61)),"инженер пдо",TRIM(SUBSTITUTE(SUBSTITUTE(SUBSTITUTE(SUBSTITUTE(SUBSTITUTE(SUBSTITUTE(SUBSTITUTE(SUBSTITUTE(SUBSTITUTE(SUBSTITUTE(SUBSTITUTE(LOWER(TRIM(D61)),"ё","е"),"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категории","")))),IF(TRIM(SUBSTITUTE(SUBSTITUTE(SUBSTITUTE(SUBSTITUTE(SUBSTITUTE(SUBSTITUTE(SUBSTITUTE(SUBSTITUTE(SUBSTITUTE(SUBSTITUTE(SUBSTITUTE(LOWER(TRIM(D61)),"ё","е")," -","-"),"- ","-")," 2 разряда","")," 3 разряда","")," 4 разряда","")," 5 разряда","")," 6 разряда","")," 1 категории","")," 2 категории","")," 3 категории",""))="ведущий инженер",IF(ISNUMBER(SEARCH("диспетч",E61)),"ведущий инженер пдо",TRIM(SUBSTITUTE(SUBSTITUTE(SUBSTITUTE(SUBSTITUTE(SUBSTITUTE(SUBSTITUTE(SUBSTITUTE(SUBSTITUTE(SUBSTITUTE(SUBSTITUTE(SUBSTITUTE(LOWER(TRIM(D61)),"ё","е"),"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отк",TRIM(SUBSTITUTE(SUBSTITUTE(SUBSTITUTE(SUBSTITUTE(SUBSTITUTE(SUBSTITUTE(SUBSTITUTE(SUBSTITUTE(SUBSTITUTE(SUBSTITUTE(SUBSTITUTE(LOWER(TRIM(D61)),"ё","е")," -","-"),"- ","-")," 2 разряда","")," 3 разряда","")," 4 разряда","")," 5 разряда","")," 6 разряда","")," 1 категории","")," 2 категории","")," 3 категории","")))))</f>
        <v>электромонтажник</v>
      </c>
      <c r="H61" s="11" t="n">
        <f aca="false">IFERROR(INDEX(Соответствие!$B$2:$B$76,MATCH(G61,Соответствие!$A$2:$A$76,0)),"?")</f>
        <v>20</v>
      </c>
      <c r="I61" s="8" t="str">
        <f aca="false">IFERROR(INDEX('Перечень должностей'!$C$2:$C$46,MATCH(H61,'Перечень должностей'!$A$2:$A$46,0)),"")</f>
        <v>п.4.3.1, п.4.3.2, п.4.4, п.4.9, п.5.1, п.5.2, п.6.2, п.9</v>
      </c>
      <c r="J61" s="11" t="n">
        <f aca="false">IFERROR(INDEX('Перечень должностей'!$D$2:$D$46,MATCH(H61,'Перечень должностей'!$A$2:$A$46,0)),12)</f>
        <v>12</v>
      </c>
      <c r="K61" s="16" t="n">
        <v>44662</v>
      </c>
      <c r="L61" s="16"/>
      <c r="M61" s="15" t="n">
        <f aca="false">IF(K61="","",EDATE(IF(L61&lt;&gt;"",L61,K61),J61))</f>
        <v>45027</v>
      </c>
      <c r="N61" s="11" t="str">
        <f aca="false">IFERROR(INDEX('Перечень должностей'!$F$2:$F$46,MATCH(H61,'Перечень должностей'!$A$2:$A$46,0)),"")</f>
        <v>Да</v>
      </c>
      <c r="O61" s="16"/>
      <c r="P61" s="15" t="str">
        <f aca="false">IF(O61="","",EDATE(O61,60))</f>
        <v/>
      </c>
      <c r="Q61" s="11" t="str">
        <f aca="false">IF(AND(K61&lt;&gt;"",F61&lt;&gt;"",K61&gt;F61),"ДА","")</f>
        <v>ДА</v>
      </c>
      <c r="R61" s="8"/>
    </row>
    <row r="62" customFormat="false" ht="26.25" hidden="false" customHeight="true" outlineLevel="0" collapsed="false">
      <c r="A62" s="14" t="n">
        <v>61</v>
      </c>
      <c r="B62" s="11" t="s">
        <v>81</v>
      </c>
      <c r="C62" s="14" t="s">
        <v>462</v>
      </c>
      <c r="D62" s="14" t="s">
        <v>407</v>
      </c>
      <c r="E62" s="14" t="s">
        <v>80</v>
      </c>
      <c r="F62" s="15" t="n">
        <v>45793</v>
      </c>
      <c r="G62" s="4" t="str">
        <f aca="false">IF(TRIM(SUBSTITUTE(SUBSTITUTE(SUBSTITUTE(SUBSTITUTE(SUBSTITUTE(SUBSTITUTE(SUBSTITUTE(SUBSTITUTE(SUBSTITUTE(SUBSTITUTE(SUBSTITUTE(LOWER(TRIM(D62)),"ё","е")," -","-"),"- ","-")," 2 разряда","")," 3 разряда","")," 4 разряда","")," 5 разряда","")," 6 разряда","")," 1 категории","")," 2 категории","")," 3 категории",""))="инженер",IF(AND(ISNUMBER(SEARCH("техническ",E62)),ISNUMBER(SEARCH("контрол",E62))),"инженер отк",IF(ISNUMBER(SEARCH("диспетч",E62)),"инженер пдо",TRIM(SUBSTITUTE(SUBSTITUTE(SUBSTITUTE(SUBSTITUTE(SUBSTITUTE(SUBSTITUTE(SUBSTITUTE(SUBSTITUTE(SUBSTITUTE(SUBSTITUTE(SUBSTITUTE(LOWER(TRIM(D62)),"ё","е"),"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категории","")))),IF(TRIM(SUBSTITUTE(SUBSTITUTE(SUBSTITUTE(SUBSTITUTE(SUBSTITUTE(SUBSTITUTE(SUBSTITUTE(SUBSTITUTE(SUBSTITUTE(SUBSTITUTE(SUBSTITUTE(LOWER(TRIM(D62)),"ё","е")," -","-"),"- ","-")," 2 разряда","")," 3 разряда","")," 4 разряда","")," 5 разряда","")," 6 разряда","")," 1 категории","")," 2 категории","")," 3 категории",""))="ведущий инженер",IF(ISNUMBER(SEARCH("диспетч",E62)),"ведущий инженер пдо",TRIM(SUBSTITUTE(SUBSTITUTE(SUBSTITUTE(SUBSTITUTE(SUBSTITUTE(SUBSTITUTE(SUBSTITUTE(SUBSTITUTE(SUBSTITUTE(SUBSTITUTE(SUBSTITUTE(LOWER(TRIM(D62)),"ё","е"),"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отк",TRIM(SUBSTITUTE(SUBSTITUTE(SUBSTITUTE(SUBSTITUTE(SUBSTITUTE(SUBSTITUTE(SUBSTITUTE(SUBSTITUTE(SUBSTITUTE(SUBSTITUTE(SUBSTITUTE(LOWER(TRIM(D62)),"ё","е")," -","-"),"- ","-")," 2 разряда","")," 3 разряда","")," 4 разряда","")," 5 разряда","")," 6 разряда","")," 1 категории","")," 2 категории","")," 3 категории","")))))</f>
        <v>электромонтажник</v>
      </c>
      <c r="H62" s="11" t="n">
        <f aca="false">IFERROR(INDEX(Соответствие!$B$2:$B$76,MATCH(G62,Соответствие!$A$2:$A$76,0)),"?")</f>
        <v>20</v>
      </c>
      <c r="I62" s="8" t="str">
        <f aca="false">IFERROR(INDEX('Перечень должностей'!$C$2:$C$46,MATCH(H62,'Перечень должностей'!$A$2:$A$46,0)),"")</f>
        <v>п.4.3.1, п.4.3.2, п.4.4, п.4.9, п.5.1, п.5.2, п.6.2, п.9</v>
      </c>
      <c r="J62" s="11" t="n">
        <f aca="false">IFERROR(INDEX('Перечень должностей'!$D$2:$D$46,MATCH(H62,'Перечень должностей'!$A$2:$A$46,0)),12)</f>
        <v>12</v>
      </c>
      <c r="K62" s="16" t="n">
        <v>45791</v>
      </c>
      <c r="L62" s="16"/>
      <c r="M62" s="15" t="n">
        <f aca="false">IF(K62="","",EDATE(IF(L62&lt;&gt;"",L62,K62),J62))</f>
        <v>46156</v>
      </c>
      <c r="N62" s="11" t="str">
        <f aca="false">IFERROR(INDEX('Перечень должностей'!$F$2:$F$46,MATCH(H62,'Перечень должностей'!$A$2:$A$46,0)),"")</f>
        <v>Да</v>
      </c>
      <c r="O62" s="16"/>
      <c r="P62" s="15" t="str">
        <f aca="false">IF(O62="","",EDATE(O62,60))</f>
        <v/>
      </c>
      <c r="Q62" s="11" t="str">
        <f aca="false">IF(AND(K62&lt;&gt;"",F62&lt;&gt;"",K62&gt;F62),"ДА","")</f>
        <v/>
      </c>
      <c r="R62" s="8" t="s">
        <v>453</v>
      </c>
    </row>
    <row r="63" customFormat="false" ht="26.25" hidden="false" customHeight="true" outlineLevel="0" collapsed="false">
      <c r="A63" s="14" t="n">
        <v>62</v>
      </c>
      <c r="B63" s="11" t="s">
        <v>81</v>
      </c>
      <c r="C63" s="14" t="s">
        <v>463</v>
      </c>
      <c r="D63" s="14" t="s">
        <v>407</v>
      </c>
      <c r="E63" s="14" t="s">
        <v>80</v>
      </c>
      <c r="F63" s="15" t="n">
        <v>44322</v>
      </c>
      <c r="G63" s="4" t="str">
        <f aca="false">IF(TRIM(SUBSTITUTE(SUBSTITUTE(SUBSTITUTE(SUBSTITUTE(SUBSTITUTE(SUBSTITUTE(SUBSTITUTE(SUBSTITUTE(SUBSTITUTE(SUBSTITUTE(SUBSTITUTE(LOWER(TRIM(D63)),"ё","е")," -","-"),"- ","-")," 2 разряда","")," 3 разряда","")," 4 разряда","")," 5 разряда","")," 6 разряда","")," 1 категории","")," 2 категории","")," 3 категории",""))="инженер",IF(AND(ISNUMBER(SEARCH("техническ",E63)),ISNUMBER(SEARCH("контрол",E63))),"инженер отк",IF(ISNUMBER(SEARCH("диспетч",E63)),"инженер пдо",TRIM(SUBSTITUTE(SUBSTITUTE(SUBSTITUTE(SUBSTITUTE(SUBSTITUTE(SUBSTITUTE(SUBSTITUTE(SUBSTITUTE(SUBSTITUTE(SUBSTITUTE(SUBSTITUTE(LOWER(TRIM(D63)),"ё","е"),"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категории","")))),IF(TRIM(SUBSTITUTE(SUBSTITUTE(SUBSTITUTE(SUBSTITUTE(SUBSTITUTE(SUBSTITUTE(SUBSTITUTE(SUBSTITUTE(SUBSTITUTE(SUBSTITUTE(SUBSTITUTE(LOWER(TRIM(D63)),"ё","е")," -","-"),"- ","-")," 2 разряда","")," 3 разряда","")," 4 разряда","")," 5 разряда","")," 6 разряда","")," 1 категории","")," 2 категории","")," 3 категории",""))="ведущий инженер",IF(ISNUMBER(SEARCH("диспетч",E63)),"ведущий инженер пдо",TRIM(SUBSTITUTE(SUBSTITUTE(SUBSTITUTE(SUBSTITUTE(SUBSTITUTE(SUBSTITUTE(SUBSTITUTE(SUBSTITUTE(SUBSTITUTE(SUBSTITUTE(SUBSTITUTE(LOWER(TRIM(D63)),"ё","е"),"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отк",TRIM(SUBSTITUTE(SUBSTITUTE(SUBSTITUTE(SUBSTITUTE(SUBSTITUTE(SUBSTITUTE(SUBSTITUTE(SUBSTITUTE(SUBSTITUTE(SUBSTITUTE(SUBSTITUTE(LOWER(TRIM(D63)),"ё","е")," -","-"),"- ","-")," 2 разряда","")," 3 разряда","")," 4 разряда","")," 5 разряда","")," 6 разряда","")," 1 категории","")," 2 категории","")," 3 категории","")))))</f>
        <v>электромонтажник</v>
      </c>
      <c r="H63" s="11" t="n">
        <f aca="false">IFERROR(INDEX(Соответствие!$B$2:$B$76,MATCH(G63,Соответствие!$A$2:$A$76,0)),"?")</f>
        <v>20</v>
      </c>
      <c r="I63" s="8" t="str">
        <f aca="false">IFERROR(INDEX('Перечень должностей'!$C$2:$C$46,MATCH(H63,'Перечень должностей'!$A$2:$A$46,0)),"")</f>
        <v>п.4.3.1, п.4.3.2, п.4.4, п.4.9, п.5.1, п.5.2, п.6.2, п.9</v>
      </c>
      <c r="J63" s="11" t="n">
        <f aca="false">IFERROR(INDEX('Перечень должностей'!$D$2:$D$46,MATCH(H63,'Перечень должностей'!$A$2:$A$46,0)),12)</f>
        <v>12</v>
      </c>
      <c r="K63" s="16" t="n">
        <v>44662</v>
      </c>
      <c r="L63" s="16"/>
      <c r="M63" s="15" t="n">
        <f aca="false">IF(K63="","",EDATE(IF(L63&lt;&gt;"",L63,K63),J63))</f>
        <v>45027</v>
      </c>
      <c r="N63" s="11" t="str">
        <f aca="false">IFERROR(INDEX('Перечень должностей'!$F$2:$F$46,MATCH(H63,'Перечень должностей'!$A$2:$A$46,0)),"")</f>
        <v>Да</v>
      </c>
      <c r="O63" s="16"/>
      <c r="P63" s="15" t="str">
        <f aca="false">IF(O63="","",EDATE(O63,60))</f>
        <v/>
      </c>
      <c r="Q63" s="11" t="str">
        <f aca="false">IF(AND(K63&lt;&gt;"",F63&lt;&gt;"",K63&gt;F63),"ДА","")</f>
        <v>ДА</v>
      </c>
      <c r="R63" s="8" t="s">
        <v>453</v>
      </c>
    </row>
    <row r="64" customFormat="false" ht="26.25" hidden="false" customHeight="true" outlineLevel="0" collapsed="false">
      <c r="A64" s="14" t="n">
        <v>63</v>
      </c>
      <c r="B64" s="11" t="s">
        <v>81</v>
      </c>
      <c r="C64" s="14" t="s">
        <v>464</v>
      </c>
      <c r="D64" s="14" t="s">
        <v>407</v>
      </c>
      <c r="E64" s="14" t="s">
        <v>80</v>
      </c>
      <c r="F64" s="15" t="n">
        <v>45810</v>
      </c>
      <c r="G64" s="4" t="str">
        <f aca="false">IF(TRIM(SUBSTITUTE(SUBSTITUTE(SUBSTITUTE(SUBSTITUTE(SUBSTITUTE(SUBSTITUTE(SUBSTITUTE(SUBSTITUTE(SUBSTITUTE(SUBSTITUTE(SUBSTITUTE(LOWER(TRIM(D64)),"ё","е")," -","-"),"- ","-")," 2 разряда","")," 3 разряда","")," 4 разряда","")," 5 разряда","")," 6 разряда","")," 1 категории","")," 2 категории","")," 3 категории",""))="инженер",IF(AND(ISNUMBER(SEARCH("техническ",E64)),ISNUMBER(SEARCH("контрол",E64))),"инженер отк",IF(ISNUMBER(SEARCH("диспетч",E64)),"инженер пдо",TRIM(SUBSTITUTE(SUBSTITUTE(SUBSTITUTE(SUBSTITUTE(SUBSTITUTE(SUBSTITUTE(SUBSTITUTE(SUBSTITUTE(SUBSTITUTE(SUBSTITUTE(SUBSTITUTE(LOWER(TRIM(D64)),"ё","е"),"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категории","")))),IF(TRIM(SUBSTITUTE(SUBSTITUTE(SUBSTITUTE(SUBSTITUTE(SUBSTITUTE(SUBSTITUTE(SUBSTITUTE(SUBSTITUTE(SUBSTITUTE(SUBSTITUTE(SUBSTITUTE(LOWER(TRIM(D64)),"ё","е")," -","-"),"- ","-")," 2 разряда","")," 3 разряда","")," 4 разряда","")," 5 разряда","")," 6 разряда","")," 1 категории","")," 2 категории","")," 3 категории",""))="ведущий инженер",IF(ISNUMBER(SEARCH("диспетч",E64)),"ведущий инженер пдо",TRIM(SUBSTITUTE(SUBSTITUTE(SUBSTITUTE(SUBSTITUTE(SUBSTITUTE(SUBSTITUTE(SUBSTITUTE(SUBSTITUTE(SUBSTITUTE(SUBSTITUTE(SUBSTITUTE(LOWER(TRIM(D64)),"ё","е"),"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отк",TRIM(SUBSTITUTE(SUBSTITUTE(SUBSTITUTE(SUBSTITUTE(SUBSTITUTE(SUBSTITUTE(SUBSTITUTE(SUBSTITUTE(SUBSTITUTE(SUBSTITUTE(SUBSTITUTE(LOWER(TRIM(D64)),"ё","е")," -","-"),"- ","-")," 2 разряда","")," 3 разряда","")," 4 разряда","")," 5 разряда","")," 6 разряда","")," 1 категории","")," 2 категории","")," 3 категории","")))))</f>
        <v>электромонтажник</v>
      </c>
      <c r="H64" s="11" t="n">
        <f aca="false">IFERROR(INDEX(Соответствие!$B$2:$B$76,MATCH(G64,Соответствие!$A$2:$A$76,0)),"?")</f>
        <v>20</v>
      </c>
      <c r="I64" s="8" t="str">
        <f aca="false">IFERROR(INDEX('Перечень должностей'!$C$2:$C$46,MATCH(H64,'Перечень должностей'!$A$2:$A$46,0)),"")</f>
        <v>п.4.3.1, п.4.3.2, п.4.4, п.4.9, п.5.1, п.5.2, п.6.2, п.9</v>
      </c>
      <c r="J64" s="11" t="n">
        <f aca="false">IFERROR(INDEX('Перечень должностей'!$D$2:$D$46,MATCH(H64,'Перечень должностей'!$A$2:$A$46,0)),12)</f>
        <v>12</v>
      </c>
      <c r="K64" s="16" t="n">
        <v>45805</v>
      </c>
      <c r="L64" s="16"/>
      <c r="M64" s="15" t="n">
        <f aca="false">IF(K64="","",EDATE(IF(L64&lt;&gt;"",L64,K64),J64))</f>
        <v>46170</v>
      </c>
      <c r="N64" s="11" t="str">
        <f aca="false">IFERROR(INDEX('Перечень должностей'!$F$2:$F$46,MATCH(H64,'Перечень должностей'!$A$2:$A$46,0)),"")</f>
        <v>Да</v>
      </c>
      <c r="O64" s="16"/>
      <c r="P64" s="15" t="str">
        <f aca="false">IF(O64="","",EDATE(O64,60))</f>
        <v/>
      </c>
      <c r="Q64" s="11" t="str">
        <f aca="false">IF(AND(K64&lt;&gt;"",F64&lt;&gt;"",K64&gt;F64),"ДА","")</f>
        <v/>
      </c>
      <c r="R64" s="8" t="s">
        <v>453</v>
      </c>
    </row>
    <row r="65" customFormat="false" ht="26.25" hidden="false" customHeight="true" outlineLevel="0" collapsed="false">
      <c r="A65" s="14" t="n">
        <v>64</v>
      </c>
      <c r="B65" s="11" t="s">
        <v>81</v>
      </c>
      <c r="C65" s="14" t="s">
        <v>465</v>
      </c>
      <c r="D65" s="14" t="s">
        <v>407</v>
      </c>
      <c r="E65" s="14" t="s">
        <v>80</v>
      </c>
      <c r="F65" s="15" t="n">
        <v>45846</v>
      </c>
      <c r="G65" s="4" t="str">
        <f aca="false">IF(TRIM(SUBSTITUTE(SUBSTITUTE(SUBSTITUTE(SUBSTITUTE(SUBSTITUTE(SUBSTITUTE(SUBSTITUTE(SUBSTITUTE(SUBSTITUTE(SUBSTITUTE(SUBSTITUTE(LOWER(TRIM(D65)),"ё","е")," -","-"),"- ","-")," 2 разряда","")," 3 разряда","")," 4 разряда","")," 5 разряда","")," 6 разряда","")," 1 категории","")," 2 категории","")," 3 категории",""))="инженер",IF(AND(ISNUMBER(SEARCH("техническ",E65)),ISNUMBER(SEARCH("контрол",E65))),"инженер отк",IF(ISNUMBER(SEARCH("диспетч",E65)),"инженер пдо",TRIM(SUBSTITUTE(SUBSTITUTE(SUBSTITUTE(SUBSTITUTE(SUBSTITUTE(SUBSTITUTE(SUBSTITUTE(SUBSTITUTE(SUBSTITUTE(SUBSTITUTE(SUBSTITUTE(LOWER(TRIM(D65)),"ё","е"),"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категории","")))),IF(TRIM(SUBSTITUTE(SUBSTITUTE(SUBSTITUTE(SUBSTITUTE(SUBSTITUTE(SUBSTITUTE(SUBSTITUTE(SUBSTITUTE(SUBSTITUTE(SUBSTITUTE(SUBSTITUTE(LOWER(TRIM(D65)),"ё","е")," -","-"),"- ","-")," 2 разряда","")," 3 разряда","")," 4 разряда","")," 5 разряда","")," 6 разряда","")," 1 категории","")," 2 категории","")," 3 категории",""))="ведущий инженер",IF(ISNUMBER(SEARCH("диспетч",E65)),"ведущий инженер пдо",TRIM(SUBSTITUTE(SUBSTITUTE(SUBSTITUTE(SUBSTITUTE(SUBSTITUTE(SUBSTITUTE(SUBSTITUTE(SUBSTITUTE(SUBSTITUTE(SUBSTITUTE(SUBSTITUTE(LOWER(TRIM(D65)),"ё","е"),"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отк",TRIM(SUBSTITUTE(SUBSTITUTE(SUBSTITUTE(SUBSTITUTE(SUBSTITUTE(SUBSTITUTE(SUBSTITUTE(SUBSTITUTE(SUBSTITUTE(SUBSTITUTE(SUBSTITUTE(LOWER(TRIM(D65)),"ё","е")," -","-"),"- ","-")," 2 разряда","")," 3 разряда","")," 4 разряда","")," 5 разряда","")," 6 разряда","")," 1 категории","")," 2 категории","")," 3 категории","")))))</f>
        <v>электромонтажник</v>
      </c>
      <c r="H65" s="11" t="n">
        <f aca="false">IFERROR(INDEX(Соответствие!$B$2:$B$76,MATCH(G65,Соответствие!$A$2:$A$76,0)),"?")</f>
        <v>20</v>
      </c>
      <c r="I65" s="8" t="str">
        <f aca="false">IFERROR(INDEX('Перечень должностей'!$C$2:$C$46,MATCH(H65,'Перечень должностей'!$A$2:$A$46,0)),"")</f>
        <v>п.4.3.1, п.4.3.2, п.4.4, п.4.9, п.5.1, п.5.2, п.6.2, п.9</v>
      </c>
      <c r="J65" s="11" t="n">
        <f aca="false">IFERROR(INDEX('Перечень должностей'!$D$2:$D$46,MATCH(H65,'Перечень должностей'!$A$2:$A$46,0)),12)</f>
        <v>12</v>
      </c>
      <c r="K65" s="16"/>
      <c r="L65" s="16"/>
      <c r="M65" s="15" t="str">
        <f aca="false">IF(K65="","",EDATE(IF(L65&lt;&gt;"",L65,K65),J65))</f>
        <v/>
      </c>
      <c r="N65" s="11" t="str">
        <f aca="false">IFERROR(INDEX('Перечень должностей'!$F$2:$F$46,MATCH(H65,'Перечень должностей'!$A$2:$A$46,0)),"")</f>
        <v>Да</v>
      </c>
      <c r="O65" s="16"/>
      <c r="P65" s="15" t="str">
        <f aca="false">IF(O65="","",EDATE(O65,60))</f>
        <v/>
      </c>
      <c r="Q65" s="11" t="str">
        <f aca="false">IF(AND(K65&lt;&gt;"",F65&lt;&gt;"",K65&gt;F65),"ДА","")</f>
        <v/>
      </c>
      <c r="R65" s="8" t="s">
        <v>453</v>
      </c>
    </row>
    <row r="66" customFormat="false" ht="26.25" hidden="false" customHeight="true" outlineLevel="0" collapsed="false">
      <c r="A66" s="14" t="n">
        <v>65</v>
      </c>
      <c r="B66" s="11" t="s">
        <v>81</v>
      </c>
      <c r="C66" s="14" t="s">
        <v>466</v>
      </c>
      <c r="D66" s="14" t="s">
        <v>407</v>
      </c>
      <c r="E66" s="14" t="s">
        <v>80</v>
      </c>
      <c r="F66" s="15" t="n">
        <v>44153</v>
      </c>
      <c r="G66" s="4" t="str">
        <f aca="false">IF(TRIM(SUBSTITUTE(SUBSTITUTE(SUBSTITUTE(SUBSTITUTE(SUBSTITUTE(SUBSTITUTE(SUBSTITUTE(SUBSTITUTE(SUBSTITUTE(SUBSTITUTE(SUBSTITUTE(LOWER(TRIM(D66)),"ё","е")," -","-"),"- ","-")," 2 разряда","")," 3 разряда","")," 4 разряда","")," 5 разряда","")," 6 разряда","")," 1 категории","")," 2 категории","")," 3 категории",""))="инженер",IF(AND(ISNUMBER(SEARCH("техническ",E66)),ISNUMBER(SEARCH("контрол",E66))),"инженер отк",IF(ISNUMBER(SEARCH("диспетч",E66)),"инженер пдо",TRIM(SUBSTITUTE(SUBSTITUTE(SUBSTITUTE(SUBSTITUTE(SUBSTITUTE(SUBSTITUTE(SUBSTITUTE(SUBSTITUTE(SUBSTITUTE(SUBSTITUTE(SUBSTITUTE(LOWER(TRIM(D66)),"ё","е"),"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категории","")))),IF(TRIM(SUBSTITUTE(SUBSTITUTE(SUBSTITUTE(SUBSTITUTE(SUBSTITUTE(SUBSTITUTE(SUBSTITUTE(SUBSTITUTE(SUBSTITUTE(SUBSTITUTE(SUBSTITUTE(LOWER(TRIM(D66)),"ё","е")," -","-"),"- ","-")," 2 разряда","")," 3 разряда","")," 4 разряда","")," 5 разряда","")," 6 разряда","")," 1 категории","")," 2 категории","")," 3 категории",""))="ведущий инженер",IF(ISNUMBER(SEARCH("диспетч",E66)),"ведущий инженер пдо",TRIM(SUBSTITUTE(SUBSTITUTE(SUBSTITUTE(SUBSTITUTE(SUBSTITUTE(SUBSTITUTE(SUBSTITUTE(SUBSTITUTE(SUBSTITUTE(SUBSTITUTE(SUBSTITUTE(LOWER(TRIM(D66)),"ё","е"),"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отк",TRIM(SUBSTITUTE(SUBSTITUTE(SUBSTITUTE(SUBSTITUTE(SUBSTITUTE(SUBSTITUTE(SUBSTITUTE(SUBSTITUTE(SUBSTITUTE(SUBSTITUTE(SUBSTITUTE(LOWER(TRIM(D66)),"ё","е")," -","-"),"- ","-")," 2 разряда","")," 3 разряда","")," 4 разряда","")," 5 разряда","")," 6 разряда","")," 1 категории","")," 2 категории","")," 3 категории","")))))</f>
        <v>электромонтажник</v>
      </c>
      <c r="H66" s="11" t="n">
        <f aca="false">IFERROR(INDEX(Соответствие!$B$2:$B$76,MATCH(G66,Соответствие!$A$2:$A$76,0)),"?")</f>
        <v>20</v>
      </c>
      <c r="I66" s="8" t="str">
        <f aca="false">IFERROR(INDEX('Перечень должностей'!$C$2:$C$46,MATCH(H66,'Перечень должностей'!$A$2:$A$46,0)),"")</f>
        <v>п.4.3.1, п.4.3.2, п.4.4, п.4.9, п.5.1, п.5.2, п.6.2, п.9</v>
      </c>
      <c r="J66" s="11" t="n">
        <f aca="false">IFERROR(INDEX('Перечень должностей'!$D$2:$D$46,MATCH(H66,'Перечень должностей'!$A$2:$A$46,0)),12)</f>
        <v>12</v>
      </c>
      <c r="K66" s="16" t="n">
        <v>44662</v>
      </c>
      <c r="L66" s="16"/>
      <c r="M66" s="15" t="n">
        <f aca="false">IF(K66="","",EDATE(IF(L66&lt;&gt;"",L66,K66),J66))</f>
        <v>45027</v>
      </c>
      <c r="N66" s="11" t="str">
        <f aca="false">IFERROR(INDEX('Перечень должностей'!$F$2:$F$46,MATCH(H66,'Перечень должностей'!$A$2:$A$46,0)),"")</f>
        <v>Да</v>
      </c>
      <c r="O66" s="16"/>
      <c r="P66" s="15" t="str">
        <f aca="false">IF(O66="","",EDATE(O66,60))</f>
        <v/>
      </c>
      <c r="Q66" s="11" t="str">
        <f aca="false">IF(AND(K66&lt;&gt;"",F66&lt;&gt;"",K66&gt;F66),"ДА","")</f>
        <v>ДА</v>
      </c>
      <c r="R66" s="8" t="s">
        <v>453</v>
      </c>
    </row>
    <row r="67" customFormat="false" ht="26.25" hidden="false" customHeight="true" outlineLevel="0" collapsed="false">
      <c r="A67" s="14" t="n">
        <v>66</v>
      </c>
      <c r="B67" s="11" t="s">
        <v>81</v>
      </c>
      <c r="C67" s="14" t="s">
        <v>467</v>
      </c>
      <c r="D67" s="14" t="s">
        <v>407</v>
      </c>
      <c r="E67" s="14" t="s">
        <v>80</v>
      </c>
      <c r="F67" s="15" t="n">
        <v>45806</v>
      </c>
      <c r="G67" s="4" t="str">
        <f aca="false">IF(TRIM(SUBSTITUTE(SUBSTITUTE(SUBSTITUTE(SUBSTITUTE(SUBSTITUTE(SUBSTITUTE(SUBSTITUTE(SUBSTITUTE(SUBSTITUTE(SUBSTITUTE(SUBSTITUTE(LOWER(TRIM(D67)),"ё","е")," -","-"),"- ","-")," 2 разряда","")," 3 разряда","")," 4 разряда","")," 5 разряда","")," 6 разряда","")," 1 категории","")," 2 категории","")," 3 категории",""))="инженер",IF(AND(ISNUMBER(SEARCH("техническ",E67)),ISNUMBER(SEARCH("контрол",E67))),"инженер отк",IF(ISNUMBER(SEARCH("диспетч",E67)),"инженер пдо",TRIM(SUBSTITUTE(SUBSTITUTE(SUBSTITUTE(SUBSTITUTE(SUBSTITUTE(SUBSTITUTE(SUBSTITUTE(SUBSTITUTE(SUBSTITUTE(SUBSTITUTE(SUBSTITUTE(LOWER(TRIM(D67)),"ё","е"),"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категории","")))),IF(TRIM(SUBSTITUTE(SUBSTITUTE(SUBSTITUTE(SUBSTITUTE(SUBSTITUTE(SUBSTITUTE(SUBSTITUTE(SUBSTITUTE(SUBSTITUTE(SUBSTITUTE(SUBSTITUTE(LOWER(TRIM(D67)),"ё","е")," -","-"),"- ","-")," 2 разряда","")," 3 разряда","")," 4 разряда","")," 5 разряда","")," 6 разряда","")," 1 категории","")," 2 категории","")," 3 категории",""))="ведущий инженер",IF(ISNUMBER(SEARCH("диспетч",E67)),"ведущий инженер пдо",TRIM(SUBSTITUTE(SUBSTITUTE(SUBSTITUTE(SUBSTITUTE(SUBSTITUTE(SUBSTITUTE(SUBSTITUTE(SUBSTITUTE(SUBSTITUTE(SUBSTITUTE(SUBSTITUTE(LOWER(TRIM(D67)),"ё","е"),"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отк",TRIM(SUBSTITUTE(SUBSTITUTE(SUBSTITUTE(SUBSTITUTE(SUBSTITUTE(SUBSTITUTE(SUBSTITUTE(SUBSTITUTE(SUBSTITUTE(SUBSTITUTE(SUBSTITUTE(LOWER(TRIM(D67)),"ё","е")," -","-"),"- ","-")," 2 разряда","")," 3 разряда","")," 4 разряда","")," 5 разряда","")," 6 разряда","")," 1 категории","")," 2 категории","")," 3 категории","")))))</f>
        <v>электромонтажник</v>
      </c>
      <c r="H67" s="11" t="n">
        <f aca="false">IFERROR(INDEX(Соответствие!$B$2:$B$76,MATCH(G67,Соответствие!$A$2:$A$76,0)),"?")</f>
        <v>20</v>
      </c>
      <c r="I67" s="8" t="str">
        <f aca="false">IFERROR(INDEX('Перечень должностей'!$C$2:$C$46,MATCH(H67,'Перечень должностей'!$A$2:$A$46,0)),"")</f>
        <v>п.4.3.1, п.4.3.2, п.4.4, п.4.9, п.5.1, п.5.2, п.6.2, п.9</v>
      </c>
      <c r="J67" s="11" t="n">
        <f aca="false">IFERROR(INDEX('Перечень должностей'!$D$2:$D$46,MATCH(H67,'Перечень должностей'!$A$2:$A$46,0)),12)</f>
        <v>12</v>
      </c>
      <c r="K67" s="16" t="n">
        <v>45784</v>
      </c>
      <c r="L67" s="16"/>
      <c r="M67" s="15" t="n">
        <f aca="false">IF(K67="","",EDATE(IF(L67&lt;&gt;"",L67,K67),J67))</f>
        <v>46149</v>
      </c>
      <c r="N67" s="11" t="str">
        <f aca="false">IFERROR(INDEX('Перечень должностей'!$F$2:$F$46,MATCH(H67,'Перечень должностей'!$A$2:$A$46,0)),"")</f>
        <v>Да</v>
      </c>
      <c r="O67" s="16"/>
      <c r="P67" s="15" t="str">
        <f aca="false">IF(O67="","",EDATE(O67,60))</f>
        <v/>
      </c>
      <c r="Q67" s="11" t="str">
        <f aca="false">IF(AND(K67&lt;&gt;"",F67&lt;&gt;"",K67&gt;F67),"ДА","")</f>
        <v/>
      </c>
      <c r="R67" s="8" t="s">
        <v>453</v>
      </c>
    </row>
    <row r="68" customFormat="false" ht="26.25" hidden="false" customHeight="true" outlineLevel="0" collapsed="false">
      <c r="A68" s="14" t="n">
        <v>67</v>
      </c>
      <c r="B68" s="11" t="s">
        <v>81</v>
      </c>
      <c r="C68" s="14" t="s">
        <v>468</v>
      </c>
      <c r="D68" s="14" t="s">
        <v>469</v>
      </c>
      <c r="E68" s="14" t="s">
        <v>428</v>
      </c>
      <c r="F68" s="15" t="n">
        <v>45782</v>
      </c>
      <c r="G68" s="4" t="str">
        <f aca="false">IF(TRIM(SUBSTITUTE(SUBSTITUTE(SUBSTITUTE(SUBSTITUTE(SUBSTITUTE(SUBSTITUTE(SUBSTITUTE(SUBSTITUTE(SUBSTITUTE(SUBSTITUTE(SUBSTITUTE(LOWER(TRIM(D68)),"ё","е")," -","-"),"- ","-")," 2 разряда","")," 3 разряда","")," 4 разряда","")," 5 разряда","")," 6 разряда","")," 1 категории","")," 2 категории","")," 3 категории",""))="инженер",IF(AND(ISNUMBER(SEARCH("техническ",E68)),ISNUMBER(SEARCH("контрол",E68))),"инженер отк",IF(ISNUMBER(SEARCH("диспетч",E68)),"инженер пдо",TRIM(SUBSTITUTE(SUBSTITUTE(SUBSTITUTE(SUBSTITUTE(SUBSTITUTE(SUBSTITUTE(SUBSTITUTE(SUBSTITUTE(SUBSTITUTE(SUBSTITUTE(SUBSTITUTE(LOWER(TRIM(D68)),"ё","е"),"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категории","")))),IF(TRIM(SUBSTITUTE(SUBSTITUTE(SUBSTITUTE(SUBSTITUTE(SUBSTITUTE(SUBSTITUTE(SUBSTITUTE(SUBSTITUTE(SUBSTITUTE(SUBSTITUTE(SUBSTITUTE(LOWER(TRIM(D68)),"ё","е")," -","-"),"- ","-")," 2 разряда","")," 3 разряда","")," 4 разряда","")," 5 разряда","")," 6 разряда","")," 1 категории","")," 2 категории","")," 3 категории",""))="ведущий инженер",IF(ISNUMBER(SEARCH("диспетч",E68)),"ведущий инженер пдо",TRIM(SUBSTITUTE(SUBSTITUTE(SUBSTITUTE(SUBSTITUTE(SUBSTITUTE(SUBSTITUTE(SUBSTITUTE(SUBSTITUTE(SUBSTITUTE(SUBSTITUTE(SUBSTITUTE(LOWER(TRIM(D68)),"ё","е"),"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отк",TRIM(SUBSTITUTE(SUBSTITUTE(SUBSTITUTE(SUBSTITUTE(SUBSTITUTE(SUBSTITUTE(SUBSTITUTE(SUBSTITUTE(SUBSTITUTE(SUBSTITUTE(SUBSTITUTE(LOWER(TRIM(D68)),"ё","е")," -","-"),"- ","-")," 2 разряда","")," 3 разряда","")," 4 разряда","")," 5 разряда","")," 6 разряда","")," 1 категории","")," 2 категории","")," 3 категории","")))))</f>
        <v>слесарь-сборщик</v>
      </c>
      <c r="H68" s="11" t="n">
        <f aca="false">IFERROR(INDEX(Соответствие!$B$2:$B$76,MATCH(G68,Соответствие!$A$2:$A$76,0)),"?")</f>
        <v>19</v>
      </c>
      <c r="I68" s="8" t="str">
        <f aca="false">IFERROR(INDEX('Перечень должностей'!$C$2:$C$46,MATCH(H68,'Перечень должностей'!$A$2:$A$46,0)),"")</f>
        <v>п.4.3.1, п.4.3.2, п.4.4, п.5.1, п.6.2, п.15</v>
      </c>
      <c r="J68" s="11" t="n">
        <f aca="false">IFERROR(INDEX('Перечень должностей'!$D$2:$D$46,MATCH(H68,'Перечень должностей'!$A$2:$A$46,0)),12)</f>
        <v>12</v>
      </c>
      <c r="K68" s="16"/>
      <c r="L68" s="16"/>
      <c r="M68" s="15" t="str">
        <f aca="false">IF(K68="","",EDATE(IF(L68&lt;&gt;"",L68,K68),J68))</f>
        <v/>
      </c>
      <c r="N68" s="11" t="str">
        <f aca="false">IFERROR(INDEX('Перечень должностей'!$F$2:$F$46,MATCH(H68,'Перечень должностей'!$A$2:$A$46,0)),"")</f>
        <v>-</v>
      </c>
      <c r="O68" s="16"/>
      <c r="P68" s="15" t="str">
        <f aca="false">IF(O68="","",EDATE(O68,60))</f>
        <v/>
      </c>
      <c r="Q68" s="11" t="str">
        <f aca="false">IF(AND(K68&lt;&gt;"",F68&lt;&gt;"",K68&gt;F68),"ДА","")</f>
        <v/>
      </c>
      <c r="R68" s="8"/>
    </row>
    <row r="69" customFormat="false" ht="26.25" hidden="false" customHeight="true" outlineLevel="0" collapsed="false">
      <c r="A69" s="14" t="n">
        <v>68</v>
      </c>
      <c r="B69" s="11" t="s">
        <v>81</v>
      </c>
      <c r="C69" s="14" t="s">
        <v>470</v>
      </c>
      <c r="D69" s="14" t="s">
        <v>84</v>
      </c>
      <c r="E69" s="14" t="s">
        <v>85</v>
      </c>
      <c r="F69" s="15" t="n">
        <v>45852</v>
      </c>
      <c r="G69" s="4" t="str">
        <f aca="false">IF(TRIM(SUBSTITUTE(SUBSTITUTE(SUBSTITUTE(SUBSTITUTE(SUBSTITUTE(SUBSTITUTE(SUBSTITUTE(SUBSTITUTE(SUBSTITUTE(SUBSTITUTE(SUBSTITUTE(LOWER(TRIM(D69)),"ё","е")," -","-"),"- ","-")," 2 разряда","")," 3 разряда","")," 4 разряда","")," 5 разряда","")," 6 разряда","")," 1 категории","")," 2 категории","")," 3 категории",""))="инженер",IF(AND(ISNUMBER(SEARCH("техническ",E69)),ISNUMBER(SEARCH("контрол",E69))),"инженер отк",IF(ISNUMBER(SEARCH("диспетч",E69)),"инженер пдо",TRIM(SUBSTITUTE(SUBSTITUTE(SUBSTITUTE(SUBSTITUTE(SUBSTITUTE(SUBSTITUTE(SUBSTITUTE(SUBSTITUTE(SUBSTITUTE(SUBSTITUTE(SUBSTITUTE(LOWER(TRIM(D69)),"ё","е"),"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категории","")))),IF(TRIM(SUBSTITUTE(SUBSTITUTE(SUBSTITUTE(SUBSTITUTE(SUBSTITUTE(SUBSTITUTE(SUBSTITUTE(SUBSTITUTE(SUBSTITUTE(SUBSTITUTE(SUBSTITUTE(LOWER(TRIM(D69)),"ё","е")," -","-"),"- ","-")," 2 разряда","")," 3 разряда","")," 4 разряда","")," 5 разряда","")," 6 разряда","")," 1 категории","")," 2 категории","")," 3 категории",""))="ведущий инженер",IF(ISNUMBER(SEARCH("диспетч",E69)),"ведущий инженер пдо",TRIM(SUBSTITUTE(SUBSTITUTE(SUBSTITUTE(SUBSTITUTE(SUBSTITUTE(SUBSTITUTE(SUBSTITUTE(SUBSTITUTE(SUBSTITUTE(SUBSTITUTE(SUBSTITUTE(LOWER(TRIM(D69)),"ё","е"),"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категории",""))),IF(TRIM(SUBSTITUTE(SUBSTITUTE(SUBSTITUTE(SUBSTITUTE(SUBSTITUTE(SUBSTITUTE(SUBSTITUTE(SUBSTITUTE(SUBSTITUTE(SUBSTITUTE(SUBSTITUTE(LOWER(TRIM(D69)),"ё","е"),"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отк",TRIM(SUBSTITUTE(SUBSTITUTE(SUBSTITUTE(SUBSTITUTE(SUBSTITUTE(SUBSTITUTE(SUBSTITUTE(SUBSTITUTE(SUBSTITUTE(SUBSTITUTE(SUBSTITUTE(LOWER(TRIM(D69)),"ё","е")," -","-"),"- ","-")," 2 разряда","")," 3 разряда","")," 4 разряда","")," 5 разряда","")," 6 разряда","")," 1 категории","")," 2 категории","")," 3 категории","")))))</f>
        <v>слесарь-сборщик</v>
      </c>
      <c r="H69" s="11" t="n">
        <f aca="false">IFERROR(INDEX(Соответствие!$B$2:$B$76,MATCH(G69,Соответствие!$A$2:$A$76,0)),"?")</f>
        <v>19</v>
      </c>
      <c r="I69" s="8" t="str">
        <f aca="false">IFERROR(INDEX('Перечень должностей'!$C$2:$C$46,MATCH(H69,'Перечень должностей'!$A$2:$A$46,0)),"")</f>
        <v>п.4.3.1, п.4.3.2, п.4.4, п.5.1, п.6.2, п.15</v>
      </c>
      <c r="J69" s="11" t="n">
        <f aca="false">IFERROR(INDEX('Перечень должностей'!$D$2:$D$46,MATCH(H69,'Перечень должностей'!$A$2:$A$46,0)),12)</f>
        <v>12</v>
      </c>
      <c r="K69" s="16"/>
      <c r="L69" s="16"/>
      <c r="M69" s="15" t="str">
        <f aca="false">IF(K69="","",EDATE(IF(L69&lt;&gt;"",L69,K69),J69))</f>
        <v/>
      </c>
      <c r="N69" s="11" t="str">
        <f aca="false">IFERROR(INDEX('Перечень должностей'!$F$2:$F$46,MATCH(H69,'Перечень должностей'!$A$2:$A$46,0)),"")</f>
        <v>-</v>
      </c>
      <c r="O69" s="16"/>
      <c r="P69" s="15" t="str">
        <f aca="false">IF(O69="","",EDATE(O69,60))</f>
        <v/>
      </c>
      <c r="Q69" s="11" t="str">
        <f aca="false">IF(AND(K69&lt;&gt;"",F69&lt;&gt;"",K69&gt;F69),"ДА","")</f>
        <v/>
      </c>
      <c r="R69" s="8" t="s">
        <v>431</v>
      </c>
    </row>
    <row r="70" customFormat="false" ht="26.25" hidden="false" customHeight="true" outlineLevel="0" collapsed="false">
      <c r="A70" s="14" t="n">
        <v>69</v>
      </c>
      <c r="B70" s="11" t="s">
        <v>81</v>
      </c>
      <c r="C70" s="14" t="s">
        <v>471</v>
      </c>
      <c r="D70" s="14" t="s">
        <v>84</v>
      </c>
      <c r="E70" s="14" t="s">
        <v>85</v>
      </c>
      <c r="F70" s="15" t="n">
        <v>45915</v>
      </c>
      <c r="G70" s="4" t="str">
        <f aca="false">IF(TRIM(SUBSTITUTE(SUBSTITUTE(SUBSTITUTE(SUBSTITUTE(SUBSTITUTE(SUBSTITUTE(SUBSTITUTE(SUBSTITUTE(SUBSTITUTE(SUBSTITUTE(SUBSTITUTE(LOWER(TRIM(D70)),"ё","е")," -","-"),"- ","-")," 2 разряда","")," 3 разряда","")," 4 разряда","")," 5 разряда","")," 6 разряда","")," 1 категории","")," 2 категории","")," 3 категории",""))="инженер",IF(AND(ISNUMBER(SEARCH("техническ",E70)),ISNUMBER(SEARCH("контрол",E70))),"инженер отк",IF(ISNUMBER(SEARCH("диспетч",E70)),"инженер пдо",TRIM(SUBSTITUTE(SUBSTITUTE(SUBSTITUTE(SUBSTITUTE(SUBSTITUTE(SUBSTITUTE(SUBSTITUTE(SUBSTITUTE(SUBSTITUTE(SUBSTITUTE(SUBSTITUTE(LOWER(TRIM(D70)),"ё","е"),"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категории","")))),IF(TRIM(SUBSTITUTE(SUBSTITUTE(SUBSTITUTE(SUBSTITUTE(SUBSTITUTE(SUBSTITUTE(SUBSTITUTE(SUBSTITUTE(SUBSTITUTE(SUBSTITUTE(SUBSTITUTE(LOWER(TRIM(D70)),"ё","е")," -","-"),"- ","-")," 2 разряда","")," 3 разряда","")," 4 разряда","")," 5 разряда","")," 6 разряда","")," 1 категории","")," 2 категории","")," 3 категории",""))="ведущий инженер",IF(ISNUMBER(SEARCH("диспетч",E70)),"ведущий инженер пдо",TRIM(SUBSTITUTE(SUBSTITUTE(SUBSTITUTE(SUBSTITUTE(SUBSTITUTE(SUBSTITUTE(SUBSTITUTE(SUBSTITUTE(SUBSTITUTE(SUBSTITUTE(SUBSTITUTE(LOWER(TRIM(D70)),"ё","е"),"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отк",TRIM(SUBSTITUTE(SUBSTITUTE(SUBSTITUTE(SUBSTITUTE(SUBSTITUTE(SUBSTITUTE(SUBSTITUTE(SUBSTITUTE(SUBSTITUTE(SUBSTITUTE(SUBSTITUTE(LOWER(TRIM(D70)),"ё","е")," -","-"),"- ","-")," 2 разряда","")," 3 разряда","")," 4 разряда","")," 5 разряда","")," 6 разряда","")," 1 категории","")," 2 категории","")," 3 категории","")))))</f>
        <v>слесарь-сборщик</v>
      </c>
      <c r="H70" s="11" t="n">
        <f aca="false">IFERROR(INDEX(Соответствие!$B$2:$B$76,MATCH(G70,Соответствие!$A$2:$A$76,0)),"?")</f>
        <v>19</v>
      </c>
      <c r="I70" s="8" t="str">
        <f aca="false">IFERROR(INDEX('Перечень должностей'!$C$2:$C$46,MATCH(H70,'Перечень должностей'!$A$2:$A$46,0)),"")</f>
        <v>п.4.3.1, п.4.3.2, п.4.4, п.5.1, п.6.2, п.15</v>
      </c>
      <c r="J70" s="11" t="n">
        <f aca="false">IFERROR(INDEX('Перечень должностей'!$D$2:$D$46,MATCH(H70,'Перечень должностей'!$A$2:$A$46,0)),12)</f>
        <v>12</v>
      </c>
      <c r="K70" s="16"/>
      <c r="L70" s="16"/>
      <c r="M70" s="15" t="str">
        <f aca="false">IF(K70="","",EDATE(IF(L70&lt;&gt;"",L70,K70),J70))</f>
        <v/>
      </c>
      <c r="N70" s="11" t="str">
        <f aca="false">IFERROR(INDEX('Перечень должностей'!$F$2:$F$46,MATCH(H70,'Перечень должностей'!$A$2:$A$46,0)),"")</f>
        <v>-</v>
      </c>
      <c r="O70" s="16"/>
      <c r="P70" s="15" t="str">
        <f aca="false">IF(O70="","",EDATE(O70,60))</f>
        <v/>
      </c>
      <c r="Q70" s="11" t="str">
        <f aca="false">IF(AND(K70&lt;&gt;"",F70&lt;&gt;"",K70&gt;F70),"ДА","")</f>
        <v/>
      </c>
      <c r="R70" s="8" t="s">
        <v>431</v>
      </c>
    </row>
    <row r="71" customFormat="false" ht="26.25" hidden="false" customHeight="true" outlineLevel="0" collapsed="false">
      <c r="A71" s="14" t="n">
        <v>70</v>
      </c>
      <c r="B71" s="11" t="s">
        <v>81</v>
      </c>
      <c r="C71" s="14" t="s">
        <v>472</v>
      </c>
      <c r="D71" s="14" t="s">
        <v>473</v>
      </c>
      <c r="E71" s="14" t="s">
        <v>428</v>
      </c>
      <c r="F71" s="15" t="n">
        <v>45425</v>
      </c>
      <c r="G71" s="4" t="str">
        <f aca="false">IF(TRIM(SUBSTITUTE(SUBSTITUTE(SUBSTITUTE(SUBSTITUTE(SUBSTITUTE(SUBSTITUTE(SUBSTITUTE(SUBSTITUTE(SUBSTITUTE(SUBSTITUTE(SUBSTITUTE(LOWER(TRIM(D71)),"ё","е")," -","-"),"- ","-")," 2 разряда","")," 3 разряда","")," 4 разряда","")," 5 разряда","")," 6 разряда","")," 1 категории","")," 2 категории","")," 3 категории",""))="инженер",IF(AND(ISNUMBER(SEARCH("техническ",E71)),ISNUMBER(SEARCH("контрол",E71))),"инженер отк",IF(ISNUMBER(SEARCH("диспетч",E71)),"инженер пдо",TRIM(SUBSTITUTE(SUBSTITUTE(SUBSTITUTE(SUBSTITUTE(SUBSTITUTE(SUBSTITUTE(SUBSTITUTE(SUBSTITUTE(SUBSTITUTE(SUBSTITUTE(SUBSTITUTE(LOWER(TRIM(D71)),"ё","е"),"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категории","")))),IF(TRIM(SUBSTITUTE(SUBSTITUTE(SUBSTITUTE(SUBSTITUTE(SUBSTITUTE(SUBSTITUTE(SUBSTITUTE(SUBSTITUTE(SUBSTITUTE(SUBSTITUTE(SUBSTITUTE(LOWER(TRIM(D71)),"ё","е")," -","-"),"- ","-")," 2 разряда","")," 3 разряда","")," 4 разряда","")," 5 разряда","")," 6 разряда","")," 1 категории","")," 2 категории","")," 3 категории",""))="ведущий инженер",IF(ISNUMBER(SEARCH("диспетч",E71)),"ведущий инженер пдо",TRIM(SUBSTITUTE(SUBSTITUTE(SUBSTITUTE(SUBSTITUTE(SUBSTITUTE(SUBSTITUTE(SUBSTITUTE(SUBSTITUTE(SUBSTITUTE(SUBSTITUTE(SUBSTITUTE(LOWER(TRIM(D71)),"ё","е"),"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отк",TRIM(SUBSTITUTE(SUBSTITUTE(SUBSTITUTE(SUBSTITUTE(SUBSTITUTE(SUBSTITUTE(SUBSTITUTE(SUBSTITUTE(SUBSTITUTE(SUBSTITUTE(SUBSTITUTE(LOWER(TRIM(D71)),"ё","е")," -","-"),"- ","-")," 2 разряда","")," 3 разряда","")," 4 разряда","")," 5 разряда","")," 6 разряда","")," 1 категории","")," 2 категории","")," 3 категории","")))))</f>
        <v>слесарь-сборщик</v>
      </c>
      <c r="H71" s="11" t="n">
        <f aca="false">IFERROR(INDEX(Соответствие!$B$2:$B$76,MATCH(G71,Соответствие!$A$2:$A$76,0)),"?")</f>
        <v>19</v>
      </c>
      <c r="I71" s="8" t="str">
        <f aca="false">IFERROR(INDEX('Перечень должностей'!$C$2:$C$46,MATCH(H71,'Перечень должностей'!$A$2:$A$46,0)),"")</f>
        <v>п.4.3.1, п.4.3.2, п.4.4, п.5.1, п.6.2, п.15</v>
      </c>
      <c r="J71" s="11" t="n">
        <f aca="false">IFERROR(INDEX('Перечень должностей'!$D$2:$D$46,MATCH(H71,'Перечень должностей'!$A$2:$A$46,0)),12)</f>
        <v>12</v>
      </c>
      <c r="K71" s="16" t="n">
        <v>45461</v>
      </c>
      <c r="L71" s="16"/>
      <c r="M71" s="15" t="n">
        <f aca="false">IF(K71="","",EDATE(IF(L71&lt;&gt;"",L71,K71),J71))</f>
        <v>45826</v>
      </c>
      <c r="N71" s="11" t="str">
        <f aca="false">IFERROR(INDEX('Перечень должностей'!$F$2:$F$46,MATCH(H71,'Перечень должностей'!$A$2:$A$46,0)),"")</f>
        <v>-</v>
      </c>
      <c r="O71" s="16"/>
      <c r="P71" s="15" t="str">
        <f aca="false">IF(O71="","",EDATE(O71,60))</f>
        <v/>
      </c>
      <c r="Q71" s="11" t="str">
        <f aca="false">IF(AND(K71&lt;&gt;"",F71&lt;&gt;"",K71&gt;F71),"ДА","")</f>
        <v>ДА</v>
      </c>
      <c r="R71" s="8"/>
    </row>
    <row r="72" customFormat="false" ht="26.25" hidden="false" customHeight="true" outlineLevel="0" collapsed="false">
      <c r="A72" s="14" t="n">
        <v>71</v>
      </c>
      <c r="B72" s="11" t="s">
        <v>81</v>
      </c>
      <c r="C72" s="14" t="s">
        <v>474</v>
      </c>
      <c r="D72" s="14" t="s">
        <v>473</v>
      </c>
      <c r="E72" s="14" t="s">
        <v>428</v>
      </c>
      <c r="F72" s="15" t="n">
        <v>44368</v>
      </c>
      <c r="G72" s="4" t="str">
        <f aca="false">IF(TRIM(SUBSTITUTE(SUBSTITUTE(SUBSTITUTE(SUBSTITUTE(SUBSTITUTE(SUBSTITUTE(SUBSTITUTE(SUBSTITUTE(SUBSTITUTE(SUBSTITUTE(SUBSTITUTE(LOWER(TRIM(D72)),"ё","е")," -","-"),"- ","-")," 2 разряда","")," 3 разряда","")," 4 разряда","")," 5 разряда","")," 6 разряда","")," 1 категории","")," 2 категории","")," 3 категории",""))="инженер",IF(AND(ISNUMBER(SEARCH("техническ",E72)),ISNUMBER(SEARCH("контрол",E72))),"инженер отк",IF(ISNUMBER(SEARCH("диспетч",E72)),"инженер пдо",TRIM(SUBSTITUTE(SUBSTITUTE(SUBSTITUTE(SUBSTITUTE(SUBSTITUTE(SUBSTITUTE(SUBSTITUTE(SUBSTITUTE(SUBSTITUTE(SUBSTITUTE(SUBSTITUTE(LOWER(TRIM(D72)),"ё","е"),"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категории","")))),IF(TRIM(SUBSTITUTE(SUBSTITUTE(SUBSTITUTE(SUBSTITUTE(SUBSTITUTE(SUBSTITUTE(SUBSTITUTE(SUBSTITUTE(SUBSTITUTE(SUBSTITUTE(SUBSTITUTE(LOWER(TRIM(D72)),"ё","е")," -","-"),"- ","-")," 2 разряда","")," 3 разряда","")," 4 разряда","")," 5 разряда","")," 6 разряда","")," 1 категории","")," 2 категории","")," 3 категории",""))="ведущий инженер",IF(ISNUMBER(SEARCH("диспетч",E72)),"ведущий инженер пдо",TRIM(SUBSTITUTE(SUBSTITUTE(SUBSTITUTE(SUBSTITUTE(SUBSTITUTE(SUBSTITUTE(SUBSTITUTE(SUBSTITUTE(SUBSTITUTE(SUBSTITUTE(SUBSTITUTE(LOWER(TRIM(D72)),"ё","е"),"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отк",TRIM(SUBSTITUTE(SUBSTITUTE(SUBSTITUTE(SUBSTITUTE(SUBSTITUTE(SUBSTITUTE(SUBSTITUTE(SUBSTITUTE(SUBSTITUTE(SUBSTITUTE(SUBSTITUTE(LOWER(TRIM(D72)),"ё","е")," -","-"),"- ","-")," 2 разряда","")," 3 разряда","")," 4 разряда","")," 5 разряда","")," 6 разряда","")," 1 категории","")," 2 категории","")," 3 категории","")))))</f>
        <v>слесарь-сборщик</v>
      </c>
      <c r="H72" s="11" t="n">
        <f aca="false">IFERROR(INDEX(Соответствие!$B$2:$B$76,MATCH(G72,Соответствие!$A$2:$A$76,0)),"?")</f>
        <v>19</v>
      </c>
      <c r="I72" s="8" t="str">
        <f aca="false">IFERROR(INDEX('Перечень должностей'!$C$2:$C$46,MATCH(H72,'Перечень должностей'!$A$2:$A$46,0)),"")</f>
        <v>п.4.3.1, п.4.3.2, п.4.4, п.5.1, п.6.2, п.15</v>
      </c>
      <c r="J72" s="11" t="n">
        <f aca="false">IFERROR(INDEX('Перечень должностей'!$D$2:$D$46,MATCH(H72,'Перечень должностей'!$A$2:$A$46,0)),12)</f>
        <v>12</v>
      </c>
      <c r="K72" s="16"/>
      <c r="L72" s="16"/>
      <c r="M72" s="15" t="str">
        <f aca="false">IF(K72="","",EDATE(IF(L72&lt;&gt;"",L72,K72),J72))</f>
        <v/>
      </c>
      <c r="N72" s="11" t="str">
        <f aca="false">IFERROR(INDEX('Перечень должностей'!$F$2:$F$46,MATCH(H72,'Перечень должностей'!$A$2:$A$46,0)),"")</f>
        <v>-</v>
      </c>
      <c r="O72" s="16"/>
      <c r="P72" s="15" t="str">
        <f aca="false">IF(O72="","",EDATE(O72,60))</f>
        <v/>
      </c>
      <c r="Q72" s="11" t="str">
        <f aca="false">IF(AND(K72&lt;&gt;"",F72&lt;&gt;"",K72&gt;F72),"ДА","")</f>
        <v/>
      </c>
      <c r="R72" s="8"/>
    </row>
    <row r="73" customFormat="false" ht="26.25" hidden="false" customHeight="true" outlineLevel="0" collapsed="false">
      <c r="A73" s="14" t="n">
        <v>72</v>
      </c>
      <c r="B73" s="11" t="s">
        <v>81</v>
      </c>
      <c r="C73" s="14" t="s">
        <v>475</v>
      </c>
      <c r="D73" s="14" t="s">
        <v>84</v>
      </c>
      <c r="E73" s="14" t="s">
        <v>85</v>
      </c>
      <c r="F73" s="15" t="n">
        <v>44600</v>
      </c>
      <c r="G73" s="4" t="str">
        <f aca="false">IF(TRIM(SUBSTITUTE(SUBSTITUTE(SUBSTITUTE(SUBSTITUTE(SUBSTITUTE(SUBSTITUTE(SUBSTITUTE(SUBSTITUTE(SUBSTITUTE(SUBSTITUTE(SUBSTITUTE(LOWER(TRIM(D73)),"ё","е")," -","-"),"- ","-")," 2 разряда","")," 3 разряда","")," 4 разряда","")," 5 разряда","")," 6 разряда","")," 1 категории","")," 2 категории","")," 3 категории",""))="инженер",IF(AND(ISNUMBER(SEARCH("техническ",E73)),ISNUMBER(SEARCH("контрол",E73))),"инженер отк",IF(ISNUMBER(SEARCH("диспетч",E73)),"инженер пдо",TRIM(SUBSTITUTE(SUBSTITUTE(SUBSTITUTE(SUBSTITUTE(SUBSTITUTE(SUBSTITUTE(SUBSTITUTE(SUBSTITUTE(SUBSTITUTE(SUBSTITUTE(SUBSTITUTE(LOWER(TRIM(D73)),"ё","е"),"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категории","")))),IF(TRIM(SUBSTITUTE(SUBSTITUTE(SUBSTITUTE(SUBSTITUTE(SUBSTITUTE(SUBSTITUTE(SUBSTITUTE(SUBSTITUTE(SUBSTITUTE(SUBSTITUTE(SUBSTITUTE(LOWER(TRIM(D73)),"ё","е")," -","-"),"- ","-")," 2 разряда","")," 3 разряда","")," 4 разряда","")," 5 разряда","")," 6 разряда","")," 1 категории","")," 2 категории","")," 3 категории",""))="ведущий инженер",IF(ISNUMBER(SEARCH("диспетч",E73)),"ведущий инженер пдо",TRIM(SUBSTITUTE(SUBSTITUTE(SUBSTITUTE(SUBSTITUTE(SUBSTITUTE(SUBSTITUTE(SUBSTITUTE(SUBSTITUTE(SUBSTITUTE(SUBSTITUTE(SUBSTITUTE(LOWER(TRIM(D73)),"ё","е"),"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отк",TRIM(SUBSTITUTE(SUBSTITUTE(SUBSTITUTE(SUBSTITUTE(SUBSTITUTE(SUBSTITUTE(SUBSTITUTE(SUBSTITUTE(SUBSTITUTE(SUBSTITUTE(SUBSTITUTE(LOWER(TRIM(D73)),"ё","е")," -","-"),"- ","-")," 2 разряда","")," 3 разряда","")," 4 разряда","")," 5 разряда","")," 6 разряда","")," 1 категории","")," 2 категории","")," 3 категории","")))))</f>
        <v>слесарь-сборщик</v>
      </c>
      <c r="H73" s="11" t="n">
        <f aca="false">IFERROR(INDEX(Соответствие!$B$2:$B$76,MATCH(G73,Соответствие!$A$2:$A$76,0)),"?")</f>
        <v>19</v>
      </c>
      <c r="I73" s="8" t="str">
        <f aca="false">IFERROR(INDEX('Перечень должностей'!$C$2:$C$46,MATCH(H73,'Перечень должностей'!$A$2:$A$46,0)),"")</f>
        <v>п.4.3.1, п.4.3.2, п.4.4, п.5.1, п.6.2, п.15</v>
      </c>
      <c r="J73" s="11" t="n">
        <f aca="false">IFERROR(INDEX('Перечень должностей'!$D$2:$D$46,MATCH(H73,'Перечень должностей'!$A$2:$A$46,0)),12)</f>
        <v>12</v>
      </c>
      <c r="K73" s="16"/>
      <c r="L73" s="16"/>
      <c r="M73" s="15" t="str">
        <f aca="false">IF(K73="","",EDATE(IF(L73&lt;&gt;"",L73,K73),J73))</f>
        <v/>
      </c>
      <c r="N73" s="11" t="str">
        <f aca="false">IFERROR(INDEX('Перечень должностей'!$F$2:$F$46,MATCH(H73,'Перечень должностей'!$A$2:$A$46,0)),"")</f>
        <v>-</v>
      </c>
      <c r="O73" s="16"/>
      <c r="P73" s="15" t="str">
        <f aca="false">IF(O73="","",EDATE(O73,60))</f>
        <v/>
      </c>
      <c r="Q73" s="11" t="str">
        <f aca="false">IF(AND(K73&lt;&gt;"",F73&lt;&gt;"",K73&gt;F73),"ДА","")</f>
        <v/>
      </c>
      <c r="R73" s="8" t="s">
        <v>431</v>
      </c>
    </row>
    <row r="74" customFormat="false" ht="26.25" hidden="false" customHeight="true" outlineLevel="0" collapsed="false">
      <c r="A74" s="14" t="n">
        <v>73</v>
      </c>
      <c r="B74" s="11" t="s">
        <v>81</v>
      </c>
      <c r="C74" s="14" t="s">
        <v>476</v>
      </c>
      <c r="D74" s="14" t="s">
        <v>84</v>
      </c>
      <c r="E74" s="14" t="s">
        <v>85</v>
      </c>
      <c r="F74" s="15" t="n">
        <v>45873</v>
      </c>
      <c r="G74" s="4" t="str">
        <f aca="false">IF(TRIM(SUBSTITUTE(SUBSTITUTE(SUBSTITUTE(SUBSTITUTE(SUBSTITUTE(SUBSTITUTE(SUBSTITUTE(SUBSTITUTE(SUBSTITUTE(SUBSTITUTE(SUBSTITUTE(LOWER(TRIM(D74)),"ё","е")," -","-"),"- ","-")," 2 разряда","")," 3 разряда","")," 4 разряда","")," 5 разряда","")," 6 разряда","")," 1 категории","")," 2 категории","")," 3 категории",""))="инженер",IF(AND(ISNUMBER(SEARCH("техническ",E74)),ISNUMBER(SEARCH("контрол",E74))),"инженер отк",IF(ISNUMBER(SEARCH("диспетч",E74)),"инженер пдо",TRIM(SUBSTITUTE(SUBSTITUTE(SUBSTITUTE(SUBSTITUTE(SUBSTITUTE(SUBSTITUTE(SUBSTITUTE(SUBSTITUTE(SUBSTITUTE(SUBSTITUTE(SUBSTITUTE(LOWER(TRIM(D74)),"ё","е"),"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категории","")))),IF(TRIM(SUBSTITUTE(SUBSTITUTE(SUBSTITUTE(SUBSTITUTE(SUBSTITUTE(SUBSTITUTE(SUBSTITUTE(SUBSTITUTE(SUBSTITUTE(SUBSTITUTE(SUBSTITUTE(LOWER(TRIM(D74)),"ё","е")," -","-"),"- ","-")," 2 разряда","")," 3 разряда","")," 4 разряда","")," 5 разряда","")," 6 разряда","")," 1 категории","")," 2 категории","")," 3 категории",""))="ведущий инженер",IF(ISNUMBER(SEARCH("диспетч",E74)),"ведущий инженер пдо",TRIM(SUBSTITUTE(SUBSTITUTE(SUBSTITUTE(SUBSTITUTE(SUBSTITUTE(SUBSTITUTE(SUBSTITUTE(SUBSTITUTE(SUBSTITUTE(SUBSTITUTE(SUBSTITUTE(LOWER(TRIM(D74)),"ё","е"),"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отк",TRIM(SUBSTITUTE(SUBSTITUTE(SUBSTITUTE(SUBSTITUTE(SUBSTITUTE(SUBSTITUTE(SUBSTITUTE(SUBSTITUTE(SUBSTITUTE(SUBSTITUTE(SUBSTITUTE(LOWER(TRIM(D74)),"ё","е")," -","-"),"- ","-")," 2 разряда","")," 3 разряда","")," 4 разряда","")," 5 разряда","")," 6 разряда","")," 1 категории","")," 2 категории","")," 3 категории","")))))</f>
        <v>слесарь-сборщик</v>
      </c>
      <c r="H74" s="11" t="n">
        <f aca="false">IFERROR(INDEX(Соответствие!$B$2:$B$76,MATCH(G74,Соответствие!$A$2:$A$76,0)),"?")</f>
        <v>19</v>
      </c>
      <c r="I74" s="8" t="str">
        <f aca="false">IFERROR(INDEX('Перечень должностей'!$C$2:$C$46,MATCH(H74,'Перечень должностей'!$A$2:$A$46,0)),"")</f>
        <v>п.4.3.1, п.4.3.2, п.4.4, п.5.1, п.6.2, п.15</v>
      </c>
      <c r="J74" s="11" t="n">
        <f aca="false">IFERROR(INDEX('Перечень должностей'!$D$2:$D$46,MATCH(H74,'Перечень должностей'!$A$2:$A$46,0)),12)</f>
        <v>12</v>
      </c>
      <c r="K74" s="16"/>
      <c r="L74" s="16"/>
      <c r="M74" s="15" t="str">
        <f aca="false">IF(K74="","",EDATE(IF(L74&lt;&gt;"",L74,K74),J74))</f>
        <v/>
      </c>
      <c r="N74" s="11" t="str">
        <f aca="false">IFERROR(INDEX('Перечень должностей'!$F$2:$F$46,MATCH(H74,'Перечень должностей'!$A$2:$A$46,0)),"")</f>
        <v>-</v>
      </c>
      <c r="O74" s="16"/>
      <c r="P74" s="15" t="str">
        <f aca="false">IF(O74="","",EDATE(O74,60))</f>
        <v/>
      </c>
      <c r="Q74" s="11" t="str">
        <f aca="false">IF(AND(K74&lt;&gt;"",F74&lt;&gt;"",K74&gt;F74),"ДА","")</f>
        <v/>
      </c>
      <c r="R74" s="8" t="s">
        <v>431</v>
      </c>
    </row>
    <row r="75" customFormat="false" ht="26.25" hidden="false" customHeight="true" outlineLevel="0" collapsed="false">
      <c r="A75" s="14" t="n">
        <v>74</v>
      </c>
      <c r="B75" s="11" t="s">
        <v>81</v>
      </c>
      <c r="C75" s="14" t="s">
        <v>477</v>
      </c>
      <c r="D75" s="14" t="s">
        <v>84</v>
      </c>
      <c r="E75" s="14" t="s">
        <v>85</v>
      </c>
      <c r="F75" s="15" t="n">
        <v>45425</v>
      </c>
      <c r="G75" s="4" t="str">
        <f aca="false">IF(TRIM(SUBSTITUTE(SUBSTITUTE(SUBSTITUTE(SUBSTITUTE(SUBSTITUTE(SUBSTITUTE(SUBSTITUTE(SUBSTITUTE(SUBSTITUTE(SUBSTITUTE(SUBSTITUTE(LOWER(TRIM(D75)),"ё","е")," -","-"),"- ","-")," 2 разряда","")," 3 разряда","")," 4 разряда","")," 5 разряда","")," 6 разряда","")," 1 категории","")," 2 категории","")," 3 категории",""))="инженер",IF(AND(ISNUMBER(SEARCH("техническ",E75)),ISNUMBER(SEARCH("контрол",E75))),"инженер отк",IF(ISNUMBER(SEARCH("диспетч",E75)),"инженер пдо",TRIM(SUBSTITUTE(SUBSTITUTE(SUBSTITUTE(SUBSTITUTE(SUBSTITUTE(SUBSTITUTE(SUBSTITUTE(SUBSTITUTE(SUBSTITUTE(SUBSTITUTE(SUBSTITUTE(LOWER(TRIM(D75)),"ё","е"),"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категории","")))),IF(TRIM(SUBSTITUTE(SUBSTITUTE(SUBSTITUTE(SUBSTITUTE(SUBSTITUTE(SUBSTITUTE(SUBSTITUTE(SUBSTITUTE(SUBSTITUTE(SUBSTITUTE(SUBSTITUTE(LOWER(TRIM(D75)),"ё","е")," -","-"),"- ","-")," 2 разряда","")," 3 разряда","")," 4 разряда","")," 5 разряда","")," 6 разряда","")," 1 категории","")," 2 категории","")," 3 категории",""))="ведущий инженер",IF(ISNUMBER(SEARCH("диспетч",E75)),"ведущий инженер пдо",TRIM(SUBSTITUTE(SUBSTITUTE(SUBSTITUTE(SUBSTITUTE(SUBSTITUTE(SUBSTITUTE(SUBSTITUTE(SUBSTITUTE(SUBSTITUTE(SUBSTITUTE(SUBSTITUTE(LOWER(TRIM(D75)),"ё","е"),"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отк",TRIM(SUBSTITUTE(SUBSTITUTE(SUBSTITUTE(SUBSTITUTE(SUBSTITUTE(SUBSTITUTE(SUBSTITUTE(SUBSTITUTE(SUBSTITUTE(SUBSTITUTE(SUBSTITUTE(LOWER(TRIM(D75)),"ё","е")," -","-"),"- ","-")," 2 разряда","")," 3 разряда","")," 4 разряда","")," 5 разряда","")," 6 разряда","")," 1 категории","")," 2 категории","")," 3 категории","")))))</f>
        <v>слесарь-сборщик</v>
      </c>
      <c r="H75" s="11" t="n">
        <f aca="false">IFERROR(INDEX(Соответствие!$B$2:$B$76,MATCH(G75,Соответствие!$A$2:$A$76,0)),"?")</f>
        <v>19</v>
      </c>
      <c r="I75" s="8" t="str">
        <f aca="false">IFERROR(INDEX('Перечень должностей'!$C$2:$C$46,MATCH(H75,'Перечень должностей'!$A$2:$A$46,0)),"")</f>
        <v>п.4.3.1, п.4.3.2, п.4.4, п.5.1, п.6.2, п.15</v>
      </c>
      <c r="J75" s="11" t="n">
        <f aca="false">IFERROR(INDEX('Перечень должностей'!$D$2:$D$46,MATCH(H75,'Перечень должностей'!$A$2:$A$46,0)),12)</f>
        <v>12</v>
      </c>
      <c r="K75" s="16"/>
      <c r="L75" s="16"/>
      <c r="M75" s="15" t="str">
        <f aca="false">IF(K75="","",EDATE(IF(L75&lt;&gt;"",L75,K75),J75))</f>
        <v/>
      </c>
      <c r="N75" s="11" t="str">
        <f aca="false">IFERROR(INDEX('Перечень должностей'!$F$2:$F$46,MATCH(H75,'Перечень должностей'!$A$2:$A$46,0)),"")</f>
        <v>-</v>
      </c>
      <c r="O75" s="16"/>
      <c r="P75" s="15" t="str">
        <f aca="false">IF(O75="","",EDATE(O75,60))</f>
        <v/>
      </c>
      <c r="Q75" s="11" t="str">
        <f aca="false">IF(AND(K75&lt;&gt;"",F75&lt;&gt;"",K75&gt;F75),"ДА","")</f>
        <v/>
      </c>
      <c r="R75" s="8" t="s">
        <v>431</v>
      </c>
    </row>
    <row r="76" customFormat="false" ht="26.25" hidden="false" customHeight="true" outlineLevel="0" collapsed="false">
      <c r="A76" s="14" t="n">
        <v>75</v>
      </c>
      <c r="B76" s="11" t="s">
        <v>81</v>
      </c>
      <c r="C76" s="14" t="s">
        <v>478</v>
      </c>
      <c r="D76" s="14" t="s">
        <v>84</v>
      </c>
      <c r="E76" s="14" t="s">
        <v>85</v>
      </c>
      <c r="F76" s="15" t="n">
        <v>45917</v>
      </c>
      <c r="G76" s="4" t="str">
        <f aca="false">IF(TRIM(SUBSTITUTE(SUBSTITUTE(SUBSTITUTE(SUBSTITUTE(SUBSTITUTE(SUBSTITUTE(SUBSTITUTE(SUBSTITUTE(SUBSTITUTE(SUBSTITUTE(SUBSTITUTE(LOWER(TRIM(D76)),"ё","е")," -","-"),"- ","-")," 2 разряда","")," 3 разряда","")," 4 разряда","")," 5 разряда","")," 6 разряда","")," 1 категории","")," 2 категории","")," 3 категории",""))="инженер",IF(AND(ISNUMBER(SEARCH("техническ",E76)),ISNUMBER(SEARCH("контрол",E76))),"инженер отк",IF(ISNUMBER(SEARCH("диспетч",E76)),"инженер пдо",TRIM(SUBSTITUTE(SUBSTITUTE(SUBSTITUTE(SUBSTITUTE(SUBSTITUTE(SUBSTITUTE(SUBSTITUTE(SUBSTITUTE(SUBSTITUTE(SUBSTITUTE(SUBSTITUTE(LOWER(TRIM(D76)),"ё","е"),"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категории","")))),IF(TRIM(SUBSTITUTE(SUBSTITUTE(SUBSTITUTE(SUBSTITUTE(SUBSTITUTE(SUBSTITUTE(SUBSTITUTE(SUBSTITUTE(SUBSTITUTE(SUBSTITUTE(SUBSTITUTE(LOWER(TRIM(D76)),"ё","е")," -","-"),"- ","-")," 2 разряда","")," 3 разряда","")," 4 разряда","")," 5 разряда","")," 6 разряда","")," 1 категории","")," 2 категории","")," 3 категории",""))="ведущий инженер",IF(ISNUMBER(SEARCH("диспетч",E76)),"ведущий инженер пдо",TRIM(SUBSTITUTE(SUBSTITUTE(SUBSTITUTE(SUBSTITUTE(SUBSTITUTE(SUBSTITUTE(SUBSTITUTE(SUBSTITUTE(SUBSTITUTE(SUBSTITUTE(SUBSTITUTE(LOWER(TRIM(D76)),"ё","е"),"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отк",TRIM(SUBSTITUTE(SUBSTITUTE(SUBSTITUTE(SUBSTITUTE(SUBSTITUTE(SUBSTITUTE(SUBSTITUTE(SUBSTITUTE(SUBSTITUTE(SUBSTITUTE(SUBSTITUTE(LOWER(TRIM(D76)),"ё","е")," -","-"),"- ","-")," 2 разряда","")," 3 разряда","")," 4 разряда","")," 5 разряда","")," 6 разряда","")," 1 категории","")," 2 категории","")," 3 категории","")))))</f>
        <v>слесарь-сборщик</v>
      </c>
      <c r="H76" s="11" t="n">
        <f aca="false">IFERROR(INDEX(Соответствие!$B$2:$B$76,MATCH(G76,Соответствие!$A$2:$A$76,0)),"?")</f>
        <v>19</v>
      </c>
      <c r="I76" s="8" t="str">
        <f aca="false">IFERROR(INDEX('Перечень должностей'!$C$2:$C$46,MATCH(H76,'Перечень должностей'!$A$2:$A$46,0)),"")</f>
        <v>п.4.3.1, п.4.3.2, п.4.4, п.5.1, п.6.2, п.15</v>
      </c>
      <c r="J76" s="11" t="n">
        <f aca="false">IFERROR(INDEX('Перечень должностей'!$D$2:$D$46,MATCH(H76,'Перечень должностей'!$A$2:$A$46,0)),12)</f>
        <v>12</v>
      </c>
      <c r="K76" s="16" t="n">
        <v>45909</v>
      </c>
      <c r="L76" s="16"/>
      <c r="M76" s="15" t="n">
        <f aca="false">IF(K76="","",EDATE(IF(L76&lt;&gt;"",L76,K76),J76))</f>
        <v>46274</v>
      </c>
      <c r="N76" s="11" t="str">
        <f aca="false">IFERROR(INDEX('Перечень должностей'!$F$2:$F$46,MATCH(H76,'Перечень должностей'!$A$2:$A$46,0)),"")</f>
        <v>-</v>
      </c>
      <c r="O76" s="16"/>
      <c r="P76" s="15" t="str">
        <f aca="false">IF(O76="","",EDATE(O76,60))</f>
        <v/>
      </c>
      <c r="Q76" s="11" t="str">
        <f aca="false">IF(AND(K76&lt;&gt;"",F76&lt;&gt;"",K76&gt;F76),"ДА","")</f>
        <v/>
      </c>
      <c r="R76" s="8" t="s">
        <v>431</v>
      </c>
    </row>
    <row r="77" customFormat="false" ht="26.25" hidden="false" customHeight="true" outlineLevel="0" collapsed="false">
      <c r="A77" s="14" t="n">
        <v>76</v>
      </c>
      <c r="B77" s="11" t="s">
        <v>81</v>
      </c>
      <c r="C77" s="14" t="s">
        <v>479</v>
      </c>
      <c r="D77" s="14" t="s">
        <v>84</v>
      </c>
      <c r="E77" s="14" t="s">
        <v>85</v>
      </c>
      <c r="F77" s="15" t="n">
        <v>44378</v>
      </c>
      <c r="G77" s="4" t="str">
        <f aca="false">IF(TRIM(SUBSTITUTE(SUBSTITUTE(SUBSTITUTE(SUBSTITUTE(SUBSTITUTE(SUBSTITUTE(SUBSTITUTE(SUBSTITUTE(SUBSTITUTE(SUBSTITUTE(SUBSTITUTE(LOWER(TRIM(D77)),"ё","е")," -","-"),"- ","-")," 2 разряда","")," 3 разряда","")," 4 разряда","")," 5 разряда","")," 6 разряда","")," 1 категории","")," 2 категории","")," 3 категории",""))="инженер",IF(AND(ISNUMBER(SEARCH("техническ",E77)),ISNUMBER(SEARCH("контрол",E77))),"инженер отк",IF(ISNUMBER(SEARCH("диспетч",E77)),"инженер пдо",TRIM(SUBSTITUTE(SUBSTITUTE(SUBSTITUTE(SUBSTITUTE(SUBSTITUTE(SUBSTITUTE(SUBSTITUTE(SUBSTITUTE(SUBSTITUTE(SUBSTITUTE(SUBSTITUTE(LOWER(TRIM(D77)),"ё","е"),"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категории","")))),IF(TRIM(SUBSTITUTE(SUBSTITUTE(SUBSTITUTE(SUBSTITUTE(SUBSTITUTE(SUBSTITUTE(SUBSTITUTE(SUBSTITUTE(SUBSTITUTE(SUBSTITUTE(SUBSTITUTE(LOWER(TRIM(D77)),"ё","е")," -","-"),"- ","-")," 2 разряда","")," 3 разряда","")," 4 разряда","")," 5 разряда","")," 6 разряда","")," 1 категории","")," 2 категории","")," 3 категории",""))="ведущий инженер",IF(ISNUMBER(SEARCH("диспетч",E77)),"ведущий инженер пдо",TRIM(SUBSTITUTE(SUBSTITUTE(SUBSTITUTE(SUBSTITUTE(SUBSTITUTE(SUBSTITUTE(SUBSTITUTE(SUBSTITUTE(SUBSTITUTE(SUBSTITUTE(SUBSTITUTE(LOWER(TRIM(D77)),"ё","е"),"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отк",TRIM(SUBSTITUTE(SUBSTITUTE(SUBSTITUTE(SUBSTITUTE(SUBSTITUTE(SUBSTITUTE(SUBSTITUTE(SUBSTITUTE(SUBSTITUTE(SUBSTITUTE(SUBSTITUTE(LOWER(TRIM(D77)),"ё","е")," -","-"),"- ","-")," 2 разряда","")," 3 разряда","")," 4 разряда","")," 5 разряда","")," 6 разряда","")," 1 категории","")," 2 категории","")," 3 категории","")))))</f>
        <v>слесарь-сборщик</v>
      </c>
      <c r="H77" s="11" t="n">
        <f aca="false">IFERROR(INDEX(Соответствие!$B$2:$B$76,MATCH(G77,Соответствие!$A$2:$A$76,0)),"?")</f>
        <v>19</v>
      </c>
      <c r="I77" s="8" t="str">
        <f aca="false">IFERROR(INDEX('Перечень должностей'!$C$2:$C$46,MATCH(H77,'Перечень должностей'!$A$2:$A$46,0)),"")</f>
        <v>п.4.3.1, п.4.3.2, п.4.4, п.5.1, п.6.2, п.15</v>
      </c>
      <c r="J77" s="11" t="n">
        <f aca="false">IFERROR(INDEX('Перечень должностей'!$D$2:$D$46,MATCH(H77,'Перечень должностей'!$A$2:$A$46,0)),12)</f>
        <v>12</v>
      </c>
      <c r="K77" s="16"/>
      <c r="L77" s="16"/>
      <c r="M77" s="15" t="str">
        <f aca="false">IF(K77="","",EDATE(IF(L77&lt;&gt;"",L77,K77),J77))</f>
        <v/>
      </c>
      <c r="N77" s="11" t="str">
        <f aca="false">IFERROR(INDEX('Перечень должностей'!$F$2:$F$46,MATCH(H77,'Перечень должностей'!$A$2:$A$46,0)),"")</f>
        <v>-</v>
      </c>
      <c r="O77" s="16"/>
      <c r="P77" s="15" t="str">
        <f aca="false">IF(O77="","",EDATE(O77,60))</f>
        <v/>
      </c>
      <c r="Q77" s="11" t="str">
        <f aca="false">IF(AND(K77&lt;&gt;"",F77&lt;&gt;"",K77&gt;F77),"ДА","")</f>
        <v/>
      </c>
      <c r="R77" s="8" t="s">
        <v>431</v>
      </c>
    </row>
    <row r="78" customFormat="false" ht="26.25" hidden="false" customHeight="true" outlineLevel="0" collapsed="false">
      <c r="A78" s="14" t="n">
        <v>77</v>
      </c>
      <c r="B78" s="11" t="s">
        <v>81</v>
      </c>
      <c r="C78" s="14" t="s">
        <v>480</v>
      </c>
      <c r="D78" s="14" t="s">
        <v>84</v>
      </c>
      <c r="E78" s="14" t="s">
        <v>85</v>
      </c>
      <c r="F78" s="15" t="n">
        <v>44789</v>
      </c>
      <c r="G78" s="4" t="str">
        <f aca="false">IF(TRIM(SUBSTITUTE(SUBSTITUTE(SUBSTITUTE(SUBSTITUTE(SUBSTITUTE(SUBSTITUTE(SUBSTITUTE(SUBSTITUTE(SUBSTITUTE(SUBSTITUTE(SUBSTITUTE(LOWER(TRIM(D78)),"ё","е")," -","-"),"- ","-")," 2 разряда","")," 3 разряда","")," 4 разряда","")," 5 разряда","")," 6 разряда","")," 1 категории","")," 2 категории","")," 3 категории",""))="инженер",IF(AND(ISNUMBER(SEARCH("техническ",E78)),ISNUMBER(SEARCH("контрол",E78))),"инженер отк",IF(ISNUMBER(SEARCH("диспетч",E78)),"инженер пдо",TRIM(SUBSTITUTE(SUBSTITUTE(SUBSTITUTE(SUBSTITUTE(SUBSTITUTE(SUBSTITUTE(SUBSTITUTE(SUBSTITUTE(SUBSTITUTE(SUBSTITUTE(SUBSTITUTE(LOWER(TRIM(D78)),"ё","е"),"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категории","")))),IF(TRIM(SUBSTITUTE(SUBSTITUTE(SUBSTITUTE(SUBSTITUTE(SUBSTITUTE(SUBSTITUTE(SUBSTITUTE(SUBSTITUTE(SUBSTITUTE(SUBSTITUTE(SUBSTITUTE(LOWER(TRIM(D78)),"ё","е")," -","-"),"- ","-")," 2 разряда","")," 3 разряда","")," 4 разряда","")," 5 разряда","")," 6 разряда","")," 1 категории","")," 2 категории","")," 3 категории",""))="ведущий инженер",IF(ISNUMBER(SEARCH("диспетч",E78)),"ведущий инженер пдо",TRIM(SUBSTITUTE(SUBSTITUTE(SUBSTITUTE(SUBSTITUTE(SUBSTITUTE(SUBSTITUTE(SUBSTITUTE(SUBSTITUTE(SUBSTITUTE(SUBSTITUTE(SUBSTITUTE(LOWER(TRIM(D78)),"ё","е"),"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отк",TRIM(SUBSTITUTE(SUBSTITUTE(SUBSTITUTE(SUBSTITUTE(SUBSTITUTE(SUBSTITUTE(SUBSTITUTE(SUBSTITUTE(SUBSTITUTE(SUBSTITUTE(SUBSTITUTE(LOWER(TRIM(D78)),"ё","е")," -","-"),"- ","-")," 2 разряда","")," 3 разряда","")," 4 разряда","")," 5 разряда","")," 6 разряда","")," 1 категории","")," 2 категории","")," 3 категории","")))))</f>
        <v>слесарь-сборщик</v>
      </c>
      <c r="H78" s="11" t="n">
        <f aca="false">IFERROR(INDEX(Соответствие!$B$2:$B$76,MATCH(G78,Соответствие!$A$2:$A$76,0)),"?")</f>
        <v>19</v>
      </c>
      <c r="I78" s="8" t="str">
        <f aca="false">IFERROR(INDEX('Перечень должностей'!$C$2:$C$46,MATCH(H78,'Перечень должностей'!$A$2:$A$46,0)),"")</f>
        <v>п.4.3.1, п.4.3.2, п.4.4, п.5.1, п.6.2, п.15</v>
      </c>
      <c r="J78" s="11" t="n">
        <f aca="false">IFERROR(INDEX('Перечень должностей'!$D$2:$D$46,MATCH(H78,'Перечень должностей'!$A$2:$A$46,0)),12)</f>
        <v>12</v>
      </c>
      <c r="K78" s="16"/>
      <c r="L78" s="16"/>
      <c r="M78" s="15" t="str">
        <f aca="false">IF(K78="","",EDATE(IF(L78&lt;&gt;"",L78,K78),J78))</f>
        <v/>
      </c>
      <c r="N78" s="11" t="str">
        <f aca="false">IFERROR(INDEX('Перечень должностей'!$F$2:$F$46,MATCH(H78,'Перечень должностей'!$A$2:$A$46,0)),"")</f>
        <v>-</v>
      </c>
      <c r="O78" s="16"/>
      <c r="P78" s="15" t="str">
        <f aca="false">IF(O78="","",EDATE(O78,60))</f>
        <v/>
      </c>
      <c r="Q78" s="11" t="str">
        <f aca="false">IF(AND(K78&lt;&gt;"",F78&lt;&gt;"",K78&gt;F78),"ДА","")</f>
        <v/>
      </c>
      <c r="R78" s="8" t="s">
        <v>431</v>
      </c>
    </row>
    <row r="79" customFormat="false" ht="26.25" hidden="false" customHeight="true" outlineLevel="0" collapsed="false">
      <c r="A79" s="14" t="n">
        <v>78</v>
      </c>
      <c r="B79" s="11" t="s">
        <v>81</v>
      </c>
      <c r="C79" s="14" t="s">
        <v>481</v>
      </c>
      <c r="D79" s="14" t="s">
        <v>84</v>
      </c>
      <c r="E79" s="14" t="s">
        <v>85</v>
      </c>
      <c r="F79" s="15" t="n">
        <v>44153</v>
      </c>
      <c r="G79" s="4" t="str">
        <f aca="false">IF(TRIM(SUBSTITUTE(SUBSTITUTE(SUBSTITUTE(SUBSTITUTE(SUBSTITUTE(SUBSTITUTE(SUBSTITUTE(SUBSTITUTE(SUBSTITUTE(SUBSTITUTE(SUBSTITUTE(LOWER(TRIM(D79)),"ё","е")," -","-"),"- ","-")," 2 разряда","")," 3 разряда","")," 4 разряда","")," 5 разряда","")," 6 разряда","")," 1 категории","")," 2 категории","")," 3 категории",""))="инженер",IF(AND(ISNUMBER(SEARCH("техническ",E79)),ISNUMBER(SEARCH("контрол",E79))),"инженер отк",IF(ISNUMBER(SEARCH("диспетч",E79)),"инженер пдо",TRIM(SUBSTITUTE(SUBSTITUTE(SUBSTITUTE(SUBSTITUTE(SUBSTITUTE(SUBSTITUTE(SUBSTITUTE(SUBSTITUTE(SUBSTITUTE(SUBSTITUTE(SUBSTITUTE(LOWER(TRIM(D79)),"ё","е"),"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категории","")))),IF(TRIM(SUBSTITUTE(SUBSTITUTE(SUBSTITUTE(SUBSTITUTE(SUBSTITUTE(SUBSTITUTE(SUBSTITUTE(SUBSTITUTE(SUBSTITUTE(SUBSTITUTE(SUBSTITUTE(LOWER(TRIM(D79)),"ё","е")," -","-"),"- ","-")," 2 разряда","")," 3 разряда","")," 4 разряда","")," 5 разряда","")," 6 разряда","")," 1 категории","")," 2 категории","")," 3 категории",""))="ведущий инженер",IF(ISNUMBER(SEARCH("диспетч",E79)),"ведущий инженер пдо",TRIM(SUBSTITUTE(SUBSTITUTE(SUBSTITUTE(SUBSTITUTE(SUBSTITUTE(SUBSTITUTE(SUBSTITUTE(SUBSTITUTE(SUBSTITUTE(SUBSTITUTE(SUBSTITUTE(LOWER(TRIM(D79)),"ё","е"),"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категории",""))),IF(TRIM(SUBSTITUTE(SUBSTITUTE(SUBSTITUTE(SUBSTITUTE(SUBSTITUTE(SUBSTITUTE(SUBSTITUTE(SUBSTITUTE(SUBSTITUTE(SUBSTITUTE(SUBSTITUTE(LOWER(TRIM(D79)),"ё","е"),"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отк",TRIM(SUBSTITUTE(SUBSTITUTE(SUBSTITUTE(SUBSTITUTE(SUBSTITUTE(SUBSTITUTE(SUBSTITUTE(SUBSTITUTE(SUBSTITUTE(SUBSTITUTE(SUBSTITUTE(LOWER(TRIM(D79)),"ё","е")," -","-"),"- ","-")," 2 разряда","")," 3 разряда","")," 4 разряда","")," 5 разряда","")," 6 разряда","")," 1 категории","")," 2 категории","")," 3 категории","")))))</f>
        <v>слесарь-сборщик</v>
      </c>
      <c r="H79" s="11" t="n">
        <f aca="false">IFERROR(INDEX(Соответствие!$B$2:$B$76,MATCH(G79,Соответствие!$A$2:$A$76,0)),"?")</f>
        <v>19</v>
      </c>
      <c r="I79" s="8" t="str">
        <f aca="false">IFERROR(INDEX('Перечень должностей'!$C$2:$C$46,MATCH(H79,'Перечень должностей'!$A$2:$A$46,0)),"")</f>
        <v>п.4.3.1, п.4.3.2, п.4.4, п.5.1, п.6.2, п.15</v>
      </c>
      <c r="J79" s="11" t="n">
        <f aca="false">IFERROR(INDEX('Перечень должностей'!$D$2:$D$46,MATCH(H79,'Перечень должностей'!$A$2:$A$46,0)),12)</f>
        <v>12</v>
      </c>
      <c r="K79" s="16"/>
      <c r="L79" s="16"/>
      <c r="M79" s="15" t="str">
        <f aca="false">IF(K79="","",EDATE(IF(L79&lt;&gt;"",L79,K79),J79))</f>
        <v/>
      </c>
      <c r="N79" s="11" t="str">
        <f aca="false">IFERROR(INDEX('Перечень должностей'!$F$2:$F$46,MATCH(H79,'Перечень должностей'!$A$2:$A$46,0)),"")</f>
        <v>-</v>
      </c>
      <c r="O79" s="16"/>
      <c r="P79" s="15" t="str">
        <f aca="false">IF(O79="","",EDATE(O79,60))</f>
        <v/>
      </c>
      <c r="Q79" s="11" t="str">
        <f aca="false">IF(AND(K79&lt;&gt;"",F79&lt;&gt;"",K79&gt;F79),"ДА","")</f>
        <v/>
      </c>
      <c r="R79" s="8" t="s">
        <v>431</v>
      </c>
    </row>
    <row r="80" customFormat="false" ht="26.25" hidden="false" customHeight="true" outlineLevel="0" collapsed="false">
      <c r="A80" s="14" t="n">
        <v>79</v>
      </c>
      <c r="B80" s="11" t="s">
        <v>81</v>
      </c>
      <c r="C80" s="14" t="s">
        <v>482</v>
      </c>
      <c r="D80" s="14" t="s">
        <v>84</v>
      </c>
      <c r="E80" s="14" t="s">
        <v>85</v>
      </c>
      <c r="F80" s="15" t="n">
        <v>45873</v>
      </c>
      <c r="G80" s="4" t="str">
        <f aca="false">IF(TRIM(SUBSTITUTE(SUBSTITUTE(SUBSTITUTE(SUBSTITUTE(SUBSTITUTE(SUBSTITUTE(SUBSTITUTE(SUBSTITUTE(SUBSTITUTE(SUBSTITUTE(SUBSTITUTE(LOWER(TRIM(D80)),"ё","е")," -","-"),"- ","-")," 2 разряда","")," 3 разряда","")," 4 разряда","")," 5 разряда","")," 6 разряда","")," 1 категории","")," 2 категории","")," 3 категории",""))="инженер",IF(AND(ISNUMBER(SEARCH("техническ",E80)),ISNUMBER(SEARCH("контрол",E80))),"инженер отк",IF(ISNUMBER(SEARCH("диспетч",E80)),"инженер пдо",TRIM(SUBSTITUTE(SUBSTITUTE(SUBSTITUTE(SUBSTITUTE(SUBSTITUTE(SUBSTITUTE(SUBSTITUTE(SUBSTITUTE(SUBSTITUTE(SUBSTITUTE(SUBSTITUTE(LOWER(TRIM(D80)),"ё","е"),"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категории","")))),IF(TRIM(SUBSTITUTE(SUBSTITUTE(SUBSTITUTE(SUBSTITUTE(SUBSTITUTE(SUBSTITUTE(SUBSTITUTE(SUBSTITUTE(SUBSTITUTE(SUBSTITUTE(SUBSTITUTE(LOWER(TRIM(D80)),"ё","е")," -","-"),"- ","-")," 2 разряда","")," 3 разряда","")," 4 разряда","")," 5 разряда","")," 6 разряда","")," 1 категории","")," 2 категории","")," 3 категории",""))="ведущий инженер",IF(ISNUMBER(SEARCH("диспетч",E80)),"ведущий инженер пдо",TRIM(SUBSTITUTE(SUBSTITUTE(SUBSTITUTE(SUBSTITUTE(SUBSTITUTE(SUBSTITUTE(SUBSTITUTE(SUBSTITUTE(SUBSTITUTE(SUBSTITUTE(SUBSTITUTE(LOWER(TRIM(D80)),"ё","е"),"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отк",TRIM(SUBSTITUTE(SUBSTITUTE(SUBSTITUTE(SUBSTITUTE(SUBSTITUTE(SUBSTITUTE(SUBSTITUTE(SUBSTITUTE(SUBSTITUTE(SUBSTITUTE(SUBSTITUTE(LOWER(TRIM(D80)),"ё","е")," -","-"),"- ","-")," 2 разряда","")," 3 разряда","")," 4 разряда","")," 5 разряда","")," 6 разряда","")," 1 категории","")," 2 категории","")," 3 категории","")))))</f>
        <v>слесарь-сборщик</v>
      </c>
      <c r="H80" s="11" t="n">
        <f aca="false">IFERROR(INDEX(Соответствие!$B$2:$B$76,MATCH(G80,Соответствие!$A$2:$A$76,0)),"?")</f>
        <v>19</v>
      </c>
      <c r="I80" s="8" t="str">
        <f aca="false">IFERROR(INDEX('Перечень должностей'!$C$2:$C$46,MATCH(H80,'Перечень должностей'!$A$2:$A$46,0)),"")</f>
        <v>п.4.3.1, п.4.3.2, п.4.4, п.5.1, п.6.2, п.15</v>
      </c>
      <c r="J80" s="11" t="n">
        <f aca="false">IFERROR(INDEX('Перечень должностей'!$D$2:$D$46,MATCH(H80,'Перечень должностей'!$A$2:$A$46,0)),12)</f>
        <v>12</v>
      </c>
      <c r="K80" s="16"/>
      <c r="L80" s="16"/>
      <c r="M80" s="15" t="str">
        <f aca="false">IF(K80="","",EDATE(IF(L80&lt;&gt;"",L80,K80),J80))</f>
        <v/>
      </c>
      <c r="N80" s="11" t="str">
        <f aca="false">IFERROR(INDEX('Перечень должностей'!$F$2:$F$46,MATCH(H80,'Перечень должностей'!$A$2:$A$46,0)),"")</f>
        <v>-</v>
      </c>
      <c r="O80" s="16"/>
      <c r="P80" s="15" t="str">
        <f aca="false">IF(O80="","",EDATE(O80,60))</f>
        <v/>
      </c>
      <c r="Q80" s="11" t="str">
        <f aca="false">IF(AND(K80&lt;&gt;"",F80&lt;&gt;"",K80&gt;F80),"ДА","")</f>
        <v/>
      </c>
      <c r="R80" s="8" t="s">
        <v>431</v>
      </c>
    </row>
    <row r="81" customFormat="false" ht="26.25" hidden="false" customHeight="true" outlineLevel="0" collapsed="false">
      <c r="A81" s="14" t="n">
        <v>80</v>
      </c>
      <c r="B81" s="11" t="s">
        <v>81</v>
      </c>
      <c r="C81" s="14" t="s">
        <v>483</v>
      </c>
      <c r="D81" s="14" t="s">
        <v>84</v>
      </c>
      <c r="E81" s="14" t="s">
        <v>85</v>
      </c>
      <c r="F81" s="15" t="n">
        <v>45425</v>
      </c>
      <c r="G81" s="4" t="str">
        <f aca="false">IF(TRIM(SUBSTITUTE(SUBSTITUTE(SUBSTITUTE(SUBSTITUTE(SUBSTITUTE(SUBSTITUTE(SUBSTITUTE(SUBSTITUTE(SUBSTITUTE(SUBSTITUTE(SUBSTITUTE(LOWER(TRIM(D81)),"ё","е")," -","-"),"- ","-")," 2 разряда","")," 3 разряда","")," 4 разряда","")," 5 разряда","")," 6 разряда","")," 1 категории","")," 2 категории","")," 3 категории",""))="инженер",IF(AND(ISNUMBER(SEARCH("техническ",E81)),ISNUMBER(SEARCH("контрол",E81))),"инженер отк",IF(ISNUMBER(SEARCH("диспетч",E81)),"инженер пдо",TRIM(SUBSTITUTE(SUBSTITUTE(SUBSTITUTE(SUBSTITUTE(SUBSTITUTE(SUBSTITUTE(SUBSTITUTE(SUBSTITUTE(SUBSTITUTE(SUBSTITUTE(SUBSTITUTE(LOWER(TRIM(D81)),"ё","е"),"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категории","")))),IF(TRIM(SUBSTITUTE(SUBSTITUTE(SUBSTITUTE(SUBSTITUTE(SUBSTITUTE(SUBSTITUTE(SUBSTITUTE(SUBSTITUTE(SUBSTITUTE(SUBSTITUTE(SUBSTITUTE(LOWER(TRIM(D81)),"ё","е")," -","-"),"- ","-")," 2 разряда","")," 3 разряда","")," 4 разряда","")," 5 разряда","")," 6 разряда","")," 1 категории","")," 2 категории","")," 3 категории",""))="ведущий инженер",IF(ISNUMBER(SEARCH("диспетч",E81)),"ведущий инженер пдо",TRIM(SUBSTITUTE(SUBSTITUTE(SUBSTITUTE(SUBSTITUTE(SUBSTITUTE(SUBSTITUTE(SUBSTITUTE(SUBSTITUTE(SUBSTITUTE(SUBSTITUTE(SUBSTITUTE(LOWER(TRIM(D81)),"ё","е"),"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отк",TRIM(SUBSTITUTE(SUBSTITUTE(SUBSTITUTE(SUBSTITUTE(SUBSTITUTE(SUBSTITUTE(SUBSTITUTE(SUBSTITUTE(SUBSTITUTE(SUBSTITUTE(SUBSTITUTE(LOWER(TRIM(D81)),"ё","е")," -","-"),"- ","-")," 2 разряда","")," 3 разряда","")," 4 разряда","")," 5 разряда","")," 6 разряда","")," 1 категории","")," 2 категории","")," 3 категории","")))))</f>
        <v>слесарь-сборщик</v>
      </c>
      <c r="H81" s="11" t="n">
        <f aca="false">IFERROR(INDEX(Соответствие!$B$2:$B$76,MATCH(G81,Соответствие!$A$2:$A$76,0)),"?")</f>
        <v>19</v>
      </c>
      <c r="I81" s="8" t="str">
        <f aca="false">IFERROR(INDEX('Перечень должностей'!$C$2:$C$46,MATCH(H81,'Перечень должностей'!$A$2:$A$46,0)),"")</f>
        <v>п.4.3.1, п.4.3.2, п.4.4, п.5.1, п.6.2, п.15</v>
      </c>
      <c r="J81" s="11" t="n">
        <f aca="false">IFERROR(INDEX('Перечень должностей'!$D$2:$D$46,MATCH(H81,'Перечень должностей'!$A$2:$A$46,0)),12)</f>
        <v>12</v>
      </c>
      <c r="K81" s="16"/>
      <c r="L81" s="16"/>
      <c r="M81" s="15" t="str">
        <f aca="false">IF(K81="","",EDATE(IF(L81&lt;&gt;"",L81,K81),J81))</f>
        <v/>
      </c>
      <c r="N81" s="11" t="str">
        <f aca="false">IFERROR(INDEX('Перечень должностей'!$F$2:$F$46,MATCH(H81,'Перечень должностей'!$A$2:$A$46,0)),"")</f>
        <v>-</v>
      </c>
      <c r="O81" s="16"/>
      <c r="P81" s="15" t="str">
        <f aca="false">IF(O81="","",EDATE(O81,60))</f>
        <v/>
      </c>
      <c r="Q81" s="11" t="str">
        <f aca="false">IF(AND(K81&lt;&gt;"",F81&lt;&gt;"",K81&gt;F81),"ДА","")</f>
        <v/>
      </c>
      <c r="R81" s="8" t="s">
        <v>431</v>
      </c>
    </row>
    <row r="82" customFormat="false" ht="26.25" hidden="false" customHeight="true" outlineLevel="0" collapsed="false">
      <c r="A82" s="14" t="n">
        <v>81</v>
      </c>
      <c r="B82" s="11" t="s">
        <v>81</v>
      </c>
      <c r="C82" s="14" t="s">
        <v>484</v>
      </c>
      <c r="D82" s="14" t="s">
        <v>485</v>
      </c>
      <c r="E82" s="14" t="s">
        <v>428</v>
      </c>
      <c r="F82" s="15" t="n">
        <v>42121</v>
      </c>
      <c r="G82" s="4" t="str">
        <f aca="false">IF(TRIM(SUBSTITUTE(SUBSTITUTE(SUBSTITUTE(SUBSTITUTE(SUBSTITUTE(SUBSTITUTE(SUBSTITUTE(SUBSTITUTE(SUBSTITUTE(SUBSTITUTE(SUBSTITUTE(LOWER(TRIM(D82)),"ё","е")," -","-"),"- ","-")," 2 разряда","")," 3 разряда","")," 4 разряда","")," 5 разряда","")," 6 разряда","")," 1 категории","")," 2 категории","")," 3 категории",""))="инженер",IF(AND(ISNUMBER(SEARCH("техническ",E82)),ISNUMBER(SEARCH("контрол",E82))),"инженер отк",IF(ISNUMBER(SEARCH("диспетч",E82)),"инженер пдо",TRIM(SUBSTITUTE(SUBSTITUTE(SUBSTITUTE(SUBSTITUTE(SUBSTITUTE(SUBSTITUTE(SUBSTITUTE(SUBSTITUTE(SUBSTITUTE(SUBSTITUTE(SUBSTITUTE(LOWER(TRIM(D82)),"ё","е"),"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категории","")))),IF(TRIM(SUBSTITUTE(SUBSTITUTE(SUBSTITUTE(SUBSTITUTE(SUBSTITUTE(SUBSTITUTE(SUBSTITUTE(SUBSTITUTE(SUBSTITUTE(SUBSTITUTE(SUBSTITUTE(LOWER(TRIM(D82)),"ё","е")," -","-"),"- ","-")," 2 разряда","")," 3 разряда","")," 4 разряда","")," 5 разряда","")," 6 разряда","")," 1 категории","")," 2 категории","")," 3 категории",""))="ведущий инженер",IF(ISNUMBER(SEARCH("диспетч",E82)),"ведущий инженер пдо",TRIM(SUBSTITUTE(SUBSTITUTE(SUBSTITUTE(SUBSTITUTE(SUBSTITUTE(SUBSTITUTE(SUBSTITUTE(SUBSTITUTE(SUBSTITUTE(SUBSTITUTE(SUBSTITUTE(LOWER(TRIM(D82)),"ё","е"),"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отк",TRIM(SUBSTITUTE(SUBSTITUTE(SUBSTITUTE(SUBSTITUTE(SUBSTITUTE(SUBSTITUTE(SUBSTITUTE(SUBSTITUTE(SUBSTITUTE(SUBSTITUTE(SUBSTITUTE(LOWER(TRIM(D82)),"ё","е")," -","-"),"- ","-")," 2 разряда","")," 3 разряда","")," 4 разряда","")," 5 разряда","")," 6 разряда","")," 1 категории","")," 2 категории","")," 3 категории","")))))</f>
        <v>мастер участка сборки интерьера</v>
      </c>
      <c r="H82" s="11" t="n">
        <f aca="false">IFERROR(INDEX(Соответствие!$B$2:$B$76,MATCH(G82,Соответствие!$A$2:$A$76,0)),"?")</f>
        <v>18</v>
      </c>
      <c r="I82" s="8" t="str">
        <f aca="false">IFERROR(INDEX('Перечень должностей'!$C$2:$C$46,MATCH(H82,'Перечень должностей'!$A$2:$A$46,0)),"")</f>
        <v>п.4.4, п.5.1, п.5.2</v>
      </c>
      <c r="J82" s="11" t="n">
        <f aca="false">IFERROR(INDEX('Перечень должностей'!$D$2:$D$46,MATCH(H82,'Перечень должностей'!$A$2:$A$46,0)),12)</f>
        <v>12</v>
      </c>
      <c r="K82" s="16"/>
      <c r="L82" s="16"/>
      <c r="M82" s="15" t="str">
        <f aca="false">IF(K82="","",EDATE(IF(L82&lt;&gt;"",L82,K82),J82))</f>
        <v/>
      </c>
      <c r="N82" s="11" t="str">
        <f aca="false">IFERROR(INDEX('Перечень должностей'!$F$2:$F$46,MATCH(H82,'Перечень должностей'!$A$2:$A$46,0)),"")</f>
        <v>-</v>
      </c>
      <c r="O82" s="16"/>
      <c r="P82" s="15" t="str">
        <f aca="false">IF(O82="","",EDATE(O82,60))</f>
        <v/>
      </c>
      <c r="Q82" s="11" t="str">
        <f aca="false">IF(AND(K82&lt;&gt;"",F82&lt;&gt;"",K82&gt;F82),"ДА","")</f>
        <v/>
      </c>
      <c r="R82" s="8"/>
    </row>
    <row r="83" customFormat="false" ht="23.85" hidden="false" customHeight="false" outlineLevel="0" collapsed="false">
      <c r="A83" s="14" t="n">
        <v>82</v>
      </c>
      <c r="B83" s="11" t="s">
        <v>81</v>
      </c>
      <c r="C83" s="14" t="s">
        <v>486</v>
      </c>
      <c r="D83" s="14" t="s">
        <v>60</v>
      </c>
      <c r="E83" s="14" t="s">
        <v>85</v>
      </c>
      <c r="F83" s="15" t="n">
        <v>45700</v>
      </c>
      <c r="G83" s="4" t="str">
        <f aca="false">IF(TRIM(SUBSTITUTE(SUBSTITUTE(SUBSTITUTE(SUBSTITUTE(SUBSTITUTE(SUBSTITUTE(SUBSTITUTE(SUBSTITUTE(SUBSTITUTE(SUBSTITUTE(SUBSTITUTE(LOWER(TRIM(D83)),"ё","е")," -","-"),"- ","-")," 2 разряда","")," 3 разряда","")," 4 разряда","")," 5 разряда","")," 6 разряда","")," 1 категории","")," 2 категории","")," 3 категории",""))="инженер",IF(AND(ISNUMBER(SEARCH("техническ",E83)),ISNUMBER(SEARCH("контрол",E83))),"инженер отк",IF(ISNUMBER(SEARCH("диспетч",E83)),"инженер пдо",TRIM(SUBSTITUTE(SUBSTITUTE(SUBSTITUTE(SUBSTITUTE(SUBSTITUTE(SUBSTITUTE(SUBSTITUTE(SUBSTITUTE(SUBSTITUTE(SUBSTITUTE(SUBSTITUTE(LOWER(TRIM(D83)),"ё","е"),"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категории","")))),IF(TRIM(SUBSTITUTE(SUBSTITUTE(SUBSTITUTE(SUBSTITUTE(SUBSTITUTE(SUBSTITUTE(SUBSTITUTE(SUBSTITUTE(SUBSTITUTE(SUBSTITUTE(SUBSTITUTE(LOWER(TRIM(D83)),"ё","е")," -","-"),"- ","-")," 2 разряда","")," 3 разряда","")," 4 разряда","")," 5 разряда","")," 6 разряда","")," 1 категории","")," 2 категории","")," 3 категории",""))="ведущий инженер",IF(ISNUMBER(SEARCH("диспетч",E83)),"ведущий инженер пдо",TRIM(SUBSTITUTE(SUBSTITUTE(SUBSTITUTE(SUBSTITUTE(SUBSTITUTE(SUBSTITUTE(SUBSTITUTE(SUBSTITUTE(SUBSTITUTE(SUBSTITUTE(SUBSTITUTE(LOWER(TRIM(D83)),"ё","е"),"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отк",TRIM(SUBSTITUTE(SUBSTITUTE(SUBSTITUTE(SUBSTITUTE(SUBSTITUTE(SUBSTITUTE(SUBSTITUTE(SUBSTITUTE(SUBSTITUTE(SUBSTITUTE(SUBSTITUTE(LOWER(TRIM(D83)),"ё","е")," -","-"),"- ","-")," 2 разряда","")," 3 разряда","")," 4 разряда","")," 5 разряда","")," 6 разряда","")," 1 категории","")," 2 категории","")," 3 категории","")))))</f>
        <v>мастер участка</v>
      </c>
      <c r="H83" s="11" t="n">
        <f aca="false">IFERROR(INDEX(Соответствие!$B$2:$B$76,MATCH(G83,Соответствие!$A$2:$A$76,0)),"?")</f>
        <v>18</v>
      </c>
      <c r="I83" s="8" t="str">
        <f aca="false">IFERROR(INDEX('Перечень должностей'!$C$2:$C$46,MATCH(H83,'Перечень должностей'!$A$2:$A$46,0)),"")</f>
        <v>п.4.4, п.5.1, п.5.2</v>
      </c>
      <c r="J83" s="11" t="n">
        <f aca="false">IFERROR(INDEX('Перечень должностей'!$D$2:$D$46,MATCH(H83,'Перечень должностей'!$A$2:$A$46,0)),12)</f>
        <v>12</v>
      </c>
      <c r="K83" s="16"/>
      <c r="L83" s="16"/>
      <c r="M83" s="15" t="str">
        <f aca="false">IF(K83="","",EDATE(IF(L83&lt;&gt;"",L83,K83),J83))</f>
        <v/>
      </c>
      <c r="N83" s="11" t="str">
        <f aca="false">IFERROR(INDEX('Перечень должностей'!$F$2:$F$46,MATCH(H83,'Перечень должностей'!$A$2:$A$46,0)),"")</f>
        <v>-</v>
      </c>
      <c r="O83" s="16"/>
      <c r="P83" s="15" t="str">
        <f aca="false">IF(O83="","",EDATE(O83,60))</f>
        <v/>
      </c>
      <c r="Q83" s="11" t="str">
        <f aca="false">IF(AND(K83&lt;&gt;"",F83&lt;&gt;"",K83&gt;F83),"ДА","")</f>
        <v/>
      </c>
      <c r="R83" s="8" t="s">
        <v>487</v>
      </c>
    </row>
    <row r="84" customFormat="false" ht="23.85" hidden="false" customHeight="false" outlineLevel="0" collapsed="false">
      <c r="A84" s="14" t="n">
        <v>83</v>
      </c>
      <c r="B84" s="11" t="s">
        <v>81</v>
      </c>
      <c r="C84" s="14" t="s">
        <v>488</v>
      </c>
      <c r="D84" s="14" t="s">
        <v>60</v>
      </c>
      <c r="E84" s="14" t="s">
        <v>85</v>
      </c>
      <c r="F84" s="15" t="n">
        <v>45838</v>
      </c>
      <c r="G84" s="4" t="str">
        <f aca="false">IF(TRIM(SUBSTITUTE(SUBSTITUTE(SUBSTITUTE(SUBSTITUTE(SUBSTITUTE(SUBSTITUTE(SUBSTITUTE(SUBSTITUTE(SUBSTITUTE(SUBSTITUTE(SUBSTITUTE(LOWER(TRIM(D84)),"ё","е")," -","-"),"- ","-")," 2 разряда","")," 3 разряда","")," 4 разряда","")," 5 разряда","")," 6 разряда","")," 1 категории","")," 2 категории","")," 3 категории",""))="инженер",IF(AND(ISNUMBER(SEARCH("техническ",E84)),ISNUMBER(SEARCH("контрол",E84))),"инженер отк",IF(ISNUMBER(SEARCH("диспетч",E84)),"инженер пдо",TRIM(SUBSTITUTE(SUBSTITUTE(SUBSTITUTE(SUBSTITUTE(SUBSTITUTE(SUBSTITUTE(SUBSTITUTE(SUBSTITUTE(SUBSTITUTE(SUBSTITUTE(SUBSTITUTE(LOWER(TRIM(D84)),"ё","е"),"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категории","")))),IF(TRIM(SUBSTITUTE(SUBSTITUTE(SUBSTITUTE(SUBSTITUTE(SUBSTITUTE(SUBSTITUTE(SUBSTITUTE(SUBSTITUTE(SUBSTITUTE(SUBSTITUTE(SUBSTITUTE(LOWER(TRIM(D84)),"ё","е")," -","-"),"- ","-")," 2 разряда","")," 3 разряда","")," 4 разряда","")," 5 разряда","")," 6 разряда","")," 1 категории","")," 2 категории","")," 3 категории",""))="ведущий инженер",IF(ISNUMBER(SEARCH("диспетч",E84)),"ведущий инженер пдо",TRIM(SUBSTITUTE(SUBSTITUTE(SUBSTITUTE(SUBSTITUTE(SUBSTITUTE(SUBSTITUTE(SUBSTITUTE(SUBSTITUTE(SUBSTITUTE(SUBSTITUTE(SUBSTITUTE(LOWER(TRIM(D84)),"ё","е"),"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отк",TRIM(SUBSTITUTE(SUBSTITUTE(SUBSTITUTE(SUBSTITUTE(SUBSTITUTE(SUBSTITUTE(SUBSTITUTE(SUBSTITUTE(SUBSTITUTE(SUBSTITUTE(SUBSTITUTE(LOWER(TRIM(D84)),"ё","е")," -","-"),"- ","-")," 2 разряда","")," 3 разряда","")," 4 разряда","")," 5 разряда","")," 6 разряда","")," 1 категории","")," 2 категории","")," 3 категории","")))))</f>
        <v>мастер участка</v>
      </c>
      <c r="H84" s="11" t="n">
        <f aca="false">IFERROR(INDEX(Соответствие!$B$2:$B$76,MATCH(G84,Соответствие!$A$2:$A$76,0)),"?")</f>
        <v>18</v>
      </c>
      <c r="I84" s="8" t="str">
        <f aca="false">IFERROR(INDEX('Перечень должностей'!$C$2:$C$46,MATCH(H84,'Перечень должностей'!$A$2:$A$46,0)),"")</f>
        <v>п.4.4, п.5.1, п.5.2</v>
      </c>
      <c r="J84" s="11" t="n">
        <f aca="false">IFERROR(INDEX('Перечень должностей'!$D$2:$D$46,MATCH(H84,'Перечень должностей'!$A$2:$A$46,0)),12)</f>
        <v>12</v>
      </c>
      <c r="K84" s="16" t="n">
        <v>45825</v>
      </c>
      <c r="L84" s="16"/>
      <c r="M84" s="15" t="n">
        <f aca="false">IF(K84="","",EDATE(IF(L84&lt;&gt;"",L84,K84),J84))</f>
        <v>46190</v>
      </c>
      <c r="N84" s="11" t="str">
        <f aca="false">IFERROR(INDEX('Перечень должностей'!$F$2:$F$46,MATCH(H84,'Перечень должностей'!$A$2:$A$46,0)),"")</f>
        <v>-</v>
      </c>
      <c r="O84" s="16"/>
      <c r="P84" s="15" t="str">
        <f aca="false">IF(O84="","",EDATE(O84,60))</f>
        <v/>
      </c>
      <c r="Q84" s="11" t="str">
        <f aca="false">IF(AND(K84&lt;&gt;"",F84&lt;&gt;"",K84&gt;F84),"ДА","")</f>
        <v/>
      </c>
      <c r="R84" s="8" t="s">
        <v>487</v>
      </c>
    </row>
    <row r="85" customFormat="false" ht="23.85" hidden="false" customHeight="false" outlineLevel="0" collapsed="false">
      <c r="A85" s="14" t="n">
        <v>84</v>
      </c>
      <c r="B85" s="11" t="s">
        <v>81</v>
      </c>
      <c r="C85" s="14" t="s">
        <v>489</v>
      </c>
      <c r="D85" s="14" t="s">
        <v>60</v>
      </c>
      <c r="E85" s="14" t="s">
        <v>85</v>
      </c>
      <c r="F85" s="15" t="n">
        <v>46041</v>
      </c>
      <c r="G85" s="4" t="str">
        <f aca="false">IF(TRIM(SUBSTITUTE(SUBSTITUTE(SUBSTITUTE(SUBSTITUTE(SUBSTITUTE(SUBSTITUTE(SUBSTITUTE(SUBSTITUTE(SUBSTITUTE(SUBSTITUTE(SUBSTITUTE(LOWER(TRIM(D85)),"ё","е")," -","-"),"- ","-")," 2 разряда","")," 3 разряда","")," 4 разряда","")," 5 разряда","")," 6 разряда","")," 1 категории","")," 2 категории","")," 3 категории",""))="инженер",IF(AND(ISNUMBER(SEARCH("техническ",E85)),ISNUMBER(SEARCH("контрол",E85))),"инженер отк",IF(ISNUMBER(SEARCH("диспетч",E85)),"инженер пдо",TRIM(SUBSTITUTE(SUBSTITUTE(SUBSTITUTE(SUBSTITUTE(SUBSTITUTE(SUBSTITUTE(SUBSTITUTE(SUBSTITUTE(SUBSTITUTE(SUBSTITUTE(SUBSTITUTE(LOWER(TRIM(D85)),"ё","е"),"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категории","")))),IF(TRIM(SUBSTITUTE(SUBSTITUTE(SUBSTITUTE(SUBSTITUTE(SUBSTITUTE(SUBSTITUTE(SUBSTITUTE(SUBSTITUTE(SUBSTITUTE(SUBSTITUTE(SUBSTITUTE(LOWER(TRIM(D85)),"ё","е")," -","-"),"- ","-")," 2 разряда","")," 3 разряда","")," 4 разряда","")," 5 разряда","")," 6 разряда","")," 1 категории","")," 2 категории","")," 3 категории",""))="ведущий инженер",IF(ISNUMBER(SEARCH("диспетч",E85)),"ведущий инженер пдо",TRIM(SUBSTITUTE(SUBSTITUTE(SUBSTITUTE(SUBSTITUTE(SUBSTITUTE(SUBSTITUTE(SUBSTITUTE(SUBSTITUTE(SUBSTITUTE(SUBSTITUTE(SUBSTITUTE(LOWER(TRIM(D85)),"ё","е"),"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отк",TRIM(SUBSTITUTE(SUBSTITUTE(SUBSTITUTE(SUBSTITUTE(SUBSTITUTE(SUBSTITUTE(SUBSTITUTE(SUBSTITUTE(SUBSTITUTE(SUBSTITUTE(SUBSTITUTE(LOWER(TRIM(D85)),"ё","е")," -","-"),"- ","-")," 2 разряда","")," 3 разряда","")," 4 разряда","")," 5 разряда","")," 6 разряда","")," 1 категории","")," 2 категории","")," 3 категории","")))))</f>
        <v>мастер участка</v>
      </c>
      <c r="H85" s="11" t="n">
        <f aca="false">IFERROR(INDEX(Соответствие!$B$2:$B$76,MATCH(G85,Соответствие!$A$2:$A$76,0)),"?")</f>
        <v>18</v>
      </c>
      <c r="I85" s="8" t="str">
        <f aca="false">IFERROR(INDEX('Перечень должностей'!$C$2:$C$46,MATCH(H85,'Перечень должностей'!$A$2:$A$46,0)),"")</f>
        <v>п.4.4, п.5.1, п.5.2</v>
      </c>
      <c r="J85" s="11" t="n">
        <f aca="false">IFERROR(INDEX('Перечень должностей'!$D$2:$D$46,MATCH(H85,'Перечень должностей'!$A$2:$A$46,0)),12)</f>
        <v>12</v>
      </c>
      <c r="K85" s="16"/>
      <c r="L85" s="16"/>
      <c r="M85" s="15" t="str">
        <f aca="false">IF(K85="","",EDATE(IF(L85&lt;&gt;"",L85,K85),J85))</f>
        <v/>
      </c>
      <c r="N85" s="11" t="str">
        <f aca="false">IFERROR(INDEX('Перечень должностей'!$F$2:$F$46,MATCH(H85,'Перечень должностей'!$A$2:$A$46,0)),"")</f>
        <v>-</v>
      </c>
      <c r="O85" s="16"/>
      <c r="P85" s="15" t="str">
        <f aca="false">IF(O85="","",EDATE(O85,60))</f>
        <v/>
      </c>
      <c r="Q85" s="11" t="str">
        <f aca="false">IF(AND(K85&lt;&gt;"",F85&lt;&gt;"",K85&gt;F85),"ДА","")</f>
        <v/>
      </c>
      <c r="R85" s="8" t="s">
        <v>487</v>
      </c>
    </row>
    <row r="86" customFormat="false" ht="23.85" hidden="false" customHeight="false" outlineLevel="0" collapsed="false">
      <c r="A86" s="14" t="n">
        <v>85</v>
      </c>
      <c r="B86" s="11" t="s">
        <v>81</v>
      </c>
      <c r="C86" s="14" t="s">
        <v>490</v>
      </c>
      <c r="D86" s="14" t="s">
        <v>491</v>
      </c>
      <c r="E86" s="14" t="s">
        <v>428</v>
      </c>
      <c r="F86" s="15" t="n">
        <v>42983</v>
      </c>
      <c r="G86" s="4" t="str">
        <f aca="false">IF(TRIM(SUBSTITUTE(SUBSTITUTE(SUBSTITUTE(SUBSTITUTE(SUBSTITUTE(SUBSTITUTE(SUBSTITUTE(SUBSTITUTE(SUBSTITUTE(SUBSTITUTE(SUBSTITUTE(LOWER(TRIM(D86)),"ё","е")," -","-"),"- ","-")," 2 разряда","")," 3 разряда","")," 4 разряда","")," 5 разряда","")," 6 разряда","")," 1 категории","")," 2 категории","")," 3 категории",""))="инженер",IF(AND(ISNUMBER(SEARCH("техническ",E86)),ISNUMBER(SEARCH("контрол",E86))),"инженер отк",IF(ISNUMBER(SEARCH("диспетч",E86)),"инженер пдо",TRIM(SUBSTITUTE(SUBSTITUTE(SUBSTITUTE(SUBSTITUTE(SUBSTITUTE(SUBSTITUTE(SUBSTITUTE(SUBSTITUTE(SUBSTITUTE(SUBSTITUTE(SUBSTITUTE(LOWER(TRIM(D86)),"ё","е"),"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категории","")))),IF(TRIM(SUBSTITUTE(SUBSTITUTE(SUBSTITUTE(SUBSTITUTE(SUBSTITUTE(SUBSTITUTE(SUBSTITUTE(SUBSTITUTE(SUBSTITUTE(SUBSTITUTE(SUBSTITUTE(LOWER(TRIM(D86)),"ё","е")," -","-"),"- ","-")," 2 разряда","")," 3 разряда","")," 4 разряда","")," 5 разряда","")," 6 разряда","")," 1 категории","")," 2 категории","")," 3 категории",""))="ведущий инженер",IF(ISNUMBER(SEARCH("диспетч",E86)),"ведущий инженер пдо",TRIM(SUBSTITUTE(SUBSTITUTE(SUBSTITUTE(SUBSTITUTE(SUBSTITUTE(SUBSTITUTE(SUBSTITUTE(SUBSTITUTE(SUBSTITUTE(SUBSTITUTE(SUBSTITUTE(LOWER(TRIM(D86)),"ё","е"),"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отк",TRIM(SUBSTITUTE(SUBSTITUTE(SUBSTITUTE(SUBSTITUTE(SUBSTITUTE(SUBSTITUTE(SUBSTITUTE(SUBSTITUTE(SUBSTITUTE(SUBSTITUTE(SUBSTITUTE(LOWER(TRIM(D86)),"ё","е")," -","-"),"- ","-")," 2 разряда","")," 3 разряда","")," 4 разряда","")," 5 разряда","")," 6 разряда","")," 1 категории","")," 2 категории","")," 3 категории","")))))</f>
        <v>мастер участка электромонтажных работ</v>
      </c>
      <c r="H86" s="11" t="n">
        <f aca="false">IFERROR(INDEX(Соответствие!$B$2:$B$76,MATCH(G86,Соответствие!$A$2:$A$76,0)),"?")</f>
        <v>29</v>
      </c>
      <c r="I86" s="8" t="str">
        <f aca="false">IFERROR(INDEX('Перечень должностей'!$C$2:$C$46,MATCH(H86,'Перечень должностей'!$A$2:$A$46,0)),"")</f>
        <v>п.4.3.1, п.4.3.2, п.4.4, п.4.9, п.5.1, п.5.2, п.6.2, п.9</v>
      </c>
      <c r="J86" s="11" t="n">
        <f aca="false">IFERROR(INDEX('Перечень должностей'!$D$2:$D$46,MATCH(H86,'Перечень должностей'!$A$2:$A$46,0)),12)</f>
        <v>12</v>
      </c>
      <c r="K86" s="16" t="n">
        <v>44662</v>
      </c>
      <c r="L86" s="16"/>
      <c r="M86" s="15" t="n">
        <f aca="false">IF(K86="","",EDATE(IF(L86&lt;&gt;"",L86,K86),J86))</f>
        <v>45027</v>
      </c>
      <c r="N86" s="11" t="str">
        <f aca="false">IFERROR(INDEX('Перечень должностей'!$F$2:$F$46,MATCH(H86,'Перечень должностей'!$A$2:$A$46,0)),"")</f>
        <v>Да</v>
      </c>
      <c r="O86" s="16"/>
      <c r="P86" s="15" t="str">
        <f aca="false">IF(O86="","",EDATE(O86,60))</f>
        <v/>
      </c>
      <c r="Q86" s="11" t="str">
        <f aca="false">IF(AND(K86&lt;&gt;"",F86&lt;&gt;"",K86&gt;F86),"ДА","")</f>
        <v>ДА</v>
      </c>
      <c r="R86" s="8"/>
    </row>
    <row r="87" customFormat="false" ht="26.25" hidden="false" customHeight="true" outlineLevel="0" collapsed="false">
      <c r="A87" s="14" t="n">
        <v>86</v>
      </c>
      <c r="B87" s="11" t="s">
        <v>81</v>
      </c>
      <c r="C87" s="14" t="s">
        <v>492</v>
      </c>
      <c r="D87" s="14" t="s">
        <v>343</v>
      </c>
      <c r="E87" s="14" t="s">
        <v>493</v>
      </c>
      <c r="F87" s="15" t="n">
        <v>44966</v>
      </c>
      <c r="G87" s="4" t="str">
        <f aca="false">IF(TRIM(SUBSTITUTE(SUBSTITUTE(SUBSTITUTE(SUBSTITUTE(SUBSTITUTE(SUBSTITUTE(SUBSTITUTE(SUBSTITUTE(SUBSTITUTE(SUBSTITUTE(SUBSTITUTE(LOWER(TRIM(D87)),"ё","е")," -","-"),"- ","-")," 2 разряда","")," 3 разряда","")," 4 разряда","")," 5 разряда","")," 6 разряда","")," 1 категории","")," 2 категории","")," 3 категории",""))="инженер",IF(AND(ISNUMBER(SEARCH("техническ",E87)),ISNUMBER(SEARCH("контрол",E87))),"инженер отк",IF(ISNUMBER(SEARCH("диспетч",E87)),"инженер пдо",TRIM(SUBSTITUTE(SUBSTITUTE(SUBSTITUTE(SUBSTITUTE(SUBSTITUTE(SUBSTITUTE(SUBSTITUTE(SUBSTITUTE(SUBSTITUTE(SUBSTITUTE(SUBSTITUTE(LOWER(TRIM(D87)),"ё","е"),"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категории","")))),IF(TRIM(SUBSTITUTE(SUBSTITUTE(SUBSTITUTE(SUBSTITUTE(SUBSTITUTE(SUBSTITUTE(SUBSTITUTE(SUBSTITUTE(SUBSTITUTE(SUBSTITUTE(SUBSTITUTE(LOWER(TRIM(D87)),"ё","е")," -","-"),"- ","-")," 2 разряда","")," 3 разряда","")," 4 разряда","")," 5 разряда","")," 6 разряда","")," 1 категории","")," 2 категории","")," 3 категории",""))="ведущий инженер",IF(ISNUMBER(SEARCH("диспетч",E87)),"ведущий инженер пдо",TRIM(SUBSTITUTE(SUBSTITUTE(SUBSTITUTE(SUBSTITUTE(SUBSTITUTE(SUBSTITUTE(SUBSTITUTE(SUBSTITUTE(SUBSTITUTE(SUBSTITUTE(SUBSTITUTE(LOWER(TRIM(D87)),"ё","е"),"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отк",TRIM(SUBSTITUTE(SUBSTITUTE(SUBSTITUTE(SUBSTITUTE(SUBSTITUTE(SUBSTITUTE(SUBSTITUTE(SUBSTITUTE(SUBSTITUTE(SUBSTITUTE(SUBSTITUTE(LOWER(TRIM(D87)),"ё","е")," -","-"),"- ","-")," 2 разряда","")," 3 разряда","")," 4 разряда","")," 5 разряда","")," 6 разряда","")," 1 категории","")," 2 категории","")," 3 категории","")))))</f>
        <v>инженер по авиационному и радиоэлектронному оборудованию</v>
      </c>
      <c r="H87" s="11" t="n">
        <f aca="false">IFERROR(INDEX(Соответствие!$B$2:$B$76,MATCH(G87,Соответствие!$A$2:$A$76,0)),"?")</f>
        <v>40</v>
      </c>
      <c r="I87" s="8" t="str">
        <f aca="false">IFERROR(INDEX('Перечень должностей'!$C$2:$C$46,MATCH(H87,'Перечень должностей'!$A$2:$A$46,0)),"")</f>
        <v>п.4.4, п.4.6, п.5.1, п.6.2</v>
      </c>
      <c r="J87" s="11" t="n">
        <f aca="false">IFERROR(INDEX('Перечень должностей'!$D$2:$D$46,MATCH(H87,'Перечень должностей'!$A$2:$A$46,0)),12)</f>
        <v>12</v>
      </c>
      <c r="K87" s="16"/>
      <c r="L87" s="16"/>
      <c r="M87" s="15" t="str">
        <f aca="false">IF(K87="","",EDATE(IF(L87&lt;&gt;"",L87,K87),J87))</f>
        <v/>
      </c>
      <c r="N87" s="11" t="str">
        <f aca="false">IFERROR(INDEX('Перечень должностей'!$F$2:$F$46,MATCH(H87,'Перечень должностей'!$A$2:$A$46,0)),"")</f>
        <v>-</v>
      </c>
      <c r="O87" s="16"/>
      <c r="P87" s="15" t="str">
        <f aca="false">IF(O87="","",EDATE(O87,60))</f>
        <v/>
      </c>
      <c r="Q87" s="11" t="str">
        <f aca="false">IF(AND(K87&lt;&gt;"",F87&lt;&gt;"",K87&gt;F87),"ДА","")</f>
        <v/>
      </c>
      <c r="R87" s="8" t="s">
        <v>494</v>
      </c>
    </row>
    <row r="88" customFormat="false" ht="23.85" hidden="false" customHeight="false" outlineLevel="0" collapsed="false">
      <c r="A88" s="14" t="n">
        <v>87</v>
      </c>
      <c r="B88" s="11" t="s">
        <v>50</v>
      </c>
      <c r="C88" s="14" t="s">
        <v>495</v>
      </c>
      <c r="D88" s="14" t="s">
        <v>300</v>
      </c>
      <c r="E88" s="14" t="s">
        <v>496</v>
      </c>
      <c r="F88" s="15" t="n">
        <v>46139</v>
      </c>
      <c r="G88" s="4" t="str">
        <f aca="false">IF(TRIM(SUBSTITUTE(SUBSTITUTE(SUBSTITUTE(SUBSTITUTE(SUBSTITUTE(SUBSTITUTE(SUBSTITUTE(SUBSTITUTE(SUBSTITUTE(SUBSTITUTE(SUBSTITUTE(LOWER(TRIM(D88)),"ё","е")," -","-"),"- ","-")," 2 разряда","")," 3 разряда","")," 4 разряда","")," 5 разряда","")," 6 разряда","")," 1 категории","")," 2 категории","")," 3 категории",""))="инженер",IF(AND(ISNUMBER(SEARCH("техническ",E88)),ISNUMBER(SEARCH("контрол",E88))),"инженер отк",IF(ISNUMBER(SEARCH("диспетч",E88)),"инженер пдо",TRIM(SUBSTITUTE(SUBSTITUTE(SUBSTITUTE(SUBSTITUTE(SUBSTITUTE(SUBSTITUTE(SUBSTITUTE(SUBSTITUTE(SUBSTITUTE(SUBSTITUTE(SUBSTITUTE(LOWER(TRIM(D88)),"ё","е"),"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категории","")))),IF(TRIM(SUBSTITUTE(SUBSTITUTE(SUBSTITUTE(SUBSTITUTE(SUBSTITUTE(SUBSTITUTE(SUBSTITUTE(SUBSTITUTE(SUBSTITUTE(SUBSTITUTE(SUBSTITUTE(LOWER(TRIM(D88)),"ё","е")," -","-"),"- ","-")," 2 разряда","")," 3 разряда","")," 4 разряда","")," 5 разряда","")," 6 разряда","")," 1 категории","")," 2 категории","")," 3 категории",""))="ведущий инженер",IF(ISNUMBER(SEARCH("диспетч",E88)),"ведущий инженер пдо",TRIM(SUBSTITUTE(SUBSTITUTE(SUBSTITUTE(SUBSTITUTE(SUBSTITUTE(SUBSTITUTE(SUBSTITUTE(SUBSTITUTE(SUBSTITUTE(SUBSTITUTE(SUBSTITUTE(LOWER(TRIM(D88)),"ё","е"),"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отк",TRIM(SUBSTITUTE(SUBSTITUTE(SUBSTITUTE(SUBSTITUTE(SUBSTITUTE(SUBSTITUTE(SUBSTITUTE(SUBSTITUTE(SUBSTITUTE(SUBSTITUTE(SUBSTITUTE(LOWER(TRIM(D88)),"ё","е")," -","-"),"- ","-")," 2 разряда","")," 3 разряда","")," 4 разряда","")," 5 разряда","")," 6 разряда","")," 1 категории","")," 2 категории","")," 3 категории","")))))</f>
        <v>оператор склада</v>
      </c>
      <c r="H88" s="11" t="n">
        <f aca="false">IFERROR(INDEX(Соответствие!$B$2:$B$76,MATCH(G88,Соответствие!$A$2:$A$76,0)),"?")</f>
        <v>16</v>
      </c>
      <c r="I88" s="8" t="str">
        <f aca="false">IFERROR(INDEX('Перечень должностей'!$C$2:$C$46,MATCH(H88,'Перечень должностей'!$A$2:$A$46,0)),"")</f>
        <v>п.4.3.1, п.4.3.2, п.4.4, п.5.1, п.6.2, п.18.1</v>
      </c>
      <c r="J88" s="11" t="n">
        <f aca="false">IFERROR(INDEX('Перечень должностей'!$D$2:$D$46,MATCH(H88,'Перечень должностей'!$A$2:$A$46,0)),12)</f>
        <v>12</v>
      </c>
      <c r="K88" s="16"/>
      <c r="L88" s="16"/>
      <c r="M88" s="15" t="str">
        <f aca="false">IF(K88="","",EDATE(IF(L88&lt;&gt;"",L88,K88),J88))</f>
        <v/>
      </c>
      <c r="N88" s="11" t="str">
        <f aca="false">IFERROR(INDEX('Перечень должностей'!$F$2:$F$46,MATCH(H88,'Перечень должностей'!$A$2:$A$46,0)),"")</f>
        <v>-</v>
      </c>
      <c r="O88" s="16"/>
      <c r="P88" s="15" t="str">
        <f aca="false">IF(O88="","",EDATE(O88,60))</f>
        <v/>
      </c>
      <c r="Q88" s="11" t="str">
        <f aca="false">IF(AND(K88&lt;&gt;"",F88&lt;&gt;"",K88&gt;F88),"ДА","")</f>
        <v/>
      </c>
      <c r="R88" s="8"/>
    </row>
    <row r="89" customFormat="false" ht="26.25" hidden="false" customHeight="true" outlineLevel="0" collapsed="false">
      <c r="A89" s="14" t="n">
        <v>88</v>
      </c>
      <c r="B89" s="11" t="s">
        <v>72</v>
      </c>
      <c r="C89" s="14" t="s">
        <v>497</v>
      </c>
      <c r="D89" s="14" t="s">
        <v>498</v>
      </c>
      <c r="E89" s="14" t="s">
        <v>499</v>
      </c>
      <c r="F89" s="15" t="n">
        <v>45558</v>
      </c>
      <c r="G89" s="4" t="str">
        <f aca="false">IF(TRIM(SUBSTITUTE(SUBSTITUTE(SUBSTITUTE(SUBSTITUTE(SUBSTITUTE(SUBSTITUTE(SUBSTITUTE(SUBSTITUTE(SUBSTITUTE(SUBSTITUTE(SUBSTITUTE(LOWER(TRIM(D89)),"ё","е")," -","-"),"- ","-")," 2 разряда","")," 3 разряда","")," 4 разряда","")," 5 разряда","")," 6 разряда","")," 1 категории","")," 2 категории","")," 3 категории",""))="инженер",IF(AND(ISNUMBER(SEARCH("техническ",E89)),ISNUMBER(SEARCH("контрол",E89))),"инженер отк",IF(ISNUMBER(SEARCH("диспетч",E89)),"инженер пдо",TRIM(SUBSTITUTE(SUBSTITUTE(SUBSTITUTE(SUBSTITUTE(SUBSTITUTE(SUBSTITUTE(SUBSTITUTE(SUBSTITUTE(SUBSTITUTE(SUBSTITUTE(SUBSTITUTE(LOWER(TRIM(D89)),"ё","е"),"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категории","")))),IF(TRIM(SUBSTITUTE(SUBSTITUTE(SUBSTITUTE(SUBSTITUTE(SUBSTITUTE(SUBSTITUTE(SUBSTITUTE(SUBSTITUTE(SUBSTITUTE(SUBSTITUTE(SUBSTITUTE(LOWER(TRIM(D89)),"ё","е")," -","-"),"- ","-")," 2 разряда","")," 3 разряда","")," 4 разряда","")," 5 разряда","")," 6 разряда","")," 1 категории","")," 2 категории","")," 3 категории",""))="ведущий инженер",IF(ISNUMBER(SEARCH("диспетч",E89)),"ведущий инженер пдо",TRIM(SUBSTITUTE(SUBSTITUTE(SUBSTITUTE(SUBSTITUTE(SUBSTITUTE(SUBSTITUTE(SUBSTITUTE(SUBSTITUTE(SUBSTITUTE(SUBSTITUTE(SUBSTITUTE(LOWER(TRIM(D89)),"ё","е"),"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категории",""))),IF(TRIM(SUBSTITUTE(SUBSTITUTE(SUBSTITUTE(SUBSTITUTE(SUBSTITUTE(SUBSTITUTE(SUBSTITUTE(SUBSTITUTE(SUBSTITUTE(SUBSTITUTE(SUBSTITUTE(LOWER(TRIM(D89)),"ё","е"),"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отк",TRIM(SUBSTITUTE(SUBSTITUTE(SUBSTITUTE(SUBSTITUTE(SUBSTITUTE(SUBSTITUTE(SUBSTITUTE(SUBSTITUTE(SUBSTITUTE(SUBSTITUTE(SUBSTITUTE(LOWER(TRIM(D89)),"ё","е")," -","-"),"- ","-")," 2 разряда","")," 3 разряда","")," 4 разряда","")," 5 разряда","")," 6 разряда","")," 1 категории","")," 2 категории","")," 3 категории","")))))</f>
        <v>инженер пдо</v>
      </c>
      <c r="H89" s="11" t="n">
        <f aca="false">IFERROR(INDEX(Соответствие!$B$2:$B$76,MATCH(G89,Соответствие!$A$2:$A$76,0)),"?")</f>
        <v>27</v>
      </c>
      <c r="I89" s="8" t="str">
        <f aca="false">IFERROR(INDEX('Перечень должностей'!$C$2:$C$46,MATCH(H89,'Перечень должностей'!$A$2:$A$46,0)),"")</f>
        <v>п.4.4, п.5.1, п.5.2</v>
      </c>
      <c r="J89" s="11" t="n">
        <f aca="false">IFERROR(INDEX('Перечень должностей'!$D$2:$D$46,MATCH(H89,'Перечень должностей'!$A$2:$A$46,0)),12)</f>
        <v>12</v>
      </c>
      <c r="K89" s="16"/>
      <c r="L89" s="16"/>
      <c r="M89" s="15" t="str">
        <f aca="false">IF(K89="","",EDATE(IF(L89&lt;&gt;"",L89,K89),J89))</f>
        <v/>
      </c>
      <c r="N89" s="11" t="str">
        <f aca="false">IFERROR(INDEX('Перечень должностей'!$F$2:$F$46,MATCH(H89,'Перечень должностей'!$A$2:$A$46,0)),"")</f>
        <v>-</v>
      </c>
      <c r="O89" s="16"/>
      <c r="P89" s="15" t="str">
        <f aca="false">IF(O89="","",EDATE(O89,60))</f>
        <v/>
      </c>
      <c r="Q89" s="11" t="str">
        <f aca="false">IF(AND(K89&lt;&gt;"",F89&lt;&gt;"",K89&gt;F89),"ДА","")</f>
        <v/>
      </c>
      <c r="R89" s="8"/>
    </row>
    <row r="90" customFormat="false" ht="14.25" hidden="false" customHeight="false" outlineLevel="0" collapsed="false">
      <c r="A90" s="14" t="n">
        <v>89</v>
      </c>
      <c r="B90" s="11" t="s">
        <v>50</v>
      </c>
      <c r="C90" s="14" t="s">
        <v>500</v>
      </c>
      <c r="D90" s="14" t="s">
        <v>498</v>
      </c>
      <c r="E90" s="14" t="s">
        <v>499</v>
      </c>
      <c r="F90" s="15" t="n">
        <v>43031</v>
      </c>
      <c r="G90" s="4" t="str">
        <f aca="false">IF(TRIM(SUBSTITUTE(SUBSTITUTE(SUBSTITUTE(SUBSTITUTE(SUBSTITUTE(SUBSTITUTE(SUBSTITUTE(SUBSTITUTE(SUBSTITUTE(SUBSTITUTE(SUBSTITUTE(LOWER(TRIM(D90)),"ё","е")," -","-"),"- ","-")," 2 разряда","")," 3 разряда","")," 4 разряда","")," 5 разряда","")," 6 разряда","")," 1 категории","")," 2 категории","")," 3 категории",""))="инженер",IF(AND(ISNUMBER(SEARCH("техническ",E90)),ISNUMBER(SEARCH("контрол",E90))),"инженер отк",IF(ISNUMBER(SEARCH("диспетч",E90)),"инженер пдо",TRIM(SUBSTITUTE(SUBSTITUTE(SUBSTITUTE(SUBSTITUTE(SUBSTITUTE(SUBSTITUTE(SUBSTITUTE(SUBSTITUTE(SUBSTITUTE(SUBSTITUTE(SUBSTITUTE(LOWER(TRIM(D90)),"ё","е"),"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категории","")))),IF(TRIM(SUBSTITUTE(SUBSTITUTE(SUBSTITUTE(SUBSTITUTE(SUBSTITUTE(SUBSTITUTE(SUBSTITUTE(SUBSTITUTE(SUBSTITUTE(SUBSTITUTE(SUBSTITUTE(LOWER(TRIM(D90)),"ё","е")," -","-"),"- ","-")," 2 разряда","")," 3 разряда","")," 4 разряда","")," 5 разряда","")," 6 разряда","")," 1 категории","")," 2 категории","")," 3 категории",""))="ведущий инженер",IF(ISNUMBER(SEARCH("диспетч",E90)),"ведущий инженер пдо",TRIM(SUBSTITUTE(SUBSTITUTE(SUBSTITUTE(SUBSTITUTE(SUBSTITUTE(SUBSTITUTE(SUBSTITUTE(SUBSTITUTE(SUBSTITUTE(SUBSTITUTE(SUBSTITUTE(LOWER(TRIM(D90)),"ё","е"),"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отк",TRIM(SUBSTITUTE(SUBSTITUTE(SUBSTITUTE(SUBSTITUTE(SUBSTITUTE(SUBSTITUTE(SUBSTITUTE(SUBSTITUTE(SUBSTITUTE(SUBSTITUTE(SUBSTITUTE(LOWER(TRIM(D90)),"ё","е")," -","-"),"- ","-")," 2 разряда","")," 3 разряда","")," 4 разряда","")," 5 разряда","")," 6 разряда","")," 1 категории","")," 2 категории","")," 3 категории","")))))</f>
        <v>инженер пдо</v>
      </c>
      <c r="H90" s="11" t="n">
        <f aca="false">IFERROR(INDEX(Соответствие!$B$2:$B$76,MATCH(G90,Соответствие!$A$2:$A$76,0)),"?")</f>
        <v>27</v>
      </c>
      <c r="I90" s="8" t="str">
        <f aca="false">IFERROR(INDEX('Перечень должностей'!$C$2:$C$46,MATCH(H90,'Перечень должностей'!$A$2:$A$46,0)),"")</f>
        <v>п.4.4, п.5.1, п.5.2</v>
      </c>
      <c r="J90" s="11" t="n">
        <f aca="false">IFERROR(INDEX('Перечень должностей'!$D$2:$D$46,MATCH(H90,'Перечень должностей'!$A$2:$A$46,0)),12)</f>
        <v>12</v>
      </c>
      <c r="K90" s="16"/>
      <c r="L90" s="16"/>
      <c r="M90" s="15" t="str">
        <f aca="false">IF(K90="","",EDATE(IF(L90&lt;&gt;"",L90,K90),J90))</f>
        <v/>
      </c>
      <c r="N90" s="11" t="str">
        <f aca="false">IFERROR(INDEX('Перечень должностей'!$F$2:$F$46,MATCH(H90,'Перечень должностей'!$A$2:$A$46,0)),"")</f>
        <v>-</v>
      </c>
      <c r="O90" s="16"/>
      <c r="P90" s="15" t="str">
        <f aca="false">IF(O90="","",EDATE(O90,60))</f>
        <v/>
      </c>
      <c r="Q90" s="11" t="str">
        <f aca="false">IF(AND(K90&lt;&gt;"",F90&lt;&gt;"",K90&gt;F90),"ДА","")</f>
        <v/>
      </c>
      <c r="R90" s="8"/>
    </row>
    <row r="91" customFormat="false" ht="14.25" hidden="false" customHeight="false" outlineLevel="0" collapsed="false">
      <c r="A91" s="14" t="n">
        <v>90</v>
      </c>
      <c r="B91" s="11" t="s">
        <v>50</v>
      </c>
      <c r="C91" s="14" t="s">
        <v>501</v>
      </c>
      <c r="D91" s="14" t="s">
        <v>502</v>
      </c>
      <c r="E91" s="14" t="s">
        <v>499</v>
      </c>
      <c r="F91" s="15" t="n">
        <v>45719</v>
      </c>
      <c r="G91" s="4" t="str">
        <f aca="false">IF(TRIM(SUBSTITUTE(SUBSTITUTE(SUBSTITUTE(SUBSTITUTE(SUBSTITUTE(SUBSTITUTE(SUBSTITUTE(SUBSTITUTE(SUBSTITUTE(SUBSTITUTE(SUBSTITUTE(LOWER(TRIM(D91)),"ё","е")," -","-"),"- ","-")," 2 разряда","")," 3 разряда","")," 4 разряда","")," 5 разряда","")," 6 разряда","")," 1 категории","")," 2 категории","")," 3 категории",""))="инженер",IF(AND(ISNUMBER(SEARCH("техническ",E91)),ISNUMBER(SEARCH("контрол",E91))),"инженер отк",IF(ISNUMBER(SEARCH("диспетч",E91)),"инженер пдо",TRIM(SUBSTITUTE(SUBSTITUTE(SUBSTITUTE(SUBSTITUTE(SUBSTITUTE(SUBSTITUTE(SUBSTITUTE(SUBSTITUTE(SUBSTITUTE(SUBSTITUTE(SUBSTITUTE(LOWER(TRIM(D91)),"ё","е"),"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категории","")))),IF(TRIM(SUBSTITUTE(SUBSTITUTE(SUBSTITUTE(SUBSTITUTE(SUBSTITUTE(SUBSTITUTE(SUBSTITUTE(SUBSTITUTE(SUBSTITUTE(SUBSTITUTE(SUBSTITUTE(LOWER(TRIM(D91)),"ё","е")," -","-"),"- ","-")," 2 разряда","")," 3 разряда","")," 4 разряда","")," 5 разряда","")," 6 разряда","")," 1 категории","")," 2 категории","")," 3 категории",""))="ведущий инженер",IF(ISNUMBER(SEARCH("диспетч",E91)),"ведущий инженер пдо",TRIM(SUBSTITUTE(SUBSTITUTE(SUBSTITUTE(SUBSTITUTE(SUBSTITUTE(SUBSTITUTE(SUBSTITUTE(SUBSTITUTE(SUBSTITUTE(SUBSTITUTE(SUBSTITUTE(LOWER(TRIM(D91)),"ё","е"),"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отк",TRIM(SUBSTITUTE(SUBSTITUTE(SUBSTITUTE(SUBSTITUTE(SUBSTITUTE(SUBSTITUTE(SUBSTITUTE(SUBSTITUTE(SUBSTITUTE(SUBSTITUTE(SUBSTITUTE(LOWER(TRIM(D91)),"ё","е")," -","-"),"- ","-")," 2 разряда","")," 3 разряда","")," 4 разряда","")," 5 разряда","")," 6 разряда","")," 1 категории","")," 2 категории","")," 3 категории","")))))</f>
        <v>диспетчер</v>
      </c>
      <c r="H91" s="11" t="n">
        <f aca="false">IFERROR(INDEX(Соответствие!$B$2:$B$76,MATCH(G91,Соответствие!$A$2:$A$76,0)),"?")</f>
        <v>28</v>
      </c>
      <c r="I91" s="8" t="str">
        <f aca="false">IFERROR(INDEX('Перечень должностей'!$C$2:$C$46,MATCH(H91,'Перечень должностей'!$A$2:$A$46,0)),"")</f>
        <v>п.4.4, п.5.1, п.5.2</v>
      </c>
      <c r="J91" s="11" t="n">
        <f aca="false">IFERROR(INDEX('Перечень должностей'!$D$2:$D$46,MATCH(H91,'Перечень должностей'!$A$2:$A$46,0)),12)</f>
        <v>12</v>
      </c>
      <c r="K91" s="16"/>
      <c r="L91" s="16"/>
      <c r="M91" s="15" t="str">
        <f aca="false">IF(K91="","",EDATE(IF(L91&lt;&gt;"",L91,K91),J91))</f>
        <v/>
      </c>
      <c r="N91" s="11" t="str">
        <f aca="false">IFERROR(INDEX('Перечень должностей'!$F$2:$F$46,MATCH(H91,'Перечень должностей'!$A$2:$A$46,0)),"")</f>
        <v>-</v>
      </c>
      <c r="O91" s="16"/>
      <c r="P91" s="15" t="str">
        <f aca="false">IF(O91="","",EDATE(O91,60))</f>
        <v/>
      </c>
      <c r="Q91" s="11" t="str">
        <f aca="false">IF(AND(K91&lt;&gt;"",F91&lt;&gt;"",K91&gt;F91),"ДА","")</f>
        <v/>
      </c>
      <c r="R91" s="8"/>
    </row>
    <row r="92" customFormat="false" ht="14.25" hidden="false" customHeight="false" outlineLevel="0" collapsed="false">
      <c r="A92" s="14" t="n">
        <v>91</v>
      </c>
      <c r="B92" s="11" t="s">
        <v>50</v>
      </c>
      <c r="C92" s="14" t="s">
        <v>503</v>
      </c>
      <c r="D92" s="14" t="s">
        <v>502</v>
      </c>
      <c r="E92" s="14" t="s">
        <v>499</v>
      </c>
      <c r="F92" s="15" t="n">
        <v>45803</v>
      </c>
      <c r="G92" s="4" t="str">
        <f aca="false">IF(TRIM(SUBSTITUTE(SUBSTITUTE(SUBSTITUTE(SUBSTITUTE(SUBSTITUTE(SUBSTITUTE(SUBSTITUTE(SUBSTITUTE(SUBSTITUTE(SUBSTITUTE(SUBSTITUTE(LOWER(TRIM(D92)),"ё","е")," -","-"),"- ","-")," 2 разряда","")," 3 разряда","")," 4 разряда","")," 5 разряда","")," 6 разряда","")," 1 категории","")," 2 категории","")," 3 категории",""))="инженер",IF(AND(ISNUMBER(SEARCH("техническ",E92)),ISNUMBER(SEARCH("контрол",E92))),"инженер отк",IF(ISNUMBER(SEARCH("диспетч",E92)),"инженер пдо",TRIM(SUBSTITUTE(SUBSTITUTE(SUBSTITUTE(SUBSTITUTE(SUBSTITUTE(SUBSTITUTE(SUBSTITUTE(SUBSTITUTE(SUBSTITUTE(SUBSTITUTE(SUBSTITUTE(LOWER(TRIM(D92)),"ё","е"),"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категории","")))),IF(TRIM(SUBSTITUTE(SUBSTITUTE(SUBSTITUTE(SUBSTITUTE(SUBSTITUTE(SUBSTITUTE(SUBSTITUTE(SUBSTITUTE(SUBSTITUTE(SUBSTITUTE(SUBSTITUTE(LOWER(TRIM(D92)),"ё","е")," -","-"),"- ","-")," 2 разряда","")," 3 разряда","")," 4 разряда","")," 5 разряда","")," 6 разряда","")," 1 категории","")," 2 категории","")," 3 категории",""))="ведущий инженер",IF(ISNUMBER(SEARCH("диспетч",E92)),"ведущий инженер пдо",TRIM(SUBSTITUTE(SUBSTITUTE(SUBSTITUTE(SUBSTITUTE(SUBSTITUTE(SUBSTITUTE(SUBSTITUTE(SUBSTITUTE(SUBSTITUTE(SUBSTITUTE(SUBSTITUTE(LOWER(TRIM(D92)),"ё","е"),"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отк",TRIM(SUBSTITUTE(SUBSTITUTE(SUBSTITUTE(SUBSTITUTE(SUBSTITUTE(SUBSTITUTE(SUBSTITUTE(SUBSTITUTE(SUBSTITUTE(SUBSTITUTE(SUBSTITUTE(LOWER(TRIM(D92)),"ё","е")," -","-"),"- ","-")," 2 разряда","")," 3 разряда","")," 4 разряда","")," 5 разряда","")," 6 разряда","")," 1 категории","")," 2 категории","")," 3 категории","")))))</f>
        <v>диспетчер</v>
      </c>
      <c r="H92" s="11" t="n">
        <f aca="false">IFERROR(INDEX(Соответствие!$B$2:$B$76,MATCH(G92,Соответствие!$A$2:$A$76,0)),"?")</f>
        <v>28</v>
      </c>
      <c r="I92" s="8" t="str">
        <f aca="false">IFERROR(INDEX('Перечень должностей'!$C$2:$C$46,MATCH(H92,'Перечень должностей'!$A$2:$A$46,0)),"")</f>
        <v>п.4.4, п.5.1, п.5.2</v>
      </c>
      <c r="J92" s="11" t="n">
        <f aca="false">IFERROR(INDEX('Перечень должностей'!$D$2:$D$46,MATCH(H92,'Перечень должностей'!$A$2:$A$46,0)),12)</f>
        <v>12</v>
      </c>
      <c r="K92" s="16"/>
      <c r="L92" s="16"/>
      <c r="M92" s="15" t="str">
        <f aca="false">IF(K92="","",EDATE(IF(L92&lt;&gt;"",L92,K92),J92))</f>
        <v/>
      </c>
      <c r="N92" s="11" t="str">
        <f aca="false">IFERROR(INDEX('Перечень должностей'!$F$2:$F$46,MATCH(H92,'Перечень должностей'!$A$2:$A$46,0)),"")</f>
        <v>-</v>
      </c>
      <c r="O92" s="16"/>
      <c r="P92" s="15" t="str">
        <f aca="false">IF(O92="","",EDATE(O92,60))</f>
        <v/>
      </c>
      <c r="Q92" s="11" t="str">
        <f aca="false">IF(AND(K92&lt;&gt;"",F92&lt;&gt;"",K92&gt;F92),"ДА","")</f>
        <v/>
      </c>
      <c r="R92" s="8"/>
    </row>
    <row r="93" customFormat="false" ht="14.25" hidden="false" customHeight="false" outlineLevel="0" collapsed="false">
      <c r="A93" s="14" t="n">
        <v>92</v>
      </c>
      <c r="B93" s="11" t="s">
        <v>50</v>
      </c>
      <c r="C93" s="14" t="s">
        <v>504</v>
      </c>
      <c r="D93" s="14" t="s">
        <v>502</v>
      </c>
      <c r="E93" s="14" t="s">
        <v>499</v>
      </c>
      <c r="F93" s="15" t="n">
        <v>45833</v>
      </c>
      <c r="G93" s="4" t="str">
        <f aca="false">IF(TRIM(SUBSTITUTE(SUBSTITUTE(SUBSTITUTE(SUBSTITUTE(SUBSTITUTE(SUBSTITUTE(SUBSTITUTE(SUBSTITUTE(SUBSTITUTE(SUBSTITUTE(SUBSTITUTE(LOWER(TRIM(D93)),"ё","е")," -","-"),"- ","-")," 2 разряда","")," 3 разряда","")," 4 разряда","")," 5 разряда","")," 6 разряда","")," 1 категории","")," 2 категории","")," 3 категории",""))="инженер",IF(AND(ISNUMBER(SEARCH("техническ",E93)),ISNUMBER(SEARCH("контрол",E93))),"инженер отк",IF(ISNUMBER(SEARCH("диспетч",E93)),"инженер пдо",TRIM(SUBSTITUTE(SUBSTITUTE(SUBSTITUTE(SUBSTITUTE(SUBSTITUTE(SUBSTITUTE(SUBSTITUTE(SUBSTITUTE(SUBSTITUTE(SUBSTITUTE(SUBSTITUTE(LOWER(TRIM(D93)),"ё","е"),"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категории","")))),IF(TRIM(SUBSTITUTE(SUBSTITUTE(SUBSTITUTE(SUBSTITUTE(SUBSTITUTE(SUBSTITUTE(SUBSTITUTE(SUBSTITUTE(SUBSTITUTE(SUBSTITUTE(SUBSTITUTE(LOWER(TRIM(D93)),"ё","е")," -","-"),"- ","-")," 2 разряда","")," 3 разряда","")," 4 разряда","")," 5 разряда","")," 6 разряда","")," 1 категории","")," 2 категории","")," 3 категории",""))="ведущий инженер",IF(ISNUMBER(SEARCH("диспетч",E93)),"ведущий инженер пдо",TRIM(SUBSTITUTE(SUBSTITUTE(SUBSTITUTE(SUBSTITUTE(SUBSTITUTE(SUBSTITUTE(SUBSTITUTE(SUBSTITUTE(SUBSTITUTE(SUBSTITUTE(SUBSTITUTE(LOWER(TRIM(D93)),"ё","е"),"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отк",TRIM(SUBSTITUTE(SUBSTITUTE(SUBSTITUTE(SUBSTITUTE(SUBSTITUTE(SUBSTITUTE(SUBSTITUTE(SUBSTITUTE(SUBSTITUTE(SUBSTITUTE(SUBSTITUTE(LOWER(TRIM(D93)),"ё","е")," -","-"),"- ","-")," 2 разряда","")," 3 разряда","")," 4 разряда","")," 5 разряда","")," 6 разряда","")," 1 категории","")," 2 категории","")," 3 категории","")))))</f>
        <v>диспетчер</v>
      </c>
      <c r="H93" s="11" t="n">
        <f aca="false">IFERROR(INDEX(Соответствие!$B$2:$B$76,MATCH(G93,Соответствие!$A$2:$A$76,0)),"?")</f>
        <v>28</v>
      </c>
      <c r="I93" s="8" t="str">
        <f aca="false">IFERROR(INDEX('Перечень должностей'!$C$2:$C$46,MATCH(H93,'Перечень должностей'!$A$2:$A$46,0)),"")</f>
        <v>п.4.4, п.5.1, п.5.2</v>
      </c>
      <c r="J93" s="11" t="n">
        <f aca="false">IFERROR(INDEX('Перечень должностей'!$D$2:$D$46,MATCH(H93,'Перечень должностей'!$A$2:$A$46,0)),12)</f>
        <v>12</v>
      </c>
      <c r="K93" s="16"/>
      <c r="L93" s="16"/>
      <c r="M93" s="15" t="str">
        <f aca="false">IF(K93="","",EDATE(IF(L93&lt;&gt;"",L93,K93),J93))</f>
        <v/>
      </c>
      <c r="N93" s="11" t="str">
        <f aca="false">IFERROR(INDEX('Перечень должностей'!$F$2:$F$46,MATCH(H93,'Перечень должностей'!$A$2:$A$46,0)),"")</f>
        <v>-</v>
      </c>
      <c r="O93" s="16"/>
      <c r="P93" s="15" t="str">
        <f aca="false">IF(O93="","",EDATE(O93,60))</f>
        <v/>
      </c>
      <c r="Q93" s="11" t="str">
        <f aca="false">IF(AND(K93&lt;&gt;"",F93&lt;&gt;"",K93&gt;F93),"ДА","")</f>
        <v/>
      </c>
      <c r="R93" s="8"/>
    </row>
    <row r="94" customFormat="false" ht="14.25" hidden="false" customHeight="false" outlineLevel="0" collapsed="false">
      <c r="A94" s="14" t="n">
        <v>93</v>
      </c>
      <c r="B94" s="11" t="s">
        <v>50</v>
      </c>
      <c r="C94" s="14" t="s">
        <v>505</v>
      </c>
      <c r="D94" s="14" t="s">
        <v>502</v>
      </c>
      <c r="E94" s="14" t="s">
        <v>499</v>
      </c>
      <c r="F94" s="15" t="n">
        <v>45908</v>
      </c>
      <c r="G94" s="4" t="str">
        <f aca="false">IF(TRIM(SUBSTITUTE(SUBSTITUTE(SUBSTITUTE(SUBSTITUTE(SUBSTITUTE(SUBSTITUTE(SUBSTITUTE(SUBSTITUTE(SUBSTITUTE(SUBSTITUTE(SUBSTITUTE(LOWER(TRIM(D94)),"ё","е")," -","-"),"- ","-")," 2 разряда","")," 3 разряда","")," 4 разряда","")," 5 разряда","")," 6 разряда","")," 1 категории","")," 2 категории","")," 3 категории",""))="инженер",IF(AND(ISNUMBER(SEARCH("техническ",E94)),ISNUMBER(SEARCH("контрол",E94))),"инженер отк",IF(ISNUMBER(SEARCH("диспетч",E94)),"инженер пдо",TRIM(SUBSTITUTE(SUBSTITUTE(SUBSTITUTE(SUBSTITUTE(SUBSTITUTE(SUBSTITUTE(SUBSTITUTE(SUBSTITUTE(SUBSTITUTE(SUBSTITUTE(SUBSTITUTE(LOWER(TRIM(D94)),"ё","е"),"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категории","")))),IF(TRIM(SUBSTITUTE(SUBSTITUTE(SUBSTITUTE(SUBSTITUTE(SUBSTITUTE(SUBSTITUTE(SUBSTITUTE(SUBSTITUTE(SUBSTITUTE(SUBSTITUTE(SUBSTITUTE(LOWER(TRIM(D94)),"ё","е")," -","-"),"- ","-")," 2 разряда","")," 3 разряда","")," 4 разряда","")," 5 разряда","")," 6 разряда","")," 1 категории","")," 2 категории","")," 3 категории",""))="ведущий инженер",IF(ISNUMBER(SEARCH("диспетч",E94)),"ведущий инженер пдо",TRIM(SUBSTITUTE(SUBSTITUTE(SUBSTITUTE(SUBSTITUTE(SUBSTITUTE(SUBSTITUTE(SUBSTITUTE(SUBSTITUTE(SUBSTITUTE(SUBSTITUTE(SUBSTITUTE(LOWER(TRIM(D94)),"ё","е"),"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отк",TRIM(SUBSTITUTE(SUBSTITUTE(SUBSTITUTE(SUBSTITUTE(SUBSTITUTE(SUBSTITUTE(SUBSTITUTE(SUBSTITUTE(SUBSTITUTE(SUBSTITUTE(SUBSTITUTE(LOWER(TRIM(D94)),"ё","е")," -","-"),"- ","-")," 2 разряда","")," 3 разряда","")," 4 разряда","")," 5 разряда","")," 6 разряда","")," 1 категории","")," 2 категории","")," 3 категории","")))))</f>
        <v>диспетчер</v>
      </c>
      <c r="H94" s="11" t="n">
        <f aca="false">IFERROR(INDEX(Соответствие!$B$2:$B$76,MATCH(G94,Соответствие!$A$2:$A$76,0)),"?")</f>
        <v>28</v>
      </c>
      <c r="I94" s="8" t="str">
        <f aca="false">IFERROR(INDEX('Перечень должностей'!$C$2:$C$46,MATCH(H94,'Перечень должностей'!$A$2:$A$46,0)),"")</f>
        <v>п.4.4, п.5.1, п.5.2</v>
      </c>
      <c r="J94" s="11" t="n">
        <f aca="false">IFERROR(INDEX('Перечень должностей'!$D$2:$D$46,MATCH(H94,'Перечень должностей'!$A$2:$A$46,0)),12)</f>
        <v>12</v>
      </c>
      <c r="K94" s="16"/>
      <c r="L94" s="16"/>
      <c r="M94" s="15" t="str">
        <f aca="false">IF(K94="","",EDATE(IF(L94&lt;&gt;"",L94,K94),J94))</f>
        <v/>
      </c>
      <c r="N94" s="11" t="str">
        <f aca="false">IFERROR(INDEX('Перечень должностей'!$F$2:$F$46,MATCH(H94,'Перечень должностей'!$A$2:$A$46,0)),"")</f>
        <v>-</v>
      </c>
      <c r="O94" s="16"/>
      <c r="P94" s="15" t="str">
        <f aca="false">IF(O94="","",EDATE(O94,60))</f>
        <v/>
      </c>
      <c r="Q94" s="11" t="str">
        <f aca="false">IF(AND(K94&lt;&gt;"",F94&lt;&gt;"",K94&gt;F94),"ДА","")</f>
        <v/>
      </c>
      <c r="R94" s="8"/>
    </row>
    <row r="95" customFormat="false" ht="14.25" hidden="false" customHeight="false" outlineLevel="0" collapsed="false">
      <c r="A95" s="14" t="n">
        <v>94</v>
      </c>
      <c r="B95" s="11" t="s">
        <v>50</v>
      </c>
      <c r="C95" s="14" t="s">
        <v>506</v>
      </c>
      <c r="D95" s="14" t="s">
        <v>502</v>
      </c>
      <c r="E95" s="14" t="s">
        <v>499</v>
      </c>
      <c r="F95" s="15" t="n">
        <v>42360</v>
      </c>
      <c r="G95" s="4" t="str">
        <f aca="false">IF(TRIM(SUBSTITUTE(SUBSTITUTE(SUBSTITUTE(SUBSTITUTE(SUBSTITUTE(SUBSTITUTE(SUBSTITUTE(SUBSTITUTE(SUBSTITUTE(SUBSTITUTE(SUBSTITUTE(LOWER(TRIM(D95)),"ё","е")," -","-"),"- ","-")," 2 разряда","")," 3 разряда","")," 4 разряда","")," 5 разряда","")," 6 разряда","")," 1 категории","")," 2 категории","")," 3 категории",""))="инженер",IF(AND(ISNUMBER(SEARCH("техническ",E95)),ISNUMBER(SEARCH("контрол",E95))),"инженер отк",IF(ISNUMBER(SEARCH("диспетч",E95)),"инженер пдо",TRIM(SUBSTITUTE(SUBSTITUTE(SUBSTITUTE(SUBSTITUTE(SUBSTITUTE(SUBSTITUTE(SUBSTITUTE(SUBSTITUTE(SUBSTITUTE(SUBSTITUTE(SUBSTITUTE(LOWER(TRIM(D95)),"ё","е"),"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категории","")))),IF(TRIM(SUBSTITUTE(SUBSTITUTE(SUBSTITUTE(SUBSTITUTE(SUBSTITUTE(SUBSTITUTE(SUBSTITUTE(SUBSTITUTE(SUBSTITUTE(SUBSTITUTE(SUBSTITUTE(LOWER(TRIM(D95)),"ё","е")," -","-"),"- ","-")," 2 разряда","")," 3 разряда","")," 4 разряда","")," 5 разряда","")," 6 разряда","")," 1 категории","")," 2 категории","")," 3 категории",""))="ведущий инженер",IF(ISNUMBER(SEARCH("диспетч",E95)),"ведущий инженер пдо",TRIM(SUBSTITUTE(SUBSTITUTE(SUBSTITUTE(SUBSTITUTE(SUBSTITUTE(SUBSTITUTE(SUBSTITUTE(SUBSTITUTE(SUBSTITUTE(SUBSTITUTE(SUBSTITUTE(LOWER(TRIM(D95)),"ё","е"),"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отк",TRIM(SUBSTITUTE(SUBSTITUTE(SUBSTITUTE(SUBSTITUTE(SUBSTITUTE(SUBSTITUTE(SUBSTITUTE(SUBSTITUTE(SUBSTITUTE(SUBSTITUTE(SUBSTITUTE(LOWER(TRIM(D95)),"ё","е")," -","-"),"- ","-")," 2 разряда","")," 3 разряда","")," 4 разряда","")," 5 разряда","")," 6 разряда","")," 1 категории","")," 2 категории","")," 3 категории","")))))</f>
        <v>диспетчер</v>
      </c>
      <c r="H95" s="11" t="n">
        <f aca="false">IFERROR(INDEX(Соответствие!$B$2:$B$76,MATCH(G95,Соответствие!$A$2:$A$76,0)),"?")</f>
        <v>28</v>
      </c>
      <c r="I95" s="8" t="str">
        <f aca="false">IFERROR(INDEX('Перечень должностей'!$C$2:$C$46,MATCH(H95,'Перечень должностей'!$A$2:$A$46,0)),"")</f>
        <v>п.4.4, п.5.1, п.5.2</v>
      </c>
      <c r="J95" s="11" t="n">
        <f aca="false">IFERROR(INDEX('Перечень должностей'!$D$2:$D$46,MATCH(H95,'Перечень должностей'!$A$2:$A$46,0)),12)</f>
        <v>12</v>
      </c>
      <c r="K95" s="16"/>
      <c r="L95" s="16"/>
      <c r="M95" s="15" t="str">
        <f aca="false">IF(K95="","",EDATE(IF(L95&lt;&gt;"",L95,K95),J95))</f>
        <v/>
      </c>
      <c r="N95" s="11" t="str">
        <f aca="false">IFERROR(INDEX('Перечень должностей'!$F$2:$F$46,MATCH(H95,'Перечень должностей'!$A$2:$A$46,0)),"")</f>
        <v>-</v>
      </c>
      <c r="O95" s="16"/>
      <c r="P95" s="15" t="str">
        <f aca="false">IF(O95="","",EDATE(O95,60))</f>
        <v/>
      </c>
      <c r="Q95" s="11" t="str">
        <f aca="false">IF(AND(K95&lt;&gt;"",F95&lt;&gt;"",K95&gt;F95),"ДА","")</f>
        <v/>
      </c>
      <c r="R95" s="8"/>
    </row>
    <row r="96" customFormat="false" ht="14.25" hidden="false" customHeight="false" outlineLevel="0" collapsed="false">
      <c r="A96" s="14" t="n">
        <v>95</v>
      </c>
      <c r="B96" s="11" t="s">
        <v>50</v>
      </c>
      <c r="C96" s="14" t="s">
        <v>507</v>
      </c>
      <c r="D96" s="14" t="s">
        <v>502</v>
      </c>
      <c r="E96" s="14" t="s">
        <v>499</v>
      </c>
      <c r="F96" s="15" t="n">
        <v>45966</v>
      </c>
      <c r="G96" s="4" t="str">
        <f aca="false">IF(TRIM(SUBSTITUTE(SUBSTITUTE(SUBSTITUTE(SUBSTITUTE(SUBSTITUTE(SUBSTITUTE(SUBSTITUTE(SUBSTITUTE(SUBSTITUTE(SUBSTITUTE(SUBSTITUTE(LOWER(TRIM(D96)),"ё","е")," -","-"),"- ","-")," 2 разряда","")," 3 разряда","")," 4 разряда","")," 5 разряда","")," 6 разряда","")," 1 категории","")," 2 категории","")," 3 категории",""))="инженер",IF(AND(ISNUMBER(SEARCH("техническ",E96)),ISNUMBER(SEARCH("контрол",E96))),"инженер отк",IF(ISNUMBER(SEARCH("диспетч",E96)),"инженер пдо",TRIM(SUBSTITUTE(SUBSTITUTE(SUBSTITUTE(SUBSTITUTE(SUBSTITUTE(SUBSTITUTE(SUBSTITUTE(SUBSTITUTE(SUBSTITUTE(SUBSTITUTE(SUBSTITUTE(LOWER(TRIM(D96)),"ё","е"),"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категории","")))),IF(TRIM(SUBSTITUTE(SUBSTITUTE(SUBSTITUTE(SUBSTITUTE(SUBSTITUTE(SUBSTITUTE(SUBSTITUTE(SUBSTITUTE(SUBSTITUTE(SUBSTITUTE(SUBSTITUTE(LOWER(TRIM(D96)),"ё","е")," -","-"),"- ","-")," 2 разряда","")," 3 разряда","")," 4 разряда","")," 5 разряда","")," 6 разряда","")," 1 категории","")," 2 категории","")," 3 категории",""))="ведущий инженер",IF(ISNUMBER(SEARCH("диспетч",E96)),"ведущий инженер пдо",TRIM(SUBSTITUTE(SUBSTITUTE(SUBSTITUTE(SUBSTITUTE(SUBSTITUTE(SUBSTITUTE(SUBSTITUTE(SUBSTITUTE(SUBSTITUTE(SUBSTITUTE(SUBSTITUTE(LOWER(TRIM(D96)),"ё","е"),"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отк",TRIM(SUBSTITUTE(SUBSTITUTE(SUBSTITUTE(SUBSTITUTE(SUBSTITUTE(SUBSTITUTE(SUBSTITUTE(SUBSTITUTE(SUBSTITUTE(SUBSTITUTE(SUBSTITUTE(LOWER(TRIM(D96)),"ё","е")," -","-"),"- ","-")," 2 разряда","")," 3 разряда","")," 4 разряда","")," 5 разряда","")," 6 разряда","")," 1 категории","")," 2 категории","")," 3 категории","")))))</f>
        <v>диспетчер</v>
      </c>
      <c r="H96" s="11" t="n">
        <f aca="false">IFERROR(INDEX(Соответствие!$B$2:$B$76,MATCH(G96,Соответствие!$A$2:$A$76,0)),"?")</f>
        <v>28</v>
      </c>
      <c r="I96" s="8" t="str">
        <f aca="false">IFERROR(INDEX('Перечень должностей'!$C$2:$C$46,MATCH(H96,'Перечень должностей'!$A$2:$A$46,0)),"")</f>
        <v>п.4.4, п.5.1, п.5.2</v>
      </c>
      <c r="J96" s="11" t="n">
        <f aca="false">IFERROR(INDEX('Перечень должностей'!$D$2:$D$46,MATCH(H96,'Перечень должностей'!$A$2:$A$46,0)),12)</f>
        <v>12</v>
      </c>
      <c r="K96" s="16"/>
      <c r="L96" s="16"/>
      <c r="M96" s="15" t="str">
        <f aca="false">IF(K96="","",EDATE(IF(L96&lt;&gt;"",L96,K96),J96))</f>
        <v/>
      </c>
      <c r="N96" s="11" t="str">
        <f aca="false">IFERROR(INDEX('Перечень должностей'!$F$2:$F$46,MATCH(H96,'Перечень должностей'!$A$2:$A$46,0)),"")</f>
        <v>-</v>
      </c>
      <c r="O96" s="16"/>
      <c r="P96" s="15" t="str">
        <f aca="false">IF(O96="","",EDATE(O96,60))</f>
        <v/>
      </c>
      <c r="Q96" s="11" t="str">
        <f aca="false">IF(AND(K96&lt;&gt;"",F96&lt;&gt;"",K96&gt;F96),"ДА","")</f>
        <v/>
      </c>
      <c r="R96" s="8"/>
    </row>
    <row r="97" customFormat="false" ht="14.25" hidden="false" customHeight="false" outlineLevel="0" collapsed="false">
      <c r="A97" s="14" t="n">
        <v>96</v>
      </c>
      <c r="B97" s="11" t="s">
        <v>50</v>
      </c>
      <c r="C97" s="14" t="s">
        <v>508</v>
      </c>
      <c r="D97" s="14" t="s">
        <v>502</v>
      </c>
      <c r="E97" s="14" t="s">
        <v>499</v>
      </c>
      <c r="F97" s="15" t="n">
        <v>46113</v>
      </c>
      <c r="G97" s="4" t="str">
        <f aca="false">IF(TRIM(SUBSTITUTE(SUBSTITUTE(SUBSTITUTE(SUBSTITUTE(SUBSTITUTE(SUBSTITUTE(SUBSTITUTE(SUBSTITUTE(SUBSTITUTE(SUBSTITUTE(SUBSTITUTE(LOWER(TRIM(D97)),"ё","е")," -","-"),"- ","-")," 2 разряда","")," 3 разряда","")," 4 разряда","")," 5 разряда","")," 6 разряда","")," 1 категории","")," 2 категории","")," 3 категории",""))="инженер",IF(AND(ISNUMBER(SEARCH("техническ",E97)),ISNUMBER(SEARCH("контрол",E97))),"инженер отк",IF(ISNUMBER(SEARCH("диспетч",E97)),"инженер пдо",TRIM(SUBSTITUTE(SUBSTITUTE(SUBSTITUTE(SUBSTITUTE(SUBSTITUTE(SUBSTITUTE(SUBSTITUTE(SUBSTITUTE(SUBSTITUTE(SUBSTITUTE(SUBSTITUTE(LOWER(TRIM(D97)),"ё","е"),"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категории","")))),IF(TRIM(SUBSTITUTE(SUBSTITUTE(SUBSTITUTE(SUBSTITUTE(SUBSTITUTE(SUBSTITUTE(SUBSTITUTE(SUBSTITUTE(SUBSTITUTE(SUBSTITUTE(SUBSTITUTE(LOWER(TRIM(D97)),"ё","е")," -","-"),"- ","-")," 2 разряда","")," 3 разряда","")," 4 разряда","")," 5 разряда","")," 6 разряда","")," 1 категории","")," 2 категории","")," 3 категории",""))="ведущий инженер",IF(ISNUMBER(SEARCH("диспетч",E97)),"ведущий инженер пдо",TRIM(SUBSTITUTE(SUBSTITUTE(SUBSTITUTE(SUBSTITUTE(SUBSTITUTE(SUBSTITUTE(SUBSTITUTE(SUBSTITUTE(SUBSTITUTE(SUBSTITUTE(SUBSTITUTE(LOWER(TRIM(D97)),"ё","е"),"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отк",TRIM(SUBSTITUTE(SUBSTITUTE(SUBSTITUTE(SUBSTITUTE(SUBSTITUTE(SUBSTITUTE(SUBSTITUTE(SUBSTITUTE(SUBSTITUTE(SUBSTITUTE(SUBSTITUTE(LOWER(TRIM(D97)),"ё","е")," -","-"),"- ","-")," 2 разряда","")," 3 разряда","")," 4 разряда","")," 5 разряда","")," 6 разряда","")," 1 категории","")," 2 категории","")," 3 категории","")))))</f>
        <v>диспетчер</v>
      </c>
      <c r="H97" s="11" t="n">
        <f aca="false">IFERROR(INDEX(Соответствие!$B$2:$B$76,MATCH(G97,Соответствие!$A$2:$A$76,0)),"?")</f>
        <v>28</v>
      </c>
      <c r="I97" s="8" t="str">
        <f aca="false">IFERROR(INDEX('Перечень должностей'!$C$2:$C$46,MATCH(H97,'Перечень должностей'!$A$2:$A$46,0)),"")</f>
        <v>п.4.4, п.5.1, п.5.2</v>
      </c>
      <c r="J97" s="11" t="n">
        <f aca="false">IFERROR(INDEX('Перечень должностей'!$D$2:$D$46,MATCH(H97,'Перечень должностей'!$A$2:$A$46,0)),12)</f>
        <v>12</v>
      </c>
      <c r="K97" s="16"/>
      <c r="L97" s="16"/>
      <c r="M97" s="15" t="str">
        <f aca="false">IF(K97="","",EDATE(IF(L97&lt;&gt;"",L97,K97),J97))</f>
        <v/>
      </c>
      <c r="N97" s="11" t="str">
        <f aca="false">IFERROR(INDEX('Перечень должностей'!$F$2:$F$46,MATCH(H97,'Перечень должностей'!$A$2:$A$46,0)),"")</f>
        <v>-</v>
      </c>
      <c r="O97" s="16"/>
      <c r="P97" s="15" t="str">
        <f aca="false">IF(O97="","",EDATE(O97,60))</f>
        <v/>
      </c>
      <c r="Q97" s="11" t="str">
        <f aca="false">IF(AND(K97&lt;&gt;"",F97&lt;&gt;"",K97&gt;F97),"ДА","")</f>
        <v/>
      </c>
      <c r="R97" s="8"/>
    </row>
    <row r="98" customFormat="false" ht="14.25" hidden="false" customHeight="false" outlineLevel="0" collapsed="false">
      <c r="A98" s="14" t="n">
        <v>97</v>
      </c>
      <c r="B98" s="11" t="s">
        <v>50</v>
      </c>
      <c r="C98" s="14" t="s">
        <v>509</v>
      </c>
      <c r="D98" s="14" t="s">
        <v>95</v>
      </c>
      <c r="E98" s="14" t="s">
        <v>499</v>
      </c>
      <c r="F98" s="15" t="n">
        <v>45691</v>
      </c>
      <c r="G98" s="4" t="str">
        <f aca="false">IF(TRIM(SUBSTITUTE(SUBSTITUTE(SUBSTITUTE(SUBSTITUTE(SUBSTITUTE(SUBSTITUTE(SUBSTITUTE(SUBSTITUTE(SUBSTITUTE(SUBSTITUTE(SUBSTITUTE(LOWER(TRIM(D98)),"ё","е")," -","-"),"- ","-")," 2 разряда","")," 3 разряда","")," 4 разряда","")," 5 разряда","")," 6 разряда","")," 1 категории","")," 2 категории","")," 3 категории",""))="инженер",IF(AND(ISNUMBER(SEARCH("техническ",E98)),ISNUMBER(SEARCH("контрол",E98))),"инженер отк",IF(ISNUMBER(SEARCH("диспетч",E98)),"инженер пдо",TRIM(SUBSTITUTE(SUBSTITUTE(SUBSTITUTE(SUBSTITUTE(SUBSTITUTE(SUBSTITUTE(SUBSTITUTE(SUBSTITUTE(SUBSTITUTE(SUBSTITUTE(SUBSTITUTE(LOWER(TRIM(D98)),"ё","е"),"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категории","")))),IF(TRIM(SUBSTITUTE(SUBSTITUTE(SUBSTITUTE(SUBSTITUTE(SUBSTITUTE(SUBSTITUTE(SUBSTITUTE(SUBSTITUTE(SUBSTITUTE(SUBSTITUTE(SUBSTITUTE(LOWER(TRIM(D98)),"ё","е")," -","-"),"- ","-")," 2 разряда","")," 3 разряда","")," 4 разряда","")," 5 разряда","")," 6 разряда","")," 1 категории","")," 2 категории","")," 3 категории",""))="ведущий инженер",IF(ISNUMBER(SEARCH("диспетч",E98)),"ведущий инженер пдо",TRIM(SUBSTITUTE(SUBSTITUTE(SUBSTITUTE(SUBSTITUTE(SUBSTITUTE(SUBSTITUTE(SUBSTITUTE(SUBSTITUTE(SUBSTITUTE(SUBSTITUTE(SUBSTITUTE(LOWER(TRIM(D98)),"ё","е"),"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отк",TRIM(SUBSTITUTE(SUBSTITUTE(SUBSTITUTE(SUBSTITUTE(SUBSTITUTE(SUBSTITUTE(SUBSTITUTE(SUBSTITUTE(SUBSTITUTE(SUBSTITUTE(SUBSTITUTE(LOWER(TRIM(D98)),"ё","е")," -","-"),"- ","-")," 2 разряда","")," 3 разряда","")," 4 разряда","")," 5 разряда","")," 6 разряда","")," 1 категории","")," 2 категории","")," 3 категории","")))))</f>
        <v>ведущий диспетчер</v>
      </c>
      <c r="H98" s="11" t="n">
        <f aca="false">IFERROR(INDEX(Соответствие!$B$2:$B$76,MATCH(G98,Соответствие!$A$2:$A$76,0)),"?")</f>
        <v>28</v>
      </c>
      <c r="I98" s="8" t="str">
        <f aca="false">IFERROR(INDEX('Перечень должностей'!$C$2:$C$46,MATCH(H98,'Перечень должностей'!$A$2:$A$46,0)),"")</f>
        <v>п.4.4, п.5.1, п.5.2</v>
      </c>
      <c r="J98" s="11" t="n">
        <f aca="false">IFERROR(INDEX('Перечень должностей'!$D$2:$D$46,MATCH(H98,'Перечень должностей'!$A$2:$A$46,0)),12)</f>
        <v>12</v>
      </c>
      <c r="K98" s="16"/>
      <c r="L98" s="16"/>
      <c r="M98" s="15" t="str">
        <f aca="false">IF(K98="","",EDATE(IF(L98&lt;&gt;"",L98,K98),J98))</f>
        <v/>
      </c>
      <c r="N98" s="11" t="str">
        <f aca="false">IFERROR(INDEX('Перечень должностей'!$F$2:$F$46,MATCH(H98,'Перечень должностей'!$A$2:$A$46,0)),"")</f>
        <v>-</v>
      </c>
      <c r="O98" s="16"/>
      <c r="P98" s="15" t="str">
        <f aca="false">IF(O98="","",EDATE(O98,60))</f>
        <v/>
      </c>
      <c r="Q98" s="11" t="str">
        <f aca="false">IF(AND(K98&lt;&gt;"",F98&lt;&gt;"",K98&gt;F98),"ДА","")</f>
        <v/>
      </c>
      <c r="R98" s="8"/>
    </row>
    <row r="99" customFormat="false" ht="14.25" hidden="false" customHeight="false" outlineLevel="0" collapsed="false">
      <c r="A99" s="14" t="n">
        <v>98</v>
      </c>
      <c r="B99" s="11" t="s">
        <v>50</v>
      </c>
      <c r="C99" s="14" t="s">
        <v>510</v>
      </c>
      <c r="D99" s="14" t="s">
        <v>95</v>
      </c>
      <c r="E99" s="14" t="s">
        <v>499</v>
      </c>
      <c r="F99" s="15" t="n">
        <v>45537</v>
      </c>
      <c r="G99" s="4" t="str">
        <f aca="false">IF(TRIM(SUBSTITUTE(SUBSTITUTE(SUBSTITUTE(SUBSTITUTE(SUBSTITUTE(SUBSTITUTE(SUBSTITUTE(SUBSTITUTE(SUBSTITUTE(SUBSTITUTE(SUBSTITUTE(LOWER(TRIM(D99)),"ё","е")," -","-"),"- ","-")," 2 разряда","")," 3 разряда","")," 4 разряда","")," 5 разряда","")," 6 разряда","")," 1 категории","")," 2 категории","")," 3 категории",""))="инженер",IF(AND(ISNUMBER(SEARCH("техническ",E99)),ISNUMBER(SEARCH("контрол",E99))),"инженер отк",IF(ISNUMBER(SEARCH("диспетч",E99)),"инженер пдо",TRIM(SUBSTITUTE(SUBSTITUTE(SUBSTITUTE(SUBSTITUTE(SUBSTITUTE(SUBSTITUTE(SUBSTITUTE(SUBSTITUTE(SUBSTITUTE(SUBSTITUTE(SUBSTITUTE(LOWER(TRIM(D99)),"ё","е"),"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категории","")))),IF(TRIM(SUBSTITUTE(SUBSTITUTE(SUBSTITUTE(SUBSTITUTE(SUBSTITUTE(SUBSTITUTE(SUBSTITUTE(SUBSTITUTE(SUBSTITUTE(SUBSTITUTE(SUBSTITUTE(LOWER(TRIM(D99)),"ё","е")," -","-"),"- ","-")," 2 разряда","")," 3 разряда","")," 4 разряда","")," 5 разряда","")," 6 разряда","")," 1 категории","")," 2 категории","")," 3 категории",""))="ведущий инженер",IF(ISNUMBER(SEARCH("диспетч",E99)),"ведущий инженер пдо",TRIM(SUBSTITUTE(SUBSTITUTE(SUBSTITUTE(SUBSTITUTE(SUBSTITUTE(SUBSTITUTE(SUBSTITUTE(SUBSTITUTE(SUBSTITUTE(SUBSTITUTE(SUBSTITUTE(LOWER(TRIM(D99)),"ё","е"),"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категории",""))),IF(TRIM(SUBSTITUTE(SUBSTITUTE(SUBSTITUTE(SUBSTITUTE(SUBSTITUTE(SUBSTITUTE(SUBSTITUTE(SUBSTITUTE(SUBSTITUTE(SUBSTITUTE(SUBSTITUTE(LOWER(TRIM(D99)),"ё","е"),"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отк",TRIM(SUBSTITUTE(SUBSTITUTE(SUBSTITUTE(SUBSTITUTE(SUBSTITUTE(SUBSTITUTE(SUBSTITUTE(SUBSTITUTE(SUBSTITUTE(SUBSTITUTE(SUBSTITUTE(LOWER(TRIM(D99)),"ё","е")," -","-"),"- ","-")," 2 разряда","")," 3 разряда","")," 4 разряда","")," 5 разряда","")," 6 разряда","")," 1 категории","")," 2 категории","")," 3 категории","")))))</f>
        <v>ведущий диспетчер</v>
      </c>
      <c r="H99" s="11" t="n">
        <f aca="false">IFERROR(INDEX(Соответствие!$B$2:$B$76,MATCH(G99,Соответствие!$A$2:$A$76,0)),"?")</f>
        <v>28</v>
      </c>
      <c r="I99" s="8" t="str">
        <f aca="false">IFERROR(INDEX('Перечень должностей'!$C$2:$C$46,MATCH(H99,'Перечень должностей'!$A$2:$A$46,0)),"")</f>
        <v>п.4.4, п.5.1, п.5.2</v>
      </c>
      <c r="J99" s="11" t="n">
        <f aca="false">IFERROR(INDEX('Перечень должностей'!$D$2:$D$46,MATCH(H99,'Перечень должностей'!$A$2:$A$46,0)),12)</f>
        <v>12</v>
      </c>
      <c r="K99" s="16"/>
      <c r="L99" s="16"/>
      <c r="M99" s="15" t="str">
        <f aca="false">IF(K99="","",EDATE(IF(L99&lt;&gt;"",L99,K99),J99))</f>
        <v/>
      </c>
      <c r="N99" s="11" t="str">
        <f aca="false">IFERROR(INDEX('Перечень должностей'!$F$2:$F$46,MATCH(H99,'Перечень должностей'!$A$2:$A$46,0)),"")</f>
        <v>-</v>
      </c>
      <c r="O99" s="16"/>
      <c r="P99" s="15" t="str">
        <f aca="false">IF(O99="","",EDATE(O99,60))</f>
        <v/>
      </c>
      <c r="Q99" s="11" t="str">
        <f aca="false">IF(AND(K99&lt;&gt;"",F99&lt;&gt;"",K99&gt;F99),"ДА","")</f>
        <v/>
      </c>
      <c r="R99" s="8"/>
    </row>
    <row r="100" customFormat="false" ht="14.25" hidden="false" customHeight="false" outlineLevel="0" collapsed="false">
      <c r="A100" s="14" t="n">
        <v>99</v>
      </c>
      <c r="B100" s="11" t="s">
        <v>50</v>
      </c>
      <c r="C100" s="14" t="s">
        <v>511</v>
      </c>
      <c r="D100" s="14" t="s">
        <v>95</v>
      </c>
      <c r="E100" s="14" t="s">
        <v>499</v>
      </c>
      <c r="F100" s="15" t="n">
        <v>45579</v>
      </c>
      <c r="G100" s="4" t="str">
        <f aca="false">IF(TRIM(SUBSTITUTE(SUBSTITUTE(SUBSTITUTE(SUBSTITUTE(SUBSTITUTE(SUBSTITUTE(SUBSTITUTE(SUBSTITUTE(SUBSTITUTE(SUBSTITUTE(SUBSTITUTE(LOWER(TRIM(D100)),"ё","е")," -","-"),"- ","-")," 2 разряда","")," 3 разряда","")," 4 разряда","")," 5 разряда","")," 6 разряда","")," 1 категории","")," 2 категории","")," 3 категории",""))="инженер",IF(AND(ISNUMBER(SEARCH("техническ",E100)),ISNUMBER(SEARCH("контрол",E100))),"инженер отк",IF(ISNUMBER(SEARCH("диспетч",E100)),"инженер пдо",TRIM(SUBSTITUTE(SUBSTITUTE(SUBSTITUTE(SUBSTITUTE(SUBSTITUTE(SUBSTITUTE(SUBSTITUTE(SUBSTITUTE(SUBSTITUTE(SUBSTITUTE(SUBSTITUTE(LOWER(TRIM(D100)),"ё","е"),"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категории","")))),IF(TRIM(SUBSTITUTE(SUBSTITUTE(SUBSTITUTE(SUBSTITUTE(SUBSTITUTE(SUBSTITUTE(SUBSTITUTE(SUBSTITUTE(SUBSTITUTE(SUBSTITUTE(SUBSTITUTE(LOWER(TRIM(D100)),"ё","е")," -","-"),"- ","-")," 2 разряда","")," 3 разряда","")," 4 разряда","")," 5 разряда","")," 6 разряда","")," 1 категории","")," 2 категории","")," 3 категории",""))="ведущий инженер",IF(ISNUMBER(SEARCH("диспетч",E100)),"ведущий инженер пдо",TRIM(SUBSTITUTE(SUBSTITUTE(SUBSTITUTE(SUBSTITUTE(SUBSTITUTE(SUBSTITUTE(SUBSTITUTE(SUBSTITUTE(SUBSTITUTE(SUBSTITUTE(SUBSTITUTE(LOWER(TRIM(D100)),"ё","е"),"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отк",TRIM(SUBSTITUTE(SUBSTITUTE(SUBSTITUTE(SUBSTITUTE(SUBSTITUTE(SUBSTITUTE(SUBSTITUTE(SUBSTITUTE(SUBSTITUTE(SUBSTITUTE(SUBSTITUTE(LOWER(TRIM(D100)),"ё","е")," -","-"),"- ","-")," 2 разряда","")," 3 разряда","")," 4 разряда","")," 5 разряда","")," 6 разряда","")," 1 категории","")," 2 категории","")," 3 категории","")))))</f>
        <v>ведущий диспетчер</v>
      </c>
      <c r="H100" s="11" t="n">
        <f aca="false">IFERROR(INDEX(Соответствие!$B$2:$B$76,MATCH(G100,Соответствие!$A$2:$A$76,0)),"?")</f>
        <v>28</v>
      </c>
      <c r="I100" s="8" t="str">
        <f aca="false">IFERROR(INDEX('Перечень должностей'!$C$2:$C$46,MATCH(H100,'Перечень должностей'!$A$2:$A$46,0)),"")</f>
        <v>п.4.4, п.5.1, п.5.2</v>
      </c>
      <c r="J100" s="11" t="n">
        <f aca="false">IFERROR(INDEX('Перечень должностей'!$D$2:$D$46,MATCH(H100,'Перечень должностей'!$A$2:$A$46,0)),12)</f>
        <v>12</v>
      </c>
      <c r="K100" s="16"/>
      <c r="L100" s="16"/>
      <c r="M100" s="15" t="str">
        <f aca="false">IF(K100="","",EDATE(IF(L100&lt;&gt;"",L100,K100),J100))</f>
        <v/>
      </c>
      <c r="N100" s="11" t="str">
        <f aca="false">IFERROR(INDEX('Перечень должностей'!$F$2:$F$46,MATCH(H100,'Перечень должностей'!$A$2:$A$46,0)),"")</f>
        <v>-</v>
      </c>
      <c r="O100" s="16"/>
      <c r="P100" s="15" t="str">
        <f aca="false">IF(O100="","",EDATE(O100,60))</f>
        <v/>
      </c>
      <c r="Q100" s="11" t="str">
        <f aca="false">IF(AND(K100&lt;&gt;"",F100&lt;&gt;"",K100&gt;F100),"ДА","")</f>
        <v/>
      </c>
      <c r="R100" s="8"/>
    </row>
    <row r="101" customFormat="false" ht="14.25" hidden="false" customHeight="false" outlineLevel="0" collapsed="false">
      <c r="A101" s="14" t="n">
        <v>100</v>
      </c>
      <c r="B101" s="11" t="s">
        <v>50</v>
      </c>
      <c r="C101" s="14" t="s">
        <v>512</v>
      </c>
      <c r="D101" s="14" t="s">
        <v>513</v>
      </c>
      <c r="E101" s="14" t="s">
        <v>499</v>
      </c>
      <c r="F101" s="15" t="n">
        <v>40616</v>
      </c>
      <c r="G101" s="4" t="str">
        <f aca="false">IF(TRIM(SUBSTITUTE(SUBSTITUTE(SUBSTITUTE(SUBSTITUTE(SUBSTITUTE(SUBSTITUTE(SUBSTITUTE(SUBSTITUTE(SUBSTITUTE(SUBSTITUTE(SUBSTITUTE(LOWER(TRIM(D101)),"ё","е")," -","-"),"- ","-")," 2 разряда","")," 3 разряда","")," 4 разряда","")," 5 разряда","")," 6 разряда","")," 1 категории","")," 2 категории","")," 3 категории",""))="инженер",IF(AND(ISNUMBER(SEARCH("техническ",E101)),ISNUMBER(SEARCH("контрол",E101))),"инженер отк",IF(ISNUMBER(SEARCH("диспетч",E101)),"инженер пдо",TRIM(SUBSTITUTE(SUBSTITUTE(SUBSTITUTE(SUBSTITUTE(SUBSTITUTE(SUBSTITUTE(SUBSTITUTE(SUBSTITUTE(SUBSTITUTE(SUBSTITUTE(SUBSTITUTE(LOWER(TRIM(D101)),"ё","е"),"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категории","")))),IF(TRIM(SUBSTITUTE(SUBSTITUTE(SUBSTITUTE(SUBSTITUTE(SUBSTITUTE(SUBSTITUTE(SUBSTITUTE(SUBSTITUTE(SUBSTITUTE(SUBSTITUTE(SUBSTITUTE(LOWER(TRIM(D101)),"ё","е")," -","-"),"- ","-")," 2 разряда","")," 3 разряда","")," 4 разряда","")," 5 разряда","")," 6 разряда","")," 1 категории","")," 2 категории","")," 3 категории",""))="ведущий инженер",IF(ISNUMBER(SEARCH("диспетч",E101)),"ведущий инженер пдо",TRIM(SUBSTITUTE(SUBSTITUTE(SUBSTITUTE(SUBSTITUTE(SUBSTITUTE(SUBSTITUTE(SUBSTITUTE(SUBSTITUTE(SUBSTITUTE(SUBSTITUTE(SUBSTITUTE(LOWER(TRIM(D101)),"ё","е"),"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отк",TRIM(SUBSTITUTE(SUBSTITUTE(SUBSTITUTE(SUBSTITUTE(SUBSTITUTE(SUBSTITUTE(SUBSTITUTE(SUBSTITUTE(SUBSTITUTE(SUBSTITUTE(SUBSTITUTE(LOWER(TRIM(D101)),"ё","е")," -","-"),"- ","-")," 2 разряда","")," 3 разряда","")," 4 разряда","")," 5 разряда","")," 6 разряда","")," 1 категории","")," 2 категории","")," 3 категории","")))))</f>
        <v>ведущий инженер пдо</v>
      </c>
      <c r="H101" s="11" t="n">
        <f aca="false">IFERROR(INDEX(Соответствие!$B$2:$B$76,MATCH(G101,Соответствие!$A$2:$A$76,0)),"?")</f>
        <v>27</v>
      </c>
      <c r="I101" s="8" t="str">
        <f aca="false">IFERROR(INDEX('Перечень должностей'!$C$2:$C$46,MATCH(H101,'Перечень должностей'!$A$2:$A$46,0)),"")</f>
        <v>п.4.4, п.5.1, п.5.2</v>
      </c>
      <c r="J101" s="11" t="n">
        <f aca="false">IFERROR(INDEX('Перечень должностей'!$D$2:$D$46,MATCH(H101,'Перечень должностей'!$A$2:$A$46,0)),12)</f>
        <v>12</v>
      </c>
      <c r="K101" s="16"/>
      <c r="L101" s="16"/>
      <c r="M101" s="15" t="str">
        <f aca="false">IF(K101="","",EDATE(IF(L101&lt;&gt;"",L101,K101),J101))</f>
        <v/>
      </c>
      <c r="N101" s="11" t="str">
        <f aca="false">IFERROR(INDEX('Перечень должностей'!$F$2:$F$46,MATCH(H101,'Перечень должностей'!$A$2:$A$46,0)),"")</f>
        <v>-</v>
      </c>
      <c r="O101" s="16"/>
      <c r="P101" s="15" t="str">
        <f aca="false">IF(O101="","",EDATE(O101,60))</f>
        <v/>
      </c>
      <c r="Q101" s="11" t="str">
        <f aca="false">IF(AND(K101&lt;&gt;"",F101&lt;&gt;"",K101&gt;F101),"ДА","")</f>
        <v/>
      </c>
      <c r="R101" s="8"/>
    </row>
    <row r="102" customFormat="false" ht="14.25" hidden="false" customHeight="false" outlineLevel="0" collapsed="false">
      <c r="A102" s="14" t="n">
        <v>101</v>
      </c>
      <c r="B102" s="11" t="s">
        <v>50</v>
      </c>
      <c r="C102" s="14" t="s">
        <v>514</v>
      </c>
      <c r="D102" s="14" t="s">
        <v>515</v>
      </c>
      <c r="E102" s="14" t="s">
        <v>499</v>
      </c>
      <c r="F102" s="15" t="n">
        <v>45397</v>
      </c>
      <c r="G102" s="4" t="str">
        <f aca="false">IF(TRIM(SUBSTITUTE(SUBSTITUTE(SUBSTITUTE(SUBSTITUTE(SUBSTITUTE(SUBSTITUTE(SUBSTITUTE(SUBSTITUTE(SUBSTITUTE(SUBSTITUTE(SUBSTITUTE(LOWER(TRIM(D102)),"ё","е")," -","-"),"- ","-")," 2 разряда","")," 3 разряда","")," 4 разряда","")," 5 разряда","")," 6 разряда","")," 1 категории","")," 2 категории","")," 3 категории",""))="инженер",IF(AND(ISNUMBER(SEARCH("техническ",E102)),ISNUMBER(SEARCH("контрол",E102))),"инженер отк",IF(ISNUMBER(SEARCH("диспетч",E102)),"инженер пдо",TRIM(SUBSTITUTE(SUBSTITUTE(SUBSTITUTE(SUBSTITUTE(SUBSTITUTE(SUBSTITUTE(SUBSTITUTE(SUBSTITUTE(SUBSTITUTE(SUBSTITUTE(SUBSTITUTE(LOWER(TRIM(D102)),"ё","е"),"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категории","")))),IF(TRIM(SUBSTITUTE(SUBSTITUTE(SUBSTITUTE(SUBSTITUTE(SUBSTITUTE(SUBSTITUTE(SUBSTITUTE(SUBSTITUTE(SUBSTITUTE(SUBSTITUTE(SUBSTITUTE(LOWER(TRIM(D102)),"ё","е")," -","-"),"- ","-")," 2 разряда","")," 3 разряда","")," 4 разряда","")," 5 разряда","")," 6 разряда","")," 1 категории","")," 2 категории","")," 3 категории",""))="ведущий инженер",IF(ISNUMBER(SEARCH("диспетч",E102)),"ведущий инженер пдо",TRIM(SUBSTITUTE(SUBSTITUTE(SUBSTITUTE(SUBSTITUTE(SUBSTITUTE(SUBSTITUTE(SUBSTITUTE(SUBSTITUTE(SUBSTITUTE(SUBSTITUTE(SUBSTITUTE(LOWER(TRIM(D102)),"ё","е"),"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отк",TRIM(SUBSTITUTE(SUBSTITUTE(SUBSTITUTE(SUBSTITUTE(SUBSTITUTE(SUBSTITUTE(SUBSTITUTE(SUBSTITUTE(SUBSTITUTE(SUBSTITUTE(SUBSTITUTE(LOWER(TRIM(D102)),"ё","е")," -","-"),"- ","-")," 2 разряда","")," 3 разряда","")," 4 разряда","")," 5 разряда","")," 6 разряда","")," 1 категории","")," 2 категории","")," 3 категории","")))))</f>
        <v>ведущий специалист по учету</v>
      </c>
      <c r="H102" s="11" t="n">
        <f aca="false">IFERROR(INDEX(Соответствие!$B$2:$B$76,MATCH(G102,Соответствие!$A$2:$A$76,0)),"?")</f>
        <v>27</v>
      </c>
      <c r="I102" s="8" t="str">
        <f aca="false">IFERROR(INDEX('Перечень должностей'!$C$2:$C$46,MATCH(H102,'Перечень должностей'!$A$2:$A$46,0)),"")</f>
        <v>п.4.4, п.5.1, п.5.2</v>
      </c>
      <c r="J102" s="11" t="n">
        <f aca="false">IFERROR(INDEX('Перечень должностей'!$D$2:$D$46,MATCH(H102,'Перечень должностей'!$A$2:$A$46,0)),12)</f>
        <v>12</v>
      </c>
      <c r="K102" s="16"/>
      <c r="L102" s="16"/>
      <c r="M102" s="15" t="str">
        <f aca="false">IF(K102="","",EDATE(IF(L102&lt;&gt;"",L102,K102),J102))</f>
        <v/>
      </c>
      <c r="N102" s="11" t="str">
        <f aca="false">IFERROR(INDEX('Перечень должностей'!$F$2:$F$46,MATCH(H102,'Перечень должностей'!$A$2:$A$46,0)),"")</f>
        <v>-</v>
      </c>
      <c r="O102" s="16"/>
      <c r="P102" s="15" t="str">
        <f aca="false">IF(O102="","",EDATE(O102,60))</f>
        <v/>
      </c>
      <c r="Q102" s="11" t="str">
        <f aca="false">IF(AND(K102&lt;&gt;"",F102&lt;&gt;"",K102&gt;F102),"ДА","")</f>
        <v/>
      </c>
      <c r="R102" s="8"/>
    </row>
    <row r="103" customFormat="false" ht="23.85" hidden="false" customHeight="false" outlineLevel="0" collapsed="false">
      <c r="A103" s="14" t="n">
        <v>102</v>
      </c>
      <c r="B103" s="11" t="s">
        <v>50</v>
      </c>
      <c r="C103" s="14" t="s">
        <v>516</v>
      </c>
      <c r="D103" s="14" t="s">
        <v>517</v>
      </c>
      <c r="E103" s="14" t="s">
        <v>518</v>
      </c>
      <c r="F103" s="15" t="n">
        <v>45509</v>
      </c>
      <c r="G103" s="4" t="str">
        <f aca="false">IF(TRIM(SUBSTITUTE(SUBSTITUTE(SUBSTITUTE(SUBSTITUTE(SUBSTITUTE(SUBSTITUTE(SUBSTITUTE(SUBSTITUTE(SUBSTITUTE(SUBSTITUTE(SUBSTITUTE(LOWER(TRIM(D103)),"ё","е")," -","-"),"- ","-")," 2 разряда","")," 3 разряда","")," 4 разряда","")," 5 разряда","")," 6 разряда","")," 1 категории","")," 2 категории","")," 3 категории",""))="инженер",IF(AND(ISNUMBER(SEARCH("техническ",E103)),ISNUMBER(SEARCH("контрол",E103))),"инженер отк",IF(ISNUMBER(SEARCH("диспетч",E103)),"инженер пдо",TRIM(SUBSTITUTE(SUBSTITUTE(SUBSTITUTE(SUBSTITUTE(SUBSTITUTE(SUBSTITUTE(SUBSTITUTE(SUBSTITUTE(SUBSTITUTE(SUBSTITUTE(SUBSTITUTE(LOWER(TRIM(D103)),"ё","е"),"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категории","")))),IF(TRIM(SUBSTITUTE(SUBSTITUTE(SUBSTITUTE(SUBSTITUTE(SUBSTITUTE(SUBSTITUTE(SUBSTITUTE(SUBSTITUTE(SUBSTITUTE(SUBSTITUTE(SUBSTITUTE(LOWER(TRIM(D103)),"ё","е")," -","-"),"- ","-")," 2 разряда","")," 3 разряда","")," 4 разряда","")," 5 разряда","")," 6 разряда","")," 1 категории","")," 2 категории","")," 3 категории",""))="ведущий инженер",IF(ISNUMBER(SEARCH("диспетч",E103)),"ведущий инженер пдо",TRIM(SUBSTITUTE(SUBSTITUTE(SUBSTITUTE(SUBSTITUTE(SUBSTITUTE(SUBSTITUTE(SUBSTITUTE(SUBSTITUTE(SUBSTITUTE(SUBSTITUTE(SUBSTITUTE(LOWER(TRIM(D103)),"ё","е"),"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отк",TRIM(SUBSTITUTE(SUBSTITUTE(SUBSTITUTE(SUBSTITUTE(SUBSTITUTE(SUBSTITUTE(SUBSTITUTE(SUBSTITUTE(SUBSTITUTE(SUBSTITUTE(SUBSTITUTE(LOWER(TRIM(D103)),"ё","е")," -","-"),"- ","-")," 2 разряда","")," 3 разряда","")," 4 разряда","")," 5 разряда","")," 6 разряда","")," 1 категории","")," 2 категории","")," 3 категории","")))))</f>
        <v>токарь</v>
      </c>
      <c r="H103" s="11" t="n">
        <f aca="false">IFERROR(INDEX(Соответствие!$B$2:$B$76,MATCH(G103,Соответствие!$A$2:$A$76,0)),"?")</f>
        <v>34</v>
      </c>
      <c r="I103" s="8" t="str">
        <f aca="false">IFERROR(INDEX('Перечень должностей'!$C$2:$C$46,MATCH(H103,'Перечень должностей'!$A$2:$A$46,0)),"")</f>
        <v>п.4.3.1, п.4.3.2, п.4.4, п.5.1, п.5.2, п.15</v>
      </c>
      <c r="J103" s="11" t="n">
        <f aca="false">IFERROR(INDEX('Перечень должностей'!$D$2:$D$46,MATCH(H103,'Перечень должностей'!$A$2:$A$46,0)),12)</f>
        <v>12</v>
      </c>
      <c r="K103" s="16"/>
      <c r="L103" s="16"/>
      <c r="M103" s="15" t="str">
        <f aca="false">IF(K103="","",EDATE(IF(L103&lt;&gt;"",L103,K103),J103))</f>
        <v/>
      </c>
      <c r="N103" s="11" t="str">
        <f aca="false">IFERROR(INDEX('Перечень должностей'!$F$2:$F$46,MATCH(H103,'Перечень должностей'!$A$2:$A$46,0)),"")</f>
        <v>-</v>
      </c>
      <c r="O103" s="16"/>
      <c r="P103" s="15" t="str">
        <f aca="false">IF(O103="","",EDATE(O103,60))</f>
        <v/>
      </c>
      <c r="Q103" s="11" t="str">
        <f aca="false">IF(AND(K103&lt;&gt;"",F103&lt;&gt;"",K103&gt;F103),"ДА","")</f>
        <v/>
      </c>
      <c r="R103" s="8"/>
    </row>
    <row r="104" customFormat="false" ht="23.85" hidden="false" customHeight="false" outlineLevel="0" collapsed="false">
      <c r="A104" s="14" t="n">
        <v>103</v>
      </c>
      <c r="B104" s="11" t="s">
        <v>50</v>
      </c>
      <c r="C104" s="14" t="s">
        <v>519</v>
      </c>
      <c r="D104" s="14" t="s">
        <v>517</v>
      </c>
      <c r="E104" s="14" t="s">
        <v>518</v>
      </c>
      <c r="F104" s="15" t="n">
        <v>45565</v>
      </c>
      <c r="G104" s="4" t="str">
        <f aca="false">IF(TRIM(SUBSTITUTE(SUBSTITUTE(SUBSTITUTE(SUBSTITUTE(SUBSTITUTE(SUBSTITUTE(SUBSTITUTE(SUBSTITUTE(SUBSTITUTE(SUBSTITUTE(SUBSTITUTE(LOWER(TRIM(D104)),"ё","е")," -","-"),"- ","-")," 2 разряда","")," 3 разряда","")," 4 разряда","")," 5 разряда","")," 6 разряда","")," 1 категории","")," 2 категории","")," 3 категории",""))="инженер",IF(AND(ISNUMBER(SEARCH("техническ",E104)),ISNUMBER(SEARCH("контрол",E104))),"инженер отк",IF(ISNUMBER(SEARCH("диспетч",E104)),"инженер пдо",TRIM(SUBSTITUTE(SUBSTITUTE(SUBSTITUTE(SUBSTITUTE(SUBSTITUTE(SUBSTITUTE(SUBSTITUTE(SUBSTITUTE(SUBSTITUTE(SUBSTITUTE(SUBSTITUTE(LOWER(TRIM(D104)),"ё","е"),"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категории","")))),IF(TRIM(SUBSTITUTE(SUBSTITUTE(SUBSTITUTE(SUBSTITUTE(SUBSTITUTE(SUBSTITUTE(SUBSTITUTE(SUBSTITUTE(SUBSTITUTE(SUBSTITUTE(SUBSTITUTE(LOWER(TRIM(D104)),"ё","е")," -","-"),"- ","-")," 2 разряда","")," 3 разряда","")," 4 разряда","")," 5 разряда","")," 6 разряда","")," 1 категории","")," 2 категории","")," 3 категории",""))="ведущий инженер",IF(ISNUMBER(SEARCH("диспетч",E104)),"ведущий инженер пдо",TRIM(SUBSTITUTE(SUBSTITUTE(SUBSTITUTE(SUBSTITUTE(SUBSTITUTE(SUBSTITUTE(SUBSTITUTE(SUBSTITUTE(SUBSTITUTE(SUBSTITUTE(SUBSTITUTE(LOWER(TRIM(D104)),"ё","е"),"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отк",TRIM(SUBSTITUTE(SUBSTITUTE(SUBSTITUTE(SUBSTITUTE(SUBSTITUTE(SUBSTITUTE(SUBSTITUTE(SUBSTITUTE(SUBSTITUTE(SUBSTITUTE(SUBSTITUTE(LOWER(TRIM(D104)),"ё","е")," -","-"),"- ","-")," 2 разряда","")," 3 разряда","")," 4 разряда","")," 5 разряда","")," 6 разряда","")," 1 категории","")," 2 категории","")," 3 категории","")))))</f>
        <v>токарь</v>
      </c>
      <c r="H104" s="11" t="n">
        <f aca="false">IFERROR(INDEX(Соответствие!$B$2:$B$76,MATCH(G104,Соответствие!$A$2:$A$76,0)),"?")</f>
        <v>34</v>
      </c>
      <c r="I104" s="8" t="str">
        <f aca="false">IFERROR(INDEX('Перечень должностей'!$C$2:$C$46,MATCH(H104,'Перечень должностей'!$A$2:$A$46,0)),"")</f>
        <v>п.4.3.1, п.4.3.2, п.4.4, п.5.1, п.5.2, п.15</v>
      </c>
      <c r="J104" s="11" t="n">
        <f aca="false">IFERROR(INDEX('Перечень должностей'!$D$2:$D$46,MATCH(H104,'Перечень должностей'!$A$2:$A$46,0)),12)</f>
        <v>12</v>
      </c>
      <c r="K104" s="16"/>
      <c r="L104" s="16"/>
      <c r="M104" s="15" t="str">
        <f aca="false">IF(K104="","",EDATE(IF(L104&lt;&gt;"",L104,K104),J104))</f>
        <v/>
      </c>
      <c r="N104" s="11" t="str">
        <f aca="false">IFERROR(INDEX('Перечень должностей'!$F$2:$F$46,MATCH(H104,'Перечень должностей'!$A$2:$A$46,0)),"")</f>
        <v>-</v>
      </c>
      <c r="O104" s="16"/>
      <c r="P104" s="15" t="str">
        <f aca="false">IF(O104="","",EDATE(O104,60))</f>
        <v/>
      </c>
      <c r="Q104" s="11" t="str">
        <f aca="false">IF(AND(K104&lt;&gt;"",F104&lt;&gt;"",K104&gt;F104),"ДА","")</f>
        <v/>
      </c>
      <c r="R104" s="8"/>
    </row>
    <row r="105" customFormat="false" ht="26.25" hidden="false" customHeight="true" outlineLevel="0" collapsed="false">
      <c r="A105" s="14" t="n">
        <v>104</v>
      </c>
      <c r="B105" s="11" t="s">
        <v>50</v>
      </c>
      <c r="C105" s="14" t="s">
        <v>520</v>
      </c>
      <c r="D105" s="14" t="s">
        <v>517</v>
      </c>
      <c r="E105" s="14" t="s">
        <v>518</v>
      </c>
      <c r="F105" s="15" t="n">
        <v>45924</v>
      </c>
      <c r="G105" s="4" t="str">
        <f aca="false">IF(TRIM(SUBSTITUTE(SUBSTITUTE(SUBSTITUTE(SUBSTITUTE(SUBSTITUTE(SUBSTITUTE(SUBSTITUTE(SUBSTITUTE(SUBSTITUTE(SUBSTITUTE(SUBSTITUTE(LOWER(TRIM(D105)),"ё","е")," -","-"),"- ","-")," 2 разряда","")," 3 разряда","")," 4 разряда","")," 5 разряда","")," 6 разряда","")," 1 категории","")," 2 категории","")," 3 категории",""))="инженер",IF(AND(ISNUMBER(SEARCH("техническ",E105)),ISNUMBER(SEARCH("контрол",E105))),"инженер отк",IF(ISNUMBER(SEARCH("диспетч",E105)),"инженер пдо",TRIM(SUBSTITUTE(SUBSTITUTE(SUBSTITUTE(SUBSTITUTE(SUBSTITUTE(SUBSTITUTE(SUBSTITUTE(SUBSTITUTE(SUBSTITUTE(SUBSTITUTE(SUBSTITUTE(LOWER(TRIM(D105)),"ё","е"),"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категории","")))),IF(TRIM(SUBSTITUTE(SUBSTITUTE(SUBSTITUTE(SUBSTITUTE(SUBSTITUTE(SUBSTITUTE(SUBSTITUTE(SUBSTITUTE(SUBSTITUTE(SUBSTITUTE(SUBSTITUTE(LOWER(TRIM(D105)),"ё","е")," -","-"),"- ","-")," 2 разряда","")," 3 разряда","")," 4 разряда","")," 5 разряда","")," 6 разряда","")," 1 категории","")," 2 категории","")," 3 категории",""))="ведущий инженер",IF(ISNUMBER(SEARCH("диспетч",E105)),"ведущий инженер пдо",TRIM(SUBSTITUTE(SUBSTITUTE(SUBSTITUTE(SUBSTITUTE(SUBSTITUTE(SUBSTITUTE(SUBSTITUTE(SUBSTITUTE(SUBSTITUTE(SUBSTITUTE(SUBSTITUTE(LOWER(TRIM(D105)),"ё","е"),"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отк",TRIM(SUBSTITUTE(SUBSTITUTE(SUBSTITUTE(SUBSTITUTE(SUBSTITUTE(SUBSTITUTE(SUBSTITUTE(SUBSTITUTE(SUBSTITUTE(SUBSTITUTE(SUBSTITUTE(LOWER(TRIM(D105)),"ё","е")," -","-"),"- ","-")," 2 разряда","")," 3 разряда","")," 4 разряда","")," 5 разряда","")," 6 разряда","")," 1 категории","")," 2 категории","")," 3 категории","")))))</f>
        <v>токарь</v>
      </c>
      <c r="H105" s="11" t="n">
        <f aca="false">IFERROR(INDEX(Соответствие!$B$2:$B$76,MATCH(G105,Соответствие!$A$2:$A$76,0)),"?")</f>
        <v>34</v>
      </c>
      <c r="I105" s="8" t="str">
        <f aca="false">IFERROR(INDEX('Перечень должностей'!$C$2:$C$46,MATCH(H105,'Перечень должностей'!$A$2:$A$46,0)),"")</f>
        <v>п.4.3.1, п.4.3.2, п.4.4, п.5.1, п.5.2, п.15</v>
      </c>
      <c r="J105" s="11" t="n">
        <f aca="false">IFERROR(INDEX('Перечень должностей'!$D$2:$D$46,MATCH(H105,'Перечень должностей'!$A$2:$A$46,0)),12)</f>
        <v>12</v>
      </c>
      <c r="K105" s="16" t="n">
        <v>45882</v>
      </c>
      <c r="L105" s="16"/>
      <c r="M105" s="15" t="n">
        <f aca="false">IF(K105="","",EDATE(IF(L105&lt;&gt;"",L105,K105),J105))</f>
        <v>46247</v>
      </c>
      <c r="N105" s="11" t="str">
        <f aca="false">IFERROR(INDEX('Перечень должностей'!$F$2:$F$46,MATCH(H105,'Перечень должностей'!$A$2:$A$46,0)),"")</f>
        <v>-</v>
      </c>
      <c r="O105" s="16"/>
      <c r="P105" s="15" t="str">
        <f aca="false">IF(O105="","",EDATE(O105,60))</f>
        <v/>
      </c>
      <c r="Q105" s="11" t="str">
        <f aca="false">IF(AND(K105&lt;&gt;"",F105&lt;&gt;"",K105&gt;F105),"ДА","")</f>
        <v/>
      </c>
      <c r="R105" s="8"/>
    </row>
    <row r="106" customFormat="false" ht="26.25" hidden="false" customHeight="true" outlineLevel="0" collapsed="false">
      <c r="A106" s="14" t="n">
        <v>105</v>
      </c>
      <c r="B106" s="11" t="s">
        <v>50</v>
      </c>
      <c r="C106" s="14" t="s">
        <v>521</v>
      </c>
      <c r="D106" s="14" t="s">
        <v>99</v>
      </c>
      <c r="E106" s="14" t="s">
        <v>518</v>
      </c>
      <c r="F106" s="15" t="n">
        <v>45638</v>
      </c>
      <c r="G106" s="4" t="str">
        <f aca="false">IF(TRIM(SUBSTITUTE(SUBSTITUTE(SUBSTITUTE(SUBSTITUTE(SUBSTITUTE(SUBSTITUTE(SUBSTITUTE(SUBSTITUTE(SUBSTITUTE(SUBSTITUTE(SUBSTITUTE(LOWER(TRIM(D106)),"ё","е")," -","-"),"- ","-")," 2 разряда","")," 3 разряда","")," 4 разряда","")," 5 разряда","")," 6 разряда","")," 1 категории","")," 2 категории","")," 3 категории",""))="инженер",IF(AND(ISNUMBER(SEARCH("техническ",E106)),ISNUMBER(SEARCH("контрол",E106))),"инженер отк",IF(ISNUMBER(SEARCH("диспетч",E106)),"инженер пдо",TRIM(SUBSTITUTE(SUBSTITUTE(SUBSTITUTE(SUBSTITUTE(SUBSTITUTE(SUBSTITUTE(SUBSTITUTE(SUBSTITUTE(SUBSTITUTE(SUBSTITUTE(SUBSTITUTE(LOWER(TRIM(D106)),"ё","е"),"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категории","")))),IF(TRIM(SUBSTITUTE(SUBSTITUTE(SUBSTITUTE(SUBSTITUTE(SUBSTITUTE(SUBSTITUTE(SUBSTITUTE(SUBSTITUTE(SUBSTITUTE(SUBSTITUTE(SUBSTITUTE(LOWER(TRIM(D106)),"ё","е")," -","-"),"- ","-")," 2 разряда","")," 3 разряда","")," 4 разряда","")," 5 разряда","")," 6 разряда","")," 1 категории","")," 2 категории","")," 3 категории",""))="ведущий инженер",IF(ISNUMBER(SEARCH("диспетч",E106)),"ведущий инженер пдо",TRIM(SUBSTITUTE(SUBSTITUTE(SUBSTITUTE(SUBSTITUTE(SUBSTITUTE(SUBSTITUTE(SUBSTITUTE(SUBSTITUTE(SUBSTITUTE(SUBSTITUTE(SUBSTITUTE(LOWER(TRIM(D106)),"ё","е"),"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отк",TRIM(SUBSTITUTE(SUBSTITUTE(SUBSTITUTE(SUBSTITUTE(SUBSTITUTE(SUBSTITUTE(SUBSTITUTE(SUBSTITUTE(SUBSTITUTE(SUBSTITUTE(SUBSTITUTE(LOWER(TRIM(D106)),"ё","е")," -","-"),"- ","-")," 2 разряда","")," 3 разряда","")," 4 разряда","")," 5 разряда","")," 6 разряда","")," 1 категории","")," 2 категории","")," 3 категории","")))))</f>
        <v>оператор станка с чпу</v>
      </c>
      <c r="H106" s="11" t="n">
        <f aca="false">IFERROR(INDEX(Соответствие!$B$2:$B$76,MATCH(G106,Соответствие!$A$2:$A$76,0)),"?")</f>
        <v>30</v>
      </c>
      <c r="I106" s="8" t="str">
        <f aca="false">IFERROR(INDEX('Перечень должностей'!$C$2:$C$46,MATCH(H106,'Перечень должностей'!$A$2:$A$46,0)),"")</f>
        <v>п.4.3.1, п.4.3.2, п.4.4, п.5.1, п.5.2, п.15</v>
      </c>
      <c r="J106" s="11" t="n">
        <f aca="false">IFERROR(INDEX('Перечень должностей'!$D$2:$D$46,MATCH(H106,'Перечень должностей'!$A$2:$A$46,0)),12)</f>
        <v>12</v>
      </c>
      <c r="K106" s="16"/>
      <c r="L106" s="16"/>
      <c r="M106" s="15" t="str">
        <f aca="false">IF(K106="","",EDATE(IF(L106&lt;&gt;"",L106,K106),J106))</f>
        <v/>
      </c>
      <c r="N106" s="11" t="str">
        <f aca="false">IFERROR(INDEX('Перечень должностей'!$F$2:$F$46,MATCH(H106,'Перечень должностей'!$A$2:$A$46,0)),"")</f>
        <v>-</v>
      </c>
      <c r="O106" s="16"/>
      <c r="P106" s="15" t="str">
        <f aca="false">IF(O106="","",EDATE(O106,60))</f>
        <v/>
      </c>
      <c r="Q106" s="11" t="str">
        <f aca="false">IF(AND(K106&lt;&gt;"",F106&lt;&gt;"",K106&gt;F106),"ДА","")</f>
        <v/>
      </c>
      <c r="R106" s="8"/>
    </row>
    <row r="107" customFormat="false" ht="26.25" hidden="false" customHeight="true" outlineLevel="0" collapsed="false">
      <c r="A107" s="14" t="n">
        <v>106</v>
      </c>
      <c r="B107" s="11" t="s">
        <v>50</v>
      </c>
      <c r="C107" s="14" t="s">
        <v>522</v>
      </c>
      <c r="D107" s="14" t="s">
        <v>99</v>
      </c>
      <c r="E107" s="14" t="s">
        <v>518</v>
      </c>
      <c r="F107" s="15" t="n">
        <v>45792</v>
      </c>
      <c r="G107" s="4" t="str">
        <f aca="false">IF(TRIM(SUBSTITUTE(SUBSTITUTE(SUBSTITUTE(SUBSTITUTE(SUBSTITUTE(SUBSTITUTE(SUBSTITUTE(SUBSTITUTE(SUBSTITUTE(SUBSTITUTE(SUBSTITUTE(LOWER(TRIM(D107)),"ё","е")," -","-"),"- ","-")," 2 разряда","")," 3 разряда","")," 4 разряда","")," 5 разряда","")," 6 разряда","")," 1 категории","")," 2 категории","")," 3 категории",""))="инженер",IF(AND(ISNUMBER(SEARCH("техническ",E107)),ISNUMBER(SEARCH("контрол",E107))),"инженер отк",IF(ISNUMBER(SEARCH("диспетч",E107)),"инженер пдо",TRIM(SUBSTITUTE(SUBSTITUTE(SUBSTITUTE(SUBSTITUTE(SUBSTITUTE(SUBSTITUTE(SUBSTITUTE(SUBSTITUTE(SUBSTITUTE(SUBSTITUTE(SUBSTITUTE(LOWER(TRIM(D107)),"ё","е"),"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категории","")))),IF(TRIM(SUBSTITUTE(SUBSTITUTE(SUBSTITUTE(SUBSTITUTE(SUBSTITUTE(SUBSTITUTE(SUBSTITUTE(SUBSTITUTE(SUBSTITUTE(SUBSTITUTE(SUBSTITUTE(LOWER(TRIM(D107)),"ё","е")," -","-"),"- ","-")," 2 разряда","")," 3 разряда","")," 4 разряда","")," 5 разряда","")," 6 разряда","")," 1 категории","")," 2 категории","")," 3 категории",""))="ведущий инженер",IF(ISNUMBER(SEARCH("диспетч",E107)),"ведущий инженер пдо",TRIM(SUBSTITUTE(SUBSTITUTE(SUBSTITUTE(SUBSTITUTE(SUBSTITUTE(SUBSTITUTE(SUBSTITUTE(SUBSTITUTE(SUBSTITUTE(SUBSTITUTE(SUBSTITUTE(LOWER(TRIM(D107)),"ё","е"),"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отк",TRIM(SUBSTITUTE(SUBSTITUTE(SUBSTITUTE(SUBSTITUTE(SUBSTITUTE(SUBSTITUTE(SUBSTITUTE(SUBSTITUTE(SUBSTITUTE(SUBSTITUTE(SUBSTITUTE(LOWER(TRIM(D107)),"ё","е")," -","-"),"- ","-")," 2 разряда","")," 3 разряда","")," 4 разряда","")," 5 разряда","")," 6 разряда","")," 1 категории","")," 2 категории","")," 3 категории","")))))</f>
        <v>оператор станка с чпу</v>
      </c>
      <c r="H107" s="11" t="n">
        <f aca="false">IFERROR(INDEX(Соответствие!$B$2:$B$76,MATCH(G107,Соответствие!$A$2:$A$76,0)),"?")</f>
        <v>30</v>
      </c>
      <c r="I107" s="8" t="str">
        <f aca="false">IFERROR(INDEX('Перечень должностей'!$C$2:$C$46,MATCH(H107,'Перечень должностей'!$A$2:$A$46,0)),"")</f>
        <v>п.4.3.1, п.4.3.2, п.4.4, п.5.1, п.5.2, п.15</v>
      </c>
      <c r="J107" s="11" t="n">
        <f aca="false">IFERROR(INDEX('Перечень должностей'!$D$2:$D$46,MATCH(H107,'Перечень должностей'!$A$2:$A$46,0)),12)</f>
        <v>12</v>
      </c>
      <c r="K107" s="16"/>
      <c r="L107" s="16"/>
      <c r="M107" s="15" t="str">
        <f aca="false">IF(K107="","",EDATE(IF(L107&lt;&gt;"",L107,K107),J107))</f>
        <v/>
      </c>
      <c r="N107" s="11" t="str">
        <f aca="false">IFERROR(INDEX('Перечень должностей'!$F$2:$F$46,MATCH(H107,'Перечень должностей'!$A$2:$A$46,0)),"")</f>
        <v>-</v>
      </c>
      <c r="O107" s="16"/>
      <c r="P107" s="15" t="str">
        <f aca="false">IF(O107="","",EDATE(O107,60))</f>
        <v/>
      </c>
      <c r="Q107" s="11" t="str">
        <f aca="false">IF(AND(K107&lt;&gt;"",F107&lt;&gt;"",K107&gt;F107),"ДА","")</f>
        <v/>
      </c>
      <c r="R107" s="8"/>
    </row>
    <row r="108" customFormat="false" ht="26.25" hidden="false" customHeight="true" outlineLevel="0" collapsed="false">
      <c r="A108" s="14" t="n">
        <v>107</v>
      </c>
      <c r="B108" s="11" t="s">
        <v>50</v>
      </c>
      <c r="C108" s="14" t="s">
        <v>523</v>
      </c>
      <c r="D108" s="14" t="s">
        <v>524</v>
      </c>
      <c r="E108" s="14" t="s">
        <v>61</v>
      </c>
      <c r="F108" s="15" t="n">
        <v>45212</v>
      </c>
      <c r="G108" s="4" t="str">
        <f aca="false">IF(TRIM(SUBSTITUTE(SUBSTITUTE(SUBSTITUTE(SUBSTITUTE(SUBSTITUTE(SUBSTITUTE(SUBSTITUTE(SUBSTITUTE(SUBSTITUTE(SUBSTITUTE(SUBSTITUTE(LOWER(TRIM(D108)),"ё","е")," -","-"),"- ","-")," 2 разряда","")," 3 разряда","")," 4 разряда","")," 5 разряда","")," 6 разряда","")," 1 категории","")," 2 категории","")," 3 категории",""))="инженер",IF(AND(ISNUMBER(SEARCH("техническ",E108)),ISNUMBER(SEARCH("контрол",E108))),"инженер отк",IF(ISNUMBER(SEARCH("диспетч",E108)),"инженер пдо",TRIM(SUBSTITUTE(SUBSTITUTE(SUBSTITUTE(SUBSTITUTE(SUBSTITUTE(SUBSTITUTE(SUBSTITUTE(SUBSTITUTE(SUBSTITUTE(SUBSTITUTE(SUBSTITUTE(LOWER(TRIM(D108)),"ё","е"),"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категории","")))),IF(TRIM(SUBSTITUTE(SUBSTITUTE(SUBSTITUTE(SUBSTITUTE(SUBSTITUTE(SUBSTITUTE(SUBSTITUTE(SUBSTITUTE(SUBSTITUTE(SUBSTITUTE(SUBSTITUTE(LOWER(TRIM(D108)),"ё","е")," -","-"),"- ","-")," 2 разряда","")," 3 разряда","")," 4 разряда","")," 5 разряда","")," 6 разряда","")," 1 категории","")," 2 категории","")," 3 категории",""))="ведущий инженер",IF(ISNUMBER(SEARCH("диспетч",E108)),"ведущий инженер пдо",TRIM(SUBSTITUTE(SUBSTITUTE(SUBSTITUTE(SUBSTITUTE(SUBSTITUTE(SUBSTITUTE(SUBSTITUTE(SUBSTITUTE(SUBSTITUTE(SUBSTITUTE(SUBSTITUTE(LOWER(TRIM(D108)),"ё","е"),"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отк",TRIM(SUBSTITUTE(SUBSTITUTE(SUBSTITUTE(SUBSTITUTE(SUBSTITUTE(SUBSTITUTE(SUBSTITUTE(SUBSTITUTE(SUBSTITUTE(SUBSTITUTE(SUBSTITUTE(LOWER(TRIM(D108)),"ё","е")," -","-"),"- ","-")," 2 разряда","")," 3 разряда","")," 4 разряда","")," 5 разряда","")," 6 разряда","")," 1 категории","")," 2 категории","")," 3 категории","")))))</f>
        <v>фрезеровщик</v>
      </c>
      <c r="H108" s="11" t="n">
        <f aca="false">IFERROR(INDEX(Соответствие!$B$2:$B$76,MATCH(G108,Соответствие!$A$2:$A$76,0)),"?")</f>
        <v>33</v>
      </c>
      <c r="I108" s="8" t="str">
        <f aca="false">IFERROR(INDEX('Перечень должностей'!$C$2:$C$46,MATCH(H108,'Перечень должностей'!$A$2:$A$46,0)),"")</f>
        <v>п.4.3.1, п.4.3.2, п.4.4, п.5.1, п.5.2, п.15</v>
      </c>
      <c r="J108" s="11" t="n">
        <f aca="false">IFERROR(INDEX('Перечень должностей'!$D$2:$D$46,MATCH(H108,'Перечень должностей'!$A$2:$A$46,0)),12)</f>
        <v>12</v>
      </c>
      <c r="K108" s="16"/>
      <c r="L108" s="16"/>
      <c r="M108" s="15" t="str">
        <f aca="false">IF(K108="","",EDATE(IF(L108&lt;&gt;"",L108,K108),J108))</f>
        <v/>
      </c>
      <c r="N108" s="11" t="str">
        <f aca="false">IFERROR(INDEX('Перечень должностей'!$F$2:$F$46,MATCH(H108,'Перечень должностей'!$A$2:$A$46,0)),"")</f>
        <v>-</v>
      </c>
      <c r="O108" s="16"/>
      <c r="P108" s="15" t="str">
        <f aca="false">IF(O108="","",EDATE(O108,60))</f>
        <v/>
      </c>
      <c r="Q108" s="11" t="str">
        <f aca="false">IF(AND(K108&lt;&gt;"",F108&lt;&gt;"",K108&gt;F108),"ДА","")</f>
        <v/>
      </c>
      <c r="R108" s="8"/>
    </row>
    <row r="109" customFormat="false" ht="26.25" hidden="false" customHeight="true" outlineLevel="0" collapsed="false">
      <c r="A109" s="14" t="n">
        <v>108</v>
      </c>
      <c r="B109" s="11" t="s">
        <v>50</v>
      </c>
      <c r="C109" s="14" t="s">
        <v>525</v>
      </c>
      <c r="D109" s="14" t="s">
        <v>60</v>
      </c>
      <c r="E109" s="14" t="s">
        <v>61</v>
      </c>
      <c r="F109" s="15" t="n">
        <v>39615</v>
      </c>
      <c r="G109" s="4" t="str">
        <f aca="false">IF(TRIM(SUBSTITUTE(SUBSTITUTE(SUBSTITUTE(SUBSTITUTE(SUBSTITUTE(SUBSTITUTE(SUBSTITUTE(SUBSTITUTE(SUBSTITUTE(SUBSTITUTE(SUBSTITUTE(LOWER(TRIM(D109)),"ё","е")," -","-"),"- ","-")," 2 разряда","")," 3 разряда","")," 4 разряда","")," 5 разряда","")," 6 разряда","")," 1 категории","")," 2 категории","")," 3 категории",""))="инженер",IF(AND(ISNUMBER(SEARCH("техническ",E109)),ISNUMBER(SEARCH("контрол",E109))),"инженер отк",IF(ISNUMBER(SEARCH("диспетч",E109)),"инженер пдо",TRIM(SUBSTITUTE(SUBSTITUTE(SUBSTITUTE(SUBSTITUTE(SUBSTITUTE(SUBSTITUTE(SUBSTITUTE(SUBSTITUTE(SUBSTITUTE(SUBSTITUTE(SUBSTITUTE(LOWER(TRIM(D109)),"ё","е"),"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категории","")))),IF(TRIM(SUBSTITUTE(SUBSTITUTE(SUBSTITUTE(SUBSTITUTE(SUBSTITUTE(SUBSTITUTE(SUBSTITUTE(SUBSTITUTE(SUBSTITUTE(SUBSTITUTE(SUBSTITUTE(LOWER(TRIM(D109)),"ё","е")," -","-"),"- ","-")," 2 разряда","")," 3 разряда","")," 4 разряда","")," 5 разряда","")," 6 разряда","")," 1 категории","")," 2 категории","")," 3 категории",""))="ведущий инженер",IF(ISNUMBER(SEARCH("диспетч",E109)),"ведущий инженер пдо",TRIM(SUBSTITUTE(SUBSTITUTE(SUBSTITUTE(SUBSTITUTE(SUBSTITUTE(SUBSTITUTE(SUBSTITUTE(SUBSTITUTE(SUBSTITUTE(SUBSTITUTE(SUBSTITUTE(LOWER(TRIM(D109)),"ё","е"),"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категории",""))),IF(TRIM(SUBSTITUTE(SUBSTITUTE(SUBSTITUTE(SUBSTITUTE(SUBSTITUTE(SUBSTITUTE(SUBSTITUTE(SUBSTITUTE(SUBSTITUTE(SUBSTITUTE(SUBSTITUTE(LOWER(TRIM(D109)),"ё","е"),"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отк",TRIM(SUBSTITUTE(SUBSTITUTE(SUBSTITUTE(SUBSTITUTE(SUBSTITUTE(SUBSTITUTE(SUBSTITUTE(SUBSTITUTE(SUBSTITUTE(SUBSTITUTE(SUBSTITUTE(LOWER(TRIM(D109)),"ё","е")," -","-"),"- ","-")," 2 разряда","")," 3 разряда","")," 4 разряда","")," 5 разряда","")," 6 разряда","")," 1 категории","")," 2 категории","")," 3 категории","")))))</f>
        <v>мастер участка</v>
      </c>
      <c r="H109" s="11" t="n">
        <f aca="false">IFERROR(INDEX(Соответствие!$B$2:$B$76,MATCH(G109,Соответствие!$A$2:$A$76,0)),"?")</f>
        <v>18</v>
      </c>
      <c r="I109" s="8" t="str">
        <f aca="false">IFERROR(INDEX('Перечень должностей'!$C$2:$C$46,MATCH(H109,'Перечень должностей'!$A$2:$A$46,0)),"")</f>
        <v>п.4.4, п.5.1, п.5.2</v>
      </c>
      <c r="J109" s="11" t="n">
        <f aca="false">IFERROR(INDEX('Перечень должностей'!$D$2:$D$46,MATCH(H109,'Перечень должностей'!$A$2:$A$46,0)),12)</f>
        <v>12</v>
      </c>
      <c r="K109" s="16"/>
      <c r="L109" s="16"/>
      <c r="M109" s="15" t="str">
        <f aca="false">IF(K109="","",EDATE(IF(L109&lt;&gt;"",L109,K109),J109))</f>
        <v/>
      </c>
      <c r="N109" s="11" t="str">
        <f aca="false">IFERROR(INDEX('Перечень должностей'!$F$2:$F$46,MATCH(H109,'Перечень должностей'!$A$2:$A$46,0)),"")</f>
        <v>-</v>
      </c>
      <c r="O109" s="16"/>
      <c r="P109" s="15" t="str">
        <f aca="false">IF(O109="","",EDATE(O109,60))</f>
        <v/>
      </c>
      <c r="Q109" s="11" t="str">
        <f aca="false">IF(AND(K109&lt;&gt;"",F109&lt;&gt;"",K109&gt;F109),"ДА","")</f>
        <v/>
      </c>
      <c r="R109" s="8"/>
    </row>
    <row r="110" customFormat="false" ht="26.25" hidden="false" customHeight="true" outlineLevel="0" collapsed="false">
      <c r="A110" s="14" t="n">
        <v>109</v>
      </c>
      <c r="B110" s="11" t="s">
        <v>50</v>
      </c>
      <c r="C110" s="14" t="s">
        <v>526</v>
      </c>
      <c r="D110" s="14" t="s">
        <v>527</v>
      </c>
      <c r="E110" s="14" t="s">
        <v>518</v>
      </c>
      <c r="F110" s="15" t="n">
        <v>45691</v>
      </c>
      <c r="G110" s="4" t="str">
        <f aca="false">IF(TRIM(SUBSTITUTE(SUBSTITUTE(SUBSTITUTE(SUBSTITUTE(SUBSTITUTE(SUBSTITUTE(SUBSTITUTE(SUBSTITUTE(SUBSTITUTE(SUBSTITUTE(SUBSTITUTE(LOWER(TRIM(D110)),"ё","е")," -","-"),"- ","-")," 2 разряда","")," 3 разряда","")," 4 разряда","")," 5 разряда","")," 6 разряда","")," 1 категории","")," 2 категории","")," 3 категории",""))="инженер",IF(AND(ISNUMBER(SEARCH("техническ",E110)),ISNUMBER(SEARCH("контрол",E110))),"инженер отк",IF(ISNUMBER(SEARCH("диспетч",E110)),"инженер пдо",TRIM(SUBSTITUTE(SUBSTITUTE(SUBSTITUTE(SUBSTITUTE(SUBSTITUTE(SUBSTITUTE(SUBSTITUTE(SUBSTITUTE(SUBSTITUTE(SUBSTITUTE(SUBSTITUTE(LOWER(TRIM(D110)),"ё","е"),"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категории","")))),IF(TRIM(SUBSTITUTE(SUBSTITUTE(SUBSTITUTE(SUBSTITUTE(SUBSTITUTE(SUBSTITUTE(SUBSTITUTE(SUBSTITUTE(SUBSTITUTE(SUBSTITUTE(SUBSTITUTE(LOWER(TRIM(D110)),"ё","е")," -","-"),"- ","-")," 2 разряда","")," 3 разряда","")," 4 разряда","")," 5 разряда","")," 6 разряда","")," 1 категории","")," 2 категории","")," 3 категории",""))="ведущий инженер",IF(ISNUMBER(SEARCH("диспетч",E110)),"ведущий инженер пдо",TRIM(SUBSTITUTE(SUBSTITUTE(SUBSTITUTE(SUBSTITUTE(SUBSTITUTE(SUBSTITUTE(SUBSTITUTE(SUBSTITUTE(SUBSTITUTE(SUBSTITUTE(SUBSTITUTE(LOWER(TRIM(D110)),"ё","е"),"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отк",TRIM(SUBSTITUTE(SUBSTITUTE(SUBSTITUTE(SUBSTITUTE(SUBSTITUTE(SUBSTITUTE(SUBSTITUTE(SUBSTITUTE(SUBSTITUTE(SUBSTITUTE(SUBSTITUTE(LOWER(TRIM(D110)),"ё","е")," -","-"),"- ","-")," 2 разряда","")," 3 разряда","")," 4 разряда","")," 5 разряда","")," 6 разряда","")," 1 категории","")," 2 категории","")," 3 категории","")))))</f>
        <v>оператор станка с чпу</v>
      </c>
      <c r="H110" s="11" t="n">
        <f aca="false">IFERROR(INDEX(Соответствие!$B$2:$B$76,MATCH(G110,Соответствие!$A$2:$A$76,0)),"?")</f>
        <v>30</v>
      </c>
      <c r="I110" s="8" t="str">
        <f aca="false">IFERROR(INDEX('Перечень должностей'!$C$2:$C$46,MATCH(H110,'Перечень должностей'!$A$2:$A$46,0)),"")</f>
        <v>п.4.3.1, п.4.3.2, п.4.4, п.5.1, п.5.2, п.15</v>
      </c>
      <c r="J110" s="11" t="n">
        <f aca="false">IFERROR(INDEX('Перечень должностей'!$D$2:$D$46,MATCH(H110,'Перечень должностей'!$A$2:$A$46,0)),12)</f>
        <v>12</v>
      </c>
      <c r="K110" s="16"/>
      <c r="L110" s="16"/>
      <c r="M110" s="15" t="str">
        <f aca="false">IF(K110="","",EDATE(IF(L110&lt;&gt;"",L110,K110),J110))</f>
        <v/>
      </c>
      <c r="N110" s="11" t="str">
        <f aca="false">IFERROR(INDEX('Перечень должностей'!$F$2:$F$46,MATCH(H110,'Перечень должностей'!$A$2:$A$46,0)),"")</f>
        <v>-</v>
      </c>
      <c r="O110" s="16"/>
      <c r="P110" s="15" t="str">
        <f aca="false">IF(O110="","",EDATE(O110,60))</f>
        <v/>
      </c>
      <c r="Q110" s="11" t="str">
        <f aca="false">IF(AND(K110&lt;&gt;"",F110&lt;&gt;"",K110&gt;F110),"ДА","")</f>
        <v/>
      </c>
      <c r="R110" s="8"/>
    </row>
    <row r="111" customFormat="false" ht="23.85" hidden="false" customHeight="false" outlineLevel="0" collapsed="false">
      <c r="A111" s="14" t="n">
        <v>110</v>
      </c>
      <c r="B111" s="11" t="s">
        <v>50</v>
      </c>
      <c r="C111" s="14" t="s">
        <v>528</v>
      </c>
      <c r="D111" s="14" t="s">
        <v>529</v>
      </c>
      <c r="E111" s="14" t="s">
        <v>518</v>
      </c>
      <c r="F111" s="15" t="n">
        <v>45930</v>
      </c>
      <c r="G111" s="4" t="str">
        <f aca="false">IF(TRIM(SUBSTITUTE(SUBSTITUTE(SUBSTITUTE(SUBSTITUTE(SUBSTITUTE(SUBSTITUTE(SUBSTITUTE(SUBSTITUTE(SUBSTITUTE(SUBSTITUTE(SUBSTITUTE(LOWER(TRIM(D111)),"ё","е")," -","-"),"- ","-")," 2 разряда","")," 3 разряда","")," 4 разряда","")," 5 разряда","")," 6 разряда","")," 1 категории","")," 2 категории","")," 3 категории",""))="инженер",IF(AND(ISNUMBER(SEARCH("техническ",E111)),ISNUMBER(SEARCH("контрол",E111))),"инженер отк",IF(ISNUMBER(SEARCH("диспетч",E111)),"инженер пдо",TRIM(SUBSTITUTE(SUBSTITUTE(SUBSTITUTE(SUBSTITUTE(SUBSTITUTE(SUBSTITUTE(SUBSTITUTE(SUBSTITUTE(SUBSTITUTE(SUBSTITUTE(SUBSTITUTE(LOWER(TRIM(D111)),"ё","е"),"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категории","")))),IF(TRIM(SUBSTITUTE(SUBSTITUTE(SUBSTITUTE(SUBSTITUTE(SUBSTITUTE(SUBSTITUTE(SUBSTITUTE(SUBSTITUTE(SUBSTITUTE(SUBSTITUTE(SUBSTITUTE(LOWER(TRIM(D111)),"ё","е")," -","-"),"- ","-")," 2 разряда","")," 3 разряда","")," 4 разряда","")," 5 разряда","")," 6 разряда","")," 1 категории","")," 2 категории","")," 3 категории",""))="ведущий инженер",IF(ISNUMBER(SEARCH("диспетч",E111)),"ведущий инженер пдо",TRIM(SUBSTITUTE(SUBSTITUTE(SUBSTITUTE(SUBSTITUTE(SUBSTITUTE(SUBSTITUTE(SUBSTITUTE(SUBSTITUTE(SUBSTITUTE(SUBSTITUTE(SUBSTITUTE(LOWER(TRIM(D111)),"ё","е"),"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отк",TRIM(SUBSTITUTE(SUBSTITUTE(SUBSTITUTE(SUBSTITUTE(SUBSTITUTE(SUBSTITUTE(SUBSTITUTE(SUBSTITUTE(SUBSTITUTE(SUBSTITUTE(SUBSTITUTE(LOWER(TRIM(D111)),"ё","е")," -","-"),"- ","-")," 2 разряда","")," 3 разряда","")," 4 разряда","")," 5 разряда","")," 6 разряда","")," 1 категории","")," 2 категории","")," 3 категории","")))))</f>
        <v>токарь</v>
      </c>
      <c r="H111" s="11" t="n">
        <f aca="false">IFERROR(INDEX(Соответствие!$B$2:$B$76,MATCH(G111,Соответствие!$A$2:$A$76,0)),"?")</f>
        <v>34</v>
      </c>
      <c r="I111" s="8" t="str">
        <f aca="false">IFERROR(INDEX('Перечень должностей'!$C$2:$C$46,MATCH(H111,'Перечень должностей'!$A$2:$A$46,0)),"")</f>
        <v>п.4.3.1, п.4.3.2, п.4.4, п.5.1, п.5.2, п.15</v>
      </c>
      <c r="J111" s="11" t="n">
        <f aca="false">IFERROR(INDEX('Перечень должностей'!$D$2:$D$46,MATCH(H111,'Перечень должностей'!$A$2:$A$46,0)),12)</f>
        <v>12</v>
      </c>
      <c r="K111" s="16" t="n">
        <v>45916</v>
      </c>
      <c r="L111" s="16"/>
      <c r="M111" s="15" t="n">
        <f aca="false">IF(K111="","",EDATE(IF(L111&lt;&gt;"",L111,K111),J111))</f>
        <v>46281</v>
      </c>
      <c r="N111" s="11" t="str">
        <f aca="false">IFERROR(INDEX('Перечень должностей'!$F$2:$F$46,MATCH(H111,'Перечень должностей'!$A$2:$A$46,0)),"")</f>
        <v>-</v>
      </c>
      <c r="O111" s="16"/>
      <c r="P111" s="15" t="str">
        <f aca="false">IF(O111="","",EDATE(O111,60))</f>
        <v/>
      </c>
      <c r="Q111" s="11" t="str">
        <f aca="false">IF(AND(K111&lt;&gt;"",F111&lt;&gt;"",K111&gt;F111),"ДА","")</f>
        <v/>
      </c>
      <c r="R111" s="8"/>
    </row>
    <row r="112" customFormat="false" ht="26.25" hidden="false" customHeight="true" outlineLevel="0" collapsed="false">
      <c r="A112" s="14" t="n">
        <v>111</v>
      </c>
      <c r="B112" s="11" t="s">
        <v>50</v>
      </c>
      <c r="C112" s="14" t="s">
        <v>530</v>
      </c>
      <c r="D112" s="14" t="s">
        <v>529</v>
      </c>
      <c r="E112" s="14" t="s">
        <v>518</v>
      </c>
      <c r="F112" s="15" t="n">
        <v>45840</v>
      </c>
      <c r="G112" s="4" t="str">
        <f aca="false">IF(TRIM(SUBSTITUTE(SUBSTITUTE(SUBSTITUTE(SUBSTITUTE(SUBSTITUTE(SUBSTITUTE(SUBSTITUTE(SUBSTITUTE(SUBSTITUTE(SUBSTITUTE(SUBSTITUTE(LOWER(TRIM(D112)),"ё","е")," -","-"),"- ","-")," 2 разряда","")," 3 разряда","")," 4 разряда","")," 5 разряда","")," 6 разряда","")," 1 категории","")," 2 категории","")," 3 категории",""))="инженер",IF(AND(ISNUMBER(SEARCH("техническ",E112)),ISNUMBER(SEARCH("контрол",E112))),"инженер отк",IF(ISNUMBER(SEARCH("диспетч",E112)),"инженер пдо",TRIM(SUBSTITUTE(SUBSTITUTE(SUBSTITUTE(SUBSTITUTE(SUBSTITUTE(SUBSTITUTE(SUBSTITUTE(SUBSTITUTE(SUBSTITUTE(SUBSTITUTE(SUBSTITUTE(LOWER(TRIM(D112)),"ё","е"),"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категории","")))),IF(TRIM(SUBSTITUTE(SUBSTITUTE(SUBSTITUTE(SUBSTITUTE(SUBSTITUTE(SUBSTITUTE(SUBSTITUTE(SUBSTITUTE(SUBSTITUTE(SUBSTITUTE(SUBSTITUTE(LOWER(TRIM(D112)),"ё","е")," -","-"),"- ","-")," 2 разряда","")," 3 разряда","")," 4 разряда","")," 5 разряда","")," 6 разряда","")," 1 категории","")," 2 категории","")," 3 категории",""))="ведущий инженер",IF(ISNUMBER(SEARCH("диспетч",E112)),"ведущий инженер пдо",TRIM(SUBSTITUTE(SUBSTITUTE(SUBSTITUTE(SUBSTITUTE(SUBSTITUTE(SUBSTITUTE(SUBSTITUTE(SUBSTITUTE(SUBSTITUTE(SUBSTITUTE(SUBSTITUTE(LOWER(TRIM(D112)),"ё","е"),"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отк",TRIM(SUBSTITUTE(SUBSTITUTE(SUBSTITUTE(SUBSTITUTE(SUBSTITUTE(SUBSTITUTE(SUBSTITUTE(SUBSTITUTE(SUBSTITUTE(SUBSTITUTE(SUBSTITUTE(LOWER(TRIM(D112)),"ё","е")," -","-"),"- ","-")," 2 разряда","")," 3 разряда","")," 4 разряда","")," 5 разряда","")," 6 разряда","")," 1 категории","")," 2 категории","")," 3 категории","")))))</f>
        <v>токарь</v>
      </c>
      <c r="H112" s="11" t="n">
        <f aca="false">IFERROR(INDEX(Соответствие!$B$2:$B$76,MATCH(G112,Соответствие!$A$2:$A$76,0)),"?")</f>
        <v>34</v>
      </c>
      <c r="I112" s="8" t="str">
        <f aca="false">IFERROR(INDEX('Перечень должностей'!$C$2:$C$46,MATCH(H112,'Перечень должностей'!$A$2:$A$46,0)),"")</f>
        <v>п.4.3.1, п.4.3.2, п.4.4, п.5.1, п.5.2, п.15</v>
      </c>
      <c r="J112" s="11" t="n">
        <f aca="false">IFERROR(INDEX('Перечень должностей'!$D$2:$D$46,MATCH(H112,'Перечень должностей'!$A$2:$A$46,0)),12)</f>
        <v>12</v>
      </c>
      <c r="K112" s="16" t="n">
        <v>45835</v>
      </c>
      <c r="L112" s="16"/>
      <c r="M112" s="15" t="n">
        <f aca="false">IF(K112="","",EDATE(IF(L112&lt;&gt;"",L112,K112),J112))</f>
        <v>46200</v>
      </c>
      <c r="N112" s="11" t="str">
        <f aca="false">IFERROR(INDEX('Перечень должностей'!$F$2:$F$46,MATCH(H112,'Перечень должностей'!$A$2:$A$46,0)),"")</f>
        <v>-</v>
      </c>
      <c r="O112" s="16"/>
      <c r="P112" s="15" t="str">
        <f aca="false">IF(O112="","",EDATE(O112,60))</f>
        <v/>
      </c>
      <c r="Q112" s="11" t="str">
        <f aca="false">IF(AND(K112&lt;&gt;"",F112&lt;&gt;"",K112&gt;F112),"ДА","")</f>
        <v/>
      </c>
      <c r="R112" s="8"/>
    </row>
    <row r="113" customFormat="false" ht="26.25" hidden="false" customHeight="true" outlineLevel="0" collapsed="false">
      <c r="A113" s="14" t="n">
        <v>112</v>
      </c>
      <c r="B113" s="11" t="s">
        <v>50</v>
      </c>
      <c r="C113" s="14" t="s">
        <v>531</v>
      </c>
      <c r="D113" s="14" t="s">
        <v>532</v>
      </c>
      <c r="E113" s="14" t="s">
        <v>61</v>
      </c>
      <c r="F113" s="15" t="n">
        <v>44692</v>
      </c>
      <c r="G113" s="4" t="str">
        <f aca="false">IF(TRIM(SUBSTITUTE(SUBSTITUTE(SUBSTITUTE(SUBSTITUTE(SUBSTITUTE(SUBSTITUTE(SUBSTITUTE(SUBSTITUTE(SUBSTITUTE(SUBSTITUTE(SUBSTITUTE(LOWER(TRIM(D113)),"ё","е")," -","-"),"- ","-")," 2 разряда","")," 3 разряда","")," 4 разряда","")," 5 разряда","")," 6 разряда","")," 1 категории","")," 2 категории","")," 3 категории",""))="инженер",IF(AND(ISNUMBER(SEARCH("техническ",E113)),ISNUMBER(SEARCH("контрол",E113))),"инженер отк",IF(ISNUMBER(SEARCH("диспетч",E113)),"инженер пдо",TRIM(SUBSTITUTE(SUBSTITUTE(SUBSTITUTE(SUBSTITUTE(SUBSTITUTE(SUBSTITUTE(SUBSTITUTE(SUBSTITUTE(SUBSTITUTE(SUBSTITUTE(SUBSTITUTE(LOWER(TRIM(D113)),"ё","е"),"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категории","")))),IF(TRIM(SUBSTITUTE(SUBSTITUTE(SUBSTITUTE(SUBSTITUTE(SUBSTITUTE(SUBSTITUTE(SUBSTITUTE(SUBSTITUTE(SUBSTITUTE(SUBSTITUTE(SUBSTITUTE(LOWER(TRIM(D113)),"ё","е")," -","-"),"- ","-")," 2 разряда","")," 3 разряда","")," 4 разряда","")," 5 разряда","")," 6 разряда","")," 1 категории","")," 2 категории","")," 3 категории",""))="ведущий инженер",IF(ISNUMBER(SEARCH("диспетч",E113)),"ведущий инженер пдо",TRIM(SUBSTITUTE(SUBSTITUTE(SUBSTITUTE(SUBSTITUTE(SUBSTITUTE(SUBSTITUTE(SUBSTITUTE(SUBSTITUTE(SUBSTITUTE(SUBSTITUTE(SUBSTITUTE(LOWER(TRIM(D113)),"ё","е"),"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отк",TRIM(SUBSTITUTE(SUBSTITUTE(SUBSTITUTE(SUBSTITUTE(SUBSTITUTE(SUBSTITUTE(SUBSTITUTE(SUBSTITUTE(SUBSTITUTE(SUBSTITUTE(SUBSTITUTE(LOWER(TRIM(D113)),"ё","е")," -","-"),"- ","-")," 2 разряда","")," 3 разряда","")," 4 разряда","")," 5 разряда","")," 6 разряда","")," 1 категории","")," 2 категории","")," 3 категории","")))))</f>
        <v>фрезеровщик</v>
      </c>
      <c r="H113" s="11" t="n">
        <f aca="false">IFERROR(INDEX(Соответствие!$B$2:$B$76,MATCH(G113,Соответствие!$A$2:$A$76,0)),"?")</f>
        <v>33</v>
      </c>
      <c r="I113" s="8" t="str">
        <f aca="false">IFERROR(INDEX('Перечень должностей'!$C$2:$C$46,MATCH(H113,'Перечень должностей'!$A$2:$A$46,0)),"")</f>
        <v>п.4.3.1, п.4.3.2, п.4.4, п.5.1, п.5.2, п.15</v>
      </c>
      <c r="J113" s="11" t="n">
        <f aca="false">IFERROR(INDEX('Перечень должностей'!$D$2:$D$46,MATCH(H113,'Перечень должностей'!$A$2:$A$46,0)),12)</f>
        <v>12</v>
      </c>
      <c r="K113" s="16"/>
      <c r="L113" s="16"/>
      <c r="M113" s="15" t="str">
        <f aca="false">IF(K113="","",EDATE(IF(L113&lt;&gt;"",L113,K113),J113))</f>
        <v/>
      </c>
      <c r="N113" s="11" t="str">
        <f aca="false">IFERROR(INDEX('Перечень должностей'!$F$2:$F$46,MATCH(H113,'Перечень должностей'!$A$2:$A$46,0)),"")</f>
        <v>-</v>
      </c>
      <c r="O113" s="16"/>
      <c r="P113" s="15" t="str">
        <f aca="false">IF(O113="","",EDATE(O113,60))</f>
        <v/>
      </c>
      <c r="Q113" s="11" t="str">
        <f aca="false">IF(AND(K113&lt;&gt;"",F113&lt;&gt;"",K113&gt;F113),"ДА","")</f>
        <v/>
      </c>
      <c r="R113" s="8"/>
    </row>
    <row r="114" customFormat="false" ht="26.25" hidden="false" customHeight="true" outlineLevel="0" collapsed="false">
      <c r="A114" s="14" t="n">
        <v>113</v>
      </c>
      <c r="B114" s="11" t="s">
        <v>50</v>
      </c>
      <c r="C114" s="14" t="s">
        <v>533</v>
      </c>
      <c r="D114" s="14" t="s">
        <v>534</v>
      </c>
      <c r="E114" s="14" t="s">
        <v>191</v>
      </c>
      <c r="F114" s="15" t="n">
        <v>41673</v>
      </c>
      <c r="G114" s="4" t="str">
        <f aca="false">IF(TRIM(SUBSTITUTE(SUBSTITUTE(SUBSTITUTE(SUBSTITUTE(SUBSTITUTE(SUBSTITUTE(SUBSTITUTE(SUBSTITUTE(SUBSTITUTE(SUBSTITUTE(SUBSTITUTE(LOWER(TRIM(D114)),"ё","е")," -","-"),"- ","-")," 2 разряда","")," 3 разряда","")," 4 разряда","")," 5 разряда","")," 6 разряда","")," 1 категории","")," 2 категории","")," 3 категории",""))="инженер",IF(AND(ISNUMBER(SEARCH("техническ",E114)),ISNUMBER(SEARCH("контрол",E114))),"инженер отк",IF(ISNUMBER(SEARCH("диспетч",E114)),"инженер пдо",TRIM(SUBSTITUTE(SUBSTITUTE(SUBSTITUTE(SUBSTITUTE(SUBSTITUTE(SUBSTITUTE(SUBSTITUTE(SUBSTITUTE(SUBSTITUTE(SUBSTITUTE(SUBSTITUTE(LOWER(TRIM(D114)),"ё","е"),"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категории","")))),IF(TRIM(SUBSTITUTE(SUBSTITUTE(SUBSTITUTE(SUBSTITUTE(SUBSTITUTE(SUBSTITUTE(SUBSTITUTE(SUBSTITUTE(SUBSTITUTE(SUBSTITUTE(SUBSTITUTE(LOWER(TRIM(D114)),"ё","е")," -","-"),"- ","-")," 2 разряда","")," 3 разряда","")," 4 разряда","")," 5 разряда","")," 6 разряда","")," 1 категории","")," 2 категории","")," 3 категории",""))="ведущий инженер",IF(ISNUMBER(SEARCH("диспетч",E114)),"ведущий инженер пдо",TRIM(SUBSTITUTE(SUBSTITUTE(SUBSTITUTE(SUBSTITUTE(SUBSTITUTE(SUBSTITUTE(SUBSTITUTE(SUBSTITUTE(SUBSTITUTE(SUBSTITUTE(SUBSTITUTE(LOWER(TRIM(D114)),"ё","е"),"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отк",TRIM(SUBSTITUTE(SUBSTITUTE(SUBSTITUTE(SUBSTITUTE(SUBSTITUTE(SUBSTITUTE(SUBSTITUTE(SUBSTITUTE(SUBSTITUTE(SUBSTITUTE(SUBSTITUTE(LOWER(TRIM(D114)),"ё","е")," -","-"),"- ","-")," 2 разряда","")," 3 разряда","")," 4 разряда","")," 5 разряда","")," 6 разряда","")," 1 категории","")," 2 категории","")," 3 категории","")))))</f>
        <v>слесарь механосборочных работ</v>
      </c>
      <c r="H114" s="11" t="n">
        <f aca="false">IFERROR(INDEX(Соответствие!$B$2:$B$76,MATCH(G114,Соответствие!$A$2:$A$76,0)),"?")</f>
        <v>32</v>
      </c>
      <c r="I114" s="8" t="str">
        <f aca="false">IFERROR(INDEX('Перечень должностей'!$C$2:$C$46,MATCH(H114,'Перечень должностей'!$A$2:$A$46,0)),"")</f>
        <v>п.4.3.1, п.4.3.2, п.4.4, п.5.1, п.15</v>
      </c>
      <c r="J114" s="11" t="n">
        <f aca="false">IFERROR(INDEX('Перечень должностей'!$D$2:$D$46,MATCH(H114,'Перечень должностей'!$A$2:$A$46,0)),12)</f>
        <v>12</v>
      </c>
      <c r="K114" s="16"/>
      <c r="L114" s="16"/>
      <c r="M114" s="15" t="str">
        <f aca="false">IF(K114="","",EDATE(IF(L114&lt;&gt;"",L114,K114),J114))</f>
        <v/>
      </c>
      <c r="N114" s="11" t="str">
        <f aca="false">IFERROR(INDEX('Перечень должностей'!$F$2:$F$46,MATCH(H114,'Перечень должностей'!$A$2:$A$46,0)),"")</f>
        <v>-</v>
      </c>
      <c r="O114" s="16"/>
      <c r="P114" s="15" t="str">
        <f aca="false">IF(O114="","",EDATE(O114,60))</f>
        <v/>
      </c>
      <c r="Q114" s="11" t="str">
        <f aca="false">IF(AND(K114&lt;&gt;"",F114&lt;&gt;"",K114&gt;F114),"ДА","")</f>
        <v/>
      </c>
      <c r="R114" s="8" t="s">
        <v>535</v>
      </c>
    </row>
    <row r="115" customFormat="false" ht="26.25" hidden="false" customHeight="true" outlineLevel="0" collapsed="false">
      <c r="A115" s="14" t="n">
        <v>114</v>
      </c>
      <c r="B115" s="11" t="s">
        <v>50</v>
      </c>
      <c r="C115" s="14" t="s">
        <v>536</v>
      </c>
      <c r="D115" s="14" t="s">
        <v>534</v>
      </c>
      <c r="E115" s="14" t="s">
        <v>191</v>
      </c>
      <c r="F115" s="15" t="n">
        <v>45643</v>
      </c>
      <c r="G115" s="4" t="str">
        <f aca="false">IF(TRIM(SUBSTITUTE(SUBSTITUTE(SUBSTITUTE(SUBSTITUTE(SUBSTITUTE(SUBSTITUTE(SUBSTITUTE(SUBSTITUTE(SUBSTITUTE(SUBSTITUTE(SUBSTITUTE(LOWER(TRIM(D115)),"ё","е")," -","-"),"- ","-")," 2 разряда","")," 3 разряда","")," 4 разряда","")," 5 разряда","")," 6 разряда","")," 1 категории","")," 2 категории","")," 3 категории",""))="инженер",IF(AND(ISNUMBER(SEARCH("техническ",E115)),ISNUMBER(SEARCH("контрол",E115))),"инженер отк",IF(ISNUMBER(SEARCH("диспетч",E115)),"инженер пдо",TRIM(SUBSTITUTE(SUBSTITUTE(SUBSTITUTE(SUBSTITUTE(SUBSTITUTE(SUBSTITUTE(SUBSTITUTE(SUBSTITUTE(SUBSTITUTE(SUBSTITUTE(SUBSTITUTE(LOWER(TRIM(D115)),"ё","е"),"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категории","")))),IF(TRIM(SUBSTITUTE(SUBSTITUTE(SUBSTITUTE(SUBSTITUTE(SUBSTITUTE(SUBSTITUTE(SUBSTITUTE(SUBSTITUTE(SUBSTITUTE(SUBSTITUTE(SUBSTITUTE(LOWER(TRIM(D115)),"ё","е")," -","-"),"- ","-")," 2 разряда","")," 3 разряда","")," 4 разряда","")," 5 разряда","")," 6 разряда","")," 1 категории","")," 2 категории","")," 3 категории",""))="ведущий инженер",IF(ISNUMBER(SEARCH("диспетч",E115)),"ведущий инженер пдо",TRIM(SUBSTITUTE(SUBSTITUTE(SUBSTITUTE(SUBSTITUTE(SUBSTITUTE(SUBSTITUTE(SUBSTITUTE(SUBSTITUTE(SUBSTITUTE(SUBSTITUTE(SUBSTITUTE(LOWER(TRIM(D115)),"ё","е"),"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отк",TRIM(SUBSTITUTE(SUBSTITUTE(SUBSTITUTE(SUBSTITUTE(SUBSTITUTE(SUBSTITUTE(SUBSTITUTE(SUBSTITUTE(SUBSTITUTE(SUBSTITUTE(SUBSTITUTE(LOWER(TRIM(D115)),"ё","е")," -","-"),"- ","-")," 2 разряда","")," 3 разряда","")," 4 разряда","")," 5 разряда","")," 6 разряда","")," 1 категории","")," 2 категории","")," 3 категории","")))))</f>
        <v>слесарь механосборочных работ</v>
      </c>
      <c r="H115" s="11" t="n">
        <f aca="false">IFERROR(INDEX(Соответствие!$B$2:$B$76,MATCH(G115,Соответствие!$A$2:$A$76,0)),"?")</f>
        <v>32</v>
      </c>
      <c r="I115" s="8" t="str">
        <f aca="false">IFERROR(INDEX('Перечень должностей'!$C$2:$C$46,MATCH(H115,'Перечень должностей'!$A$2:$A$46,0)),"")</f>
        <v>п.4.3.1, п.4.3.2, п.4.4, п.5.1, п.15</v>
      </c>
      <c r="J115" s="11" t="n">
        <f aca="false">IFERROR(INDEX('Перечень должностей'!$D$2:$D$46,MATCH(H115,'Перечень должностей'!$A$2:$A$46,0)),12)</f>
        <v>12</v>
      </c>
      <c r="K115" s="16"/>
      <c r="L115" s="16"/>
      <c r="M115" s="15" t="str">
        <f aca="false">IF(K115="","",EDATE(IF(L115&lt;&gt;"",L115,K115),J115))</f>
        <v/>
      </c>
      <c r="N115" s="11" t="str">
        <f aca="false">IFERROR(INDEX('Перечень должностей'!$F$2:$F$46,MATCH(H115,'Перечень должностей'!$A$2:$A$46,0)),"")</f>
        <v>-</v>
      </c>
      <c r="O115" s="16"/>
      <c r="P115" s="15" t="str">
        <f aca="false">IF(O115="","",EDATE(O115,60))</f>
        <v/>
      </c>
      <c r="Q115" s="11" t="str">
        <f aca="false">IF(AND(K115&lt;&gt;"",F115&lt;&gt;"",K115&gt;F115),"ДА","")</f>
        <v/>
      </c>
      <c r="R115" s="8" t="s">
        <v>535</v>
      </c>
    </row>
    <row r="116" customFormat="false" ht="23.85" hidden="false" customHeight="false" outlineLevel="0" collapsed="false">
      <c r="A116" s="14" t="n">
        <v>115</v>
      </c>
      <c r="B116" s="11" t="s">
        <v>50</v>
      </c>
      <c r="C116" s="14" t="s">
        <v>537</v>
      </c>
      <c r="D116" s="14" t="s">
        <v>534</v>
      </c>
      <c r="E116" s="14" t="s">
        <v>191</v>
      </c>
      <c r="F116" s="15" t="n">
        <v>45565</v>
      </c>
      <c r="G116" s="4" t="str">
        <f aca="false">IF(TRIM(SUBSTITUTE(SUBSTITUTE(SUBSTITUTE(SUBSTITUTE(SUBSTITUTE(SUBSTITUTE(SUBSTITUTE(SUBSTITUTE(SUBSTITUTE(SUBSTITUTE(SUBSTITUTE(LOWER(TRIM(D116)),"ё","е")," -","-"),"- ","-")," 2 разряда","")," 3 разряда","")," 4 разряда","")," 5 разряда","")," 6 разряда","")," 1 категории","")," 2 категории","")," 3 категории",""))="инженер",IF(AND(ISNUMBER(SEARCH("техническ",E116)),ISNUMBER(SEARCH("контрол",E116))),"инженер отк",IF(ISNUMBER(SEARCH("диспетч",E116)),"инженер пдо",TRIM(SUBSTITUTE(SUBSTITUTE(SUBSTITUTE(SUBSTITUTE(SUBSTITUTE(SUBSTITUTE(SUBSTITUTE(SUBSTITUTE(SUBSTITUTE(SUBSTITUTE(SUBSTITUTE(LOWER(TRIM(D116)),"ё","е"),"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категории","")))),IF(TRIM(SUBSTITUTE(SUBSTITUTE(SUBSTITUTE(SUBSTITUTE(SUBSTITUTE(SUBSTITUTE(SUBSTITUTE(SUBSTITUTE(SUBSTITUTE(SUBSTITUTE(SUBSTITUTE(LOWER(TRIM(D116)),"ё","е")," -","-"),"- ","-")," 2 разряда","")," 3 разряда","")," 4 разряда","")," 5 разряда","")," 6 разряда","")," 1 категории","")," 2 категории","")," 3 категории",""))="ведущий инженер",IF(ISNUMBER(SEARCH("диспетч",E116)),"ведущий инженер пдо",TRIM(SUBSTITUTE(SUBSTITUTE(SUBSTITUTE(SUBSTITUTE(SUBSTITUTE(SUBSTITUTE(SUBSTITUTE(SUBSTITUTE(SUBSTITUTE(SUBSTITUTE(SUBSTITUTE(LOWER(TRIM(D116)),"ё","е"),"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отк",TRIM(SUBSTITUTE(SUBSTITUTE(SUBSTITUTE(SUBSTITUTE(SUBSTITUTE(SUBSTITUTE(SUBSTITUTE(SUBSTITUTE(SUBSTITUTE(SUBSTITUTE(SUBSTITUTE(LOWER(TRIM(D116)),"ё","е")," -","-"),"- ","-")," 2 разряда","")," 3 разряда","")," 4 разряда","")," 5 разряда","")," 6 разряда","")," 1 категории","")," 2 категории","")," 3 категории","")))))</f>
        <v>слесарь механосборочных работ</v>
      </c>
      <c r="H116" s="11" t="n">
        <f aca="false">IFERROR(INDEX(Соответствие!$B$2:$B$76,MATCH(G116,Соответствие!$A$2:$A$76,0)),"?")</f>
        <v>32</v>
      </c>
      <c r="I116" s="8" t="str">
        <f aca="false">IFERROR(INDEX('Перечень должностей'!$C$2:$C$46,MATCH(H116,'Перечень должностей'!$A$2:$A$46,0)),"")</f>
        <v>п.4.3.1, п.4.3.2, п.4.4, п.5.1, п.15</v>
      </c>
      <c r="J116" s="11" t="n">
        <f aca="false">IFERROR(INDEX('Перечень должностей'!$D$2:$D$46,MATCH(H116,'Перечень должностей'!$A$2:$A$46,0)),12)</f>
        <v>12</v>
      </c>
      <c r="K116" s="16"/>
      <c r="L116" s="16"/>
      <c r="M116" s="15" t="str">
        <f aca="false">IF(K116="","",EDATE(IF(L116&lt;&gt;"",L116,K116),J116))</f>
        <v/>
      </c>
      <c r="N116" s="11" t="str">
        <f aca="false">IFERROR(INDEX('Перечень должностей'!$F$2:$F$46,MATCH(H116,'Перечень должностей'!$A$2:$A$46,0)),"")</f>
        <v>-</v>
      </c>
      <c r="O116" s="16"/>
      <c r="P116" s="15" t="str">
        <f aca="false">IF(O116="","",EDATE(O116,60))</f>
        <v/>
      </c>
      <c r="Q116" s="11" t="str">
        <f aca="false">IF(AND(K116&lt;&gt;"",F116&lt;&gt;"",K116&gt;F116),"ДА","")</f>
        <v/>
      </c>
      <c r="R116" s="8" t="s">
        <v>535</v>
      </c>
    </row>
    <row r="117" customFormat="false" ht="23.85" hidden="false" customHeight="false" outlineLevel="0" collapsed="false">
      <c r="A117" s="14" t="n">
        <v>116</v>
      </c>
      <c r="B117" s="11" t="s">
        <v>50</v>
      </c>
      <c r="C117" s="14" t="s">
        <v>538</v>
      </c>
      <c r="D117" s="14" t="s">
        <v>534</v>
      </c>
      <c r="E117" s="14" t="s">
        <v>191</v>
      </c>
      <c r="F117" s="15" t="n">
        <v>44795</v>
      </c>
      <c r="G117" s="4" t="str">
        <f aca="false">IF(TRIM(SUBSTITUTE(SUBSTITUTE(SUBSTITUTE(SUBSTITUTE(SUBSTITUTE(SUBSTITUTE(SUBSTITUTE(SUBSTITUTE(SUBSTITUTE(SUBSTITUTE(SUBSTITUTE(LOWER(TRIM(D117)),"ё","е")," -","-"),"- ","-")," 2 разряда","")," 3 разряда","")," 4 разряда","")," 5 разряда","")," 6 разряда","")," 1 категории","")," 2 категории","")," 3 категории",""))="инженер",IF(AND(ISNUMBER(SEARCH("техническ",E117)),ISNUMBER(SEARCH("контрол",E117))),"инженер отк",IF(ISNUMBER(SEARCH("диспетч",E117)),"инженер пдо",TRIM(SUBSTITUTE(SUBSTITUTE(SUBSTITUTE(SUBSTITUTE(SUBSTITUTE(SUBSTITUTE(SUBSTITUTE(SUBSTITUTE(SUBSTITUTE(SUBSTITUTE(SUBSTITUTE(LOWER(TRIM(D117)),"ё","е"),"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категории","")))),IF(TRIM(SUBSTITUTE(SUBSTITUTE(SUBSTITUTE(SUBSTITUTE(SUBSTITUTE(SUBSTITUTE(SUBSTITUTE(SUBSTITUTE(SUBSTITUTE(SUBSTITUTE(SUBSTITUTE(LOWER(TRIM(D117)),"ё","е")," -","-"),"- ","-")," 2 разряда","")," 3 разряда","")," 4 разряда","")," 5 разряда","")," 6 разряда","")," 1 категории","")," 2 категории","")," 3 категории",""))="ведущий инженер",IF(ISNUMBER(SEARCH("диспетч",E117)),"ведущий инженер пдо",TRIM(SUBSTITUTE(SUBSTITUTE(SUBSTITUTE(SUBSTITUTE(SUBSTITUTE(SUBSTITUTE(SUBSTITUTE(SUBSTITUTE(SUBSTITUTE(SUBSTITUTE(SUBSTITUTE(LOWER(TRIM(D117)),"ё","е"),"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отк",TRIM(SUBSTITUTE(SUBSTITUTE(SUBSTITUTE(SUBSTITUTE(SUBSTITUTE(SUBSTITUTE(SUBSTITUTE(SUBSTITUTE(SUBSTITUTE(SUBSTITUTE(SUBSTITUTE(LOWER(TRIM(D117)),"ё","е")," -","-"),"- ","-")," 2 разряда","")," 3 разряда","")," 4 разряда","")," 5 разряда","")," 6 разряда","")," 1 категории","")," 2 категории","")," 3 категории","")))))</f>
        <v>слесарь механосборочных работ</v>
      </c>
      <c r="H117" s="11" t="n">
        <f aca="false">IFERROR(INDEX(Соответствие!$B$2:$B$76,MATCH(G117,Соответствие!$A$2:$A$76,0)),"?")</f>
        <v>32</v>
      </c>
      <c r="I117" s="8" t="str">
        <f aca="false">IFERROR(INDEX('Перечень должностей'!$C$2:$C$46,MATCH(H117,'Перечень должностей'!$A$2:$A$46,0)),"")</f>
        <v>п.4.3.1, п.4.3.2, п.4.4, п.5.1, п.15</v>
      </c>
      <c r="J117" s="11" t="n">
        <f aca="false">IFERROR(INDEX('Перечень должностей'!$D$2:$D$46,MATCH(H117,'Перечень должностей'!$A$2:$A$46,0)),12)</f>
        <v>12</v>
      </c>
      <c r="K117" s="16"/>
      <c r="L117" s="16"/>
      <c r="M117" s="15" t="str">
        <f aca="false">IF(K117="","",EDATE(IF(L117&lt;&gt;"",L117,K117),J117))</f>
        <v/>
      </c>
      <c r="N117" s="11" t="str">
        <f aca="false">IFERROR(INDEX('Перечень должностей'!$F$2:$F$46,MATCH(H117,'Перечень должностей'!$A$2:$A$46,0)),"")</f>
        <v>-</v>
      </c>
      <c r="O117" s="16"/>
      <c r="P117" s="15" t="str">
        <f aca="false">IF(O117="","",EDATE(O117,60))</f>
        <v/>
      </c>
      <c r="Q117" s="11" t="str">
        <f aca="false">IF(AND(K117&lt;&gt;"",F117&lt;&gt;"",K117&gt;F117),"ДА","")</f>
        <v/>
      </c>
      <c r="R117" s="8" t="s">
        <v>535</v>
      </c>
    </row>
    <row r="118" customFormat="false" ht="23.85" hidden="false" customHeight="false" outlineLevel="0" collapsed="false">
      <c r="A118" s="14" t="n">
        <v>117</v>
      </c>
      <c r="B118" s="11" t="s">
        <v>50</v>
      </c>
      <c r="C118" s="14" t="s">
        <v>539</v>
      </c>
      <c r="D118" s="14" t="s">
        <v>534</v>
      </c>
      <c r="E118" s="14" t="s">
        <v>191</v>
      </c>
      <c r="F118" s="15" t="n">
        <v>42429</v>
      </c>
      <c r="G118" s="4" t="str">
        <f aca="false">IF(TRIM(SUBSTITUTE(SUBSTITUTE(SUBSTITUTE(SUBSTITUTE(SUBSTITUTE(SUBSTITUTE(SUBSTITUTE(SUBSTITUTE(SUBSTITUTE(SUBSTITUTE(SUBSTITUTE(LOWER(TRIM(D118)),"ё","е")," -","-"),"- ","-")," 2 разряда","")," 3 разряда","")," 4 разряда","")," 5 разряда","")," 6 разряда","")," 1 категории","")," 2 категории","")," 3 категории",""))="инженер",IF(AND(ISNUMBER(SEARCH("техническ",E118)),ISNUMBER(SEARCH("контрол",E118))),"инженер отк",IF(ISNUMBER(SEARCH("диспетч",E118)),"инженер пдо",TRIM(SUBSTITUTE(SUBSTITUTE(SUBSTITUTE(SUBSTITUTE(SUBSTITUTE(SUBSTITUTE(SUBSTITUTE(SUBSTITUTE(SUBSTITUTE(SUBSTITUTE(SUBSTITUTE(LOWER(TRIM(D118)),"ё","е"),"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категории","")))),IF(TRIM(SUBSTITUTE(SUBSTITUTE(SUBSTITUTE(SUBSTITUTE(SUBSTITUTE(SUBSTITUTE(SUBSTITUTE(SUBSTITUTE(SUBSTITUTE(SUBSTITUTE(SUBSTITUTE(LOWER(TRIM(D118)),"ё","е")," -","-"),"- ","-")," 2 разряда","")," 3 разряда","")," 4 разряда","")," 5 разряда","")," 6 разряда","")," 1 категории","")," 2 категории","")," 3 категории",""))="ведущий инженер",IF(ISNUMBER(SEARCH("диспетч",E118)),"ведущий инженер пдо",TRIM(SUBSTITUTE(SUBSTITUTE(SUBSTITUTE(SUBSTITUTE(SUBSTITUTE(SUBSTITUTE(SUBSTITUTE(SUBSTITUTE(SUBSTITUTE(SUBSTITUTE(SUBSTITUTE(LOWER(TRIM(D118)),"ё","е"),"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отк",TRIM(SUBSTITUTE(SUBSTITUTE(SUBSTITUTE(SUBSTITUTE(SUBSTITUTE(SUBSTITUTE(SUBSTITUTE(SUBSTITUTE(SUBSTITUTE(SUBSTITUTE(SUBSTITUTE(LOWER(TRIM(D118)),"ё","е")," -","-"),"- ","-")," 2 разряда","")," 3 разряда","")," 4 разряда","")," 5 разряда","")," 6 разряда","")," 1 категории","")," 2 категории","")," 3 категории","")))))</f>
        <v>слесарь механосборочных работ</v>
      </c>
      <c r="H118" s="11" t="n">
        <f aca="false">IFERROR(INDEX(Соответствие!$B$2:$B$76,MATCH(G118,Соответствие!$A$2:$A$76,0)),"?")</f>
        <v>32</v>
      </c>
      <c r="I118" s="8" t="str">
        <f aca="false">IFERROR(INDEX('Перечень должностей'!$C$2:$C$46,MATCH(H118,'Перечень должностей'!$A$2:$A$46,0)),"")</f>
        <v>п.4.3.1, п.4.3.2, п.4.4, п.5.1, п.15</v>
      </c>
      <c r="J118" s="11" t="n">
        <f aca="false">IFERROR(INDEX('Перечень должностей'!$D$2:$D$46,MATCH(H118,'Перечень должностей'!$A$2:$A$46,0)),12)</f>
        <v>12</v>
      </c>
      <c r="K118" s="16"/>
      <c r="L118" s="16"/>
      <c r="M118" s="15" t="str">
        <f aca="false">IF(K118="","",EDATE(IF(L118&lt;&gt;"",L118,K118),J118))</f>
        <v/>
      </c>
      <c r="N118" s="11" t="str">
        <f aca="false">IFERROR(INDEX('Перечень должностей'!$F$2:$F$46,MATCH(H118,'Перечень должностей'!$A$2:$A$46,0)),"")</f>
        <v>-</v>
      </c>
      <c r="O118" s="16"/>
      <c r="P118" s="15" t="str">
        <f aca="false">IF(O118="","",EDATE(O118,60))</f>
        <v/>
      </c>
      <c r="Q118" s="11" t="str">
        <f aca="false">IF(AND(K118&lt;&gt;"",F118&lt;&gt;"",K118&gt;F118),"ДА","")</f>
        <v/>
      </c>
      <c r="R118" s="8" t="s">
        <v>535</v>
      </c>
    </row>
    <row r="119" customFormat="false" ht="23.85" hidden="false" customHeight="false" outlineLevel="0" collapsed="false">
      <c r="A119" s="14" t="n">
        <v>118</v>
      </c>
      <c r="B119" s="11" t="s">
        <v>50</v>
      </c>
      <c r="C119" s="14" t="s">
        <v>540</v>
      </c>
      <c r="D119" s="14" t="s">
        <v>541</v>
      </c>
      <c r="E119" s="14" t="s">
        <v>191</v>
      </c>
      <c r="F119" s="15" t="n">
        <v>45714</v>
      </c>
      <c r="G119" s="4" t="str">
        <f aca="false">IF(TRIM(SUBSTITUTE(SUBSTITUTE(SUBSTITUTE(SUBSTITUTE(SUBSTITUTE(SUBSTITUTE(SUBSTITUTE(SUBSTITUTE(SUBSTITUTE(SUBSTITUTE(SUBSTITUTE(LOWER(TRIM(D119)),"ё","е")," -","-"),"- ","-")," 2 разряда","")," 3 разряда","")," 4 разряда","")," 5 разряда","")," 6 разряда","")," 1 категории","")," 2 категории","")," 3 категории",""))="инженер",IF(AND(ISNUMBER(SEARCH("техническ",E119)),ISNUMBER(SEARCH("контрол",E119))),"инженер отк",IF(ISNUMBER(SEARCH("диспетч",E119)),"инженер пдо",TRIM(SUBSTITUTE(SUBSTITUTE(SUBSTITUTE(SUBSTITUTE(SUBSTITUTE(SUBSTITUTE(SUBSTITUTE(SUBSTITUTE(SUBSTITUTE(SUBSTITUTE(SUBSTITUTE(LOWER(TRIM(D119)),"ё","е"),"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категории","")))),IF(TRIM(SUBSTITUTE(SUBSTITUTE(SUBSTITUTE(SUBSTITUTE(SUBSTITUTE(SUBSTITUTE(SUBSTITUTE(SUBSTITUTE(SUBSTITUTE(SUBSTITUTE(SUBSTITUTE(LOWER(TRIM(D119)),"ё","е")," -","-"),"- ","-")," 2 разряда","")," 3 разряда","")," 4 разряда","")," 5 разряда","")," 6 разряда","")," 1 категории","")," 2 категории","")," 3 категории",""))="ведущий инженер",IF(ISNUMBER(SEARCH("диспетч",E119)),"ведущий инженер пдо",TRIM(SUBSTITUTE(SUBSTITUTE(SUBSTITUTE(SUBSTITUTE(SUBSTITUTE(SUBSTITUTE(SUBSTITUTE(SUBSTITUTE(SUBSTITUTE(SUBSTITUTE(SUBSTITUTE(LOWER(TRIM(D119)),"ё","е"),"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категории",""))),IF(TRIM(SUBSTITUTE(SUBSTITUTE(SUBSTITUTE(SUBSTITUTE(SUBSTITUTE(SUBSTITUTE(SUBSTITUTE(SUBSTITUTE(SUBSTITUTE(SUBSTITUTE(SUBSTITUTE(LOWER(TRIM(D119)),"ё","е"),"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отк",TRIM(SUBSTITUTE(SUBSTITUTE(SUBSTITUTE(SUBSTITUTE(SUBSTITUTE(SUBSTITUTE(SUBSTITUTE(SUBSTITUTE(SUBSTITUTE(SUBSTITUTE(SUBSTITUTE(LOWER(TRIM(D119)),"ё","е")," -","-"),"- ","-")," 2 разряда","")," 3 разряда","")," 4 разряда","")," 5 разряда","")," 6 разряда","")," 1 категории","")," 2 категории","")," 3 категории","")))))</f>
        <v>слесарь механосборочных работ</v>
      </c>
      <c r="H119" s="11" t="n">
        <f aca="false">IFERROR(INDEX(Соответствие!$B$2:$B$76,MATCH(G119,Соответствие!$A$2:$A$76,0)),"?")</f>
        <v>32</v>
      </c>
      <c r="I119" s="8" t="str">
        <f aca="false">IFERROR(INDEX('Перечень должностей'!$C$2:$C$46,MATCH(H119,'Перечень должностей'!$A$2:$A$46,0)),"")</f>
        <v>п.4.3.1, п.4.3.2, п.4.4, п.5.1, п.15</v>
      </c>
      <c r="J119" s="11" t="n">
        <f aca="false">IFERROR(INDEX('Перечень должностей'!$D$2:$D$46,MATCH(H119,'Перечень должностей'!$A$2:$A$46,0)),12)</f>
        <v>12</v>
      </c>
      <c r="K119" s="16"/>
      <c r="L119" s="16"/>
      <c r="M119" s="15" t="str">
        <f aca="false">IF(K119="","",EDATE(IF(L119&lt;&gt;"",L119,K119),J119))</f>
        <v/>
      </c>
      <c r="N119" s="11" t="str">
        <f aca="false">IFERROR(INDEX('Перечень должностей'!$F$2:$F$46,MATCH(H119,'Перечень должностей'!$A$2:$A$46,0)),"")</f>
        <v>-</v>
      </c>
      <c r="O119" s="16"/>
      <c r="P119" s="15" t="str">
        <f aca="false">IF(O119="","",EDATE(O119,60))</f>
        <v/>
      </c>
      <c r="Q119" s="11" t="str">
        <f aca="false">IF(AND(K119&lt;&gt;"",F119&lt;&gt;"",K119&gt;F119),"ДА","")</f>
        <v/>
      </c>
      <c r="R119" s="8" t="s">
        <v>535</v>
      </c>
    </row>
    <row r="120" customFormat="false" ht="23.85" hidden="false" customHeight="false" outlineLevel="0" collapsed="false">
      <c r="A120" s="14" t="n">
        <v>119</v>
      </c>
      <c r="B120" s="11" t="s">
        <v>50</v>
      </c>
      <c r="C120" s="14" t="s">
        <v>542</v>
      </c>
      <c r="D120" s="14" t="s">
        <v>541</v>
      </c>
      <c r="E120" s="14" t="s">
        <v>191</v>
      </c>
      <c r="F120" s="15" t="n">
        <v>45587</v>
      </c>
      <c r="G120" s="4" t="str">
        <f aca="false">IF(TRIM(SUBSTITUTE(SUBSTITUTE(SUBSTITUTE(SUBSTITUTE(SUBSTITUTE(SUBSTITUTE(SUBSTITUTE(SUBSTITUTE(SUBSTITUTE(SUBSTITUTE(SUBSTITUTE(LOWER(TRIM(D120)),"ё","е")," -","-"),"- ","-")," 2 разряда","")," 3 разряда","")," 4 разряда","")," 5 разряда","")," 6 разряда","")," 1 категории","")," 2 категории","")," 3 категории",""))="инженер",IF(AND(ISNUMBER(SEARCH("техническ",E120)),ISNUMBER(SEARCH("контрол",E120))),"инженер отк",IF(ISNUMBER(SEARCH("диспетч",E120)),"инженер пдо",TRIM(SUBSTITUTE(SUBSTITUTE(SUBSTITUTE(SUBSTITUTE(SUBSTITUTE(SUBSTITUTE(SUBSTITUTE(SUBSTITUTE(SUBSTITUTE(SUBSTITUTE(SUBSTITUTE(LOWER(TRIM(D120)),"ё","е"),"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категории","")))),IF(TRIM(SUBSTITUTE(SUBSTITUTE(SUBSTITUTE(SUBSTITUTE(SUBSTITUTE(SUBSTITUTE(SUBSTITUTE(SUBSTITUTE(SUBSTITUTE(SUBSTITUTE(SUBSTITUTE(LOWER(TRIM(D120)),"ё","е")," -","-"),"- ","-")," 2 разряда","")," 3 разряда","")," 4 разряда","")," 5 разряда","")," 6 разряда","")," 1 категории","")," 2 категории","")," 3 категории",""))="ведущий инженер",IF(ISNUMBER(SEARCH("диспетч",E120)),"ведущий инженер пдо",TRIM(SUBSTITUTE(SUBSTITUTE(SUBSTITUTE(SUBSTITUTE(SUBSTITUTE(SUBSTITUTE(SUBSTITUTE(SUBSTITUTE(SUBSTITUTE(SUBSTITUTE(SUBSTITUTE(LOWER(TRIM(D120)),"ё","е"),"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отк",TRIM(SUBSTITUTE(SUBSTITUTE(SUBSTITUTE(SUBSTITUTE(SUBSTITUTE(SUBSTITUTE(SUBSTITUTE(SUBSTITUTE(SUBSTITUTE(SUBSTITUTE(SUBSTITUTE(LOWER(TRIM(D120)),"ё","е")," -","-"),"- ","-")," 2 разряда","")," 3 разряда","")," 4 разряда","")," 5 разряда","")," 6 разряда","")," 1 категории","")," 2 категории","")," 3 категории","")))))</f>
        <v>слесарь механосборочных работ</v>
      </c>
      <c r="H120" s="11" t="n">
        <f aca="false">IFERROR(INDEX(Соответствие!$B$2:$B$76,MATCH(G120,Соответствие!$A$2:$A$76,0)),"?")</f>
        <v>32</v>
      </c>
      <c r="I120" s="8" t="str">
        <f aca="false">IFERROR(INDEX('Перечень должностей'!$C$2:$C$46,MATCH(H120,'Перечень должностей'!$A$2:$A$46,0)),"")</f>
        <v>п.4.3.1, п.4.3.2, п.4.4, п.5.1, п.15</v>
      </c>
      <c r="J120" s="11" t="n">
        <f aca="false">IFERROR(INDEX('Перечень должностей'!$D$2:$D$46,MATCH(H120,'Перечень должностей'!$A$2:$A$46,0)),12)</f>
        <v>12</v>
      </c>
      <c r="K120" s="16"/>
      <c r="L120" s="16"/>
      <c r="M120" s="15" t="str">
        <f aca="false">IF(K120="","",EDATE(IF(L120&lt;&gt;"",L120,K120),J120))</f>
        <v/>
      </c>
      <c r="N120" s="11" t="str">
        <f aca="false">IFERROR(INDEX('Перечень должностей'!$F$2:$F$46,MATCH(H120,'Перечень должностей'!$A$2:$A$46,0)),"")</f>
        <v>-</v>
      </c>
      <c r="O120" s="16"/>
      <c r="P120" s="15" t="str">
        <f aca="false">IF(O120="","",EDATE(O120,60))</f>
        <v/>
      </c>
      <c r="Q120" s="11" t="str">
        <f aca="false">IF(AND(K120&lt;&gt;"",F120&lt;&gt;"",K120&gt;F120),"ДА","")</f>
        <v/>
      </c>
      <c r="R120" s="8" t="s">
        <v>535</v>
      </c>
    </row>
    <row r="121" customFormat="false" ht="23.85" hidden="false" customHeight="false" outlineLevel="0" collapsed="false">
      <c r="A121" s="14" t="n">
        <v>120</v>
      </c>
      <c r="B121" s="11" t="s">
        <v>50</v>
      </c>
      <c r="C121" s="14" t="s">
        <v>543</v>
      </c>
      <c r="D121" s="14" t="s">
        <v>541</v>
      </c>
      <c r="E121" s="14" t="s">
        <v>191</v>
      </c>
      <c r="F121" s="15" t="n">
        <v>37438</v>
      </c>
      <c r="G121" s="4" t="str">
        <f aca="false">IF(TRIM(SUBSTITUTE(SUBSTITUTE(SUBSTITUTE(SUBSTITUTE(SUBSTITUTE(SUBSTITUTE(SUBSTITUTE(SUBSTITUTE(SUBSTITUTE(SUBSTITUTE(SUBSTITUTE(LOWER(TRIM(D121)),"ё","е")," -","-"),"- ","-")," 2 разряда","")," 3 разряда","")," 4 разряда","")," 5 разряда","")," 6 разряда","")," 1 категории","")," 2 категории","")," 3 категории",""))="инженер",IF(AND(ISNUMBER(SEARCH("техническ",E121)),ISNUMBER(SEARCH("контрол",E121))),"инженер отк",IF(ISNUMBER(SEARCH("диспетч",E121)),"инженер пдо",TRIM(SUBSTITUTE(SUBSTITUTE(SUBSTITUTE(SUBSTITUTE(SUBSTITUTE(SUBSTITUTE(SUBSTITUTE(SUBSTITUTE(SUBSTITUTE(SUBSTITUTE(SUBSTITUTE(LOWER(TRIM(D121)),"ё","е"),"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категории","")))),IF(TRIM(SUBSTITUTE(SUBSTITUTE(SUBSTITUTE(SUBSTITUTE(SUBSTITUTE(SUBSTITUTE(SUBSTITUTE(SUBSTITUTE(SUBSTITUTE(SUBSTITUTE(SUBSTITUTE(LOWER(TRIM(D121)),"ё","е")," -","-"),"- ","-")," 2 разряда","")," 3 разряда","")," 4 разряда","")," 5 разряда","")," 6 разряда","")," 1 категории","")," 2 категории","")," 3 категории",""))="ведущий инженер",IF(ISNUMBER(SEARCH("диспетч",E121)),"ведущий инженер пдо",TRIM(SUBSTITUTE(SUBSTITUTE(SUBSTITUTE(SUBSTITUTE(SUBSTITUTE(SUBSTITUTE(SUBSTITUTE(SUBSTITUTE(SUBSTITUTE(SUBSTITUTE(SUBSTITUTE(LOWER(TRIM(D121)),"ё","е"),"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отк",TRIM(SUBSTITUTE(SUBSTITUTE(SUBSTITUTE(SUBSTITUTE(SUBSTITUTE(SUBSTITUTE(SUBSTITUTE(SUBSTITUTE(SUBSTITUTE(SUBSTITUTE(SUBSTITUTE(LOWER(TRIM(D121)),"ё","е")," -","-"),"- ","-")," 2 разряда","")," 3 разряда","")," 4 разряда","")," 5 разряда","")," 6 разряда","")," 1 категории","")," 2 категории","")," 3 категории","")))))</f>
        <v>слесарь механосборочных работ</v>
      </c>
      <c r="H121" s="11" t="n">
        <f aca="false">IFERROR(INDEX(Соответствие!$B$2:$B$76,MATCH(G121,Соответствие!$A$2:$A$76,0)),"?")</f>
        <v>32</v>
      </c>
      <c r="I121" s="8" t="str">
        <f aca="false">IFERROR(INDEX('Перечень должностей'!$C$2:$C$46,MATCH(H121,'Перечень должностей'!$A$2:$A$46,0)),"")</f>
        <v>п.4.3.1, п.4.3.2, п.4.4, п.5.1, п.15</v>
      </c>
      <c r="J121" s="11" t="n">
        <f aca="false">IFERROR(INDEX('Перечень должностей'!$D$2:$D$46,MATCH(H121,'Перечень должностей'!$A$2:$A$46,0)),12)</f>
        <v>12</v>
      </c>
      <c r="K121" s="16"/>
      <c r="L121" s="16"/>
      <c r="M121" s="15" t="str">
        <f aca="false">IF(K121="","",EDATE(IF(L121&lt;&gt;"",L121,K121),J121))</f>
        <v/>
      </c>
      <c r="N121" s="11" t="str">
        <f aca="false">IFERROR(INDEX('Перечень должностей'!$F$2:$F$46,MATCH(H121,'Перечень должностей'!$A$2:$A$46,0)),"")</f>
        <v>-</v>
      </c>
      <c r="O121" s="16"/>
      <c r="P121" s="15" t="str">
        <f aca="false">IF(O121="","",EDATE(O121,60))</f>
        <v/>
      </c>
      <c r="Q121" s="11" t="str">
        <f aca="false">IF(AND(K121&lt;&gt;"",F121&lt;&gt;"",K121&gt;F121),"ДА","")</f>
        <v/>
      </c>
      <c r="R121" s="8" t="s">
        <v>535</v>
      </c>
    </row>
    <row r="122" customFormat="false" ht="23.85" hidden="false" customHeight="false" outlineLevel="0" collapsed="false">
      <c r="A122" s="14" t="n">
        <v>121</v>
      </c>
      <c r="B122" s="11" t="s">
        <v>50</v>
      </c>
      <c r="C122" s="14" t="s">
        <v>544</v>
      </c>
      <c r="D122" s="14" t="s">
        <v>315</v>
      </c>
      <c r="E122" s="14" t="s">
        <v>518</v>
      </c>
      <c r="F122" s="15" t="n">
        <v>45362</v>
      </c>
      <c r="G122" s="4" t="str">
        <f aca="false">IF(TRIM(SUBSTITUTE(SUBSTITUTE(SUBSTITUTE(SUBSTITUTE(SUBSTITUTE(SUBSTITUTE(SUBSTITUTE(SUBSTITUTE(SUBSTITUTE(SUBSTITUTE(SUBSTITUTE(LOWER(TRIM(D122)),"ё","е")," -","-"),"- ","-")," 2 разряда","")," 3 разряда","")," 4 разряда","")," 5 разряда","")," 6 разряда","")," 1 категории","")," 2 категории","")," 3 категории",""))="инженер",IF(AND(ISNUMBER(SEARCH("техническ",E122)),ISNUMBER(SEARCH("контрол",E122))),"инженер отк",IF(ISNUMBER(SEARCH("диспетч",E122)),"инженер пдо",TRIM(SUBSTITUTE(SUBSTITUTE(SUBSTITUTE(SUBSTITUTE(SUBSTITUTE(SUBSTITUTE(SUBSTITUTE(SUBSTITUTE(SUBSTITUTE(SUBSTITUTE(SUBSTITUTE(LOWER(TRIM(D122)),"ё","е"),"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категории","")))),IF(TRIM(SUBSTITUTE(SUBSTITUTE(SUBSTITUTE(SUBSTITUTE(SUBSTITUTE(SUBSTITUTE(SUBSTITUTE(SUBSTITUTE(SUBSTITUTE(SUBSTITUTE(SUBSTITUTE(LOWER(TRIM(D122)),"ё","е")," -","-"),"- ","-")," 2 разряда","")," 3 разряда","")," 4 разряда","")," 5 разряда","")," 6 разряда","")," 1 категории","")," 2 категории","")," 3 категории",""))="ведущий инженер",IF(ISNUMBER(SEARCH("диспетч",E122)),"ведущий инженер пдо",TRIM(SUBSTITUTE(SUBSTITUTE(SUBSTITUTE(SUBSTITUTE(SUBSTITUTE(SUBSTITUTE(SUBSTITUTE(SUBSTITUTE(SUBSTITUTE(SUBSTITUTE(SUBSTITUTE(LOWER(TRIM(D122)),"ё","е"),"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отк",TRIM(SUBSTITUTE(SUBSTITUTE(SUBSTITUTE(SUBSTITUTE(SUBSTITUTE(SUBSTITUTE(SUBSTITUTE(SUBSTITUTE(SUBSTITUTE(SUBSTITUTE(SUBSTITUTE(LOWER(TRIM(D122)),"ё","е")," -","-"),"- ","-")," 2 разряда","")," 3 разряда","")," 4 разряда","")," 5 разряда","")," 6 разряда","")," 1 категории","")," 2 категории","")," 3 категории","")))))</f>
        <v>оператор-наладчик станков с чпу</v>
      </c>
      <c r="H122" s="11" t="n">
        <f aca="false">IFERROR(INDEX(Соответствие!$B$2:$B$76,MATCH(G122,Соответствие!$A$2:$A$76,0)),"?")</f>
        <v>25</v>
      </c>
      <c r="I122" s="8" t="str">
        <f aca="false">IFERROR(INDEX('Перечень должностей'!$C$2:$C$46,MATCH(H122,'Перечень должностей'!$A$2:$A$46,0)),"")</f>
        <v>п.4.3.1, п.4.3.2, п.4.4, п.5.1, п.5.2, п.15</v>
      </c>
      <c r="J122" s="11" t="n">
        <f aca="false">IFERROR(INDEX('Перечень должностей'!$D$2:$D$46,MATCH(H122,'Перечень должностей'!$A$2:$A$46,0)),12)</f>
        <v>12</v>
      </c>
      <c r="K122" s="16"/>
      <c r="L122" s="16"/>
      <c r="M122" s="15" t="str">
        <f aca="false">IF(K122="","",EDATE(IF(L122&lt;&gt;"",L122,K122),J122))</f>
        <v/>
      </c>
      <c r="N122" s="11" t="str">
        <f aca="false">IFERROR(INDEX('Перечень должностей'!$F$2:$F$46,MATCH(H122,'Перечень должностей'!$A$2:$A$46,0)),"")</f>
        <v>-</v>
      </c>
      <c r="O122" s="16"/>
      <c r="P122" s="15" t="str">
        <f aca="false">IF(O122="","",EDATE(O122,60))</f>
        <v/>
      </c>
      <c r="Q122" s="11" t="str">
        <f aca="false">IF(AND(K122&lt;&gt;"",F122&lt;&gt;"",K122&gt;F122),"ДА","")</f>
        <v/>
      </c>
      <c r="R122" s="8"/>
    </row>
    <row r="123" customFormat="false" ht="23.85" hidden="false" customHeight="false" outlineLevel="0" collapsed="false">
      <c r="A123" s="14" t="n">
        <v>122</v>
      </c>
      <c r="B123" s="11" t="s">
        <v>50</v>
      </c>
      <c r="C123" s="14" t="s">
        <v>545</v>
      </c>
      <c r="D123" s="14" t="s">
        <v>315</v>
      </c>
      <c r="E123" s="14" t="s">
        <v>518</v>
      </c>
      <c r="F123" s="15" t="n">
        <v>45917</v>
      </c>
      <c r="G123" s="4" t="str">
        <f aca="false">IF(TRIM(SUBSTITUTE(SUBSTITUTE(SUBSTITUTE(SUBSTITUTE(SUBSTITUTE(SUBSTITUTE(SUBSTITUTE(SUBSTITUTE(SUBSTITUTE(SUBSTITUTE(SUBSTITUTE(LOWER(TRIM(D123)),"ё","е")," -","-"),"- ","-")," 2 разряда","")," 3 разряда","")," 4 разряда","")," 5 разряда","")," 6 разряда","")," 1 категории","")," 2 категории","")," 3 категории",""))="инженер",IF(AND(ISNUMBER(SEARCH("техническ",E123)),ISNUMBER(SEARCH("контрол",E123))),"инженер отк",IF(ISNUMBER(SEARCH("диспетч",E123)),"инженер пдо",TRIM(SUBSTITUTE(SUBSTITUTE(SUBSTITUTE(SUBSTITUTE(SUBSTITUTE(SUBSTITUTE(SUBSTITUTE(SUBSTITUTE(SUBSTITUTE(SUBSTITUTE(SUBSTITUTE(LOWER(TRIM(D123)),"ё","е"),"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категории","")))),IF(TRIM(SUBSTITUTE(SUBSTITUTE(SUBSTITUTE(SUBSTITUTE(SUBSTITUTE(SUBSTITUTE(SUBSTITUTE(SUBSTITUTE(SUBSTITUTE(SUBSTITUTE(SUBSTITUTE(LOWER(TRIM(D123)),"ё","е")," -","-"),"- ","-")," 2 разряда","")," 3 разряда","")," 4 разряда","")," 5 разряда","")," 6 разряда","")," 1 категории","")," 2 категории","")," 3 категории",""))="ведущий инженер",IF(ISNUMBER(SEARCH("диспетч",E123)),"ведущий инженер пдо",TRIM(SUBSTITUTE(SUBSTITUTE(SUBSTITUTE(SUBSTITUTE(SUBSTITUTE(SUBSTITUTE(SUBSTITUTE(SUBSTITUTE(SUBSTITUTE(SUBSTITUTE(SUBSTITUTE(LOWER(TRIM(D123)),"ё","е"),"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отк",TRIM(SUBSTITUTE(SUBSTITUTE(SUBSTITUTE(SUBSTITUTE(SUBSTITUTE(SUBSTITUTE(SUBSTITUTE(SUBSTITUTE(SUBSTITUTE(SUBSTITUTE(SUBSTITUTE(LOWER(TRIM(D123)),"ё","е")," -","-"),"- ","-")," 2 разряда","")," 3 разряда","")," 4 разряда","")," 5 разряда","")," 6 разряда","")," 1 категории","")," 2 категории","")," 3 категории","")))))</f>
        <v>оператор-наладчик станков с чпу</v>
      </c>
      <c r="H123" s="11" t="n">
        <f aca="false">IFERROR(INDEX(Соответствие!$B$2:$B$76,MATCH(G123,Соответствие!$A$2:$A$76,0)),"?")</f>
        <v>25</v>
      </c>
      <c r="I123" s="8" t="str">
        <f aca="false">IFERROR(INDEX('Перечень должностей'!$C$2:$C$46,MATCH(H123,'Перечень должностей'!$A$2:$A$46,0)),"")</f>
        <v>п.4.3.1, п.4.3.2, п.4.4, п.5.1, п.5.2, п.15</v>
      </c>
      <c r="J123" s="11" t="n">
        <f aca="false">IFERROR(INDEX('Перечень должностей'!$D$2:$D$46,MATCH(H123,'Перечень должностей'!$A$2:$A$46,0)),12)</f>
        <v>12</v>
      </c>
      <c r="K123" s="16"/>
      <c r="L123" s="16"/>
      <c r="M123" s="15" t="str">
        <f aca="false">IF(K123="","",EDATE(IF(L123&lt;&gt;"",L123,K123),J123))</f>
        <v/>
      </c>
      <c r="N123" s="11" t="str">
        <f aca="false">IFERROR(INDEX('Перечень должностей'!$F$2:$F$46,MATCH(H123,'Перечень должностей'!$A$2:$A$46,0)),"")</f>
        <v>-</v>
      </c>
      <c r="O123" s="16"/>
      <c r="P123" s="15" t="str">
        <f aca="false">IF(O123="","",EDATE(O123,60))</f>
        <v/>
      </c>
      <c r="Q123" s="11" t="str">
        <f aca="false">IF(AND(K123&lt;&gt;"",F123&lt;&gt;"",K123&gt;F123),"ДА","")</f>
        <v/>
      </c>
      <c r="R123" s="8"/>
    </row>
    <row r="124" customFormat="false" ht="26.25" hidden="false" customHeight="true" outlineLevel="0" collapsed="false">
      <c r="A124" s="14" t="n">
        <v>123</v>
      </c>
      <c r="B124" s="11" t="s">
        <v>50</v>
      </c>
      <c r="C124" s="14" t="s">
        <v>546</v>
      </c>
      <c r="D124" s="14" t="s">
        <v>315</v>
      </c>
      <c r="E124" s="14" t="s">
        <v>518</v>
      </c>
      <c r="F124" s="15" t="n">
        <v>45922</v>
      </c>
      <c r="G124" s="4" t="str">
        <f aca="false">IF(TRIM(SUBSTITUTE(SUBSTITUTE(SUBSTITUTE(SUBSTITUTE(SUBSTITUTE(SUBSTITUTE(SUBSTITUTE(SUBSTITUTE(SUBSTITUTE(SUBSTITUTE(SUBSTITUTE(LOWER(TRIM(D124)),"ё","е")," -","-"),"- ","-")," 2 разряда","")," 3 разряда","")," 4 разряда","")," 5 разряда","")," 6 разряда","")," 1 категории","")," 2 категории","")," 3 категории",""))="инженер",IF(AND(ISNUMBER(SEARCH("техническ",E124)),ISNUMBER(SEARCH("контрол",E124))),"инженер отк",IF(ISNUMBER(SEARCH("диспетч",E124)),"инженер пдо",TRIM(SUBSTITUTE(SUBSTITUTE(SUBSTITUTE(SUBSTITUTE(SUBSTITUTE(SUBSTITUTE(SUBSTITUTE(SUBSTITUTE(SUBSTITUTE(SUBSTITUTE(SUBSTITUTE(LOWER(TRIM(D124)),"ё","е"),"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категории","")))),IF(TRIM(SUBSTITUTE(SUBSTITUTE(SUBSTITUTE(SUBSTITUTE(SUBSTITUTE(SUBSTITUTE(SUBSTITUTE(SUBSTITUTE(SUBSTITUTE(SUBSTITUTE(SUBSTITUTE(LOWER(TRIM(D124)),"ё","е")," -","-"),"- ","-")," 2 разряда","")," 3 разряда","")," 4 разряда","")," 5 разряда","")," 6 разряда","")," 1 категории","")," 2 категории","")," 3 категории",""))="ведущий инженер",IF(ISNUMBER(SEARCH("диспетч",E124)),"ведущий инженер пдо",TRIM(SUBSTITUTE(SUBSTITUTE(SUBSTITUTE(SUBSTITUTE(SUBSTITUTE(SUBSTITUTE(SUBSTITUTE(SUBSTITUTE(SUBSTITUTE(SUBSTITUTE(SUBSTITUTE(LOWER(TRIM(D124)),"ё","е"),"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отк",TRIM(SUBSTITUTE(SUBSTITUTE(SUBSTITUTE(SUBSTITUTE(SUBSTITUTE(SUBSTITUTE(SUBSTITUTE(SUBSTITUTE(SUBSTITUTE(SUBSTITUTE(SUBSTITUTE(LOWER(TRIM(D124)),"ё","е")," -","-"),"- ","-")," 2 разряда","")," 3 разряда","")," 4 разряда","")," 5 разряда","")," 6 разряда","")," 1 категории","")," 2 категории","")," 3 категории","")))))</f>
        <v>оператор-наладчик станков с чпу</v>
      </c>
      <c r="H124" s="11" t="n">
        <f aca="false">IFERROR(INDEX(Соответствие!$B$2:$B$76,MATCH(G124,Соответствие!$A$2:$A$76,0)),"?")</f>
        <v>25</v>
      </c>
      <c r="I124" s="8" t="str">
        <f aca="false">IFERROR(INDEX('Перечень должностей'!$C$2:$C$46,MATCH(H124,'Перечень должностей'!$A$2:$A$46,0)),"")</f>
        <v>п.4.3.1, п.4.3.2, п.4.4, п.5.1, п.5.2, п.15</v>
      </c>
      <c r="J124" s="11" t="n">
        <f aca="false">IFERROR(INDEX('Перечень должностей'!$D$2:$D$46,MATCH(H124,'Перечень должностей'!$A$2:$A$46,0)),12)</f>
        <v>12</v>
      </c>
      <c r="K124" s="16"/>
      <c r="L124" s="16"/>
      <c r="M124" s="15" t="str">
        <f aca="false">IF(K124="","",EDATE(IF(L124&lt;&gt;"",L124,K124),J124))</f>
        <v/>
      </c>
      <c r="N124" s="11" t="str">
        <f aca="false">IFERROR(INDEX('Перечень должностей'!$F$2:$F$46,MATCH(H124,'Перечень должностей'!$A$2:$A$46,0)),"")</f>
        <v>-</v>
      </c>
      <c r="O124" s="16"/>
      <c r="P124" s="15" t="str">
        <f aca="false">IF(O124="","",EDATE(O124,60))</f>
        <v/>
      </c>
      <c r="Q124" s="11" t="str">
        <f aca="false">IF(AND(K124&lt;&gt;"",F124&lt;&gt;"",K124&gt;F124),"ДА","")</f>
        <v/>
      </c>
      <c r="R124" s="8"/>
    </row>
    <row r="125" customFormat="false" ht="26.25" hidden="false" customHeight="true" outlineLevel="0" collapsed="false">
      <c r="A125" s="14" t="n">
        <v>124</v>
      </c>
      <c r="B125" s="11" t="s">
        <v>50</v>
      </c>
      <c r="C125" s="14" t="s">
        <v>547</v>
      </c>
      <c r="D125" s="14" t="s">
        <v>315</v>
      </c>
      <c r="E125" s="14" t="s">
        <v>518</v>
      </c>
      <c r="F125" s="15" t="n">
        <v>45454</v>
      </c>
      <c r="G125" s="4" t="str">
        <f aca="false">IF(TRIM(SUBSTITUTE(SUBSTITUTE(SUBSTITUTE(SUBSTITUTE(SUBSTITUTE(SUBSTITUTE(SUBSTITUTE(SUBSTITUTE(SUBSTITUTE(SUBSTITUTE(SUBSTITUTE(LOWER(TRIM(D125)),"ё","е")," -","-"),"- ","-")," 2 разряда","")," 3 разряда","")," 4 разряда","")," 5 разряда","")," 6 разряда","")," 1 категории","")," 2 категории","")," 3 категории",""))="инженер",IF(AND(ISNUMBER(SEARCH("техническ",E125)),ISNUMBER(SEARCH("контрол",E125))),"инженер отк",IF(ISNUMBER(SEARCH("диспетч",E125)),"инженер пдо",TRIM(SUBSTITUTE(SUBSTITUTE(SUBSTITUTE(SUBSTITUTE(SUBSTITUTE(SUBSTITUTE(SUBSTITUTE(SUBSTITUTE(SUBSTITUTE(SUBSTITUTE(SUBSTITUTE(LOWER(TRIM(D125)),"ё","е"),"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категории","")))),IF(TRIM(SUBSTITUTE(SUBSTITUTE(SUBSTITUTE(SUBSTITUTE(SUBSTITUTE(SUBSTITUTE(SUBSTITUTE(SUBSTITUTE(SUBSTITUTE(SUBSTITUTE(SUBSTITUTE(LOWER(TRIM(D125)),"ё","е")," -","-"),"- ","-")," 2 разряда","")," 3 разряда","")," 4 разряда","")," 5 разряда","")," 6 разряда","")," 1 категории","")," 2 категории","")," 3 категории",""))="ведущий инженер",IF(ISNUMBER(SEARCH("диспетч",E125)),"ведущий инженер пдо",TRIM(SUBSTITUTE(SUBSTITUTE(SUBSTITUTE(SUBSTITUTE(SUBSTITUTE(SUBSTITUTE(SUBSTITUTE(SUBSTITUTE(SUBSTITUTE(SUBSTITUTE(SUBSTITUTE(LOWER(TRIM(D125)),"ё","е"),"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отк",TRIM(SUBSTITUTE(SUBSTITUTE(SUBSTITUTE(SUBSTITUTE(SUBSTITUTE(SUBSTITUTE(SUBSTITUTE(SUBSTITUTE(SUBSTITUTE(SUBSTITUTE(SUBSTITUTE(LOWER(TRIM(D125)),"ё","е")," -","-"),"- ","-")," 2 разряда","")," 3 разряда","")," 4 разряда","")," 5 разряда","")," 6 разряда","")," 1 категории","")," 2 категории","")," 3 категории","")))))</f>
        <v>оператор-наладчик станков с чпу</v>
      </c>
      <c r="H125" s="11" t="n">
        <f aca="false">IFERROR(INDEX(Соответствие!$B$2:$B$76,MATCH(G125,Соответствие!$A$2:$A$76,0)),"?")</f>
        <v>25</v>
      </c>
      <c r="I125" s="8" t="str">
        <f aca="false">IFERROR(INDEX('Перечень должностей'!$C$2:$C$46,MATCH(H125,'Перечень должностей'!$A$2:$A$46,0)),"")</f>
        <v>п.4.3.1, п.4.3.2, п.4.4, п.5.1, п.5.2, п.15</v>
      </c>
      <c r="J125" s="11" t="n">
        <f aca="false">IFERROR(INDEX('Перечень должностей'!$D$2:$D$46,MATCH(H125,'Перечень должностей'!$A$2:$A$46,0)),12)</f>
        <v>12</v>
      </c>
      <c r="K125" s="16"/>
      <c r="L125" s="16"/>
      <c r="M125" s="15" t="str">
        <f aca="false">IF(K125="","",EDATE(IF(L125&lt;&gt;"",L125,K125),J125))</f>
        <v/>
      </c>
      <c r="N125" s="11" t="str">
        <f aca="false">IFERROR(INDEX('Перечень должностей'!$F$2:$F$46,MATCH(H125,'Перечень должностей'!$A$2:$A$46,0)),"")</f>
        <v>-</v>
      </c>
      <c r="O125" s="16"/>
      <c r="P125" s="15" t="str">
        <f aca="false">IF(O125="","",EDATE(O125,60))</f>
        <v/>
      </c>
      <c r="Q125" s="11" t="str">
        <f aca="false">IF(AND(K125&lt;&gt;"",F125&lt;&gt;"",K125&gt;F125),"ДА","")</f>
        <v/>
      </c>
      <c r="R125" s="8"/>
    </row>
    <row r="126" customFormat="false" ht="26.25" hidden="false" customHeight="true" outlineLevel="0" collapsed="false">
      <c r="A126" s="14" t="n">
        <v>125</v>
      </c>
      <c r="B126" s="11" t="s">
        <v>50</v>
      </c>
      <c r="C126" s="14" t="s">
        <v>548</v>
      </c>
      <c r="D126" s="14" t="s">
        <v>549</v>
      </c>
      <c r="E126" s="14" t="s">
        <v>191</v>
      </c>
      <c r="F126" s="15" t="n">
        <v>45974</v>
      </c>
      <c r="G126" s="4" t="str">
        <f aca="false">IF(TRIM(SUBSTITUTE(SUBSTITUTE(SUBSTITUTE(SUBSTITUTE(SUBSTITUTE(SUBSTITUTE(SUBSTITUTE(SUBSTITUTE(SUBSTITUTE(SUBSTITUTE(SUBSTITUTE(LOWER(TRIM(D126)),"ё","е")," -","-"),"- ","-")," 2 разряда","")," 3 разряда","")," 4 разряда","")," 5 разряда","")," 6 разряда","")," 1 категории","")," 2 категории","")," 3 категории",""))="инженер",IF(AND(ISNUMBER(SEARCH("техническ",E126)),ISNUMBER(SEARCH("контрол",E126))),"инженер отк",IF(ISNUMBER(SEARCH("диспетч",E126)),"инженер пдо",TRIM(SUBSTITUTE(SUBSTITUTE(SUBSTITUTE(SUBSTITUTE(SUBSTITUTE(SUBSTITUTE(SUBSTITUTE(SUBSTITUTE(SUBSTITUTE(SUBSTITUTE(SUBSTITUTE(LOWER(TRIM(D126)),"ё","е"),"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категории","")))),IF(TRIM(SUBSTITUTE(SUBSTITUTE(SUBSTITUTE(SUBSTITUTE(SUBSTITUTE(SUBSTITUTE(SUBSTITUTE(SUBSTITUTE(SUBSTITUTE(SUBSTITUTE(SUBSTITUTE(LOWER(TRIM(D126)),"ё","е")," -","-"),"- ","-")," 2 разряда","")," 3 разряда","")," 4 разряда","")," 5 разряда","")," 6 разряда","")," 1 категории","")," 2 категории","")," 3 категории",""))="ведущий инженер",IF(ISNUMBER(SEARCH("диспетч",E126)),"ведущий инженер пдо",TRIM(SUBSTITUTE(SUBSTITUTE(SUBSTITUTE(SUBSTITUTE(SUBSTITUTE(SUBSTITUTE(SUBSTITUTE(SUBSTITUTE(SUBSTITUTE(SUBSTITUTE(SUBSTITUTE(LOWER(TRIM(D126)),"ё","е"),"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отк",TRIM(SUBSTITUTE(SUBSTITUTE(SUBSTITUTE(SUBSTITUTE(SUBSTITUTE(SUBSTITUTE(SUBSTITUTE(SUBSTITUTE(SUBSTITUTE(SUBSTITUTE(SUBSTITUTE(LOWER(TRIM(D126)),"ё","е")," -","-"),"- ","-")," 2 разряда","")," 3 разряда","")," 4 разряда","")," 5 разряда","")," 6 разряда","")," 1 категории","")," 2 категории","")," 3 категории","")))))</f>
        <v>слесарь механосборочных работ</v>
      </c>
      <c r="H126" s="11" t="n">
        <f aca="false">IFERROR(INDEX(Соответствие!$B$2:$B$76,MATCH(G126,Соответствие!$A$2:$A$76,0)),"?")</f>
        <v>32</v>
      </c>
      <c r="I126" s="8" t="str">
        <f aca="false">IFERROR(INDEX('Перечень должностей'!$C$2:$C$46,MATCH(H126,'Перечень должностей'!$A$2:$A$46,0)),"")</f>
        <v>п.4.3.1, п.4.3.2, п.4.4, п.5.1, п.15</v>
      </c>
      <c r="J126" s="11" t="n">
        <f aca="false">IFERROR(INDEX('Перечень должностей'!$D$2:$D$46,MATCH(H126,'Перечень должностей'!$A$2:$A$46,0)),12)</f>
        <v>12</v>
      </c>
      <c r="K126" s="16"/>
      <c r="L126" s="16"/>
      <c r="M126" s="15" t="str">
        <f aca="false">IF(K126="","",EDATE(IF(L126&lt;&gt;"",L126,K126),J126))</f>
        <v/>
      </c>
      <c r="N126" s="11" t="str">
        <f aca="false">IFERROR(INDEX('Перечень должностей'!$F$2:$F$46,MATCH(H126,'Перечень должностей'!$A$2:$A$46,0)),"")</f>
        <v>-</v>
      </c>
      <c r="O126" s="16"/>
      <c r="P126" s="15" t="str">
        <f aca="false">IF(O126="","",EDATE(O126,60))</f>
        <v/>
      </c>
      <c r="Q126" s="11" t="str">
        <f aca="false">IF(AND(K126&lt;&gt;"",F126&lt;&gt;"",K126&gt;F126),"ДА","")</f>
        <v/>
      </c>
      <c r="R126" s="8" t="s">
        <v>535</v>
      </c>
    </row>
    <row r="127" customFormat="false" ht="26.25" hidden="false" customHeight="true" outlineLevel="0" collapsed="false">
      <c r="A127" s="14" t="n">
        <v>126</v>
      </c>
      <c r="B127" s="11" t="s">
        <v>50</v>
      </c>
      <c r="C127" s="14" t="s">
        <v>550</v>
      </c>
      <c r="D127" s="14" t="s">
        <v>549</v>
      </c>
      <c r="E127" s="14" t="s">
        <v>191</v>
      </c>
      <c r="F127" s="15" t="n">
        <v>45958</v>
      </c>
      <c r="G127" s="4" t="str">
        <f aca="false">IF(TRIM(SUBSTITUTE(SUBSTITUTE(SUBSTITUTE(SUBSTITUTE(SUBSTITUTE(SUBSTITUTE(SUBSTITUTE(SUBSTITUTE(SUBSTITUTE(SUBSTITUTE(SUBSTITUTE(LOWER(TRIM(D127)),"ё","е")," -","-"),"- ","-")," 2 разряда","")," 3 разряда","")," 4 разряда","")," 5 разряда","")," 6 разряда","")," 1 категории","")," 2 категории","")," 3 категории",""))="инженер",IF(AND(ISNUMBER(SEARCH("техническ",E127)),ISNUMBER(SEARCH("контрол",E127))),"инженер отк",IF(ISNUMBER(SEARCH("диспетч",E127)),"инженер пдо",TRIM(SUBSTITUTE(SUBSTITUTE(SUBSTITUTE(SUBSTITUTE(SUBSTITUTE(SUBSTITUTE(SUBSTITUTE(SUBSTITUTE(SUBSTITUTE(SUBSTITUTE(SUBSTITUTE(LOWER(TRIM(D127)),"ё","е"),"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категории","")))),IF(TRIM(SUBSTITUTE(SUBSTITUTE(SUBSTITUTE(SUBSTITUTE(SUBSTITUTE(SUBSTITUTE(SUBSTITUTE(SUBSTITUTE(SUBSTITUTE(SUBSTITUTE(SUBSTITUTE(LOWER(TRIM(D127)),"ё","е")," -","-"),"- ","-")," 2 разряда","")," 3 разряда","")," 4 разряда","")," 5 разряда","")," 6 разряда","")," 1 категории","")," 2 категории","")," 3 категории",""))="ведущий инженер",IF(ISNUMBER(SEARCH("диспетч",E127)),"ведущий инженер пдо",TRIM(SUBSTITUTE(SUBSTITUTE(SUBSTITUTE(SUBSTITUTE(SUBSTITUTE(SUBSTITUTE(SUBSTITUTE(SUBSTITUTE(SUBSTITUTE(SUBSTITUTE(SUBSTITUTE(LOWER(TRIM(D127)),"ё","е"),"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отк",TRIM(SUBSTITUTE(SUBSTITUTE(SUBSTITUTE(SUBSTITUTE(SUBSTITUTE(SUBSTITUTE(SUBSTITUTE(SUBSTITUTE(SUBSTITUTE(SUBSTITUTE(SUBSTITUTE(LOWER(TRIM(D127)),"ё","е")," -","-"),"- ","-")," 2 разряда","")," 3 разряда","")," 4 разряда","")," 5 разряда","")," 6 разряда","")," 1 категории","")," 2 категории","")," 3 категории","")))))</f>
        <v>слесарь механосборочных работ</v>
      </c>
      <c r="H127" s="11" t="n">
        <f aca="false">IFERROR(INDEX(Соответствие!$B$2:$B$76,MATCH(G127,Соответствие!$A$2:$A$76,0)),"?")</f>
        <v>32</v>
      </c>
      <c r="I127" s="8" t="str">
        <f aca="false">IFERROR(INDEX('Перечень должностей'!$C$2:$C$46,MATCH(H127,'Перечень должностей'!$A$2:$A$46,0)),"")</f>
        <v>п.4.3.1, п.4.3.2, п.4.4, п.5.1, п.15</v>
      </c>
      <c r="J127" s="11" t="n">
        <f aca="false">IFERROR(INDEX('Перечень должностей'!$D$2:$D$46,MATCH(H127,'Перечень должностей'!$A$2:$A$46,0)),12)</f>
        <v>12</v>
      </c>
      <c r="K127" s="16"/>
      <c r="L127" s="16"/>
      <c r="M127" s="15" t="str">
        <f aca="false">IF(K127="","",EDATE(IF(L127&lt;&gt;"",L127,K127),J127))</f>
        <v/>
      </c>
      <c r="N127" s="11" t="str">
        <f aca="false">IFERROR(INDEX('Перечень должностей'!$F$2:$F$46,MATCH(H127,'Перечень должностей'!$A$2:$A$46,0)),"")</f>
        <v>-</v>
      </c>
      <c r="O127" s="16"/>
      <c r="P127" s="15" t="str">
        <f aca="false">IF(O127="","",EDATE(O127,60))</f>
        <v/>
      </c>
      <c r="Q127" s="11" t="str">
        <f aca="false">IF(AND(K127&lt;&gt;"",F127&lt;&gt;"",K127&gt;F127),"ДА","")</f>
        <v/>
      </c>
      <c r="R127" s="8" t="s">
        <v>535</v>
      </c>
    </row>
    <row r="128" customFormat="false" ht="23.85" hidden="false" customHeight="false" outlineLevel="0" collapsed="false">
      <c r="A128" s="14" t="n">
        <v>127</v>
      </c>
      <c r="B128" s="11" t="s">
        <v>50</v>
      </c>
      <c r="C128" s="14" t="s">
        <v>551</v>
      </c>
      <c r="D128" s="14" t="s">
        <v>549</v>
      </c>
      <c r="E128" s="14" t="s">
        <v>191</v>
      </c>
      <c r="F128" s="15" t="n">
        <v>45833</v>
      </c>
      <c r="G128" s="4" t="str">
        <f aca="false">IF(TRIM(SUBSTITUTE(SUBSTITUTE(SUBSTITUTE(SUBSTITUTE(SUBSTITUTE(SUBSTITUTE(SUBSTITUTE(SUBSTITUTE(SUBSTITUTE(SUBSTITUTE(SUBSTITUTE(LOWER(TRIM(D128)),"ё","е")," -","-"),"- ","-")," 2 разряда","")," 3 разряда","")," 4 разряда","")," 5 разряда","")," 6 разряда","")," 1 категории","")," 2 категории","")," 3 категории",""))="инженер",IF(AND(ISNUMBER(SEARCH("техническ",E128)),ISNUMBER(SEARCH("контрол",E128))),"инженер отк",IF(ISNUMBER(SEARCH("диспетч",E128)),"инженер пдо",TRIM(SUBSTITUTE(SUBSTITUTE(SUBSTITUTE(SUBSTITUTE(SUBSTITUTE(SUBSTITUTE(SUBSTITUTE(SUBSTITUTE(SUBSTITUTE(SUBSTITUTE(SUBSTITUTE(LOWER(TRIM(D128)),"ё","е"),"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категории","")))),IF(TRIM(SUBSTITUTE(SUBSTITUTE(SUBSTITUTE(SUBSTITUTE(SUBSTITUTE(SUBSTITUTE(SUBSTITUTE(SUBSTITUTE(SUBSTITUTE(SUBSTITUTE(SUBSTITUTE(LOWER(TRIM(D128)),"ё","е")," -","-"),"- ","-")," 2 разряда","")," 3 разряда","")," 4 разряда","")," 5 разряда","")," 6 разряда","")," 1 категории","")," 2 категории","")," 3 категории",""))="ведущий инженер",IF(ISNUMBER(SEARCH("диспетч",E128)),"ведущий инженер пдо",TRIM(SUBSTITUTE(SUBSTITUTE(SUBSTITUTE(SUBSTITUTE(SUBSTITUTE(SUBSTITUTE(SUBSTITUTE(SUBSTITUTE(SUBSTITUTE(SUBSTITUTE(SUBSTITUTE(LOWER(TRIM(D128)),"ё","е"),"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отк",TRIM(SUBSTITUTE(SUBSTITUTE(SUBSTITUTE(SUBSTITUTE(SUBSTITUTE(SUBSTITUTE(SUBSTITUTE(SUBSTITUTE(SUBSTITUTE(SUBSTITUTE(SUBSTITUTE(LOWER(TRIM(D128)),"ё","е")," -","-"),"- ","-")," 2 разряда","")," 3 разряда","")," 4 разряда","")," 5 разряда","")," 6 разряда","")," 1 категории","")," 2 категории","")," 3 категории","")))))</f>
        <v>слесарь механосборочных работ</v>
      </c>
      <c r="H128" s="11" t="n">
        <f aca="false">IFERROR(INDEX(Соответствие!$B$2:$B$76,MATCH(G128,Соответствие!$A$2:$A$76,0)),"?")</f>
        <v>32</v>
      </c>
      <c r="I128" s="8" t="str">
        <f aca="false">IFERROR(INDEX('Перечень должностей'!$C$2:$C$46,MATCH(H128,'Перечень должностей'!$A$2:$A$46,0)),"")</f>
        <v>п.4.3.1, п.4.3.2, п.4.4, п.5.1, п.15</v>
      </c>
      <c r="J128" s="11" t="n">
        <f aca="false">IFERROR(INDEX('Перечень должностей'!$D$2:$D$46,MATCH(H128,'Перечень должностей'!$A$2:$A$46,0)),12)</f>
        <v>12</v>
      </c>
      <c r="K128" s="16"/>
      <c r="L128" s="16"/>
      <c r="M128" s="15" t="str">
        <f aca="false">IF(K128="","",EDATE(IF(L128&lt;&gt;"",L128,K128),J128))</f>
        <v/>
      </c>
      <c r="N128" s="11" t="str">
        <f aca="false">IFERROR(INDEX('Перечень должностей'!$F$2:$F$46,MATCH(H128,'Перечень должностей'!$A$2:$A$46,0)),"")</f>
        <v>-</v>
      </c>
      <c r="O128" s="16"/>
      <c r="P128" s="15" t="str">
        <f aca="false">IF(O128="","",EDATE(O128,60))</f>
        <v/>
      </c>
      <c r="Q128" s="11" t="str">
        <f aca="false">IF(AND(K128&lt;&gt;"",F128&lt;&gt;"",K128&gt;F128),"ДА","")</f>
        <v/>
      </c>
      <c r="R128" s="8" t="s">
        <v>535</v>
      </c>
    </row>
    <row r="129" customFormat="false" ht="23.85" hidden="false" customHeight="false" outlineLevel="0" collapsed="false">
      <c r="A129" s="14" t="n">
        <v>128</v>
      </c>
      <c r="B129" s="11" t="s">
        <v>50</v>
      </c>
      <c r="C129" s="14" t="s">
        <v>552</v>
      </c>
      <c r="D129" s="14" t="s">
        <v>549</v>
      </c>
      <c r="E129" s="14" t="s">
        <v>191</v>
      </c>
      <c r="F129" s="15" t="n">
        <v>45714</v>
      </c>
      <c r="G129" s="4" t="str">
        <f aca="false">IF(TRIM(SUBSTITUTE(SUBSTITUTE(SUBSTITUTE(SUBSTITUTE(SUBSTITUTE(SUBSTITUTE(SUBSTITUTE(SUBSTITUTE(SUBSTITUTE(SUBSTITUTE(SUBSTITUTE(LOWER(TRIM(D129)),"ё","е")," -","-"),"- ","-")," 2 разряда","")," 3 разряда","")," 4 разряда","")," 5 разряда","")," 6 разряда","")," 1 категории","")," 2 категории","")," 3 категории",""))="инженер",IF(AND(ISNUMBER(SEARCH("техническ",E129)),ISNUMBER(SEARCH("контрол",E129))),"инженер отк",IF(ISNUMBER(SEARCH("диспетч",E129)),"инженер пдо",TRIM(SUBSTITUTE(SUBSTITUTE(SUBSTITUTE(SUBSTITUTE(SUBSTITUTE(SUBSTITUTE(SUBSTITUTE(SUBSTITUTE(SUBSTITUTE(SUBSTITUTE(SUBSTITUTE(LOWER(TRIM(D129)),"ё","е"),"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категории","")))),IF(TRIM(SUBSTITUTE(SUBSTITUTE(SUBSTITUTE(SUBSTITUTE(SUBSTITUTE(SUBSTITUTE(SUBSTITUTE(SUBSTITUTE(SUBSTITUTE(SUBSTITUTE(SUBSTITUTE(LOWER(TRIM(D129)),"ё","е")," -","-"),"- ","-")," 2 разряда","")," 3 разряда","")," 4 разряда","")," 5 разряда","")," 6 разряда","")," 1 категории","")," 2 категории","")," 3 категории",""))="ведущий инженер",IF(ISNUMBER(SEARCH("диспетч",E129)),"ведущий инженер пдо",TRIM(SUBSTITUTE(SUBSTITUTE(SUBSTITUTE(SUBSTITUTE(SUBSTITUTE(SUBSTITUTE(SUBSTITUTE(SUBSTITUTE(SUBSTITUTE(SUBSTITUTE(SUBSTITUTE(LOWER(TRIM(D129)),"ё","е"),"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категории",""))),IF(TRIM(SUBSTITUTE(SUBSTITUTE(SUBSTITUTE(SUBSTITUTE(SUBSTITUTE(SUBSTITUTE(SUBSTITUTE(SUBSTITUTE(SUBSTITUTE(SUBSTITUTE(SUBSTITUTE(LOWER(TRIM(D129)),"ё","е"),"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отк",TRIM(SUBSTITUTE(SUBSTITUTE(SUBSTITUTE(SUBSTITUTE(SUBSTITUTE(SUBSTITUTE(SUBSTITUTE(SUBSTITUTE(SUBSTITUTE(SUBSTITUTE(SUBSTITUTE(LOWER(TRIM(D129)),"ё","е")," -","-"),"- ","-")," 2 разряда","")," 3 разряда","")," 4 разряда","")," 5 разряда","")," 6 разряда","")," 1 категории","")," 2 категории","")," 3 категории","")))))</f>
        <v>слесарь механосборочных работ</v>
      </c>
      <c r="H129" s="11" t="n">
        <f aca="false">IFERROR(INDEX(Соответствие!$B$2:$B$76,MATCH(G129,Соответствие!$A$2:$A$76,0)),"?")</f>
        <v>32</v>
      </c>
      <c r="I129" s="8" t="str">
        <f aca="false">IFERROR(INDEX('Перечень должностей'!$C$2:$C$46,MATCH(H129,'Перечень должностей'!$A$2:$A$46,0)),"")</f>
        <v>п.4.3.1, п.4.3.2, п.4.4, п.5.1, п.15</v>
      </c>
      <c r="J129" s="11" t="n">
        <f aca="false">IFERROR(INDEX('Перечень должностей'!$D$2:$D$46,MATCH(H129,'Перечень должностей'!$A$2:$A$46,0)),12)</f>
        <v>12</v>
      </c>
      <c r="K129" s="16"/>
      <c r="L129" s="16"/>
      <c r="M129" s="15" t="str">
        <f aca="false">IF(K129="","",EDATE(IF(L129&lt;&gt;"",L129,K129),J129))</f>
        <v/>
      </c>
      <c r="N129" s="11" t="str">
        <f aca="false">IFERROR(INDEX('Перечень должностей'!$F$2:$F$46,MATCH(H129,'Перечень должностей'!$A$2:$A$46,0)),"")</f>
        <v>-</v>
      </c>
      <c r="O129" s="16"/>
      <c r="P129" s="15" t="str">
        <f aca="false">IF(O129="","",EDATE(O129,60))</f>
        <v/>
      </c>
      <c r="Q129" s="11" t="str">
        <f aca="false">IF(AND(K129&lt;&gt;"",F129&lt;&gt;"",K129&gt;F129),"ДА","")</f>
        <v/>
      </c>
      <c r="R129" s="8" t="s">
        <v>535</v>
      </c>
    </row>
    <row r="130" customFormat="false" ht="14.25" hidden="false" customHeight="false" outlineLevel="0" collapsed="false">
      <c r="A130" s="14" t="n">
        <v>129</v>
      </c>
      <c r="B130" s="11" t="s">
        <v>50</v>
      </c>
      <c r="C130" s="14" t="s">
        <v>553</v>
      </c>
      <c r="D130" s="14" t="s">
        <v>60</v>
      </c>
      <c r="E130" s="14" t="s">
        <v>554</v>
      </c>
      <c r="F130" s="15" t="n">
        <v>46132</v>
      </c>
      <c r="G130" s="4" t="str">
        <f aca="false">IF(TRIM(SUBSTITUTE(SUBSTITUTE(SUBSTITUTE(SUBSTITUTE(SUBSTITUTE(SUBSTITUTE(SUBSTITUTE(SUBSTITUTE(SUBSTITUTE(SUBSTITUTE(SUBSTITUTE(LOWER(TRIM(D130)),"ё","е")," -","-"),"- ","-")," 2 разряда","")," 3 разряда","")," 4 разряда","")," 5 разряда","")," 6 разряда","")," 1 категории","")," 2 категории","")," 3 категории",""))="инженер",IF(AND(ISNUMBER(SEARCH("техническ",E130)),ISNUMBER(SEARCH("контрол",E130))),"инженер отк",IF(ISNUMBER(SEARCH("диспетч",E130)),"инженер пдо",TRIM(SUBSTITUTE(SUBSTITUTE(SUBSTITUTE(SUBSTITUTE(SUBSTITUTE(SUBSTITUTE(SUBSTITUTE(SUBSTITUTE(SUBSTITUTE(SUBSTITUTE(SUBSTITUTE(LOWER(TRIM(D130)),"ё","е"),"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категории","")))),IF(TRIM(SUBSTITUTE(SUBSTITUTE(SUBSTITUTE(SUBSTITUTE(SUBSTITUTE(SUBSTITUTE(SUBSTITUTE(SUBSTITUTE(SUBSTITUTE(SUBSTITUTE(SUBSTITUTE(LOWER(TRIM(D130)),"ё","е")," -","-"),"- ","-")," 2 разряда","")," 3 разряда","")," 4 разряда","")," 5 разряда","")," 6 разряда","")," 1 категории","")," 2 категории","")," 3 категории",""))="ведущий инженер",IF(ISNUMBER(SEARCH("диспетч",E130)),"ведущий инженер пдо",TRIM(SUBSTITUTE(SUBSTITUTE(SUBSTITUTE(SUBSTITUTE(SUBSTITUTE(SUBSTITUTE(SUBSTITUTE(SUBSTITUTE(SUBSTITUTE(SUBSTITUTE(SUBSTITUTE(LOWER(TRIM(D130)),"ё","е"),"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отк",TRIM(SUBSTITUTE(SUBSTITUTE(SUBSTITUTE(SUBSTITUTE(SUBSTITUTE(SUBSTITUTE(SUBSTITUTE(SUBSTITUTE(SUBSTITUTE(SUBSTITUTE(SUBSTITUTE(LOWER(TRIM(D130)),"ё","е")," -","-"),"- ","-")," 2 разряда","")," 3 разряда","")," 4 разряда","")," 5 разряда","")," 6 разряда","")," 1 категории","")," 2 категории","")," 3 категории","")))))</f>
        <v>мастер участка</v>
      </c>
      <c r="H130" s="11" t="n">
        <f aca="false">IFERROR(INDEX(Соответствие!$B$2:$B$76,MATCH(G130,Соответствие!$A$2:$A$76,0)),"?")</f>
        <v>18</v>
      </c>
      <c r="I130" s="8" t="str">
        <f aca="false">IFERROR(INDEX('Перечень должностей'!$C$2:$C$46,MATCH(H130,'Перечень должностей'!$A$2:$A$46,0)),"")</f>
        <v>п.4.4, п.5.1, п.5.2</v>
      </c>
      <c r="J130" s="11" t="n">
        <f aca="false">IFERROR(INDEX('Перечень должностей'!$D$2:$D$46,MATCH(H130,'Перечень должностей'!$A$2:$A$46,0)),12)</f>
        <v>12</v>
      </c>
      <c r="K130" s="16" t="n">
        <v>46108</v>
      </c>
      <c r="L130" s="16"/>
      <c r="M130" s="15" t="n">
        <f aca="false">IF(K130="","",EDATE(IF(L130&lt;&gt;"",L130,K130),J130))</f>
        <v>46473</v>
      </c>
      <c r="N130" s="11" t="str">
        <f aca="false">IFERROR(INDEX('Перечень должностей'!$F$2:$F$46,MATCH(H130,'Перечень должностей'!$A$2:$A$46,0)),"")</f>
        <v>-</v>
      </c>
      <c r="O130" s="16"/>
      <c r="P130" s="15" t="str">
        <f aca="false">IF(O130="","",EDATE(O130,60))</f>
        <v/>
      </c>
      <c r="Q130" s="11" t="str">
        <f aca="false">IF(AND(K130&lt;&gt;"",F130&lt;&gt;"",K130&gt;F130),"ДА","")</f>
        <v/>
      </c>
      <c r="R130" s="8"/>
    </row>
    <row r="131" customFormat="false" ht="46.25" hidden="false" customHeight="false" outlineLevel="0" collapsed="false">
      <c r="A131" s="14" t="n">
        <v>130</v>
      </c>
      <c r="B131" s="11" t="s">
        <v>50</v>
      </c>
      <c r="C131" s="14" t="s">
        <v>108</v>
      </c>
      <c r="D131" s="14" t="s">
        <v>407</v>
      </c>
      <c r="E131" s="14" t="s">
        <v>554</v>
      </c>
      <c r="F131" s="15" t="n">
        <v>45846</v>
      </c>
      <c r="G131" s="4" t="str">
        <f aca="false">IF(TRIM(SUBSTITUTE(SUBSTITUTE(SUBSTITUTE(SUBSTITUTE(SUBSTITUTE(SUBSTITUTE(SUBSTITUTE(SUBSTITUTE(SUBSTITUTE(SUBSTITUTE(SUBSTITUTE(LOWER(TRIM(D131)),"ё","е")," -","-"),"- ","-")," 2 разряда","")," 3 разряда","")," 4 разряда","")," 5 разряда","")," 6 разряда","")," 1 категории","")," 2 категории","")," 3 категории",""))="инженер",IF(AND(ISNUMBER(SEARCH("техническ",E131)),ISNUMBER(SEARCH("контрол",E131))),"инженер отк",IF(ISNUMBER(SEARCH("диспетч",E131)),"инженер пдо",TRIM(SUBSTITUTE(SUBSTITUTE(SUBSTITUTE(SUBSTITUTE(SUBSTITUTE(SUBSTITUTE(SUBSTITUTE(SUBSTITUTE(SUBSTITUTE(SUBSTITUTE(SUBSTITUTE(LOWER(TRIM(D131)),"ё","е"),"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категории","")))),IF(TRIM(SUBSTITUTE(SUBSTITUTE(SUBSTITUTE(SUBSTITUTE(SUBSTITUTE(SUBSTITUTE(SUBSTITUTE(SUBSTITUTE(SUBSTITUTE(SUBSTITUTE(SUBSTITUTE(LOWER(TRIM(D131)),"ё","е")," -","-"),"- ","-")," 2 разряда","")," 3 разряда","")," 4 разряда","")," 5 разряда","")," 6 разряда","")," 1 категории","")," 2 категории","")," 3 категории",""))="ведущий инженер",IF(ISNUMBER(SEARCH("диспетч",E131)),"ведущий инженер пдо",TRIM(SUBSTITUTE(SUBSTITUTE(SUBSTITUTE(SUBSTITUTE(SUBSTITUTE(SUBSTITUTE(SUBSTITUTE(SUBSTITUTE(SUBSTITUTE(SUBSTITUTE(SUBSTITUTE(LOWER(TRIM(D131)),"ё","е"),"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отк",TRIM(SUBSTITUTE(SUBSTITUTE(SUBSTITUTE(SUBSTITUTE(SUBSTITUTE(SUBSTITUTE(SUBSTITUTE(SUBSTITUTE(SUBSTITUTE(SUBSTITUTE(SUBSTITUTE(LOWER(TRIM(D131)),"ё","е")," -","-"),"- ","-")," 2 разряда","")," 3 разряда","")," 4 разряда","")," 5 разряда","")," 6 разряда","")," 1 категории","")," 2 категории","")," 3 категории","")))))</f>
        <v>электромонтажник</v>
      </c>
      <c r="H131" s="11" t="n">
        <f aca="false">IFERROR(INDEX(Соответствие!$B$2:$B$76,MATCH(G131,Соответствие!$A$2:$A$76,0)),"?")</f>
        <v>20</v>
      </c>
      <c r="I131" s="8" t="str">
        <f aca="false">IFERROR(INDEX('Перечень должностей'!$C$2:$C$46,MATCH(H131,'Перечень должностей'!$A$2:$A$46,0)),"")</f>
        <v>п.4.3.1, п.4.3.2, п.4.4, п.4.9, п.5.1, п.5.2, п.6.2, п.9</v>
      </c>
      <c r="J131" s="11" t="n">
        <f aca="false">IFERROR(INDEX('Перечень должностей'!$D$2:$D$46,MATCH(H131,'Перечень должностей'!$A$2:$A$46,0)),12)</f>
        <v>12</v>
      </c>
      <c r="K131" s="16" t="n">
        <v>45840</v>
      </c>
      <c r="L131" s="16"/>
      <c r="M131" s="15" t="n">
        <f aca="false">IF(K131="","",EDATE(IF(L131&lt;&gt;"",L131,K131),J131))</f>
        <v>46205</v>
      </c>
      <c r="N131" s="11" t="str">
        <f aca="false">IFERROR(INDEX('Перечень должностей'!$F$2:$F$46,MATCH(H131,'Перечень должностей'!$A$2:$A$46,0)),"")</f>
        <v>Да</v>
      </c>
      <c r="O131" s="16"/>
      <c r="P131" s="15" t="str">
        <f aca="false">IF(O131="","",EDATE(O131,60))</f>
        <v/>
      </c>
      <c r="Q131" s="11" t="str">
        <f aca="false">IF(AND(K131&lt;&gt;"",F131&lt;&gt;"",K131&gt;F131),"ДА","")</f>
        <v/>
      </c>
      <c r="R131" s="17" t="s">
        <v>109</v>
      </c>
    </row>
    <row r="132" customFormat="false" ht="46.25" hidden="false" customHeight="false" outlineLevel="0" collapsed="false">
      <c r="A132" s="14" t="n">
        <v>131</v>
      </c>
      <c r="B132" s="11" t="s">
        <v>50</v>
      </c>
      <c r="C132" s="14" t="s">
        <v>110</v>
      </c>
      <c r="D132" s="14" t="s">
        <v>407</v>
      </c>
      <c r="E132" s="14" t="s">
        <v>554</v>
      </c>
      <c r="F132" s="15" t="n">
        <v>45958</v>
      </c>
      <c r="G132" s="4" t="str">
        <f aca="false">IF(TRIM(SUBSTITUTE(SUBSTITUTE(SUBSTITUTE(SUBSTITUTE(SUBSTITUTE(SUBSTITUTE(SUBSTITUTE(SUBSTITUTE(SUBSTITUTE(SUBSTITUTE(SUBSTITUTE(LOWER(TRIM(D132)),"ё","е")," -","-"),"- ","-")," 2 разряда","")," 3 разряда","")," 4 разряда","")," 5 разряда","")," 6 разряда","")," 1 категории","")," 2 категории","")," 3 категории",""))="инженер",IF(AND(ISNUMBER(SEARCH("техническ",E132)),ISNUMBER(SEARCH("контрол",E132))),"инженер отк",IF(ISNUMBER(SEARCH("диспетч",E132)),"инженер пдо",TRIM(SUBSTITUTE(SUBSTITUTE(SUBSTITUTE(SUBSTITUTE(SUBSTITUTE(SUBSTITUTE(SUBSTITUTE(SUBSTITUTE(SUBSTITUTE(SUBSTITUTE(SUBSTITUTE(LOWER(TRIM(D132)),"ё","е"),"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категории","")))),IF(TRIM(SUBSTITUTE(SUBSTITUTE(SUBSTITUTE(SUBSTITUTE(SUBSTITUTE(SUBSTITUTE(SUBSTITUTE(SUBSTITUTE(SUBSTITUTE(SUBSTITUTE(SUBSTITUTE(LOWER(TRIM(D132)),"ё","е")," -","-"),"- ","-")," 2 разряда","")," 3 разряда","")," 4 разряда","")," 5 разряда","")," 6 разряда","")," 1 категории","")," 2 категории","")," 3 категории",""))="ведущий инженер",IF(ISNUMBER(SEARCH("диспетч",E132)),"ведущий инженер пдо",TRIM(SUBSTITUTE(SUBSTITUTE(SUBSTITUTE(SUBSTITUTE(SUBSTITUTE(SUBSTITUTE(SUBSTITUTE(SUBSTITUTE(SUBSTITUTE(SUBSTITUTE(SUBSTITUTE(LOWER(TRIM(D132)),"ё","е"),"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отк",TRIM(SUBSTITUTE(SUBSTITUTE(SUBSTITUTE(SUBSTITUTE(SUBSTITUTE(SUBSTITUTE(SUBSTITUTE(SUBSTITUTE(SUBSTITUTE(SUBSTITUTE(SUBSTITUTE(LOWER(TRIM(D132)),"ё","е")," -","-"),"- ","-")," 2 разряда","")," 3 разряда","")," 4 разряда","")," 5 разряда","")," 6 разряда","")," 1 категории","")," 2 категории","")," 3 категории","")))))</f>
        <v>электромонтажник</v>
      </c>
      <c r="H132" s="11" t="n">
        <f aca="false">IFERROR(INDEX(Соответствие!$B$2:$B$76,MATCH(G132,Соответствие!$A$2:$A$76,0)),"?")</f>
        <v>20</v>
      </c>
      <c r="I132" s="8" t="str">
        <f aca="false">IFERROR(INDEX('Перечень должностей'!$C$2:$C$46,MATCH(H132,'Перечень должностей'!$A$2:$A$46,0)),"")</f>
        <v>п.4.3.1, п.4.3.2, п.4.4, п.4.9, п.5.1, п.5.2, п.6.2, п.9</v>
      </c>
      <c r="J132" s="11" t="n">
        <f aca="false">IFERROR(INDEX('Перечень должностей'!$D$2:$D$46,MATCH(H132,'Перечень должностей'!$A$2:$A$46,0)),12)</f>
        <v>12</v>
      </c>
      <c r="K132" s="16"/>
      <c r="L132" s="16"/>
      <c r="M132" s="15" t="str">
        <f aca="false">IF(K132="","",EDATE(IF(L132&lt;&gt;"",L132,K132),J132))</f>
        <v/>
      </c>
      <c r="N132" s="11" t="str">
        <f aca="false">IFERROR(INDEX('Перечень должностей'!$F$2:$F$46,MATCH(H132,'Перечень должностей'!$A$2:$A$46,0)),"")</f>
        <v>Да</v>
      </c>
      <c r="O132" s="16"/>
      <c r="P132" s="15" t="str">
        <f aca="false">IF(O132="","",EDATE(O132,60))</f>
        <v/>
      </c>
      <c r="Q132" s="11" t="str">
        <f aca="false">IF(AND(K132&lt;&gt;"",F132&lt;&gt;"",K132&gt;F132),"ДА","")</f>
        <v/>
      </c>
      <c r="R132" s="17" t="s">
        <v>109</v>
      </c>
    </row>
    <row r="133" customFormat="false" ht="39" hidden="false" customHeight="true" outlineLevel="0" collapsed="false">
      <c r="A133" s="14" t="n">
        <v>132</v>
      </c>
      <c r="B133" s="11" t="s">
        <v>50</v>
      </c>
      <c r="C133" s="14" t="s">
        <v>111</v>
      </c>
      <c r="D133" s="14" t="s">
        <v>407</v>
      </c>
      <c r="E133" s="14" t="s">
        <v>555</v>
      </c>
      <c r="F133" s="15" t="n">
        <v>43313</v>
      </c>
      <c r="G133" s="4" t="str">
        <f aca="false">IF(TRIM(SUBSTITUTE(SUBSTITUTE(SUBSTITUTE(SUBSTITUTE(SUBSTITUTE(SUBSTITUTE(SUBSTITUTE(SUBSTITUTE(SUBSTITUTE(SUBSTITUTE(SUBSTITUTE(LOWER(TRIM(D133)),"ё","е")," -","-"),"- ","-")," 2 разряда","")," 3 разряда","")," 4 разряда","")," 5 разряда","")," 6 разряда","")," 1 категории","")," 2 категории","")," 3 категории",""))="инженер",IF(AND(ISNUMBER(SEARCH("техническ",E133)),ISNUMBER(SEARCH("контрол",E133))),"инженер отк",IF(ISNUMBER(SEARCH("диспетч",E133)),"инженер пдо",TRIM(SUBSTITUTE(SUBSTITUTE(SUBSTITUTE(SUBSTITUTE(SUBSTITUTE(SUBSTITUTE(SUBSTITUTE(SUBSTITUTE(SUBSTITUTE(SUBSTITUTE(SUBSTITUTE(LOWER(TRIM(D133)),"ё","е"),"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категории","")))),IF(TRIM(SUBSTITUTE(SUBSTITUTE(SUBSTITUTE(SUBSTITUTE(SUBSTITUTE(SUBSTITUTE(SUBSTITUTE(SUBSTITUTE(SUBSTITUTE(SUBSTITUTE(SUBSTITUTE(LOWER(TRIM(D133)),"ё","е")," -","-"),"- ","-")," 2 разряда","")," 3 разряда","")," 4 разряда","")," 5 разряда","")," 6 разряда","")," 1 категории","")," 2 категории","")," 3 категории",""))="ведущий инженер",IF(ISNUMBER(SEARCH("диспетч",E133)),"ведущий инженер пдо",TRIM(SUBSTITUTE(SUBSTITUTE(SUBSTITUTE(SUBSTITUTE(SUBSTITUTE(SUBSTITUTE(SUBSTITUTE(SUBSTITUTE(SUBSTITUTE(SUBSTITUTE(SUBSTITUTE(LOWER(TRIM(D133)),"ё","е"),"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отк",TRIM(SUBSTITUTE(SUBSTITUTE(SUBSTITUTE(SUBSTITUTE(SUBSTITUTE(SUBSTITUTE(SUBSTITUTE(SUBSTITUTE(SUBSTITUTE(SUBSTITUTE(SUBSTITUTE(LOWER(TRIM(D133)),"ё","е")," -","-"),"- ","-")," 2 разряда","")," 3 разряда","")," 4 разряда","")," 5 разряда","")," 6 разряда","")," 1 категории","")," 2 категории","")," 3 категории","")))))</f>
        <v>электромонтажник</v>
      </c>
      <c r="H133" s="11" t="n">
        <f aca="false">IFERROR(INDEX(Соответствие!$B$2:$B$76,MATCH(G133,Соответствие!$A$2:$A$76,0)),"?")</f>
        <v>20</v>
      </c>
      <c r="I133" s="8" t="str">
        <f aca="false">IFERROR(INDEX('Перечень должностей'!$C$2:$C$46,MATCH(H133,'Перечень должностей'!$A$2:$A$46,0)),"")</f>
        <v>п.4.3.1, п.4.3.2, п.4.4, п.4.9, п.5.1, п.5.2, п.6.2, п.9</v>
      </c>
      <c r="J133" s="11" t="n">
        <f aca="false">IFERROR(INDEX('Перечень должностей'!$D$2:$D$46,MATCH(H133,'Перечень должностей'!$A$2:$A$46,0)),12)</f>
        <v>12</v>
      </c>
      <c r="K133" s="16"/>
      <c r="L133" s="16"/>
      <c r="M133" s="15" t="str">
        <f aca="false">IF(K133="","",EDATE(IF(L133&lt;&gt;"",L133,K133),J133))</f>
        <v/>
      </c>
      <c r="N133" s="11" t="str">
        <f aca="false">IFERROR(INDEX('Перечень должностей'!$F$2:$F$46,MATCH(H133,'Перечень должностей'!$A$2:$A$46,0)),"")</f>
        <v>Да</v>
      </c>
      <c r="O133" s="16"/>
      <c r="P133" s="15" t="str">
        <f aca="false">IF(O133="","",EDATE(O133,60))</f>
        <v/>
      </c>
      <c r="Q133" s="11" t="str">
        <f aca="false">IF(AND(K133&lt;&gt;"",F133&lt;&gt;"",K133&gt;F133),"ДА","")</f>
        <v/>
      </c>
      <c r="R133" s="17" t="s">
        <v>109</v>
      </c>
    </row>
    <row r="134" customFormat="false" ht="39" hidden="false" customHeight="true" outlineLevel="0" collapsed="false">
      <c r="A134" s="14" t="n">
        <v>133</v>
      </c>
      <c r="B134" s="11" t="s">
        <v>50</v>
      </c>
      <c r="C134" s="14" t="s">
        <v>112</v>
      </c>
      <c r="D134" s="14" t="s">
        <v>407</v>
      </c>
      <c r="E134" s="14" t="s">
        <v>555</v>
      </c>
      <c r="F134" s="15" t="n">
        <v>42289</v>
      </c>
      <c r="G134" s="4" t="str">
        <f aca="false">IF(TRIM(SUBSTITUTE(SUBSTITUTE(SUBSTITUTE(SUBSTITUTE(SUBSTITUTE(SUBSTITUTE(SUBSTITUTE(SUBSTITUTE(SUBSTITUTE(SUBSTITUTE(SUBSTITUTE(LOWER(TRIM(D134)),"ё","е")," -","-"),"- ","-")," 2 разряда","")," 3 разряда","")," 4 разряда","")," 5 разряда","")," 6 разряда","")," 1 категории","")," 2 категории","")," 3 категории",""))="инженер",IF(AND(ISNUMBER(SEARCH("техническ",E134)),ISNUMBER(SEARCH("контрол",E134))),"инженер отк",IF(ISNUMBER(SEARCH("диспетч",E134)),"инженер пдо",TRIM(SUBSTITUTE(SUBSTITUTE(SUBSTITUTE(SUBSTITUTE(SUBSTITUTE(SUBSTITUTE(SUBSTITUTE(SUBSTITUTE(SUBSTITUTE(SUBSTITUTE(SUBSTITUTE(LOWER(TRIM(D134)),"ё","е"),"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категории","")))),IF(TRIM(SUBSTITUTE(SUBSTITUTE(SUBSTITUTE(SUBSTITUTE(SUBSTITUTE(SUBSTITUTE(SUBSTITUTE(SUBSTITUTE(SUBSTITUTE(SUBSTITUTE(SUBSTITUTE(LOWER(TRIM(D134)),"ё","е")," -","-"),"- ","-")," 2 разряда","")," 3 разряда","")," 4 разряда","")," 5 разряда","")," 6 разряда","")," 1 категории","")," 2 категории","")," 3 категории",""))="ведущий инженер",IF(ISNUMBER(SEARCH("диспетч",E134)),"ведущий инженер пдо",TRIM(SUBSTITUTE(SUBSTITUTE(SUBSTITUTE(SUBSTITUTE(SUBSTITUTE(SUBSTITUTE(SUBSTITUTE(SUBSTITUTE(SUBSTITUTE(SUBSTITUTE(SUBSTITUTE(LOWER(TRIM(D134)),"ё","е"),"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отк",TRIM(SUBSTITUTE(SUBSTITUTE(SUBSTITUTE(SUBSTITUTE(SUBSTITUTE(SUBSTITUTE(SUBSTITUTE(SUBSTITUTE(SUBSTITUTE(SUBSTITUTE(SUBSTITUTE(LOWER(TRIM(D134)),"ё","е")," -","-"),"- ","-")," 2 разряда","")," 3 разряда","")," 4 разряда","")," 5 разряда","")," 6 разряда","")," 1 категории","")," 2 категории","")," 3 категории","")))))</f>
        <v>электромонтажник</v>
      </c>
      <c r="H134" s="11" t="n">
        <f aca="false">IFERROR(INDEX(Соответствие!$B$2:$B$76,MATCH(G134,Соответствие!$A$2:$A$76,0)),"?")</f>
        <v>20</v>
      </c>
      <c r="I134" s="8" t="str">
        <f aca="false">IFERROR(INDEX('Перечень должностей'!$C$2:$C$46,MATCH(H134,'Перечень должностей'!$A$2:$A$46,0)),"")</f>
        <v>п.4.3.1, п.4.3.2, п.4.4, п.4.9, п.5.1, п.5.2, п.6.2, п.9</v>
      </c>
      <c r="J134" s="11" t="n">
        <f aca="false">IFERROR(INDEX('Перечень должностей'!$D$2:$D$46,MATCH(H134,'Перечень должностей'!$A$2:$A$46,0)),12)</f>
        <v>12</v>
      </c>
      <c r="K134" s="16"/>
      <c r="L134" s="16"/>
      <c r="M134" s="15" t="str">
        <f aca="false">IF(K134="","",EDATE(IF(L134&lt;&gt;"",L134,K134),J134))</f>
        <v/>
      </c>
      <c r="N134" s="11" t="str">
        <f aca="false">IFERROR(INDEX('Перечень должностей'!$F$2:$F$46,MATCH(H134,'Перечень должностей'!$A$2:$A$46,0)),"")</f>
        <v>Да</v>
      </c>
      <c r="O134" s="16"/>
      <c r="P134" s="15" t="str">
        <f aca="false">IF(O134="","",EDATE(O134,60))</f>
        <v/>
      </c>
      <c r="Q134" s="11" t="str">
        <f aca="false">IF(AND(K134&lt;&gt;"",F134&lt;&gt;"",K134&gt;F134),"ДА","")</f>
        <v/>
      </c>
      <c r="R134" s="17" t="s">
        <v>109</v>
      </c>
    </row>
    <row r="135" customFormat="false" ht="39" hidden="false" customHeight="true" outlineLevel="0" collapsed="false">
      <c r="A135" s="14" t="n">
        <v>134</v>
      </c>
      <c r="B135" s="11" t="s">
        <v>50</v>
      </c>
      <c r="C135" s="14" t="s">
        <v>113</v>
      </c>
      <c r="D135" s="14" t="s">
        <v>556</v>
      </c>
      <c r="E135" s="14" t="s">
        <v>49</v>
      </c>
      <c r="F135" s="15" t="n">
        <v>39419</v>
      </c>
      <c r="G135" s="4" t="str">
        <f aca="false">IF(TRIM(SUBSTITUTE(SUBSTITUTE(SUBSTITUTE(SUBSTITUTE(SUBSTITUTE(SUBSTITUTE(SUBSTITUTE(SUBSTITUTE(SUBSTITUTE(SUBSTITUTE(SUBSTITUTE(LOWER(TRIM(D135)),"ё","е")," -","-"),"- ","-")," 2 разряда","")," 3 разряда","")," 4 разряда","")," 5 разряда","")," 6 разряда","")," 1 категории","")," 2 категории","")," 3 категории",""))="инженер",IF(AND(ISNUMBER(SEARCH("техническ",E135)),ISNUMBER(SEARCH("контрол",E135))),"инженер отк",IF(ISNUMBER(SEARCH("диспетч",E135)),"инженер пдо",TRIM(SUBSTITUTE(SUBSTITUTE(SUBSTITUTE(SUBSTITUTE(SUBSTITUTE(SUBSTITUTE(SUBSTITUTE(SUBSTITUTE(SUBSTITUTE(SUBSTITUTE(SUBSTITUTE(LOWER(TRIM(D135)),"ё","е"),"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категории","")))),IF(TRIM(SUBSTITUTE(SUBSTITUTE(SUBSTITUTE(SUBSTITUTE(SUBSTITUTE(SUBSTITUTE(SUBSTITUTE(SUBSTITUTE(SUBSTITUTE(SUBSTITUTE(SUBSTITUTE(LOWER(TRIM(D135)),"ё","е")," -","-"),"- ","-")," 2 разряда","")," 3 разряда","")," 4 разряда","")," 5 разряда","")," 6 разряда","")," 1 категории","")," 2 категории","")," 3 категории",""))="ведущий инженер",IF(ISNUMBER(SEARCH("диспетч",E135)),"ведущий инженер пдо",TRIM(SUBSTITUTE(SUBSTITUTE(SUBSTITUTE(SUBSTITUTE(SUBSTITUTE(SUBSTITUTE(SUBSTITUTE(SUBSTITUTE(SUBSTITUTE(SUBSTITUTE(SUBSTITUTE(LOWER(TRIM(D135)),"ё","е"),"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отк",TRIM(SUBSTITUTE(SUBSTITUTE(SUBSTITUTE(SUBSTITUTE(SUBSTITUTE(SUBSTITUTE(SUBSTITUTE(SUBSTITUTE(SUBSTITUTE(SUBSTITUTE(SUBSTITUTE(LOWER(TRIM(D135)),"ё","е")," -","-"),"- ","-")," 2 разряда","")," 3 разряда","")," 4 разряда","")," 5 разряда","")," 6 разряда","")," 1 категории","")," 2 категории","")," 3 категории","")))))</f>
        <v>техник-сборщик</v>
      </c>
      <c r="H135" s="11" t="n">
        <f aca="false">IFERROR(INDEX(Соответствие!$B$2:$B$76,MATCH(G135,Соответствие!$A$2:$A$76,0)),"?")</f>
        <v>21</v>
      </c>
      <c r="I135" s="8" t="str">
        <f aca="false">IFERROR(INDEX('Перечень должностей'!$C$2:$C$46,MATCH(H135,'Перечень должностей'!$A$2:$A$46,0)),"")</f>
        <v>п.1.49.2, п.1.49.14, п.4.3.1, п.4.3.2, п.4.4, п.5.1, п.15</v>
      </c>
      <c r="J135" s="11" t="n">
        <f aca="false">IFERROR(INDEX('Перечень должностей'!$D$2:$D$46,MATCH(H135,'Перечень должностей'!$A$2:$A$46,0)),12)</f>
        <v>12</v>
      </c>
      <c r="K135" s="16"/>
      <c r="L135" s="16"/>
      <c r="M135" s="15" t="str">
        <f aca="false">IF(K135="","",EDATE(IF(L135&lt;&gt;"",L135,K135),J135))</f>
        <v/>
      </c>
      <c r="N135" s="11" t="str">
        <f aca="false">IFERROR(INDEX('Перечень должностей'!$F$2:$F$46,MATCH(H135,'Перечень должностей'!$A$2:$A$46,0)),"")</f>
        <v>-</v>
      </c>
      <c r="O135" s="16"/>
      <c r="P135" s="15" t="str">
        <f aca="false">IF(O135="","",EDATE(O135,60))</f>
        <v/>
      </c>
      <c r="Q135" s="11" t="str">
        <f aca="false">IF(AND(K135&lt;&gt;"",F135&lt;&gt;"",K135&gt;F135),"ДА","")</f>
        <v/>
      </c>
      <c r="R135" s="17" t="s">
        <v>114</v>
      </c>
    </row>
    <row r="136" customFormat="false" ht="39" hidden="false" customHeight="true" outlineLevel="0" collapsed="false">
      <c r="A136" s="14" t="n">
        <v>135</v>
      </c>
      <c r="B136" s="11" t="s">
        <v>50</v>
      </c>
      <c r="C136" s="14" t="s">
        <v>115</v>
      </c>
      <c r="D136" s="14" t="s">
        <v>556</v>
      </c>
      <c r="E136" s="14" t="s">
        <v>49</v>
      </c>
      <c r="F136" s="15" t="n">
        <v>39753</v>
      </c>
      <c r="G136" s="4" t="str">
        <f aca="false">IF(TRIM(SUBSTITUTE(SUBSTITUTE(SUBSTITUTE(SUBSTITUTE(SUBSTITUTE(SUBSTITUTE(SUBSTITUTE(SUBSTITUTE(SUBSTITUTE(SUBSTITUTE(SUBSTITUTE(LOWER(TRIM(D136)),"ё","е")," -","-"),"- ","-")," 2 разряда","")," 3 разряда","")," 4 разряда","")," 5 разряда","")," 6 разряда","")," 1 категории","")," 2 категории","")," 3 категории",""))="инженер",IF(AND(ISNUMBER(SEARCH("техническ",E136)),ISNUMBER(SEARCH("контрол",E136))),"инженер отк",IF(ISNUMBER(SEARCH("диспетч",E136)),"инженер пдо",TRIM(SUBSTITUTE(SUBSTITUTE(SUBSTITUTE(SUBSTITUTE(SUBSTITUTE(SUBSTITUTE(SUBSTITUTE(SUBSTITUTE(SUBSTITUTE(SUBSTITUTE(SUBSTITUTE(LOWER(TRIM(D136)),"ё","е"),"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категории","")))),IF(TRIM(SUBSTITUTE(SUBSTITUTE(SUBSTITUTE(SUBSTITUTE(SUBSTITUTE(SUBSTITUTE(SUBSTITUTE(SUBSTITUTE(SUBSTITUTE(SUBSTITUTE(SUBSTITUTE(LOWER(TRIM(D136)),"ё","е")," -","-"),"- ","-")," 2 разряда","")," 3 разряда","")," 4 разряда","")," 5 разряда","")," 6 разряда","")," 1 категории","")," 2 категории","")," 3 категории",""))="ведущий инженер",IF(ISNUMBER(SEARCH("диспетч",E136)),"ведущий инженер пдо",TRIM(SUBSTITUTE(SUBSTITUTE(SUBSTITUTE(SUBSTITUTE(SUBSTITUTE(SUBSTITUTE(SUBSTITUTE(SUBSTITUTE(SUBSTITUTE(SUBSTITUTE(SUBSTITUTE(LOWER(TRIM(D136)),"ё","е"),"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отк",TRIM(SUBSTITUTE(SUBSTITUTE(SUBSTITUTE(SUBSTITUTE(SUBSTITUTE(SUBSTITUTE(SUBSTITUTE(SUBSTITUTE(SUBSTITUTE(SUBSTITUTE(SUBSTITUTE(LOWER(TRIM(D136)),"ё","е")," -","-"),"- ","-")," 2 разряда","")," 3 разряда","")," 4 разряда","")," 5 разряда","")," 6 разряда","")," 1 категории","")," 2 категории","")," 3 категории","")))))</f>
        <v>техник-сборщик</v>
      </c>
      <c r="H136" s="11" t="n">
        <f aca="false">IFERROR(INDEX(Соответствие!$B$2:$B$76,MATCH(G136,Соответствие!$A$2:$A$76,0)),"?")</f>
        <v>21</v>
      </c>
      <c r="I136" s="8" t="str">
        <f aca="false">IFERROR(INDEX('Перечень должностей'!$C$2:$C$46,MATCH(H136,'Перечень должностей'!$A$2:$A$46,0)),"")</f>
        <v>п.1.49.2, п.1.49.14, п.4.3.1, п.4.3.2, п.4.4, п.5.1, п.15</v>
      </c>
      <c r="J136" s="11" t="n">
        <f aca="false">IFERROR(INDEX('Перечень должностей'!$D$2:$D$46,MATCH(H136,'Перечень должностей'!$A$2:$A$46,0)),12)</f>
        <v>12</v>
      </c>
      <c r="K136" s="16"/>
      <c r="L136" s="16"/>
      <c r="M136" s="15" t="str">
        <f aca="false">IF(K136="","",EDATE(IF(L136&lt;&gt;"",L136,K136),J136))</f>
        <v/>
      </c>
      <c r="N136" s="11" t="str">
        <f aca="false">IFERROR(INDEX('Перечень должностей'!$F$2:$F$46,MATCH(H136,'Перечень должностей'!$A$2:$A$46,0)),"")</f>
        <v>-</v>
      </c>
      <c r="O136" s="16"/>
      <c r="P136" s="15" t="str">
        <f aca="false">IF(O136="","",EDATE(O136,60))</f>
        <v/>
      </c>
      <c r="Q136" s="11" t="str">
        <f aca="false">IF(AND(K136&lt;&gt;"",F136&lt;&gt;"",K136&gt;F136),"ДА","")</f>
        <v/>
      </c>
      <c r="R136" s="17" t="s">
        <v>114</v>
      </c>
    </row>
    <row r="137" customFormat="false" ht="26.25" hidden="false" customHeight="true" outlineLevel="0" collapsed="false">
      <c r="A137" s="14" t="n">
        <v>136</v>
      </c>
      <c r="B137" s="11" t="s">
        <v>50</v>
      </c>
      <c r="C137" s="14" t="s">
        <v>116</v>
      </c>
      <c r="D137" s="14" t="s">
        <v>556</v>
      </c>
      <c r="E137" s="14" t="s">
        <v>182</v>
      </c>
      <c r="F137" s="15" t="n">
        <v>43276</v>
      </c>
      <c r="G137" s="4" t="str">
        <f aca="false">IF(TRIM(SUBSTITUTE(SUBSTITUTE(SUBSTITUTE(SUBSTITUTE(SUBSTITUTE(SUBSTITUTE(SUBSTITUTE(SUBSTITUTE(SUBSTITUTE(SUBSTITUTE(SUBSTITUTE(LOWER(TRIM(D137)),"ё","е")," -","-"),"- ","-")," 2 разряда","")," 3 разряда","")," 4 разряда","")," 5 разряда","")," 6 разряда","")," 1 категории","")," 2 категории","")," 3 категории",""))="инженер",IF(AND(ISNUMBER(SEARCH("техническ",E137)),ISNUMBER(SEARCH("контрол",E137))),"инженер отк",IF(ISNUMBER(SEARCH("диспетч",E137)),"инженер пдо",TRIM(SUBSTITUTE(SUBSTITUTE(SUBSTITUTE(SUBSTITUTE(SUBSTITUTE(SUBSTITUTE(SUBSTITUTE(SUBSTITUTE(SUBSTITUTE(SUBSTITUTE(SUBSTITUTE(LOWER(TRIM(D137)),"ё","е"),"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категории","")))),IF(TRIM(SUBSTITUTE(SUBSTITUTE(SUBSTITUTE(SUBSTITUTE(SUBSTITUTE(SUBSTITUTE(SUBSTITUTE(SUBSTITUTE(SUBSTITUTE(SUBSTITUTE(SUBSTITUTE(LOWER(TRIM(D137)),"ё","е")," -","-"),"- ","-")," 2 разряда","")," 3 разряда","")," 4 разряда","")," 5 разряда","")," 6 разряда","")," 1 категории","")," 2 категории","")," 3 категории",""))="ведущий инженер",IF(ISNUMBER(SEARCH("диспетч",E137)),"ведущий инженер пдо",TRIM(SUBSTITUTE(SUBSTITUTE(SUBSTITUTE(SUBSTITUTE(SUBSTITUTE(SUBSTITUTE(SUBSTITUTE(SUBSTITUTE(SUBSTITUTE(SUBSTITUTE(SUBSTITUTE(LOWER(TRIM(D137)),"ё","е"),"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отк",TRIM(SUBSTITUTE(SUBSTITUTE(SUBSTITUTE(SUBSTITUTE(SUBSTITUTE(SUBSTITUTE(SUBSTITUTE(SUBSTITUTE(SUBSTITUTE(SUBSTITUTE(SUBSTITUTE(LOWER(TRIM(D137)),"ё","е")," -","-"),"- ","-")," 2 разряда","")," 3 разряда","")," 4 разряда","")," 5 разряда","")," 6 разряда","")," 1 категории","")," 2 категории","")," 3 категории","")))))</f>
        <v>техник-сборщик</v>
      </c>
      <c r="H137" s="11" t="n">
        <f aca="false">IFERROR(INDEX(Соответствие!$B$2:$B$76,MATCH(G137,Соответствие!$A$2:$A$76,0)),"?")</f>
        <v>21</v>
      </c>
      <c r="I137" s="8" t="str">
        <f aca="false">IFERROR(INDEX('Перечень должностей'!$C$2:$C$46,MATCH(H137,'Перечень должностей'!$A$2:$A$46,0)),"")</f>
        <v>п.1.49.2, п.1.49.14, п.4.3.1, п.4.3.2, п.4.4, п.5.1, п.15</v>
      </c>
      <c r="J137" s="11" t="n">
        <f aca="false">IFERROR(INDEX('Перечень должностей'!$D$2:$D$46,MATCH(H137,'Перечень должностей'!$A$2:$A$46,0)),12)</f>
        <v>12</v>
      </c>
      <c r="K137" s="16"/>
      <c r="L137" s="16"/>
      <c r="M137" s="15" t="str">
        <f aca="false">IF(K137="","",EDATE(IF(L137&lt;&gt;"",L137,K137),J137))</f>
        <v/>
      </c>
      <c r="N137" s="11" t="str">
        <f aca="false">IFERROR(INDEX('Перечень должностей'!$F$2:$F$46,MATCH(H137,'Перечень должностей'!$A$2:$A$46,0)),"")</f>
        <v>-</v>
      </c>
      <c r="O137" s="16"/>
      <c r="P137" s="15" t="str">
        <f aca="false">IF(O137="","",EDATE(O137,60))</f>
        <v/>
      </c>
      <c r="Q137" s="11" t="str">
        <f aca="false">IF(AND(K137&lt;&gt;"",F137&lt;&gt;"",K137&gt;F137),"ДА","")</f>
        <v/>
      </c>
      <c r="R137" s="17" t="s">
        <v>114</v>
      </c>
    </row>
    <row r="138" customFormat="false" ht="26.25" hidden="false" customHeight="true" outlineLevel="0" collapsed="false">
      <c r="A138" s="14" t="n">
        <v>137</v>
      </c>
      <c r="B138" s="11" t="s">
        <v>50</v>
      </c>
      <c r="C138" s="14" t="s">
        <v>117</v>
      </c>
      <c r="D138" s="14" t="s">
        <v>53</v>
      </c>
      <c r="E138" s="14" t="s">
        <v>49</v>
      </c>
      <c r="F138" s="15" t="n">
        <v>41381</v>
      </c>
      <c r="G138" s="4" t="str">
        <f aca="false">IF(TRIM(SUBSTITUTE(SUBSTITUTE(SUBSTITUTE(SUBSTITUTE(SUBSTITUTE(SUBSTITUTE(SUBSTITUTE(SUBSTITUTE(SUBSTITUTE(SUBSTITUTE(SUBSTITUTE(LOWER(TRIM(D138)),"ё","е")," -","-"),"- ","-")," 2 разряда","")," 3 разряда","")," 4 разряда","")," 5 разряда","")," 6 разряда","")," 1 категории","")," 2 категории","")," 3 категории",""))="инженер",IF(AND(ISNUMBER(SEARCH("техническ",E138)),ISNUMBER(SEARCH("контрол",E138))),"инженер отк",IF(ISNUMBER(SEARCH("диспетч",E138)),"инженер пдо",TRIM(SUBSTITUTE(SUBSTITUTE(SUBSTITUTE(SUBSTITUTE(SUBSTITUTE(SUBSTITUTE(SUBSTITUTE(SUBSTITUTE(SUBSTITUTE(SUBSTITUTE(SUBSTITUTE(LOWER(TRIM(D138)),"ё","е"),"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категории","")))),IF(TRIM(SUBSTITUTE(SUBSTITUTE(SUBSTITUTE(SUBSTITUTE(SUBSTITUTE(SUBSTITUTE(SUBSTITUTE(SUBSTITUTE(SUBSTITUTE(SUBSTITUTE(SUBSTITUTE(LOWER(TRIM(D138)),"ё","е")," -","-"),"- ","-")," 2 разряда","")," 3 разряда","")," 4 разряда","")," 5 разряда","")," 6 разряда","")," 1 категории","")," 2 категории","")," 3 категории",""))="ведущий инженер",IF(ISNUMBER(SEARCH("диспетч",E138)),"ведущий инженер пдо",TRIM(SUBSTITUTE(SUBSTITUTE(SUBSTITUTE(SUBSTITUTE(SUBSTITUTE(SUBSTITUTE(SUBSTITUTE(SUBSTITUTE(SUBSTITUTE(SUBSTITUTE(SUBSTITUTE(LOWER(TRIM(D138)),"ё","е"),"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отк",TRIM(SUBSTITUTE(SUBSTITUTE(SUBSTITUTE(SUBSTITUTE(SUBSTITUTE(SUBSTITUTE(SUBSTITUTE(SUBSTITUTE(SUBSTITUTE(SUBSTITUTE(SUBSTITUTE(LOWER(TRIM(D138)),"ё","е")," -","-"),"- ","-")," 2 разряда","")," 3 разряда","")," 4 разряда","")," 5 разряда","")," 6 разряда","")," 1 категории","")," 2 категории","")," 3 категории","")))))</f>
        <v>техник-сборщик</v>
      </c>
      <c r="H138" s="11" t="n">
        <f aca="false">IFERROR(INDEX(Соответствие!$B$2:$B$76,MATCH(G138,Соответствие!$A$2:$A$76,0)),"?")</f>
        <v>21</v>
      </c>
      <c r="I138" s="8" t="str">
        <f aca="false">IFERROR(INDEX('Перечень должностей'!$C$2:$C$46,MATCH(H138,'Перечень должностей'!$A$2:$A$46,0)),"")</f>
        <v>п.1.49.2, п.1.49.14, п.4.3.1, п.4.3.2, п.4.4, п.5.1, п.15</v>
      </c>
      <c r="J138" s="11" t="n">
        <f aca="false">IFERROR(INDEX('Перечень должностей'!$D$2:$D$46,MATCH(H138,'Перечень должностей'!$A$2:$A$46,0)),12)</f>
        <v>12</v>
      </c>
      <c r="K138" s="16"/>
      <c r="L138" s="16"/>
      <c r="M138" s="15" t="str">
        <f aca="false">IF(K138="","",EDATE(IF(L138&lt;&gt;"",L138,K138),J138))</f>
        <v/>
      </c>
      <c r="N138" s="11" t="str">
        <f aca="false">IFERROR(INDEX('Перечень должностей'!$F$2:$F$46,MATCH(H138,'Перечень должностей'!$A$2:$A$46,0)),"")</f>
        <v>-</v>
      </c>
      <c r="O138" s="16"/>
      <c r="P138" s="15" t="str">
        <f aca="false">IF(O138="","",EDATE(O138,60))</f>
        <v/>
      </c>
      <c r="Q138" s="11" t="str">
        <f aca="false">IF(AND(K138&lt;&gt;"",F138&lt;&gt;"",K138&gt;F138),"ДА","")</f>
        <v/>
      </c>
      <c r="R138" s="17" t="s">
        <v>118</v>
      </c>
    </row>
    <row r="139" customFormat="false" ht="26.25" hidden="false" customHeight="true" outlineLevel="0" collapsed="false">
      <c r="A139" s="14" t="n">
        <v>138</v>
      </c>
      <c r="B139" s="11" t="s">
        <v>50</v>
      </c>
      <c r="C139" s="14" t="s">
        <v>557</v>
      </c>
      <c r="D139" s="14" t="s">
        <v>558</v>
      </c>
      <c r="E139" s="14" t="s">
        <v>182</v>
      </c>
      <c r="F139" s="15" t="n">
        <v>45616</v>
      </c>
      <c r="G139" s="4" t="str">
        <f aca="false">IF(TRIM(SUBSTITUTE(SUBSTITUTE(SUBSTITUTE(SUBSTITUTE(SUBSTITUTE(SUBSTITUTE(SUBSTITUTE(SUBSTITUTE(SUBSTITUTE(SUBSTITUTE(SUBSTITUTE(LOWER(TRIM(D139)),"ё","е")," -","-"),"- ","-")," 2 разряда","")," 3 разряда","")," 4 разряда","")," 5 разряда","")," 6 разряда","")," 1 категории","")," 2 категории","")," 3 категории",""))="инженер",IF(AND(ISNUMBER(SEARCH("техническ",E139)),ISNUMBER(SEARCH("контрол",E139))),"инженер отк",IF(ISNUMBER(SEARCH("диспетч",E139)),"инженер пдо",TRIM(SUBSTITUTE(SUBSTITUTE(SUBSTITUTE(SUBSTITUTE(SUBSTITUTE(SUBSTITUTE(SUBSTITUTE(SUBSTITUTE(SUBSTITUTE(SUBSTITUTE(SUBSTITUTE(LOWER(TRIM(D139)),"ё","е"),"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категории","")))),IF(TRIM(SUBSTITUTE(SUBSTITUTE(SUBSTITUTE(SUBSTITUTE(SUBSTITUTE(SUBSTITUTE(SUBSTITUTE(SUBSTITUTE(SUBSTITUTE(SUBSTITUTE(SUBSTITUTE(LOWER(TRIM(D139)),"ё","е")," -","-"),"- ","-")," 2 разряда","")," 3 разряда","")," 4 разряда","")," 5 разряда","")," 6 разряда","")," 1 категории","")," 2 категории","")," 3 категории",""))="ведущий инженер",IF(ISNUMBER(SEARCH("диспетч",E139)),"ведущий инженер пдо",TRIM(SUBSTITUTE(SUBSTITUTE(SUBSTITUTE(SUBSTITUTE(SUBSTITUTE(SUBSTITUTE(SUBSTITUTE(SUBSTITUTE(SUBSTITUTE(SUBSTITUTE(SUBSTITUTE(LOWER(TRIM(D139)),"ё","е"),"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категории",""))),IF(TRIM(SUBSTITUTE(SUBSTITUTE(SUBSTITUTE(SUBSTITUTE(SUBSTITUTE(SUBSTITUTE(SUBSTITUTE(SUBSTITUTE(SUBSTITUTE(SUBSTITUTE(SUBSTITUTE(LOWER(TRIM(D139)),"ё","е"),"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отк",TRIM(SUBSTITUTE(SUBSTITUTE(SUBSTITUTE(SUBSTITUTE(SUBSTITUTE(SUBSTITUTE(SUBSTITUTE(SUBSTITUTE(SUBSTITUTE(SUBSTITUTE(SUBSTITUTE(LOWER(TRIM(D139)),"ё","е")," -","-"),"- ","-")," 2 разряда","")," 3 разряда","")," 4 разряда","")," 5 разряда","")," 6 разряда","")," 1 категории","")," 2 категории","")," 3 категории","")))))</f>
        <v>столяр</v>
      </c>
      <c r="H139" s="11" t="n">
        <f aca="false">IFERROR(INDEX(Соответствие!$B$2:$B$76,MATCH(G139,Соответствие!$A$2:$A$76,0)),"?")</f>
        <v>21</v>
      </c>
      <c r="I139" s="8" t="str">
        <f aca="false">IFERROR(INDEX('Перечень должностей'!$C$2:$C$46,MATCH(H139,'Перечень должностей'!$A$2:$A$46,0)),"")</f>
        <v>п.1.49.2, п.1.49.14, п.4.3.1, п.4.3.2, п.4.4, п.5.1, п.15</v>
      </c>
      <c r="J139" s="11" t="n">
        <f aca="false">IFERROR(INDEX('Перечень должностей'!$D$2:$D$46,MATCH(H139,'Перечень должностей'!$A$2:$A$46,0)),12)</f>
        <v>12</v>
      </c>
      <c r="K139" s="16"/>
      <c r="L139" s="16"/>
      <c r="M139" s="15" t="str">
        <f aca="false">IF(K139="","",EDATE(IF(L139&lt;&gt;"",L139,K139),J139))</f>
        <v/>
      </c>
      <c r="N139" s="11" t="str">
        <f aca="false">IFERROR(INDEX('Перечень должностей'!$F$2:$F$46,MATCH(H139,'Перечень должностей'!$A$2:$A$46,0)),"")</f>
        <v>-</v>
      </c>
      <c r="O139" s="16"/>
      <c r="P139" s="15" t="str">
        <f aca="false">IF(O139="","",EDATE(O139,60))</f>
        <v/>
      </c>
      <c r="Q139" s="11" t="str">
        <f aca="false">IF(AND(K139&lt;&gt;"",F139&lt;&gt;"",K139&gt;F139),"ДА","")</f>
        <v/>
      </c>
      <c r="R139" s="8"/>
    </row>
    <row r="140" customFormat="false" ht="26.25" hidden="false" customHeight="true" outlineLevel="0" collapsed="false">
      <c r="A140" s="14" t="n">
        <v>139</v>
      </c>
      <c r="B140" s="11" t="s">
        <v>50</v>
      </c>
      <c r="C140" s="14" t="s">
        <v>119</v>
      </c>
      <c r="D140" s="14" t="s">
        <v>53</v>
      </c>
      <c r="E140" s="14" t="s">
        <v>182</v>
      </c>
      <c r="F140" s="15" t="n">
        <v>46149</v>
      </c>
      <c r="G140" s="4" t="str">
        <f aca="false">IF(TRIM(SUBSTITUTE(SUBSTITUTE(SUBSTITUTE(SUBSTITUTE(SUBSTITUTE(SUBSTITUTE(SUBSTITUTE(SUBSTITUTE(SUBSTITUTE(SUBSTITUTE(SUBSTITUTE(LOWER(TRIM(D140)),"ё","е")," -","-"),"- ","-")," 2 разряда","")," 3 разряда","")," 4 разряда","")," 5 разряда","")," 6 разряда","")," 1 категории","")," 2 категории","")," 3 категории",""))="инженер",IF(AND(ISNUMBER(SEARCH("техническ",E140)),ISNUMBER(SEARCH("контрол",E140))),"инженер отк",IF(ISNUMBER(SEARCH("диспетч",E140)),"инженер пдо",TRIM(SUBSTITUTE(SUBSTITUTE(SUBSTITUTE(SUBSTITUTE(SUBSTITUTE(SUBSTITUTE(SUBSTITUTE(SUBSTITUTE(SUBSTITUTE(SUBSTITUTE(SUBSTITUTE(LOWER(TRIM(D140)),"ё","е"),"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категории","")))),IF(TRIM(SUBSTITUTE(SUBSTITUTE(SUBSTITUTE(SUBSTITUTE(SUBSTITUTE(SUBSTITUTE(SUBSTITUTE(SUBSTITUTE(SUBSTITUTE(SUBSTITUTE(SUBSTITUTE(LOWER(TRIM(D140)),"ё","е")," -","-"),"- ","-")," 2 разряда","")," 3 разряда","")," 4 разряда","")," 5 разряда","")," 6 разряда","")," 1 категории","")," 2 категории","")," 3 категории",""))="ведущий инженер",IF(ISNUMBER(SEARCH("диспетч",E140)),"ведущий инженер пдо",TRIM(SUBSTITUTE(SUBSTITUTE(SUBSTITUTE(SUBSTITUTE(SUBSTITUTE(SUBSTITUTE(SUBSTITUTE(SUBSTITUTE(SUBSTITUTE(SUBSTITUTE(SUBSTITUTE(LOWER(TRIM(D140)),"ё","е"),"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отк",TRIM(SUBSTITUTE(SUBSTITUTE(SUBSTITUTE(SUBSTITUTE(SUBSTITUTE(SUBSTITUTE(SUBSTITUTE(SUBSTITUTE(SUBSTITUTE(SUBSTITUTE(SUBSTITUTE(LOWER(TRIM(D140)),"ё","е")," -","-"),"- ","-")," 2 разряда","")," 3 разряда","")," 4 разряда","")," 5 разряда","")," 6 разряда","")," 1 категории","")," 2 категории","")," 3 категории","")))))</f>
        <v>техник-сборщик</v>
      </c>
      <c r="H140" s="11" t="n">
        <f aca="false">IFERROR(INDEX(Соответствие!$B$2:$B$76,MATCH(G140,Соответствие!$A$2:$A$76,0)),"?")</f>
        <v>21</v>
      </c>
      <c r="I140" s="8" t="str">
        <f aca="false">IFERROR(INDEX('Перечень должностей'!$C$2:$C$46,MATCH(H140,'Перечень должностей'!$A$2:$A$46,0)),"")</f>
        <v>п.1.49.2, п.1.49.14, п.4.3.1, п.4.3.2, п.4.4, п.5.1, п.15</v>
      </c>
      <c r="J140" s="11" t="n">
        <f aca="false">IFERROR(INDEX('Перечень должностей'!$D$2:$D$46,MATCH(H140,'Перечень должностей'!$A$2:$A$46,0)),12)</f>
        <v>12</v>
      </c>
      <c r="K140" s="16"/>
      <c r="L140" s="16"/>
      <c r="M140" s="15" t="str">
        <f aca="false">IF(K140="","",EDATE(IF(L140&lt;&gt;"",L140,K140),J140))</f>
        <v/>
      </c>
      <c r="N140" s="11" t="str">
        <f aca="false">IFERROR(INDEX('Перечень должностей'!$F$2:$F$46,MATCH(H140,'Перечень должностей'!$A$2:$A$46,0)),"")</f>
        <v>-</v>
      </c>
      <c r="O140" s="16"/>
      <c r="P140" s="15" t="str">
        <f aca="false">IF(O140="","",EDATE(O140,60))</f>
        <v/>
      </c>
      <c r="Q140" s="11" t="str">
        <f aca="false">IF(AND(K140&lt;&gt;"",F140&lt;&gt;"",K140&gt;F140),"ДА","")</f>
        <v/>
      </c>
      <c r="R140" s="17" t="s">
        <v>118</v>
      </c>
    </row>
    <row r="141" customFormat="false" ht="26.25" hidden="false" customHeight="true" outlineLevel="0" collapsed="false">
      <c r="A141" s="14" t="n">
        <v>140</v>
      </c>
      <c r="B141" s="11" t="s">
        <v>50</v>
      </c>
      <c r="C141" s="14" t="s">
        <v>559</v>
      </c>
      <c r="D141" s="14" t="s">
        <v>64</v>
      </c>
      <c r="E141" s="14" t="s">
        <v>49</v>
      </c>
      <c r="F141" s="15" t="n">
        <v>43678</v>
      </c>
      <c r="G141" s="4" t="str">
        <f aca="false">IF(TRIM(SUBSTITUTE(SUBSTITUTE(SUBSTITUTE(SUBSTITUTE(SUBSTITUTE(SUBSTITUTE(SUBSTITUTE(SUBSTITUTE(SUBSTITUTE(SUBSTITUTE(SUBSTITUTE(LOWER(TRIM(D141)),"ё","е")," -","-"),"- ","-")," 2 разряда","")," 3 разряда","")," 4 разряда","")," 5 разряда","")," 6 разряда","")," 1 категории","")," 2 категории","")," 3 категории",""))="инженер",IF(AND(ISNUMBER(SEARCH("техническ",E141)),ISNUMBER(SEARCH("контрол",E141))),"инженер отк",IF(ISNUMBER(SEARCH("диспетч",E141)),"инженер пдо",TRIM(SUBSTITUTE(SUBSTITUTE(SUBSTITUTE(SUBSTITUTE(SUBSTITUTE(SUBSTITUTE(SUBSTITUTE(SUBSTITUTE(SUBSTITUTE(SUBSTITUTE(SUBSTITUTE(LOWER(TRIM(D141)),"ё","е"),"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категории","")))),IF(TRIM(SUBSTITUTE(SUBSTITUTE(SUBSTITUTE(SUBSTITUTE(SUBSTITUTE(SUBSTITUTE(SUBSTITUTE(SUBSTITUTE(SUBSTITUTE(SUBSTITUTE(SUBSTITUTE(LOWER(TRIM(D141)),"ё","е")," -","-"),"- ","-")," 2 разряда","")," 3 разряда","")," 4 разряда","")," 5 разряда","")," 6 разряда","")," 1 категории","")," 2 категории","")," 3 категории",""))="ведущий инженер",IF(ISNUMBER(SEARCH("диспетч",E141)),"ведущий инженер пдо",TRIM(SUBSTITUTE(SUBSTITUTE(SUBSTITUTE(SUBSTITUTE(SUBSTITUTE(SUBSTITUTE(SUBSTITUTE(SUBSTITUTE(SUBSTITUTE(SUBSTITUTE(SUBSTITUTE(LOWER(TRIM(D141)),"ё","е"),"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отк",TRIM(SUBSTITUTE(SUBSTITUTE(SUBSTITUTE(SUBSTITUTE(SUBSTITUTE(SUBSTITUTE(SUBSTITUTE(SUBSTITUTE(SUBSTITUTE(SUBSTITUTE(SUBSTITUTE(LOWER(TRIM(D141)),"ё","е")," -","-"),"- ","-")," 2 разряда","")," 3 разряда","")," 4 разряда","")," 5 разряда","")," 6 разряда","")," 1 категории","")," 2 категории","")," 3 категории","")))))</f>
        <v>оператор станков с чпу</v>
      </c>
      <c r="H141" s="11" t="n">
        <f aca="false">IFERROR(INDEX(Соответствие!$B$2:$B$76,MATCH(G141,Соответствие!$A$2:$A$76,0)),"?")</f>
        <v>30</v>
      </c>
      <c r="I141" s="8" t="str">
        <f aca="false">IFERROR(INDEX('Перечень должностей'!$C$2:$C$46,MATCH(H141,'Перечень должностей'!$A$2:$A$46,0)),"")</f>
        <v>п.4.3.1, п.4.3.2, п.4.4, п.5.1, п.5.2, п.15</v>
      </c>
      <c r="J141" s="11" t="n">
        <f aca="false">IFERROR(INDEX('Перечень должностей'!$D$2:$D$46,MATCH(H141,'Перечень должностей'!$A$2:$A$46,0)),12)</f>
        <v>12</v>
      </c>
      <c r="K141" s="16"/>
      <c r="L141" s="16"/>
      <c r="M141" s="15" t="str">
        <f aca="false">IF(K141="","",EDATE(IF(L141&lt;&gt;"",L141,K141),J141))</f>
        <v/>
      </c>
      <c r="N141" s="11" t="str">
        <f aca="false">IFERROR(INDEX('Перечень должностей'!$F$2:$F$46,MATCH(H141,'Перечень должностей'!$A$2:$A$46,0)),"")</f>
        <v>-</v>
      </c>
      <c r="O141" s="16"/>
      <c r="P141" s="15" t="str">
        <f aca="false">IF(O141="","",EDATE(O141,60))</f>
        <v/>
      </c>
      <c r="Q141" s="11" t="str">
        <f aca="false">IF(AND(K141&lt;&gt;"",F141&lt;&gt;"",K141&gt;F141),"ДА","")</f>
        <v/>
      </c>
      <c r="R141" s="8" t="s">
        <v>560</v>
      </c>
    </row>
    <row r="142" customFormat="false" ht="26.25" hidden="false" customHeight="true" outlineLevel="0" collapsed="false">
      <c r="A142" s="14" t="n">
        <v>141</v>
      </c>
      <c r="B142" s="11" t="s">
        <v>50</v>
      </c>
      <c r="C142" s="14" t="s">
        <v>561</v>
      </c>
      <c r="D142" s="14" t="s">
        <v>60</v>
      </c>
      <c r="E142" s="14" t="s">
        <v>182</v>
      </c>
      <c r="F142" s="15" t="n">
        <v>45768</v>
      </c>
      <c r="G142" s="4" t="str">
        <f aca="false">IF(TRIM(SUBSTITUTE(SUBSTITUTE(SUBSTITUTE(SUBSTITUTE(SUBSTITUTE(SUBSTITUTE(SUBSTITUTE(SUBSTITUTE(SUBSTITUTE(SUBSTITUTE(SUBSTITUTE(LOWER(TRIM(D142)),"ё","е")," -","-"),"- ","-")," 2 разряда","")," 3 разряда","")," 4 разряда","")," 5 разряда","")," 6 разряда","")," 1 категории","")," 2 категории","")," 3 категории",""))="инженер",IF(AND(ISNUMBER(SEARCH("техническ",E142)),ISNUMBER(SEARCH("контрол",E142))),"инженер отк",IF(ISNUMBER(SEARCH("диспетч",E142)),"инженер пдо",TRIM(SUBSTITUTE(SUBSTITUTE(SUBSTITUTE(SUBSTITUTE(SUBSTITUTE(SUBSTITUTE(SUBSTITUTE(SUBSTITUTE(SUBSTITUTE(SUBSTITUTE(SUBSTITUTE(LOWER(TRIM(D142)),"ё","е"),"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категории","")))),IF(TRIM(SUBSTITUTE(SUBSTITUTE(SUBSTITUTE(SUBSTITUTE(SUBSTITUTE(SUBSTITUTE(SUBSTITUTE(SUBSTITUTE(SUBSTITUTE(SUBSTITUTE(SUBSTITUTE(LOWER(TRIM(D142)),"ё","е")," -","-"),"- ","-")," 2 разряда","")," 3 разряда","")," 4 разряда","")," 5 разряда","")," 6 разряда","")," 1 категории","")," 2 категории","")," 3 категории",""))="ведущий инженер",IF(ISNUMBER(SEARCH("диспетч",E142)),"ведущий инженер пдо",TRIM(SUBSTITUTE(SUBSTITUTE(SUBSTITUTE(SUBSTITUTE(SUBSTITUTE(SUBSTITUTE(SUBSTITUTE(SUBSTITUTE(SUBSTITUTE(SUBSTITUTE(SUBSTITUTE(LOWER(TRIM(D142)),"ё","е"),"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отк",TRIM(SUBSTITUTE(SUBSTITUTE(SUBSTITUTE(SUBSTITUTE(SUBSTITUTE(SUBSTITUTE(SUBSTITUTE(SUBSTITUTE(SUBSTITUTE(SUBSTITUTE(SUBSTITUTE(LOWER(TRIM(D142)),"ё","е")," -","-"),"- ","-")," 2 разряда","")," 3 разряда","")," 4 разряда","")," 5 разряда","")," 6 разряда","")," 1 категории","")," 2 категории","")," 3 категории","")))))</f>
        <v>мастер участка</v>
      </c>
      <c r="H142" s="11" t="n">
        <f aca="false">IFERROR(INDEX(Соответствие!$B$2:$B$76,MATCH(G142,Соответствие!$A$2:$A$76,0)),"?")</f>
        <v>18</v>
      </c>
      <c r="I142" s="8" t="str">
        <f aca="false">IFERROR(INDEX('Перечень должностей'!$C$2:$C$46,MATCH(H142,'Перечень должностей'!$A$2:$A$46,0)),"")</f>
        <v>п.4.4, п.5.1, п.5.2</v>
      </c>
      <c r="J142" s="11" t="n">
        <f aca="false">IFERROR(INDEX('Перечень должностей'!$D$2:$D$46,MATCH(H142,'Перечень должностей'!$A$2:$A$46,0)),12)</f>
        <v>12</v>
      </c>
      <c r="K142" s="16"/>
      <c r="L142" s="16"/>
      <c r="M142" s="15" t="str">
        <f aca="false">IF(K142="","",EDATE(IF(L142&lt;&gt;"",L142,K142),J142))</f>
        <v/>
      </c>
      <c r="N142" s="11" t="str">
        <f aca="false">IFERROR(INDEX('Перечень должностей'!$F$2:$F$46,MATCH(H142,'Перечень должностей'!$A$2:$A$46,0)),"")</f>
        <v>-</v>
      </c>
      <c r="O142" s="16"/>
      <c r="P142" s="15" t="str">
        <f aca="false">IF(O142="","",EDATE(O142,60))</f>
        <v/>
      </c>
      <c r="Q142" s="11" t="str">
        <f aca="false">IF(AND(K142&lt;&gt;"",F142&lt;&gt;"",K142&gt;F142),"ДА","")</f>
        <v/>
      </c>
      <c r="R142" s="8"/>
    </row>
    <row r="143" customFormat="false" ht="26.25" hidden="false" customHeight="true" outlineLevel="0" collapsed="false">
      <c r="A143" s="14" t="n">
        <v>142</v>
      </c>
      <c r="B143" s="11" t="s">
        <v>50</v>
      </c>
      <c r="C143" s="14" t="s">
        <v>562</v>
      </c>
      <c r="D143" s="14" t="s">
        <v>60</v>
      </c>
      <c r="E143" s="14" t="s">
        <v>182</v>
      </c>
      <c r="F143" s="15" t="n">
        <v>39359</v>
      </c>
      <c r="G143" s="4" t="str">
        <f aca="false">IF(TRIM(SUBSTITUTE(SUBSTITUTE(SUBSTITUTE(SUBSTITUTE(SUBSTITUTE(SUBSTITUTE(SUBSTITUTE(SUBSTITUTE(SUBSTITUTE(SUBSTITUTE(SUBSTITUTE(LOWER(TRIM(D143)),"ё","е")," -","-"),"- ","-")," 2 разряда","")," 3 разряда","")," 4 разряда","")," 5 разряда","")," 6 разряда","")," 1 категории","")," 2 категории","")," 3 категории",""))="инженер",IF(AND(ISNUMBER(SEARCH("техническ",E143)),ISNUMBER(SEARCH("контрол",E143))),"инженер отк",IF(ISNUMBER(SEARCH("диспетч",E143)),"инженер пдо",TRIM(SUBSTITUTE(SUBSTITUTE(SUBSTITUTE(SUBSTITUTE(SUBSTITUTE(SUBSTITUTE(SUBSTITUTE(SUBSTITUTE(SUBSTITUTE(SUBSTITUTE(SUBSTITUTE(LOWER(TRIM(D143)),"ё","е"),"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категории","")))),IF(TRIM(SUBSTITUTE(SUBSTITUTE(SUBSTITUTE(SUBSTITUTE(SUBSTITUTE(SUBSTITUTE(SUBSTITUTE(SUBSTITUTE(SUBSTITUTE(SUBSTITUTE(SUBSTITUTE(LOWER(TRIM(D143)),"ё","е")," -","-"),"- ","-")," 2 разряда","")," 3 разряда","")," 4 разряда","")," 5 разряда","")," 6 разряда","")," 1 категории","")," 2 категории","")," 3 категории",""))="ведущий инженер",IF(ISNUMBER(SEARCH("диспетч",E143)),"ведущий инженер пдо",TRIM(SUBSTITUTE(SUBSTITUTE(SUBSTITUTE(SUBSTITUTE(SUBSTITUTE(SUBSTITUTE(SUBSTITUTE(SUBSTITUTE(SUBSTITUTE(SUBSTITUTE(SUBSTITUTE(LOWER(TRIM(D143)),"ё","е"),"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отк",TRIM(SUBSTITUTE(SUBSTITUTE(SUBSTITUTE(SUBSTITUTE(SUBSTITUTE(SUBSTITUTE(SUBSTITUTE(SUBSTITUTE(SUBSTITUTE(SUBSTITUTE(SUBSTITUTE(LOWER(TRIM(D143)),"ё","е")," -","-"),"- ","-")," 2 разряда","")," 3 разряда","")," 4 разряда","")," 5 разряда","")," 6 разряда","")," 1 категории","")," 2 категории","")," 3 категории","")))))</f>
        <v>мастер участка</v>
      </c>
      <c r="H143" s="11" t="n">
        <f aca="false">IFERROR(INDEX(Соответствие!$B$2:$B$76,MATCH(G143,Соответствие!$A$2:$A$76,0)),"?")</f>
        <v>18</v>
      </c>
      <c r="I143" s="8" t="str">
        <f aca="false">IFERROR(INDEX('Перечень должностей'!$C$2:$C$46,MATCH(H143,'Перечень должностей'!$A$2:$A$46,0)),"")</f>
        <v>п.4.4, п.5.1, п.5.2</v>
      </c>
      <c r="J143" s="11" t="n">
        <f aca="false">IFERROR(INDEX('Перечень должностей'!$D$2:$D$46,MATCH(H143,'Перечень должностей'!$A$2:$A$46,0)),12)</f>
        <v>12</v>
      </c>
      <c r="K143" s="16"/>
      <c r="L143" s="16"/>
      <c r="M143" s="15" t="str">
        <f aca="false">IF(K143="","",EDATE(IF(L143&lt;&gt;"",L143,K143),J143))</f>
        <v/>
      </c>
      <c r="N143" s="11" t="str">
        <f aca="false">IFERROR(INDEX('Перечень должностей'!$F$2:$F$46,MATCH(H143,'Перечень должностей'!$A$2:$A$46,0)),"")</f>
        <v>-</v>
      </c>
      <c r="O143" s="16"/>
      <c r="P143" s="15" t="str">
        <f aca="false">IF(O143="","",EDATE(O143,60))</f>
        <v/>
      </c>
      <c r="Q143" s="11" t="str">
        <f aca="false">IF(AND(K143&lt;&gt;"",F143&lt;&gt;"",K143&gt;F143),"ДА","")</f>
        <v/>
      </c>
      <c r="R143" s="8"/>
    </row>
    <row r="144" customFormat="false" ht="35.05" hidden="false" customHeight="false" outlineLevel="0" collapsed="false">
      <c r="A144" s="14" t="n">
        <v>143</v>
      </c>
      <c r="B144" s="11" t="s">
        <v>50</v>
      </c>
      <c r="C144" s="14" t="s">
        <v>563</v>
      </c>
      <c r="D144" s="14" t="s">
        <v>564</v>
      </c>
      <c r="E144" s="14" t="s">
        <v>49</v>
      </c>
      <c r="F144" s="15" t="n">
        <v>40148</v>
      </c>
      <c r="G144" s="4" t="str">
        <f aca="false">IF(TRIM(SUBSTITUTE(SUBSTITUTE(SUBSTITUTE(SUBSTITUTE(SUBSTITUTE(SUBSTITUTE(SUBSTITUTE(SUBSTITUTE(SUBSTITUTE(SUBSTITUTE(SUBSTITUTE(LOWER(TRIM(D144)),"ё","е")," -","-"),"- ","-")," 2 разряда","")," 3 разряда","")," 4 разряда","")," 5 разряда","")," 6 разряда","")," 1 категории","")," 2 категории","")," 3 категории",""))="инженер",IF(AND(ISNUMBER(SEARCH("техническ",E144)),ISNUMBER(SEARCH("контрол",E144))),"инженер отк",IF(ISNUMBER(SEARCH("диспетч",E144)),"инженер пдо",TRIM(SUBSTITUTE(SUBSTITUTE(SUBSTITUTE(SUBSTITUTE(SUBSTITUTE(SUBSTITUTE(SUBSTITUTE(SUBSTITUTE(SUBSTITUTE(SUBSTITUTE(SUBSTITUTE(LOWER(TRIM(D144)),"ё","е"),"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категории","")))),IF(TRIM(SUBSTITUTE(SUBSTITUTE(SUBSTITUTE(SUBSTITUTE(SUBSTITUTE(SUBSTITUTE(SUBSTITUTE(SUBSTITUTE(SUBSTITUTE(SUBSTITUTE(SUBSTITUTE(LOWER(TRIM(D144)),"ё","е")," -","-"),"- ","-")," 2 разряда","")," 3 разряда","")," 4 разряда","")," 5 разряда","")," 6 разряда","")," 1 категории","")," 2 категории","")," 3 категории",""))="ведущий инженер",IF(ISNUMBER(SEARCH("диспетч",E144)),"ведущий инженер пдо",TRIM(SUBSTITUTE(SUBSTITUTE(SUBSTITUTE(SUBSTITUTE(SUBSTITUTE(SUBSTITUTE(SUBSTITUTE(SUBSTITUTE(SUBSTITUTE(SUBSTITUTE(SUBSTITUTE(LOWER(TRIM(D144)),"ё","е"),"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отк",TRIM(SUBSTITUTE(SUBSTITUTE(SUBSTITUTE(SUBSTITUTE(SUBSTITUTE(SUBSTITUTE(SUBSTITUTE(SUBSTITUTE(SUBSTITUTE(SUBSTITUTE(SUBSTITUTE(LOWER(TRIM(D144)),"ё","е")," -","-"),"- ","-")," 2 разряда","")," 3 разряда","")," 4 разряда","")," 5 разряда","")," 6 разряда","")," 1 категории","")," 2 категории","")," 3 категории","")))))</f>
        <v>оператор станков с чпу</v>
      </c>
      <c r="H144" s="11" t="n">
        <f aca="false">IFERROR(INDEX(Соответствие!$B$2:$B$76,MATCH(G144,Соответствие!$A$2:$A$76,0)),"?")</f>
        <v>30</v>
      </c>
      <c r="I144" s="8" t="str">
        <f aca="false">IFERROR(INDEX('Перечень должностей'!$C$2:$C$46,MATCH(H144,'Перечень должностей'!$A$2:$A$46,0)),"")</f>
        <v>п.4.3.1, п.4.3.2, п.4.4, п.5.1, п.5.2, п.15</v>
      </c>
      <c r="J144" s="11" t="n">
        <f aca="false">IFERROR(INDEX('Перечень должностей'!$D$2:$D$46,MATCH(H144,'Перечень должностей'!$A$2:$A$46,0)),12)</f>
        <v>12</v>
      </c>
      <c r="K144" s="16"/>
      <c r="L144" s="16"/>
      <c r="M144" s="15" t="str">
        <f aca="false">IF(K144="","",EDATE(IF(L144&lt;&gt;"",L144,K144),J144))</f>
        <v/>
      </c>
      <c r="N144" s="11" t="str">
        <f aca="false">IFERROR(INDEX('Перечень должностей'!$F$2:$F$46,MATCH(H144,'Перечень должностей'!$A$2:$A$46,0)),"")</f>
        <v>-</v>
      </c>
      <c r="O144" s="16"/>
      <c r="P144" s="15" t="str">
        <f aca="false">IF(O144="","",EDATE(O144,60))</f>
        <v/>
      </c>
      <c r="Q144" s="11" t="str">
        <f aca="false">IF(AND(K144&lt;&gt;"",F144&lt;&gt;"",K144&gt;F144),"ДА","")</f>
        <v/>
      </c>
      <c r="R144" s="8" t="s">
        <v>565</v>
      </c>
    </row>
    <row r="145" customFormat="false" ht="46.25" hidden="false" customHeight="false" outlineLevel="0" collapsed="false">
      <c r="A145" s="14" t="n">
        <v>144</v>
      </c>
      <c r="B145" s="11" t="s">
        <v>50</v>
      </c>
      <c r="C145" s="14" t="s">
        <v>120</v>
      </c>
      <c r="D145" s="14" t="s">
        <v>566</v>
      </c>
      <c r="E145" s="14" t="s">
        <v>49</v>
      </c>
      <c r="F145" s="15" t="n">
        <v>44655</v>
      </c>
      <c r="G145" s="4" t="str">
        <f aca="false">IF(TRIM(SUBSTITUTE(SUBSTITUTE(SUBSTITUTE(SUBSTITUTE(SUBSTITUTE(SUBSTITUTE(SUBSTITUTE(SUBSTITUTE(SUBSTITUTE(SUBSTITUTE(SUBSTITUTE(LOWER(TRIM(D145)),"ё","е")," -","-"),"- ","-")," 2 разряда","")," 3 разряда","")," 4 разряда","")," 5 разряда","")," 6 разряда","")," 1 категории","")," 2 категории","")," 3 категории",""))="инженер",IF(AND(ISNUMBER(SEARCH("техническ",E145)),ISNUMBER(SEARCH("контрол",E145))),"инженер отк",IF(ISNUMBER(SEARCH("диспетч",E145)),"инженер пдо",TRIM(SUBSTITUTE(SUBSTITUTE(SUBSTITUTE(SUBSTITUTE(SUBSTITUTE(SUBSTITUTE(SUBSTITUTE(SUBSTITUTE(SUBSTITUTE(SUBSTITUTE(SUBSTITUTE(LOWER(TRIM(D145)),"ё","е"),"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категории","")))),IF(TRIM(SUBSTITUTE(SUBSTITUTE(SUBSTITUTE(SUBSTITUTE(SUBSTITUTE(SUBSTITUTE(SUBSTITUTE(SUBSTITUTE(SUBSTITUTE(SUBSTITUTE(SUBSTITUTE(LOWER(TRIM(D145)),"ё","е")," -","-"),"- ","-")," 2 разряда","")," 3 разряда","")," 4 разряда","")," 5 разряда","")," 6 разряда","")," 1 категории","")," 2 категории","")," 3 категории",""))="ведущий инженер",IF(ISNUMBER(SEARCH("диспетч",E145)),"ведущий инженер пдо",TRIM(SUBSTITUTE(SUBSTITUTE(SUBSTITUTE(SUBSTITUTE(SUBSTITUTE(SUBSTITUTE(SUBSTITUTE(SUBSTITUTE(SUBSTITUTE(SUBSTITUTE(SUBSTITUTE(LOWER(TRIM(D145)),"ё","е"),"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отк",TRIM(SUBSTITUTE(SUBSTITUTE(SUBSTITUTE(SUBSTITUTE(SUBSTITUTE(SUBSTITUTE(SUBSTITUTE(SUBSTITUTE(SUBSTITUTE(SUBSTITUTE(SUBSTITUTE(LOWER(TRIM(D145)),"ё","е")," -","-"),"- ","-")," 2 разряда","")," 3 разряда","")," 4 разряда","")," 5 разряда","")," 6 разряда","")," 1 категории","")," 2 категории","")," 3 категории","")))))</f>
        <v>техник-сборщик</v>
      </c>
      <c r="H145" s="11" t="n">
        <f aca="false">IFERROR(INDEX(Соответствие!$B$2:$B$76,MATCH(G145,Соответствие!$A$2:$A$76,0)),"?")</f>
        <v>21</v>
      </c>
      <c r="I145" s="8" t="str">
        <f aca="false">IFERROR(INDEX('Перечень должностей'!$C$2:$C$46,MATCH(H145,'Перечень должностей'!$A$2:$A$46,0)),"")</f>
        <v>п.1.49.2, п.1.49.14, п.4.3.1, п.4.3.2, п.4.4, п.5.1, п.15</v>
      </c>
      <c r="J145" s="11" t="n">
        <f aca="false">IFERROR(INDEX('Перечень должностей'!$D$2:$D$46,MATCH(H145,'Перечень должностей'!$A$2:$A$46,0)),12)</f>
        <v>12</v>
      </c>
      <c r="K145" s="16"/>
      <c r="L145" s="16"/>
      <c r="M145" s="15" t="str">
        <f aca="false">IF(K145="","",EDATE(IF(L145&lt;&gt;"",L145,K145),J145))</f>
        <v/>
      </c>
      <c r="N145" s="11" t="str">
        <f aca="false">IFERROR(INDEX('Перечень должностей'!$F$2:$F$46,MATCH(H145,'Перечень должностей'!$A$2:$A$46,0)),"")</f>
        <v>-</v>
      </c>
      <c r="O145" s="16"/>
      <c r="P145" s="15" t="str">
        <f aca="false">IF(O145="","",EDATE(O145,60))</f>
        <v/>
      </c>
      <c r="Q145" s="11" t="str">
        <f aca="false">IF(AND(K145&lt;&gt;"",F145&lt;&gt;"",K145&gt;F145),"ДА","")</f>
        <v/>
      </c>
      <c r="R145" s="17" t="s">
        <v>121</v>
      </c>
    </row>
    <row r="146" customFormat="false" ht="26.25" hidden="false" customHeight="true" outlineLevel="0" collapsed="false">
      <c r="A146" s="14" t="n">
        <v>145</v>
      </c>
      <c r="B146" s="11" t="s">
        <v>50</v>
      </c>
      <c r="C146" s="14" t="s">
        <v>122</v>
      </c>
      <c r="D146" s="14" t="s">
        <v>566</v>
      </c>
      <c r="E146" s="14" t="s">
        <v>182</v>
      </c>
      <c r="F146" s="15" t="n">
        <v>42494</v>
      </c>
      <c r="G146" s="4" t="str">
        <f aca="false">IF(TRIM(SUBSTITUTE(SUBSTITUTE(SUBSTITUTE(SUBSTITUTE(SUBSTITUTE(SUBSTITUTE(SUBSTITUTE(SUBSTITUTE(SUBSTITUTE(SUBSTITUTE(SUBSTITUTE(LOWER(TRIM(D146)),"ё","е")," -","-"),"- ","-")," 2 разряда","")," 3 разряда","")," 4 разряда","")," 5 разряда","")," 6 разряда","")," 1 категории","")," 2 категории","")," 3 категории",""))="инженер",IF(AND(ISNUMBER(SEARCH("техническ",E146)),ISNUMBER(SEARCH("контрол",E146))),"инженер отк",IF(ISNUMBER(SEARCH("диспетч",E146)),"инженер пдо",TRIM(SUBSTITUTE(SUBSTITUTE(SUBSTITUTE(SUBSTITUTE(SUBSTITUTE(SUBSTITUTE(SUBSTITUTE(SUBSTITUTE(SUBSTITUTE(SUBSTITUTE(SUBSTITUTE(LOWER(TRIM(D146)),"ё","е"),"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категории","")))),IF(TRIM(SUBSTITUTE(SUBSTITUTE(SUBSTITUTE(SUBSTITUTE(SUBSTITUTE(SUBSTITUTE(SUBSTITUTE(SUBSTITUTE(SUBSTITUTE(SUBSTITUTE(SUBSTITUTE(LOWER(TRIM(D146)),"ё","е")," -","-"),"- ","-")," 2 разряда","")," 3 разряда","")," 4 разряда","")," 5 разряда","")," 6 разряда","")," 1 категории","")," 2 категории","")," 3 категории",""))="ведущий инженер",IF(ISNUMBER(SEARCH("диспетч",E146)),"ведущий инженер пдо",TRIM(SUBSTITUTE(SUBSTITUTE(SUBSTITUTE(SUBSTITUTE(SUBSTITUTE(SUBSTITUTE(SUBSTITUTE(SUBSTITUTE(SUBSTITUTE(SUBSTITUTE(SUBSTITUTE(LOWER(TRIM(D146)),"ё","е"),"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отк",TRIM(SUBSTITUTE(SUBSTITUTE(SUBSTITUTE(SUBSTITUTE(SUBSTITUTE(SUBSTITUTE(SUBSTITUTE(SUBSTITUTE(SUBSTITUTE(SUBSTITUTE(SUBSTITUTE(LOWER(TRIM(D146)),"ё","е")," -","-"),"- ","-")," 2 разряда","")," 3 разряда","")," 4 разряда","")," 5 разряда","")," 6 разряда","")," 1 категории","")," 2 категории","")," 3 категории","")))))</f>
        <v>техник-сборщик</v>
      </c>
      <c r="H146" s="11" t="n">
        <f aca="false">IFERROR(INDEX(Соответствие!$B$2:$B$76,MATCH(G146,Соответствие!$A$2:$A$76,0)),"?")</f>
        <v>21</v>
      </c>
      <c r="I146" s="8" t="str">
        <f aca="false">IFERROR(INDEX('Перечень должностей'!$C$2:$C$46,MATCH(H146,'Перечень должностей'!$A$2:$A$46,0)),"")</f>
        <v>п.1.49.2, п.1.49.14, п.4.3.1, п.4.3.2, п.4.4, п.5.1, п.15</v>
      </c>
      <c r="J146" s="11" t="n">
        <f aca="false">IFERROR(INDEX('Перечень должностей'!$D$2:$D$46,MATCH(H146,'Перечень должностей'!$A$2:$A$46,0)),12)</f>
        <v>12</v>
      </c>
      <c r="K146" s="16"/>
      <c r="L146" s="16"/>
      <c r="M146" s="15" t="str">
        <f aca="false">IF(K146="","",EDATE(IF(L146&lt;&gt;"",L146,K146),J146))</f>
        <v/>
      </c>
      <c r="N146" s="11" t="str">
        <f aca="false">IFERROR(INDEX('Перечень должностей'!$F$2:$F$46,MATCH(H146,'Перечень должностей'!$A$2:$A$46,0)),"")</f>
        <v>-</v>
      </c>
      <c r="O146" s="16"/>
      <c r="P146" s="15" t="str">
        <f aca="false">IF(O146="","",EDATE(O146,60))</f>
        <v/>
      </c>
      <c r="Q146" s="11" t="str">
        <f aca="false">IF(AND(K146&lt;&gt;"",F146&lt;&gt;"",K146&gt;F146),"ДА","")</f>
        <v/>
      </c>
      <c r="R146" s="17" t="s">
        <v>121</v>
      </c>
    </row>
    <row r="147" customFormat="false" ht="26.25" hidden="false" customHeight="true" outlineLevel="0" collapsed="false">
      <c r="A147" s="14" t="n">
        <v>146</v>
      </c>
      <c r="B147" s="11" t="s">
        <v>50</v>
      </c>
      <c r="C147" s="14" t="s">
        <v>123</v>
      </c>
      <c r="D147" s="14" t="s">
        <v>566</v>
      </c>
      <c r="E147" s="14" t="s">
        <v>49</v>
      </c>
      <c r="F147" s="15" t="n">
        <v>38363</v>
      </c>
      <c r="G147" s="4" t="str">
        <f aca="false">IF(TRIM(SUBSTITUTE(SUBSTITUTE(SUBSTITUTE(SUBSTITUTE(SUBSTITUTE(SUBSTITUTE(SUBSTITUTE(SUBSTITUTE(SUBSTITUTE(SUBSTITUTE(SUBSTITUTE(LOWER(TRIM(D147)),"ё","е")," -","-"),"- ","-")," 2 разряда","")," 3 разряда","")," 4 разряда","")," 5 разряда","")," 6 разряда","")," 1 категории","")," 2 категории","")," 3 категории",""))="инженер",IF(AND(ISNUMBER(SEARCH("техническ",E147)),ISNUMBER(SEARCH("контрол",E147))),"инженер отк",IF(ISNUMBER(SEARCH("диспетч",E147)),"инженер пдо",TRIM(SUBSTITUTE(SUBSTITUTE(SUBSTITUTE(SUBSTITUTE(SUBSTITUTE(SUBSTITUTE(SUBSTITUTE(SUBSTITUTE(SUBSTITUTE(SUBSTITUTE(SUBSTITUTE(LOWER(TRIM(D147)),"ё","е"),"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категории","")))),IF(TRIM(SUBSTITUTE(SUBSTITUTE(SUBSTITUTE(SUBSTITUTE(SUBSTITUTE(SUBSTITUTE(SUBSTITUTE(SUBSTITUTE(SUBSTITUTE(SUBSTITUTE(SUBSTITUTE(LOWER(TRIM(D147)),"ё","е")," -","-"),"- ","-")," 2 разряда","")," 3 разряда","")," 4 разряда","")," 5 разряда","")," 6 разряда","")," 1 категории","")," 2 категории","")," 3 категории",""))="ведущий инженер",IF(ISNUMBER(SEARCH("диспетч",E147)),"ведущий инженер пдо",TRIM(SUBSTITUTE(SUBSTITUTE(SUBSTITUTE(SUBSTITUTE(SUBSTITUTE(SUBSTITUTE(SUBSTITUTE(SUBSTITUTE(SUBSTITUTE(SUBSTITUTE(SUBSTITUTE(LOWER(TRIM(D147)),"ё","е"),"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отк",TRIM(SUBSTITUTE(SUBSTITUTE(SUBSTITUTE(SUBSTITUTE(SUBSTITUTE(SUBSTITUTE(SUBSTITUTE(SUBSTITUTE(SUBSTITUTE(SUBSTITUTE(SUBSTITUTE(LOWER(TRIM(D147)),"ё","е")," -","-"),"- ","-")," 2 разряда","")," 3 разряда","")," 4 разряда","")," 5 разряда","")," 6 разряда","")," 1 категории","")," 2 категории","")," 3 категории","")))))</f>
        <v>техник-сборщик</v>
      </c>
      <c r="H147" s="11" t="n">
        <f aca="false">IFERROR(INDEX(Соответствие!$B$2:$B$76,MATCH(G147,Соответствие!$A$2:$A$76,0)),"?")</f>
        <v>21</v>
      </c>
      <c r="I147" s="8" t="str">
        <f aca="false">IFERROR(INDEX('Перечень должностей'!$C$2:$C$46,MATCH(H147,'Перечень должностей'!$A$2:$A$46,0)),"")</f>
        <v>п.1.49.2, п.1.49.14, п.4.3.1, п.4.3.2, п.4.4, п.5.1, п.15</v>
      </c>
      <c r="J147" s="11" t="n">
        <f aca="false">IFERROR(INDEX('Перечень должностей'!$D$2:$D$46,MATCH(H147,'Перечень должностей'!$A$2:$A$46,0)),12)</f>
        <v>12</v>
      </c>
      <c r="K147" s="16"/>
      <c r="L147" s="16"/>
      <c r="M147" s="15" t="str">
        <f aca="false">IF(K147="","",EDATE(IF(L147&lt;&gt;"",L147,K147),J147))</f>
        <v/>
      </c>
      <c r="N147" s="11" t="str">
        <f aca="false">IFERROR(INDEX('Перечень должностей'!$F$2:$F$46,MATCH(H147,'Перечень должностей'!$A$2:$A$46,0)),"")</f>
        <v>-</v>
      </c>
      <c r="O147" s="16"/>
      <c r="P147" s="15" t="str">
        <f aca="false">IF(O147="","",EDATE(O147,60))</f>
        <v/>
      </c>
      <c r="Q147" s="11" t="str">
        <f aca="false">IF(AND(K147&lt;&gt;"",F147&lt;&gt;"",K147&gt;F147),"ДА","")</f>
        <v/>
      </c>
      <c r="R147" s="17" t="s">
        <v>121</v>
      </c>
    </row>
    <row r="148" customFormat="false" ht="26.25" hidden="false" customHeight="true" outlineLevel="0" collapsed="false">
      <c r="A148" s="14" t="n">
        <v>147</v>
      </c>
      <c r="B148" s="11" t="s">
        <v>50</v>
      </c>
      <c r="C148" s="14" t="s">
        <v>124</v>
      </c>
      <c r="D148" s="14" t="s">
        <v>566</v>
      </c>
      <c r="E148" s="14" t="s">
        <v>182</v>
      </c>
      <c r="F148" s="15" t="n">
        <v>45159</v>
      </c>
      <c r="G148" s="4" t="str">
        <f aca="false">IF(TRIM(SUBSTITUTE(SUBSTITUTE(SUBSTITUTE(SUBSTITUTE(SUBSTITUTE(SUBSTITUTE(SUBSTITUTE(SUBSTITUTE(SUBSTITUTE(SUBSTITUTE(SUBSTITUTE(LOWER(TRIM(D148)),"ё","е")," -","-"),"- ","-")," 2 разряда","")," 3 разряда","")," 4 разряда","")," 5 разряда","")," 6 разряда","")," 1 категории","")," 2 категории","")," 3 категории",""))="инженер",IF(AND(ISNUMBER(SEARCH("техническ",E148)),ISNUMBER(SEARCH("контрол",E148))),"инженер отк",IF(ISNUMBER(SEARCH("диспетч",E148)),"инженер пдо",TRIM(SUBSTITUTE(SUBSTITUTE(SUBSTITUTE(SUBSTITUTE(SUBSTITUTE(SUBSTITUTE(SUBSTITUTE(SUBSTITUTE(SUBSTITUTE(SUBSTITUTE(SUBSTITUTE(LOWER(TRIM(D148)),"ё","е"),"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категории","")))),IF(TRIM(SUBSTITUTE(SUBSTITUTE(SUBSTITUTE(SUBSTITUTE(SUBSTITUTE(SUBSTITUTE(SUBSTITUTE(SUBSTITUTE(SUBSTITUTE(SUBSTITUTE(SUBSTITUTE(LOWER(TRIM(D148)),"ё","е")," -","-"),"- ","-")," 2 разряда","")," 3 разряда","")," 4 разряда","")," 5 разряда","")," 6 разряда","")," 1 категории","")," 2 категории","")," 3 категории",""))="ведущий инженер",IF(ISNUMBER(SEARCH("диспетч",E148)),"ведущий инженер пдо",TRIM(SUBSTITUTE(SUBSTITUTE(SUBSTITUTE(SUBSTITUTE(SUBSTITUTE(SUBSTITUTE(SUBSTITUTE(SUBSTITUTE(SUBSTITUTE(SUBSTITUTE(SUBSTITUTE(LOWER(TRIM(D148)),"ё","е"),"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отк",TRIM(SUBSTITUTE(SUBSTITUTE(SUBSTITUTE(SUBSTITUTE(SUBSTITUTE(SUBSTITUTE(SUBSTITUTE(SUBSTITUTE(SUBSTITUTE(SUBSTITUTE(SUBSTITUTE(LOWER(TRIM(D148)),"ё","е")," -","-"),"- ","-")," 2 разряда","")," 3 разряда","")," 4 разряда","")," 5 разряда","")," 6 разряда","")," 1 категории","")," 2 категории","")," 3 категории","")))))</f>
        <v>техник-сборщик</v>
      </c>
      <c r="H148" s="11" t="n">
        <f aca="false">IFERROR(INDEX(Соответствие!$B$2:$B$76,MATCH(G148,Соответствие!$A$2:$A$76,0)),"?")</f>
        <v>21</v>
      </c>
      <c r="I148" s="8" t="str">
        <f aca="false">IFERROR(INDEX('Перечень должностей'!$C$2:$C$46,MATCH(H148,'Перечень должностей'!$A$2:$A$46,0)),"")</f>
        <v>п.1.49.2, п.1.49.14, п.4.3.1, п.4.3.2, п.4.4, п.5.1, п.15</v>
      </c>
      <c r="J148" s="11" t="n">
        <f aca="false">IFERROR(INDEX('Перечень должностей'!$D$2:$D$46,MATCH(H148,'Перечень должностей'!$A$2:$A$46,0)),12)</f>
        <v>12</v>
      </c>
      <c r="K148" s="16"/>
      <c r="L148" s="16"/>
      <c r="M148" s="15" t="str">
        <f aca="false">IF(K148="","",EDATE(IF(L148&lt;&gt;"",L148,K148),J148))</f>
        <v/>
      </c>
      <c r="N148" s="11" t="str">
        <f aca="false">IFERROR(INDEX('Перечень должностей'!$F$2:$F$46,MATCH(H148,'Перечень должностей'!$A$2:$A$46,0)),"")</f>
        <v>-</v>
      </c>
      <c r="O148" s="16"/>
      <c r="P148" s="15" t="str">
        <f aca="false">IF(O148="","",EDATE(O148,60))</f>
        <v/>
      </c>
      <c r="Q148" s="11" t="str">
        <f aca="false">IF(AND(K148&lt;&gt;"",F148&lt;&gt;"",K148&gt;F148),"ДА","")</f>
        <v/>
      </c>
      <c r="R148" s="17" t="s">
        <v>121</v>
      </c>
    </row>
    <row r="149" customFormat="false" ht="26.25" hidden="false" customHeight="true" outlineLevel="0" collapsed="false">
      <c r="A149" s="14" t="n">
        <v>148</v>
      </c>
      <c r="B149" s="11" t="s">
        <v>50</v>
      </c>
      <c r="C149" s="14" t="s">
        <v>125</v>
      </c>
      <c r="D149" s="14" t="s">
        <v>566</v>
      </c>
      <c r="E149" s="14" t="s">
        <v>49</v>
      </c>
      <c r="F149" s="15" t="n">
        <v>39356</v>
      </c>
      <c r="G149" s="4" t="str">
        <f aca="false">IF(TRIM(SUBSTITUTE(SUBSTITUTE(SUBSTITUTE(SUBSTITUTE(SUBSTITUTE(SUBSTITUTE(SUBSTITUTE(SUBSTITUTE(SUBSTITUTE(SUBSTITUTE(SUBSTITUTE(LOWER(TRIM(D149)),"ё","е")," -","-"),"- ","-")," 2 разряда","")," 3 разряда","")," 4 разряда","")," 5 разряда","")," 6 разряда","")," 1 категории","")," 2 категории","")," 3 категории",""))="инженер",IF(AND(ISNUMBER(SEARCH("техническ",E149)),ISNUMBER(SEARCH("контрол",E149))),"инженер отк",IF(ISNUMBER(SEARCH("диспетч",E149)),"инженер пдо",TRIM(SUBSTITUTE(SUBSTITUTE(SUBSTITUTE(SUBSTITUTE(SUBSTITUTE(SUBSTITUTE(SUBSTITUTE(SUBSTITUTE(SUBSTITUTE(SUBSTITUTE(SUBSTITUTE(LOWER(TRIM(D149)),"ё","е"),"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категории","")))),IF(TRIM(SUBSTITUTE(SUBSTITUTE(SUBSTITUTE(SUBSTITUTE(SUBSTITUTE(SUBSTITUTE(SUBSTITUTE(SUBSTITUTE(SUBSTITUTE(SUBSTITUTE(SUBSTITUTE(LOWER(TRIM(D149)),"ё","е")," -","-"),"- ","-")," 2 разряда","")," 3 разряда","")," 4 разряда","")," 5 разряда","")," 6 разряда","")," 1 категории","")," 2 категории","")," 3 категории",""))="ведущий инженер",IF(ISNUMBER(SEARCH("диспетч",E149)),"ведущий инженер пдо",TRIM(SUBSTITUTE(SUBSTITUTE(SUBSTITUTE(SUBSTITUTE(SUBSTITUTE(SUBSTITUTE(SUBSTITUTE(SUBSTITUTE(SUBSTITUTE(SUBSTITUTE(SUBSTITUTE(LOWER(TRIM(D149)),"ё","е"),"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категории",""))),IF(TRIM(SUBSTITUTE(SUBSTITUTE(SUBSTITUTE(SUBSTITUTE(SUBSTITUTE(SUBSTITUTE(SUBSTITUTE(SUBSTITUTE(SUBSTITUTE(SUBSTITUTE(SUBSTITUTE(LOWER(TRIM(D149)),"ё","е"),"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отк",TRIM(SUBSTITUTE(SUBSTITUTE(SUBSTITUTE(SUBSTITUTE(SUBSTITUTE(SUBSTITUTE(SUBSTITUTE(SUBSTITUTE(SUBSTITUTE(SUBSTITUTE(SUBSTITUTE(LOWER(TRIM(D149)),"ё","е")," -","-"),"- ","-")," 2 разряда","")," 3 разряда","")," 4 разряда","")," 5 разряда","")," 6 разряда","")," 1 категории","")," 2 категории","")," 3 категории","")))))</f>
        <v>техник-сборщик</v>
      </c>
      <c r="H149" s="11" t="n">
        <f aca="false">IFERROR(INDEX(Соответствие!$B$2:$B$76,MATCH(G149,Соответствие!$A$2:$A$76,0)),"?")</f>
        <v>21</v>
      </c>
      <c r="I149" s="8" t="str">
        <f aca="false">IFERROR(INDEX('Перечень должностей'!$C$2:$C$46,MATCH(H149,'Перечень должностей'!$A$2:$A$46,0)),"")</f>
        <v>п.1.49.2, п.1.49.14, п.4.3.1, п.4.3.2, п.4.4, п.5.1, п.15</v>
      </c>
      <c r="J149" s="11" t="n">
        <f aca="false">IFERROR(INDEX('Перечень должностей'!$D$2:$D$46,MATCH(H149,'Перечень должностей'!$A$2:$A$46,0)),12)</f>
        <v>12</v>
      </c>
      <c r="K149" s="16"/>
      <c r="L149" s="16"/>
      <c r="M149" s="15" t="str">
        <f aca="false">IF(K149="","",EDATE(IF(L149&lt;&gt;"",L149,K149),J149))</f>
        <v/>
      </c>
      <c r="N149" s="11" t="str">
        <f aca="false">IFERROR(INDEX('Перечень должностей'!$F$2:$F$46,MATCH(H149,'Перечень должностей'!$A$2:$A$46,0)),"")</f>
        <v>-</v>
      </c>
      <c r="O149" s="16"/>
      <c r="P149" s="15" t="str">
        <f aca="false">IF(O149="","",EDATE(O149,60))</f>
        <v/>
      </c>
      <c r="Q149" s="11" t="str">
        <f aca="false">IF(AND(K149&lt;&gt;"",F149&lt;&gt;"",K149&gt;F149),"ДА","")</f>
        <v/>
      </c>
      <c r="R149" s="17" t="s">
        <v>121</v>
      </c>
    </row>
    <row r="150" customFormat="false" ht="26.25" hidden="false" customHeight="true" outlineLevel="0" collapsed="false">
      <c r="A150" s="14" t="n">
        <v>149</v>
      </c>
      <c r="B150" s="11" t="s">
        <v>50</v>
      </c>
      <c r="C150" s="14" t="s">
        <v>126</v>
      </c>
      <c r="D150" s="14" t="s">
        <v>566</v>
      </c>
      <c r="E150" s="14" t="s">
        <v>49</v>
      </c>
      <c r="F150" s="15" t="n">
        <v>38810</v>
      </c>
      <c r="G150" s="4" t="str">
        <f aca="false">IF(TRIM(SUBSTITUTE(SUBSTITUTE(SUBSTITUTE(SUBSTITUTE(SUBSTITUTE(SUBSTITUTE(SUBSTITUTE(SUBSTITUTE(SUBSTITUTE(SUBSTITUTE(SUBSTITUTE(LOWER(TRIM(D150)),"ё","е")," -","-"),"- ","-")," 2 разряда","")," 3 разряда","")," 4 разряда","")," 5 разряда","")," 6 разряда","")," 1 категории","")," 2 категории","")," 3 категории",""))="инженер",IF(AND(ISNUMBER(SEARCH("техническ",E150)),ISNUMBER(SEARCH("контрол",E150))),"инженер отк",IF(ISNUMBER(SEARCH("диспетч",E150)),"инженер пдо",TRIM(SUBSTITUTE(SUBSTITUTE(SUBSTITUTE(SUBSTITUTE(SUBSTITUTE(SUBSTITUTE(SUBSTITUTE(SUBSTITUTE(SUBSTITUTE(SUBSTITUTE(SUBSTITUTE(LOWER(TRIM(D150)),"ё","е"),"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категории","")))),IF(TRIM(SUBSTITUTE(SUBSTITUTE(SUBSTITUTE(SUBSTITUTE(SUBSTITUTE(SUBSTITUTE(SUBSTITUTE(SUBSTITUTE(SUBSTITUTE(SUBSTITUTE(SUBSTITUTE(LOWER(TRIM(D150)),"ё","е")," -","-"),"- ","-")," 2 разряда","")," 3 разряда","")," 4 разряда","")," 5 разряда","")," 6 разряда","")," 1 категории","")," 2 категории","")," 3 категории",""))="ведущий инженер",IF(ISNUMBER(SEARCH("диспетч",E150)),"ведущий инженер пдо",TRIM(SUBSTITUTE(SUBSTITUTE(SUBSTITUTE(SUBSTITUTE(SUBSTITUTE(SUBSTITUTE(SUBSTITUTE(SUBSTITUTE(SUBSTITUTE(SUBSTITUTE(SUBSTITUTE(LOWER(TRIM(D150)),"ё","е"),"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отк",TRIM(SUBSTITUTE(SUBSTITUTE(SUBSTITUTE(SUBSTITUTE(SUBSTITUTE(SUBSTITUTE(SUBSTITUTE(SUBSTITUTE(SUBSTITUTE(SUBSTITUTE(SUBSTITUTE(LOWER(TRIM(D150)),"ё","е")," -","-"),"- ","-")," 2 разряда","")," 3 разряда","")," 4 разряда","")," 5 разряда","")," 6 разряда","")," 1 категории","")," 2 категории","")," 3 категории","")))))</f>
        <v>техник-сборщик</v>
      </c>
      <c r="H150" s="11" t="n">
        <f aca="false">IFERROR(INDEX(Соответствие!$B$2:$B$76,MATCH(G150,Соответствие!$A$2:$A$76,0)),"?")</f>
        <v>21</v>
      </c>
      <c r="I150" s="8" t="str">
        <f aca="false">IFERROR(INDEX('Перечень должностей'!$C$2:$C$46,MATCH(H150,'Перечень должностей'!$A$2:$A$46,0)),"")</f>
        <v>п.1.49.2, п.1.49.14, п.4.3.1, п.4.3.2, п.4.4, п.5.1, п.15</v>
      </c>
      <c r="J150" s="11" t="n">
        <f aca="false">IFERROR(INDEX('Перечень должностей'!$D$2:$D$46,MATCH(H150,'Перечень должностей'!$A$2:$A$46,0)),12)</f>
        <v>12</v>
      </c>
      <c r="K150" s="16"/>
      <c r="L150" s="16"/>
      <c r="M150" s="15" t="str">
        <f aca="false">IF(K150="","",EDATE(IF(L150&lt;&gt;"",L150,K150),J150))</f>
        <v/>
      </c>
      <c r="N150" s="11" t="str">
        <f aca="false">IFERROR(INDEX('Перечень должностей'!$F$2:$F$46,MATCH(H150,'Перечень должностей'!$A$2:$A$46,0)),"")</f>
        <v>-</v>
      </c>
      <c r="O150" s="16"/>
      <c r="P150" s="15" t="str">
        <f aca="false">IF(O150="","",EDATE(O150,60))</f>
        <v/>
      </c>
      <c r="Q150" s="11" t="str">
        <f aca="false">IF(AND(K150&lt;&gt;"",F150&lt;&gt;"",K150&gt;F150),"ДА","")</f>
        <v/>
      </c>
      <c r="R150" s="17" t="s">
        <v>121</v>
      </c>
    </row>
    <row r="151" customFormat="false" ht="26.25" hidden="false" customHeight="true" outlineLevel="0" collapsed="false">
      <c r="A151" s="14" t="n">
        <v>150</v>
      </c>
      <c r="B151" s="11" t="s">
        <v>50</v>
      </c>
      <c r="C151" s="14" t="s">
        <v>127</v>
      </c>
      <c r="D151" s="14" t="s">
        <v>566</v>
      </c>
      <c r="E151" s="14" t="s">
        <v>49</v>
      </c>
      <c r="F151" s="15" t="n">
        <v>38728</v>
      </c>
      <c r="G151" s="4" t="str">
        <f aca="false">IF(TRIM(SUBSTITUTE(SUBSTITUTE(SUBSTITUTE(SUBSTITUTE(SUBSTITUTE(SUBSTITUTE(SUBSTITUTE(SUBSTITUTE(SUBSTITUTE(SUBSTITUTE(SUBSTITUTE(LOWER(TRIM(D151)),"ё","е")," -","-"),"- ","-")," 2 разряда","")," 3 разряда","")," 4 разряда","")," 5 разряда","")," 6 разряда","")," 1 категории","")," 2 категории","")," 3 категории",""))="инженер",IF(AND(ISNUMBER(SEARCH("техническ",E151)),ISNUMBER(SEARCH("контрол",E151))),"инженер отк",IF(ISNUMBER(SEARCH("диспетч",E151)),"инженер пдо",TRIM(SUBSTITUTE(SUBSTITUTE(SUBSTITUTE(SUBSTITUTE(SUBSTITUTE(SUBSTITUTE(SUBSTITUTE(SUBSTITUTE(SUBSTITUTE(SUBSTITUTE(SUBSTITUTE(LOWER(TRIM(D151)),"ё","е"),"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категории","")))),IF(TRIM(SUBSTITUTE(SUBSTITUTE(SUBSTITUTE(SUBSTITUTE(SUBSTITUTE(SUBSTITUTE(SUBSTITUTE(SUBSTITUTE(SUBSTITUTE(SUBSTITUTE(SUBSTITUTE(LOWER(TRIM(D151)),"ё","е")," -","-"),"- ","-")," 2 разряда","")," 3 разряда","")," 4 разряда","")," 5 разряда","")," 6 разряда","")," 1 категории","")," 2 категории","")," 3 категории",""))="ведущий инженер",IF(ISNUMBER(SEARCH("диспетч",E151)),"ведущий инженер пдо",TRIM(SUBSTITUTE(SUBSTITUTE(SUBSTITUTE(SUBSTITUTE(SUBSTITUTE(SUBSTITUTE(SUBSTITUTE(SUBSTITUTE(SUBSTITUTE(SUBSTITUTE(SUBSTITUTE(LOWER(TRIM(D151)),"ё","е"),"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отк",TRIM(SUBSTITUTE(SUBSTITUTE(SUBSTITUTE(SUBSTITUTE(SUBSTITUTE(SUBSTITUTE(SUBSTITUTE(SUBSTITUTE(SUBSTITUTE(SUBSTITUTE(SUBSTITUTE(LOWER(TRIM(D151)),"ё","е")," -","-"),"- ","-")," 2 разряда","")," 3 разряда","")," 4 разряда","")," 5 разряда","")," 6 разряда","")," 1 категории","")," 2 категории","")," 3 категории","")))))</f>
        <v>техник-сборщик</v>
      </c>
      <c r="H151" s="11" t="n">
        <f aca="false">IFERROR(INDEX(Соответствие!$B$2:$B$76,MATCH(G151,Соответствие!$A$2:$A$76,0)),"?")</f>
        <v>21</v>
      </c>
      <c r="I151" s="8" t="str">
        <f aca="false">IFERROR(INDEX('Перечень должностей'!$C$2:$C$46,MATCH(H151,'Перечень должностей'!$A$2:$A$46,0)),"")</f>
        <v>п.1.49.2, п.1.49.14, п.4.3.1, п.4.3.2, п.4.4, п.5.1, п.15</v>
      </c>
      <c r="J151" s="11" t="n">
        <f aca="false">IFERROR(INDEX('Перечень должностей'!$D$2:$D$46,MATCH(H151,'Перечень должностей'!$A$2:$A$46,0)),12)</f>
        <v>12</v>
      </c>
      <c r="K151" s="16"/>
      <c r="L151" s="16"/>
      <c r="M151" s="15" t="str">
        <f aca="false">IF(K151="","",EDATE(IF(L151&lt;&gt;"",L151,K151),J151))</f>
        <v/>
      </c>
      <c r="N151" s="11" t="str">
        <f aca="false">IFERROR(INDEX('Перечень должностей'!$F$2:$F$46,MATCH(H151,'Перечень должностей'!$A$2:$A$46,0)),"")</f>
        <v>-</v>
      </c>
      <c r="O151" s="16"/>
      <c r="P151" s="15" t="str">
        <f aca="false">IF(O151="","",EDATE(O151,60))</f>
        <v/>
      </c>
      <c r="Q151" s="11" t="str">
        <f aca="false">IF(AND(K151&lt;&gt;"",F151&lt;&gt;"",K151&gt;F151),"ДА","")</f>
        <v/>
      </c>
      <c r="R151" s="17" t="s">
        <v>121</v>
      </c>
    </row>
    <row r="152" customFormat="false" ht="26.25" hidden="false" customHeight="true" outlineLevel="0" collapsed="false">
      <c r="A152" s="14" t="n">
        <v>151</v>
      </c>
      <c r="B152" s="11" t="s">
        <v>50</v>
      </c>
      <c r="C152" s="14" t="s">
        <v>128</v>
      </c>
      <c r="D152" s="14" t="s">
        <v>566</v>
      </c>
      <c r="E152" s="14" t="s">
        <v>49</v>
      </c>
      <c r="F152" s="15" t="n">
        <v>38810</v>
      </c>
      <c r="G152" s="4" t="str">
        <f aca="false">IF(TRIM(SUBSTITUTE(SUBSTITUTE(SUBSTITUTE(SUBSTITUTE(SUBSTITUTE(SUBSTITUTE(SUBSTITUTE(SUBSTITUTE(SUBSTITUTE(SUBSTITUTE(SUBSTITUTE(LOWER(TRIM(D152)),"ё","е")," -","-"),"- ","-")," 2 разряда","")," 3 разряда","")," 4 разряда","")," 5 разряда","")," 6 разряда","")," 1 категории","")," 2 категории","")," 3 категории",""))="инженер",IF(AND(ISNUMBER(SEARCH("техническ",E152)),ISNUMBER(SEARCH("контрол",E152))),"инженер отк",IF(ISNUMBER(SEARCH("диспетч",E152)),"инженер пдо",TRIM(SUBSTITUTE(SUBSTITUTE(SUBSTITUTE(SUBSTITUTE(SUBSTITUTE(SUBSTITUTE(SUBSTITUTE(SUBSTITUTE(SUBSTITUTE(SUBSTITUTE(SUBSTITUTE(LOWER(TRIM(D152)),"ё","е"),"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категории","")))),IF(TRIM(SUBSTITUTE(SUBSTITUTE(SUBSTITUTE(SUBSTITUTE(SUBSTITUTE(SUBSTITUTE(SUBSTITUTE(SUBSTITUTE(SUBSTITUTE(SUBSTITUTE(SUBSTITUTE(LOWER(TRIM(D152)),"ё","е")," -","-"),"- ","-")," 2 разряда","")," 3 разряда","")," 4 разряда","")," 5 разряда","")," 6 разряда","")," 1 категории","")," 2 категории","")," 3 категории",""))="ведущий инженер",IF(ISNUMBER(SEARCH("диспетч",E152)),"ведущий инженер пдо",TRIM(SUBSTITUTE(SUBSTITUTE(SUBSTITUTE(SUBSTITUTE(SUBSTITUTE(SUBSTITUTE(SUBSTITUTE(SUBSTITUTE(SUBSTITUTE(SUBSTITUTE(SUBSTITUTE(LOWER(TRIM(D152)),"ё","е"),"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отк",TRIM(SUBSTITUTE(SUBSTITUTE(SUBSTITUTE(SUBSTITUTE(SUBSTITUTE(SUBSTITUTE(SUBSTITUTE(SUBSTITUTE(SUBSTITUTE(SUBSTITUTE(SUBSTITUTE(LOWER(TRIM(D152)),"ё","е")," -","-"),"- ","-")," 2 разряда","")," 3 разряда","")," 4 разряда","")," 5 разряда","")," 6 разряда","")," 1 категории","")," 2 категории","")," 3 категории","")))))</f>
        <v>техник-сборщик</v>
      </c>
      <c r="H152" s="11" t="n">
        <f aca="false">IFERROR(INDEX(Соответствие!$B$2:$B$76,MATCH(G152,Соответствие!$A$2:$A$76,0)),"?")</f>
        <v>21</v>
      </c>
      <c r="I152" s="8" t="str">
        <f aca="false">IFERROR(INDEX('Перечень должностей'!$C$2:$C$46,MATCH(H152,'Перечень должностей'!$A$2:$A$46,0)),"")</f>
        <v>п.1.49.2, п.1.49.14, п.4.3.1, п.4.3.2, п.4.4, п.5.1, п.15</v>
      </c>
      <c r="J152" s="11" t="n">
        <f aca="false">IFERROR(INDEX('Перечень должностей'!$D$2:$D$46,MATCH(H152,'Перечень должностей'!$A$2:$A$46,0)),12)</f>
        <v>12</v>
      </c>
      <c r="K152" s="16"/>
      <c r="L152" s="16"/>
      <c r="M152" s="15" t="str">
        <f aca="false">IF(K152="","",EDATE(IF(L152&lt;&gt;"",L152,K152),J152))</f>
        <v/>
      </c>
      <c r="N152" s="11" t="str">
        <f aca="false">IFERROR(INDEX('Перечень должностей'!$F$2:$F$46,MATCH(H152,'Перечень должностей'!$A$2:$A$46,0)),"")</f>
        <v>-</v>
      </c>
      <c r="O152" s="16"/>
      <c r="P152" s="15" t="str">
        <f aca="false">IF(O152="","",EDATE(O152,60))</f>
        <v/>
      </c>
      <c r="Q152" s="11" t="str">
        <f aca="false">IF(AND(K152&lt;&gt;"",F152&lt;&gt;"",K152&gt;F152),"ДА","")</f>
        <v/>
      </c>
      <c r="R152" s="17" t="s">
        <v>121</v>
      </c>
    </row>
    <row r="153" customFormat="false" ht="26.25" hidden="false" customHeight="true" outlineLevel="0" collapsed="false">
      <c r="A153" s="14" t="n">
        <v>152</v>
      </c>
      <c r="B153" s="11" t="s">
        <v>50</v>
      </c>
      <c r="C153" s="14" t="s">
        <v>129</v>
      </c>
      <c r="D153" s="14" t="s">
        <v>567</v>
      </c>
      <c r="E153" s="14" t="s">
        <v>49</v>
      </c>
      <c r="F153" s="15" t="n">
        <v>45688</v>
      </c>
      <c r="G153" s="4" t="str">
        <f aca="false">IF(TRIM(SUBSTITUTE(SUBSTITUTE(SUBSTITUTE(SUBSTITUTE(SUBSTITUTE(SUBSTITUTE(SUBSTITUTE(SUBSTITUTE(SUBSTITUTE(SUBSTITUTE(SUBSTITUTE(LOWER(TRIM(D153)),"ё","е")," -","-"),"- ","-")," 2 разряда","")," 3 разряда","")," 4 разряда","")," 5 разряда","")," 6 разряда","")," 1 категории","")," 2 категории","")," 3 категории",""))="инженер",IF(AND(ISNUMBER(SEARCH("техническ",E153)),ISNUMBER(SEARCH("контрол",E153))),"инженер отк",IF(ISNUMBER(SEARCH("диспетч",E153)),"инженер пдо",TRIM(SUBSTITUTE(SUBSTITUTE(SUBSTITUTE(SUBSTITUTE(SUBSTITUTE(SUBSTITUTE(SUBSTITUTE(SUBSTITUTE(SUBSTITUTE(SUBSTITUTE(SUBSTITUTE(LOWER(TRIM(D153)),"ё","е"),"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категории","")))),IF(TRIM(SUBSTITUTE(SUBSTITUTE(SUBSTITUTE(SUBSTITUTE(SUBSTITUTE(SUBSTITUTE(SUBSTITUTE(SUBSTITUTE(SUBSTITUTE(SUBSTITUTE(SUBSTITUTE(LOWER(TRIM(D153)),"ё","е")," -","-"),"- ","-")," 2 разряда","")," 3 разряда","")," 4 разряда","")," 5 разряда","")," 6 разряда","")," 1 категории","")," 2 категории","")," 3 категории",""))="ведущий инженер",IF(ISNUMBER(SEARCH("диспетч",E153)),"ведущий инженер пдо",TRIM(SUBSTITUTE(SUBSTITUTE(SUBSTITUTE(SUBSTITUTE(SUBSTITUTE(SUBSTITUTE(SUBSTITUTE(SUBSTITUTE(SUBSTITUTE(SUBSTITUTE(SUBSTITUTE(LOWER(TRIM(D153)),"ё","е"),"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отк",TRIM(SUBSTITUTE(SUBSTITUTE(SUBSTITUTE(SUBSTITUTE(SUBSTITUTE(SUBSTITUTE(SUBSTITUTE(SUBSTITUTE(SUBSTITUTE(SUBSTITUTE(SUBSTITUTE(LOWER(TRIM(D153)),"ё","е")," -","-"),"- ","-")," 2 разряда","")," 3 разряда","")," 4 разряда","")," 5 разряда","")," 6 разряда","")," 1 категории","")," 2 категории","")," 3 категории","")))))</f>
        <v>техник-сборщик</v>
      </c>
      <c r="H153" s="11" t="n">
        <f aca="false">IFERROR(INDEX(Соответствие!$B$2:$B$76,MATCH(G153,Соответствие!$A$2:$A$76,0)),"?")</f>
        <v>21</v>
      </c>
      <c r="I153" s="8" t="str">
        <f aca="false">IFERROR(INDEX('Перечень должностей'!$C$2:$C$46,MATCH(H153,'Перечень должностей'!$A$2:$A$46,0)),"")</f>
        <v>п.1.49.2, п.1.49.14, п.4.3.1, п.4.3.2, п.4.4, п.5.1, п.15</v>
      </c>
      <c r="J153" s="11" t="n">
        <f aca="false">IFERROR(INDEX('Перечень должностей'!$D$2:$D$46,MATCH(H153,'Перечень должностей'!$A$2:$A$46,0)),12)</f>
        <v>12</v>
      </c>
      <c r="K153" s="16"/>
      <c r="L153" s="16"/>
      <c r="M153" s="15" t="str">
        <f aca="false">IF(K153="","",EDATE(IF(L153&lt;&gt;"",L153,K153),J153))</f>
        <v/>
      </c>
      <c r="N153" s="11" t="str">
        <f aca="false">IFERROR(INDEX('Перечень должностей'!$F$2:$F$46,MATCH(H153,'Перечень должностей'!$A$2:$A$46,0)),"")</f>
        <v>-</v>
      </c>
      <c r="O153" s="16"/>
      <c r="P153" s="15" t="str">
        <f aca="false">IF(O153="","",EDATE(O153,60))</f>
        <v/>
      </c>
      <c r="Q153" s="11" t="str">
        <f aca="false">IF(AND(K153&lt;&gt;"",F153&lt;&gt;"",K153&gt;F153),"ДА","")</f>
        <v/>
      </c>
      <c r="R153" s="17" t="s">
        <v>130</v>
      </c>
    </row>
    <row r="154" customFormat="false" ht="26.25" hidden="false" customHeight="true" outlineLevel="0" collapsed="false">
      <c r="A154" s="14" t="n">
        <v>153</v>
      </c>
      <c r="B154" s="11" t="s">
        <v>50</v>
      </c>
      <c r="C154" s="14" t="s">
        <v>131</v>
      </c>
      <c r="D154" s="14" t="s">
        <v>567</v>
      </c>
      <c r="E154" s="14" t="s">
        <v>49</v>
      </c>
      <c r="F154" s="15" t="n">
        <v>45832</v>
      </c>
      <c r="G154" s="4" t="str">
        <f aca="false">IF(TRIM(SUBSTITUTE(SUBSTITUTE(SUBSTITUTE(SUBSTITUTE(SUBSTITUTE(SUBSTITUTE(SUBSTITUTE(SUBSTITUTE(SUBSTITUTE(SUBSTITUTE(SUBSTITUTE(LOWER(TRIM(D154)),"ё","е")," -","-"),"- ","-")," 2 разряда","")," 3 разряда","")," 4 разряда","")," 5 разряда","")," 6 разряда","")," 1 категории","")," 2 категории","")," 3 категории",""))="инженер",IF(AND(ISNUMBER(SEARCH("техническ",E154)),ISNUMBER(SEARCH("контрол",E154))),"инженер отк",IF(ISNUMBER(SEARCH("диспетч",E154)),"инженер пдо",TRIM(SUBSTITUTE(SUBSTITUTE(SUBSTITUTE(SUBSTITUTE(SUBSTITUTE(SUBSTITUTE(SUBSTITUTE(SUBSTITUTE(SUBSTITUTE(SUBSTITUTE(SUBSTITUTE(LOWER(TRIM(D154)),"ё","е"),"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категории","")))),IF(TRIM(SUBSTITUTE(SUBSTITUTE(SUBSTITUTE(SUBSTITUTE(SUBSTITUTE(SUBSTITUTE(SUBSTITUTE(SUBSTITUTE(SUBSTITUTE(SUBSTITUTE(SUBSTITUTE(LOWER(TRIM(D154)),"ё","е")," -","-"),"- ","-")," 2 разряда","")," 3 разряда","")," 4 разряда","")," 5 разряда","")," 6 разряда","")," 1 категории","")," 2 категории","")," 3 категории",""))="ведущий инженер",IF(ISNUMBER(SEARCH("диспетч",E154)),"ведущий инженер пдо",TRIM(SUBSTITUTE(SUBSTITUTE(SUBSTITUTE(SUBSTITUTE(SUBSTITUTE(SUBSTITUTE(SUBSTITUTE(SUBSTITUTE(SUBSTITUTE(SUBSTITUTE(SUBSTITUTE(LOWER(TRIM(D154)),"ё","е"),"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отк",TRIM(SUBSTITUTE(SUBSTITUTE(SUBSTITUTE(SUBSTITUTE(SUBSTITUTE(SUBSTITUTE(SUBSTITUTE(SUBSTITUTE(SUBSTITUTE(SUBSTITUTE(SUBSTITUTE(LOWER(TRIM(D154)),"ё","е")," -","-"),"- ","-")," 2 разряда","")," 3 разряда","")," 4 разряда","")," 5 разряда","")," 6 разряда","")," 1 категории","")," 2 категории","")," 3 категории","")))))</f>
        <v>техник-сборщик</v>
      </c>
      <c r="H154" s="11" t="n">
        <f aca="false">IFERROR(INDEX(Соответствие!$B$2:$B$76,MATCH(G154,Соответствие!$A$2:$A$76,0)),"?")</f>
        <v>21</v>
      </c>
      <c r="I154" s="8" t="str">
        <f aca="false">IFERROR(INDEX('Перечень должностей'!$C$2:$C$46,MATCH(H154,'Перечень должностей'!$A$2:$A$46,0)),"")</f>
        <v>п.1.49.2, п.1.49.14, п.4.3.1, п.4.3.2, п.4.4, п.5.1, п.15</v>
      </c>
      <c r="J154" s="11" t="n">
        <f aca="false">IFERROR(INDEX('Перечень должностей'!$D$2:$D$46,MATCH(H154,'Перечень должностей'!$A$2:$A$46,0)),12)</f>
        <v>12</v>
      </c>
      <c r="K154" s="16"/>
      <c r="L154" s="16"/>
      <c r="M154" s="15" t="str">
        <f aca="false">IF(K154="","",EDATE(IF(L154&lt;&gt;"",L154,K154),J154))</f>
        <v/>
      </c>
      <c r="N154" s="11" t="str">
        <f aca="false">IFERROR(INDEX('Перечень должностей'!$F$2:$F$46,MATCH(H154,'Перечень должностей'!$A$2:$A$46,0)),"")</f>
        <v>-</v>
      </c>
      <c r="O154" s="16"/>
      <c r="P154" s="15" t="str">
        <f aca="false">IF(O154="","",EDATE(O154,60))</f>
        <v/>
      </c>
      <c r="Q154" s="11" t="str">
        <f aca="false">IF(AND(K154&lt;&gt;"",F154&lt;&gt;"",K154&gt;F154),"ДА","")</f>
        <v/>
      </c>
      <c r="R154" s="17" t="s">
        <v>130</v>
      </c>
    </row>
    <row r="155" customFormat="false" ht="26.25" hidden="false" customHeight="true" outlineLevel="0" collapsed="false">
      <c r="A155" s="14" t="n">
        <v>154</v>
      </c>
      <c r="B155" s="11" t="s">
        <v>50</v>
      </c>
      <c r="C155" s="14" t="s">
        <v>132</v>
      </c>
      <c r="D155" s="14" t="s">
        <v>567</v>
      </c>
      <c r="E155" s="14" t="s">
        <v>49</v>
      </c>
      <c r="F155" s="15" t="n">
        <v>40926</v>
      </c>
      <c r="G155" s="4" t="str">
        <f aca="false">IF(TRIM(SUBSTITUTE(SUBSTITUTE(SUBSTITUTE(SUBSTITUTE(SUBSTITUTE(SUBSTITUTE(SUBSTITUTE(SUBSTITUTE(SUBSTITUTE(SUBSTITUTE(SUBSTITUTE(LOWER(TRIM(D155)),"ё","е")," -","-"),"- ","-")," 2 разряда","")," 3 разряда","")," 4 разряда","")," 5 разряда","")," 6 разряда","")," 1 категории","")," 2 категории","")," 3 категории",""))="инженер",IF(AND(ISNUMBER(SEARCH("техническ",E155)),ISNUMBER(SEARCH("контрол",E155))),"инженер отк",IF(ISNUMBER(SEARCH("диспетч",E155)),"инженер пдо",TRIM(SUBSTITUTE(SUBSTITUTE(SUBSTITUTE(SUBSTITUTE(SUBSTITUTE(SUBSTITUTE(SUBSTITUTE(SUBSTITUTE(SUBSTITUTE(SUBSTITUTE(SUBSTITUTE(LOWER(TRIM(D155)),"ё","е"),"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категории","")))),IF(TRIM(SUBSTITUTE(SUBSTITUTE(SUBSTITUTE(SUBSTITUTE(SUBSTITUTE(SUBSTITUTE(SUBSTITUTE(SUBSTITUTE(SUBSTITUTE(SUBSTITUTE(SUBSTITUTE(LOWER(TRIM(D155)),"ё","е")," -","-"),"- ","-")," 2 разряда","")," 3 разряда","")," 4 разряда","")," 5 разряда","")," 6 разряда","")," 1 категории","")," 2 категории","")," 3 категории",""))="ведущий инженер",IF(ISNUMBER(SEARCH("диспетч",E155)),"ведущий инженер пдо",TRIM(SUBSTITUTE(SUBSTITUTE(SUBSTITUTE(SUBSTITUTE(SUBSTITUTE(SUBSTITUTE(SUBSTITUTE(SUBSTITUTE(SUBSTITUTE(SUBSTITUTE(SUBSTITUTE(LOWER(TRIM(D155)),"ё","е"),"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отк",TRIM(SUBSTITUTE(SUBSTITUTE(SUBSTITUTE(SUBSTITUTE(SUBSTITUTE(SUBSTITUTE(SUBSTITUTE(SUBSTITUTE(SUBSTITUTE(SUBSTITUTE(SUBSTITUTE(LOWER(TRIM(D155)),"ё","е")," -","-"),"- ","-")," 2 разряда","")," 3 разряда","")," 4 разряда","")," 5 разряда","")," 6 разряда","")," 1 категории","")," 2 категории","")," 3 категории","")))))</f>
        <v>техник-сборщик</v>
      </c>
      <c r="H155" s="11" t="n">
        <f aca="false">IFERROR(INDEX(Соответствие!$B$2:$B$76,MATCH(G155,Соответствие!$A$2:$A$76,0)),"?")</f>
        <v>21</v>
      </c>
      <c r="I155" s="8" t="str">
        <f aca="false">IFERROR(INDEX('Перечень должностей'!$C$2:$C$46,MATCH(H155,'Перечень должностей'!$A$2:$A$46,0)),"")</f>
        <v>п.1.49.2, п.1.49.14, п.4.3.1, п.4.3.2, п.4.4, п.5.1, п.15</v>
      </c>
      <c r="J155" s="11" t="n">
        <f aca="false">IFERROR(INDEX('Перечень должностей'!$D$2:$D$46,MATCH(H155,'Перечень должностей'!$A$2:$A$46,0)),12)</f>
        <v>12</v>
      </c>
      <c r="K155" s="16"/>
      <c r="L155" s="16"/>
      <c r="M155" s="15" t="str">
        <f aca="false">IF(K155="","",EDATE(IF(L155&lt;&gt;"",L155,K155),J155))</f>
        <v/>
      </c>
      <c r="N155" s="11" t="str">
        <f aca="false">IFERROR(INDEX('Перечень должностей'!$F$2:$F$46,MATCH(H155,'Перечень должностей'!$A$2:$A$46,0)),"")</f>
        <v>-</v>
      </c>
      <c r="O155" s="16"/>
      <c r="P155" s="15" t="str">
        <f aca="false">IF(O155="","",EDATE(O155,60))</f>
        <v/>
      </c>
      <c r="Q155" s="11" t="str">
        <f aca="false">IF(AND(K155&lt;&gt;"",F155&lt;&gt;"",K155&gt;F155),"ДА","")</f>
        <v/>
      </c>
      <c r="R155" s="17" t="s">
        <v>130</v>
      </c>
    </row>
    <row r="156" customFormat="false" ht="26.25" hidden="false" customHeight="true" outlineLevel="0" collapsed="false">
      <c r="A156" s="14" t="n">
        <v>155</v>
      </c>
      <c r="B156" s="11" t="s">
        <v>50</v>
      </c>
      <c r="C156" s="14" t="s">
        <v>133</v>
      </c>
      <c r="D156" s="14" t="s">
        <v>567</v>
      </c>
      <c r="E156" s="14" t="s">
        <v>182</v>
      </c>
      <c r="F156" s="15" t="n">
        <v>42570</v>
      </c>
      <c r="G156" s="4" t="str">
        <f aca="false">IF(TRIM(SUBSTITUTE(SUBSTITUTE(SUBSTITUTE(SUBSTITUTE(SUBSTITUTE(SUBSTITUTE(SUBSTITUTE(SUBSTITUTE(SUBSTITUTE(SUBSTITUTE(SUBSTITUTE(LOWER(TRIM(D156)),"ё","е")," -","-"),"- ","-")," 2 разряда","")," 3 разряда","")," 4 разряда","")," 5 разряда","")," 6 разряда","")," 1 категории","")," 2 категории","")," 3 категории",""))="инженер",IF(AND(ISNUMBER(SEARCH("техническ",E156)),ISNUMBER(SEARCH("контрол",E156))),"инженер отк",IF(ISNUMBER(SEARCH("диспетч",E156)),"инженер пдо",TRIM(SUBSTITUTE(SUBSTITUTE(SUBSTITUTE(SUBSTITUTE(SUBSTITUTE(SUBSTITUTE(SUBSTITUTE(SUBSTITUTE(SUBSTITUTE(SUBSTITUTE(SUBSTITUTE(LOWER(TRIM(D156)),"ё","е"),"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категории","")))),IF(TRIM(SUBSTITUTE(SUBSTITUTE(SUBSTITUTE(SUBSTITUTE(SUBSTITUTE(SUBSTITUTE(SUBSTITUTE(SUBSTITUTE(SUBSTITUTE(SUBSTITUTE(SUBSTITUTE(LOWER(TRIM(D156)),"ё","е")," -","-"),"- ","-")," 2 разряда","")," 3 разряда","")," 4 разряда","")," 5 разряда","")," 6 разряда","")," 1 категории","")," 2 категории","")," 3 категории",""))="ведущий инженер",IF(ISNUMBER(SEARCH("диспетч",E156)),"ведущий инженер пдо",TRIM(SUBSTITUTE(SUBSTITUTE(SUBSTITUTE(SUBSTITUTE(SUBSTITUTE(SUBSTITUTE(SUBSTITUTE(SUBSTITUTE(SUBSTITUTE(SUBSTITUTE(SUBSTITUTE(LOWER(TRIM(D156)),"ё","е"),"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отк",TRIM(SUBSTITUTE(SUBSTITUTE(SUBSTITUTE(SUBSTITUTE(SUBSTITUTE(SUBSTITUTE(SUBSTITUTE(SUBSTITUTE(SUBSTITUTE(SUBSTITUTE(SUBSTITUTE(LOWER(TRIM(D156)),"ё","е")," -","-"),"- ","-")," 2 разряда","")," 3 разряда","")," 4 разряда","")," 5 разряда","")," 6 разряда","")," 1 категории","")," 2 категории","")," 3 категории","")))))</f>
        <v>техник-сборщик</v>
      </c>
      <c r="H156" s="11" t="n">
        <f aca="false">IFERROR(INDEX(Соответствие!$B$2:$B$76,MATCH(G156,Соответствие!$A$2:$A$76,0)),"?")</f>
        <v>21</v>
      </c>
      <c r="I156" s="8" t="str">
        <f aca="false">IFERROR(INDEX('Перечень должностей'!$C$2:$C$46,MATCH(H156,'Перечень должностей'!$A$2:$A$46,0)),"")</f>
        <v>п.1.49.2, п.1.49.14, п.4.3.1, п.4.3.2, п.4.4, п.5.1, п.15</v>
      </c>
      <c r="J156" s="11" t="n">
        <f aca="false">IFERROR(INDEX('Перечень должностей'!$D$2:$D$46,MATCH(H156,'Перечень должностей'!$A$2:$A$46,0)),12)</f>
        <v>12</v>
      </c>
      <c r="K156" s="16"/>
      <c r="L156" s="16"/>
      <c r="M156" s="15" t="str">
        <f aca="false">IF(K156="","",EDATE(IF(L156&lt;&gt;"",L156,K156),J156))</f>
        <v/>
      </c>
      <c r="N156" s="11" t="str">
        <f aca="false">IFERROR(INDEX('Перечень должностей'!$F$2:$F$46,MATCH(H156,'Перечень должностей'!$A$2:$A$46,0)),"")</f>
        <v>-</v>
      </c>
      <c r="O156" s="16"/>
      <c r="P156" s="15" t="str">
        <f aca="false">IF(O156="","",EDATE(O156,60))</f>
        <v/>
      </c>
      <c r="Q156" s="11" t="str">
        <f aca="false">IF(AND(K156&lt;&gt;"",F156&lt;&gt;"",K156&gt;F156),"ДА","")</f>
        <v/>
      </c>
      <c r="R156" s="17" t="s">
        <v>130</v>
      </c>
    </row>
    <row r="157" customFormat="false" ht="26.25" hidden="false" customHeight="true" outlineLevel="0" collapsed="false">
      <c r="A157" s="14" t="n">
        <v>156</v>
      </c>
      <c r="B157" s="11" t="s">
        <v>50</v>
      </c>
      <c r="C157" s="14" t="s">
        <v>134</v>
      </c>
      <c r="D157" s="14" t="s">
        <v>567</v>
      </c>
      <c r="E157" s="14" t="s">
        <v>49</v>
      </c>
      <c r="F157" s="15" t="n">
        <v>43046</v>
      </c>
      <c r="G157" s="4" t="str">
        <f aca="false">IF(TRIM(SUBSTITUTE(SUBSTITUTE(SUBSTITUTE(SUBSTITUTE(SUBSTITUTE(SUBSTITUTE(SUBSTITUTE(SUBSTITUTE(SUBSTITUTE(SUBSTITUTE(SUBSTITUTE(LOWER(TRIM(D157)),"ё","е")," -","-"),"- ","-")," 2 разряда","")," 3 разряда","")," 4 разряда","")," 5 разряда","")," 6 разряда","")," 1 категории","")," 2 категории","")," 3 категории",""))="инженер",IF(AND(ISNUMBER(SEARCH("техническ",E157)),ISNUMBER(SEARCH("контрол",E157))),"инженер отк",IF(ISNUMBER(SEARCH("диспетч",E157)),"инженер пдо",TRIM(SUBSTITUTE(SUBSTITUTE(SUBSTITUTE(SUBSTITUTE(SUBSTITUTE(SUBSTITUTE(SUBSTITUTE(SUBSTITUTE(SUBSTITUTE(SUBSTITUTE(SUBSTITUTE(LOWER(TRIM(D157)),"ё","е"),"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категории","")))),IF(TRIM(SUBSTITUTE(SUBSTITUTE(SUBSTITUTE(SUBSTITUTE(SUBSTITUTE(SUBSTITUTE(SUBSTITUTE(SUBSTITUTE(SUBSTITUTE(SUBSTITUTE(SUBSTITUTE(LOWER(TRIM(D157)),"ё","е")," -","-"),"- ","-")," 2 разряда","")," 3 разряда","")," 4 разряда","")," 5 разряда","")," 6 разряда","")," 1 категории","")," 2 категории","")," 3 категории",""))="ведущий инженер",IF(ISNUMBER(SEARCH("диспетч",E157)),"ведущий инженер пдо",TRIM(SUBSTITUTE(SUBSTITUTE(SUBSTITUTE(SUBSTITUTE(SUBSTITUTE(SUBSTITUTE(SUBSTITUTE(SUBSTITUTE(SUBSTITUTE(SUBSTITUTE(SUBSTITUTE(LOWER(TRIM(D157)),"ё","е"),"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отк",TRIM(SUBSTITUTE(SUBSTITUTE(SUBSTITUTE(SUBSTITUTE(SUBSTITUTE(SUBSTITUTE(SUBSTITUTE(SUBSTITUTE(SUBSTITUTE(SUBSTITUTE(SUBSTITUTE(LOWER(TRIM(D157)),"ё","е")," -","-"),"- ","-")," 2 разряда","")," 3 разряда","")," 4 разряда","")," 5 разряда","")," 6 разряда","")," 1 категории","")," 2 категории","")," 3 категории","")))))</f>
        <v>техник-сборщик</v>
      </c>
      <c r="H157" s="11" t="n">
        <f aca="false">IFERROR(INDEX(Соответствие!$B$2:$B$76,MATCH(G157,Соответствие!$A$2:$A$76,0)),"?")</f>
        <v>21</v>
      </c>
      <c r="I157" s="8" t="str">
        <f aca="false">IFERROR(INDEX('Перечень должностей'!$C$2:$C$46,MATCH(H157,'Перечень должностей'!$A$2:$A$46,0)),"")</f>
        <v>п.1.49.2, п.1.49.14, п.4.3.1, п.4.3.2, п.4.4, п.5.1, п.15</v>
      </c>
      <c r="J157" s="11" t="n">
        <f aca="false">IFERROR(INDEX('Перечень должностей'!$D$2:$D$46,MATCH(H157,'Перечень должностей'!$A$2:$A$46,0)),12)</f>
        <v>12</v>
      </c>
      <c r="K157" s="16"/>
      <c r="L157" s="16"/>
      <c r="M157" s="15" t="str">
        <f aca="false">IF(K157="","",EDATE(IF(L157&lt;&gt;"",L157,K157),J157))</f>
        <v/>
      </c>
      <c r="N157" s="11" t="str">
        <f aca="false">IFERROR(INDEX('Перечень должностей'!$F$2:$F$46,MATCH(H157,'Перечень должностей'!$A$2:$A$46,0)),"")</f>
        <v>-</v>
      </c>
      <c r="O157" s="16"/>
      <c r="P157" s="15" t="str">
        <f aca="false">IF(O157="","",EDATE(O157,60))</f>
        <v/>
      </c>
      <c r="Q157" s="11" t="str">
        <f aca="false">IF(AND(K157&lt;&gt;"",F157&lt;&gt;"",K157&gt;F157),"ДА","")</f>
        <v/>
      </c>
      <c r="R157" s="17" t="s">
        <v>130</v>
      </c>
    </row>
    <row r="158" customFormat="false" ht="26.25" hidden="false" customHeight="true" outlineLevel="0" collapsed="false">
      <c r="A158" s="14" t="n">
        <v>157</v>
      </c>
      <c r="B158" s="11" t="s">
        <v>50</v>
      </c>
      <c r="C158" s="14" t="s">
        <v>135</v>
      </c>
      <c r="D158" s="14" t="s">
        <v>567</v>
      </c>
      <c r="E158" s="14" t="s">
        <v>182</v>
      </c>
      <c r="F158" s="15" t="n">
        <v>46106</v>
      </c>
      <c r="G158" s="4" t="str">
        <f aca="false">IF(TRIM(SUBSTITUTE(SUBSTITUTE(SUBSTITUTE(SUBSTITUTE(SUBSTITUTE(SUBSTITUTE(SUBSTITUTE(SUBSTITUTE(SUBSTITUTE(SUBSTITUTE(SUBSTITUTE(LOWER(TRIM(D158)),"ё","е")," -","-"),"- ","-")," 2 разряда","")," 3 разряда","")," 4 разряда","")," 5 разряда","")," 6 разряда","")," 1 категории","")," 2 категории","")," 3 категории",""))="инженер",IF(AND(ISNUMBER(SEARCH("техническ",E158)),ISNUMBER(SEARCH("контрол",E158))),"инженер отк",IF(ISNUMBER(SEARCH("диспетч",E158)),"инженер пдо",TRIM(SUBSTITUTE(SUBSTITUTE(SUBSTITUTE(SUBSTITUTE(SUBSTITUTE(SUBSTITUTE(SUBSTITUTE(SUBSTITUTE(SUBSTITUTE(SUBSTITUTE(SUBSTITUTE(LOWER(TRIM(D158)),"ё","е"),"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категории","")))),IF(TRIM(SUBSTITUTE(SUBSTITUTE(SUBSTITUTE(SUBSTITUTE(SUBSTITUTE(SUBSTITUTE(SUBSTITUTE(SUBSTITUTE(SUBSTITUTE(SUBSTITUTE(SUBSTITUTE(LOWER(TRIM(D158)),"ё","е")," -","-"),"- ","-")," 2 разряда","")," 3 разряда","")," 4 разряда","")," 5 разряда","")," 6 разряда","")," 1 категории","")," 2 категории","")," 3 категории",""))="ведущий инженер",IF(ISNUMBER(SEARCH("диспетч",E158)),"ведущий инженер пдо",TRIM(SUBSTITUTE(SUBSTITUTE(SUBSTITUTE(SUBSTITUTE(SUBSTITUTE(SUBSTITUTE(SUBSTITUTE(SUBSTITUTE(SUBSTITUTE(SUBSTITUTE(SUBSTITUTE(LOWER(TRIM(D158)),"ё","е"),"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отк",TRIM(SUBSTITUTE(SUBSTITUTE(SUBSTITUTE(SUBSTITUTE(SUBSTITUTE(SUBSTITUTE(SUBSTITUTE(SUBSTITUTE(SUBSTITUTE(SUBSTITUTE(SUBSTITUTE(LOWER(TRIM(D158)),"ё","е")," -","-"),"- ","-")," 2 разряда","")," 3 разряда","")," 4 разряда","")," 5 разряда","")," 6 разряда","")," 1 категории","")," 2 категории","")," 3 категории","")))))</f>
        <v>техник-сборщик</v>
      </c>
      <c r="H158" s="11" t="n">
        <f aca="false">IFERROR(INDEX(Соответствие!$B$2:$B$76,MATCH(G158,Соответствие!$A$2:$A$76,0)),"?")</f>
        <v>21</v>
      </c>
      <c r="I158" s="8" t="str">
        <f aca="false">IFERROR(INDEX('Перечень должностей'!$C$2:$C$46,MATCH(H158,'Перечень должностей'!$A$2:$A$46,0)),"")</f>
        <v>п.1.49.2, п.1.49.14, п.4.3.1, п.4.3.2, п.4.4, п.5.1, п.15</v>
      </c>
      <c r="J158" s="11" t="n">
        <f aca="false">IFERROR(INDEX('Перечень должностей'!$D$2:$D$46,MATCH(H158,'Перечень должностей'!$A$2:$A$46,0)),12)</f>
        <v>12</v>
      </c>
      <c r="K158" s="16"/>
      <c r="L158" s="16"/>
      <c r="M158" s="15" t="str">
        <f aca="false">IF(K158="","",EDATE(IF(L158&lt;&gt;"",L158,K158),J158))</f>
        <v/>
      </c>
      <c r="N158" s="11" t="str">
        <f aca="false">IFERROR(INDEX('Перечень должностей'!$F$2:$F$46,MATCH(H158,'Перечень должностей'!$A$2:$A$46,0)),"")</f>
        <v>-</v>
      </c>
      <c r="O158" s="16"/>
      <c r="P158" s="15" t="str">
        <f aca="false">IF(O158="","",EDATE(O158,60))</f>
        <v/>
      </c>
      <c r="Q158" s="11" t="str">
        <f aca="false">IF(AND(K158&lt;&gt;"",F158&lt;&gt;"",K158&gt;F158),"ДА","")</f>
        <v/>
      </c>
      <c r="R158" s="17" t="s">
        <v>130</v>
      </c>
    </row>
    <row r="159" customFormat="false" ht="26.25" hidden="false" customHeight="true" outlineLevel="0" collapsed="false">
      <c r="A159" s="14" t="n">
        <v>158</v>
      </c>
      <c r="B159" s="11" t="s">
        <v>50</v>
      </c>
      <c r="C159" s="14" t="s">
        <v>136</v>
      </c>
      <c r="D159" s="14" t="s">
        <v>568</v>
      </c>
      <c r="E159" s="14" t="s">
        <v>182</v>
      </c>
      <c r="F159" s="15" t="n">
        <v>42614</v>
      </c>
      <c r="G159" s="4" t="str">
        <f aca="false">IF(TRIM(SUBSTITUTE(SUBSTITUTE(SUBSTITUTE(SUBSTITUTE(SUBSTITUTE(SUBSTITUTE(SUBSTITUTE(SUBSTITUTE(SUBSTITUTE(SUBSTITUTE(SUBSTITUTE(LOWER(TRIM(D159)),"ё","е")," -","-"),"- ","-")," 2 разряда","")," 3 разряда","")," 4 разряда","")," 5 разряда","")," 6 разряда","")," 1 категории","")," 2 категории","")," 3 категории",""))="инженер",IF(AND(ISNUMBER(SEARCH("техническ",E159)),ISNUMBER(SEARCH("контрол",E159))),"инженер отк",IF(ISNUMBER(SEARCH("диспетч",E159)),"инженер пдо",TRIM(SUBSTITUTE(SUBSTITUTE(SUBSTITUTE(SUBSTITUTE(SUBSTITUTE(SUBSTITUTE(SUBSTITUTE(SUBSTITUTE(SUBSTITUTE(SUBSTITUTE(SUBSTITUTE(LOWER(TRIM(D159)),"ё","е"),"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категории","")))),IF(TRIM(SUBSTITUTE(SUBSTITUTE(SUBSTITUTE(SUBSTITUTE(SUBSTITUTE(SUBSTITUTE(SUBSTITUTE(SUBSTITUTE(SUBSTITUTE(SUBSTITUTE(SUBSTITUTE(LOWER(TRIM(D159)),"ё","е")," -","-"),"- ","-")," 2 разряда","")," 3 разряда","")," 4 разряда","")," 5 разряда","")," 6 разряда","")," 1 категории","")," 2 категории","")," 3 категории",""))="ведущий инженер",IF(ISNUMBER(SEARCH("диспетч",E159)),"ведущий инженер пдо",TRIM(SUBSTITUTE(SUBSTITUTE(SUBSTITUTE(SUBSTITUTE(SUBSTITUTE(SUBSTITUTE(SUBSTITUTE(SUBSTITUTE(SUBSTITUTE(SUBSTITUTE(SUBSTITUTE(LOWER(TRIM(D159)),"ё","е"),"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категории",""))),IF(TRIM(SUBSTITUTE(SUBSTITUTE(SUBSTITUTE(SUBSTITUTE(SUBSTITUTE(SUBSTITUTE(SUBSTITUTE(SUBSTITUTE(SUBSTITUTE(SUBSTITUTE(SUBSTITUTE(LOWER(TRIM(D159)),"ё","е"),"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отк",TRIM(SUBSTITUTE(SUBSTITUTE(SUBSTITUTE(SUBSTITUTE(SUBSTITUTE(SUBSTITUTE(SUBSTITUTE(SUBSTITUTE(SUBSTITUTE(SUBSTITUTE(SUBSTITUTE(LOWER(TRIM(D159)),"ё","е")," -","-"),"- ","-")," 2 разряда","")," 3 разряда","")," 4 разряда","")," 5 разряда","")," 6 разряда","")," 1 категории","")," 2 категории","")," 3 категории","")))))</f>
        <v>бригадир</v>
      </c>
      <c r="H159" s="11" t="n">
        <f aca="false">IFERROR(INDEX(Соответствие!$B$2:$B$76,MATCH(G159,Соответствие!$A$2:$A$76,0)),"?")</f>
        <v>18</v>
      </c>
      <c r="I159" s="8" t="str">
        <f aca="false">IFERROR(INDEX('Перечень должностей'!$C$2:$C$46,MATCH(H159,'Перечень должностей'!$A$2:$A$46,0)),"")</f>
        <v>п.4.4, п.5.1, п.5.2</v>
      </c>
      <c r="J159" s="11" t="n">
        <f aca="false">IFERROR(INDEX('Перечень должностей'!$D$2:$D$46,MATCH(H159,'Перечень должностей'!$A$2:$A$46,0)),12)</f>
        <v>12</v>
      </c>
      <c r="K159" s="16"/>
      <c r="L159" s="16"/>
      <c r="M159" s="15" t="str">
        <f aca="false">IF(K159="","",EDATE(IF(L159&lt;&gt;"",L159,K159),J159))</f>
        <v/>
      </c>
      <c r="N159" s="11" t="str">
        <f aca="false">IFERROR(INDEX('Перечень должностей'!$F$2:$F$46,MATCH(H159,'Перечень должностей'!$A$2:$A$46,0)),"")</f>
        <v>-</v>
      </c>
      <c r="O159" s="16"/>
      <c r="P159" s="15" t="str">
        <f aca="false">IF(O159="","",EDATE(O159,60))</f>
        <v/>
      </c>
      <c r="Q159" s="11" t="str">
        <f aca="false">IF(AND(K159&lt;&gt;"",F159&lt;&gt;"",K159&gt;F159),"ДА","")</f>
        <v/>
      </c>
      <c r="R159" s="17" t="s">
        <v>137</v>
      </c>
    </row>
    <row r="160" customFormat="false" ht="26.25" hidden="false" customHeight="true" outlineLevel="0" collapsed="false">
      <c r="A160" s="14" t="n">
        <v>159</v>
      </c>
      <c r="B160" s="11" t="s">
        <v>50</v>
      </c>
      <c r="C160" s="14" t="s">
        <v>138</v>
      </c>
      <c r="D160" s="14" t="s">
        <v>567</v>
      </c>
      <c r="E160" s="14" t="s">
        <v>49</v>
      </c>
      <c r="F160" s="15" t="n">
        <v>45688</v>
      </c>
      <c r="G160" s="4" t="str">
        <f aca="false">IF(TRIM(SUBSTITUTE(SUBSTITUTE(SUBSTITUTE(SUBSTITUTE(SUBSTITUTE(SUBSTITUTE(SUBSTITUTE(SUBSTITUTE(SUBSTITUTE(SUBSTITUTE(SUBSTITUTE(LOWER(TRIM(D160)),"ё","е")," -","-"),"- ","-")," 2 разряда","")," 3 разряда","")," 4 разряда","")," 5 разряда","")," 6 разряда","")," 1 категории","")," 2 категории","")," 3 категории",""))="инженер",IF(AND(ISNUMBER(SEARCH("техническ",E160)),ISNUMBER(SEARCH("контрол",E160))),"инженер отк",IF(ISNUMBER(SEARCH("диспетч",E160)),"инженер пдо",TRIM(SUBSTITUTE(SUBSTITUTE(SUBSTITUTE(SUBSTITUTE(SUBSTITUTE(SUBSTITUTE(SUBSTITUTE(SUBSTITUTE(SUBSTITUTE(SUBSTITUTE(SUBSTITUTE(LOWER(TRIM(D160)),"ё","е"),"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категории","")))),IF(TRIM(SUBSTITUTE(SUBSTITUTE(SUBSTITUTE(SUBSTITUTE(SUBSTITUTE(SUBSTITUTE(SUBSTITUTE(SUBSTITUTE(SUBSTITUTE(SUBSTITUTE(SUBSTITUTE(LOWER(TRIM(D160)),"ё","е")," -","-"),"- ","-")," 2 разряда","")," 3 разряда","")," 4 разряда","")," 5 разряда","")," 6 разряда","")," 1 категории","")," 2 категории","")," 3 категории",""))="ведущий инженер",IF(ISNUMBER(SEARCH("диспетч",E160)),"ведущий инженер пдо",TRIM(SUBSTITUTE(SUBSTITUTE(SUBSTITUTE(SUBSTITUTE(SUBSTITUTE(SUBSTITUTE(SUBSTITUTE(SUBSTITUTE(SUBSTITUTE(SUBSTITUTE(SUBSTITUTE(LOWER(TRIM(D160)),"ё","е"),"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отк",TRIM(SUBSTITUTE(SUBSTITUTE(SUBSTITUTE(SUBSTITUTE(SUBSTITUTE(SUBSTITUTE(SUBSTITUTE(SUBSTITUTE(SUBSTITUTE(SUBSTITUTE(SUBSTITUTE(LOWER(TRIM(D160)),"ё","е")," -","-"),"- ","-")," 2 разряда","")," 3 разряда","")," 4 разряда","")," 5 разряда","")," 6 разряда","")," 1 категории","")," 2 категории","")," 3 категории","")))))</f>
        <v>техник-сборщик</v>
      </c>
      <c r="H160" s="11" t="n">
        <f aca="false">IFERROR(INDEX(Соответствие!$B$2:$B$76,MATCH(G160,Соответствие!$A$2:$A$76,0)),"?")</f>
        <v>21</v>
      </c>
      <c r="I160" s="8" t="str">
        <f aca="false">IFERROR(INDEX('Перечень должностей'!$C$2:$C$46,MATCH(H160,'Перечень должностей'!$A$2:$A$46,0)),"")</f>
        <v>п.1.49.2, п.1.49.14, п.4.3.1, п.4.3.2, п.4.4, п.5.1, п.15</v>
      </c>
      <c r="J160" s="11" t="n">
        <f aca="false">IFERROR(INDEX('Перечень должностей'!$D$2:$D$46,MATCH(H160,'Перечень должностей'!$A$2:$A$46,0)),12)</f>
        <v>12</v>
      </c>
      <c r="K160" s="16"/>
      <c r="L160" s="16"/>
      <c r="M160" s="15" t="str">
        <f aca="false">IF(K160="","",EDATE(IF(L160&lt;&gt;"",L160,K160),J160))</f>
        <v/>
      </c>
      <c r="N160" s="11" t="str">
        <f aca="false">IFERROR(INDEX('Перечень должностей'!$F$2:$F$46,MATCH(H160,'Перечень должностей'!$A$2:$A$46,0)),"")</f>
        <v>-</v>
      </c>
      <c r="O160" s="16"/>
      <c r="P160" s="15" t="str">
        <f aca="false">IF(O160="","",EDATE(O160,60))</f>
        <v/>
      </c>
      <c r="Q160" s="11" t="str">
        <f aca="false">IF(AND(K160&lt;&gt;"",F160&lt;&gt;"",K160&gt;F160),"ДА","")</f>
        <v/>
      </c>
      <c r="R160" s="17" t="s">
        <v>130</v>
      </c>
    </row>
    <row r="161" customFormat="false" ht="26.25" hidden="false" customHeight="true" outlineLevel="0" collapsed="false">
      <c r="A161" s="14" t="n">
        <v>160</v>
      </c>
      <c r="B161" s="11" t="s">
        <v>50</v>
      </c>
      <c r="C161" s="14" t="s">
        <v>569</v>
      </c>
      <c r="D161" s="14" t="s">
        <v>570</v>
      </c>
      <c r="E161" s="14" t="s">
        <v>49</v>
      </c>
      <c r="F161" s="15" t="n">
        <v>42461</v>
      </c>
      <c r="G161" s="4" t="str">
        <f aca="false">IF(TRIM(SUBSTITUTE(SUBSTITUTE(SUBSTITUTE(SUBSTITUTE(SUBSTITUTE(SUBSTITUTE(SUBSTITUTE(SUBSTITUTE(SUBSTITUTE(SUBSTITUTE(SUBSTITUTE(LOWER(TRIM(D161)),"ё","е")," -","-"),"- ","-")," 2 разряда","")," 3 разряда","")," 4 разряда","")," 5 разряда","")," 6 разряда","")," 1 категории","")," 2 категории","")," 3 категории",""))="инженер",IF(AND(ISNUMBER(SEARCH("техническ",E161)),ISNUMBER(SEARCH("контрол",E161))),"инженер отк",IF(ISNUMBER(SEARCH("диспетч",E161)),"инженер пдо",TRIM(SUBSTITUTE(SUBSTITUTE(SUBSTITUTE(SUBSTITUTE(SUBSTITUTE(SUBSTITUTE(SUBSTITUTE(SUBSTITUTE(SUBSTITUTE(SUBSTITUTE(SUBSTITUTE(LOWER(TRIM(D161)),"ё","е"),"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категории","")))),IF(TRIM(SUBSTITUTE(SUBSTITUTE(SUBSTITUTE(SUBSTITUTE(SUBSTITUTE(SUBSTITUTE(SUBSTITUTE(SUBSTITUTE(SUBSTITUTE(SUBSTITUTE(SUBSTITUTE(LOWER(TRIM(D161)),"ё","е")," -","-"),"- ","-")," 2 разряда","")," 3 разряда","")," 4 разряда","")," 5 разряда","")," 6 разряда","")," 1 категории","")," 2 категории","")," 3 категории",""))="ведущий инженер",IF(ISNUMBER(SEARCH("диспетч",E161)),"ведущий инженер пдо",TRIM(SUBSTITUTE(SUBSTITUTE(SUBSTITUTE(SUBSTITUTE(SUBSTITUTE(SUBSTITUTE(SUBSTITUTE(SUBSTITUTE(SUBSTITUTE(SUBSTITUTE(SUBSTITUTE(LOWER(TRIM(D161)),"ё","е"),"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отк",TRIM(SUBSTITUTE(SUBSTITUTE(SUBSTITUTE(SUBSTITUTE(SUBSTITUTE(SUBSTITUTE(SUBSTITUTE(SUBSTITUTE(SUBSTITUTE(SUBSTITUTE(SUBSTITUTE(LOWER(TRIM(D161)),"ё","е")," -","-"),"- ","-")," 2 разряда","")," 3 разряда","")," 4 разряда","")," 5 разряда","")," 6 разряда","")," 1 категории","")," 2 категории","")," 3 категории","")))))</f>
        <v>сборщик стеклопластиковых изделий</v>
      </c>
      <c r="H161" s="11" t="n">
        <f aca="false">IFERROR(INDEX(Соответствие!$B$2:$B$76,MATCH(G161,Соответствие!$A$2:$A$76,0)),"?")</f>
        <v>26</v>
      </c>
      <c r="I161" s="8" t="str">
        <f aca="false">IFERROR(INDEX('Перечень должностей'!$C$2:$C$46,MATCH(H161,'Перечень должностей'!$A$2:$A$46,0)),"")</f>
        <v>п.1.37.1, п.3.1.8.3, п.4.3.1, п.4.4, п.5.1, п.15</v>
      </c>
      <c r="J161" s="11" t="n">
        <f aca="false">IFERROR(INDEX('Перечень должностей'!$D$2:$D$46,MATCH(H161,'Перечень должностей'!$A$2:$A$46,0)),12)</f>
        <v>12</v>
      </c>
      <c r="K161" s="16"/>
      <c r="L161" s="16"/>
      <c r="M161" s="15" t="str">
        <f aca="false">IF(K161="","",EDATE(IF(L161&lt;&gt;"",L161,K161),J161))</f>
        <v/>
      </c>
      <c r="N161" s="11" t="str">
        <f aca="false">IFERROR(INDEX('Перечень должностей'!$F$2:$F$46,MATCH(H161,'Перечень должностей'!$A$2:$A$46,0)),"")</f>
        <v>Нет</v>
      </c>
      <c r="O161" s="16"/>
      <c r="P161" s="15" t="str">
        <f aca="false">IF(O161="","",EDATE(O161,60))</f>
        <v/>
      </c>
      <c r="Q161" s="11" t="str">
        <f aca="false">IF(AND(K161&lt;&gt;"",F161&lt;&gt;"",K161&gt;F161),"ДА","")</f>
        <v/>
      </c>
      <c r="R161" s="8"/>
    </row>
    <row r="162" customFormat="false" ht="26.25" hidden="false" customHeight="true" outlineLevel="0" collapsed="false">
      <c r="A162" s="14" t="n">
        <v>161</v>
      </c>
      <c r="B162" s="11" t="s">
        <v>50</v>
      </c>
      <c r="C162" s="14" t="s">
        <v>139</v>
      </c>
      <c r="D162" s="14" t="s">
        <v>568</v>
      </c>
      <c r="E162" s="14" t="s">
        <v>182</v>
      </c>
      <c r="F162" s="15" t="n">
        <v>43132</v>
      </c>
      <c r="G162" s="4" t="str">
        <f aca="false">IF(TRIM(SUBSTITUTE(SUBSTITUTE(SUBSTITUTE(SUBSTITUTE(SUBSTITUTE(SUBSTITUTE(SUBSTITUTE(SUBSTITUTE(SUBSTITUTE(SUBSTITUTE(SUBSTITUTE(LOWER(TRIM(D162)),"ё","е")," -","-"),"- ","-")," 2 разряда","")," 3 разряда","")," 4 разряда","")," 5 разряда","")," 6 разряда","")," 1 категории","")," 2 категории","")," 3 категории",""))="инженер",IF(AND(ISNUMBER(SEARCH("техническ",E162)),ISNUMBER(SEARCH("контрол",E162))),"инженер отк",IF(ISNUMBER(SEARCH("диспетч",E162)),"инженер пдо",TRIM(SUBSTITUTE(SUBSTITUTE(SUBSTITUTE(SUBSTITUTE(SUBSTITUTE(SUBSTITUTE(SUBSTITUTE(SUBSTITUTE(SUBSTITUTE(SUBSTITUTE(SUBSTITUTE(LOWER(TRIM(D162)),"ё","е"),"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категории","")))),IF(TRIM(SUBSTITUTE(SUBSTITUTE(SUBSTITUTE(SUBSTITUTE(SUBSTITUTE(SUBSTITUTE(SUBSTITUTE(SUBSTITUTE(SUBSTITUTE(SUBSTITUTE(SUBSTITUTE(LOWER(TRIM(D162)),"ё","е")," -","-"),"- ","-")," 2 разряда","")," 3 разряда","")," 4 разряда","")," 5 разряда","")," 6 разряда","")," 1 категории","")," 2 категории","")," 3 категории",""))="ведущий инженер",IF(ISNUMBER(SEARCH("диспетч",E162)),"ведущий инженер пдо",TRIM(SUBSTITUTE(SUBSTITUTE(SUBSTITUTE(SUBSTITUTE(SUBSTITUTE(SUBSTITUTE(SUBSTITUTE(SUBSTITUTE(SUBSTITUTE(SUBSTITUTE(SUBSTITUTE(LOWER(TRIM(D162)),"ё","е"),"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отк",TRIM(SUBSTITUTE(SUBSTITUTE(SUBSTITUTE(SUBSTITUTE(SUBSTITUTE(SUBSTITUTE(SUBSTITUTE(SUBSTITUTE(SUBSTITUTE(SUBSTITUTE(SUBSTITUTE(LOWER(TRIM(D162)),"ё","е")," -","-"),"- ","-")," 2 разряда","")," 3 разряда","")," 4 разряда","")," 5 разряда","")," 6 разряда","")," 1 категории","")," 2 категории","")," 3 категории","")))))</f>
        <v>бригадир</v>
      </c>
      <c r="H162" s="11" t="n">
        <f aca="false">IFERROR(INDEX(Соответствие!$B$2:$B$76,MATCH(G162,Соответствие!$A$2:$A$76,0)),"?")</f>
        <v>18</v>
      </c>
      <c r="I162" s="8" t="str">
        <f aca="false">IFERROR(INDEX('Перечень должностей'!$C$2:$C$46,MATCH(H162,'Перечень должностей'!$A$2:$A$46,0)),"")</f>
        <v>п.4.4, п.5.1, п.5.2</v>
      </c>
      <c r="J162" s="11" t="n">
        <f aca="false">IFERROR(INDEX('Перечень должностей'!$D$2:$D$46,MATCH(H162,'Перечень должностей'!$A$2:$A$46,0)),12)</f>
        <v>12</v>
      </c>
      <c r="K162" s="16"/>
      <c r="L162" s="16"/>
      <c r="M162" s="15" t="str">
        <f aca="false">IF(K162="","",EDATE(IF(L162&lt;&gt;"",L162,K162),J162))</f>
        <v/>
      </c>
      <c r="N162" s="11" t="str">
        <f aca="false">IFERROR(INDEX('Перечень должностей'!$F$2:$F$46,MATCH(H162,'Перечень должностей'!$A$2:$A$46,0)),"")</f>
        <v>-</v>
      </c>
      <c r="O162" s="16"/>
      <c r="P162" s="15" t="str">
        <f aca="false">IF(O162="","",EDATE(O162,60))</f>
        <v/>
      </c>
      <c r="Q162" s="11" t="str">
        <f aca="false">IF(AND(K162&lt;&gt;"",F162&lt;&gt;"",K162&gt;F162),"ДА","")</f>
        <v/>
      </c>
      <c r="R162" s="17" t="s">
        <v>140</v>
      </c>
    </row>
    <row r="163" customFormat="false" ht="26.25" hidden="false" customHeight="true" outlineLevel="0" collapsed="false">
      <c r="A163" s="14" t="n">
        <v>162</v>
      </c>
      <c r="B163" s="11" t="s">
        <v>50</v>
      </c>
      <c r="C163" s="14" t="s">
        <v>571</v>
      </c>
      <c r="D163" s="14" t="s">
        <v>48</v>
      </c>
      <c r="E163" s="14" t="s">
        <v>182</v>
      </c>
      <c r="F163" s="15" t="n">
        <v>46237</v>
      </c>
      <c r="G163" s="4" t="str">
        <f aca="false">IF(TRIM(SUBSTITUTE(SUBSTITUTE(SUBSTITUTE(SUBSTITUTE(SUBSTITUTE(SUBSTITUTE(SUBSTITUTE(SUBSTITUTE(SUBSTITUTE(SUBSTITUTE(SUBSTITUTE(LOWER(TRIM(D163)),"ё","е")," -","-"),"- ","-")," 2 разряда","")," 3 разряда","")," 4 разряда","")," 5 разряда","")," 6 разряда","")," 1 категории","")," 2 категории","")," 3 категории",""))="инженер",IF(AND(ISNUMBER(SEARCH("техническ",E163)),ISNUMBER(SEARCH("контрол",E163))),"инженер отк",IF(ISNUMBER(SEARCH("диспетч",E163)),"инженер пдо",TRIM(SUBSTITUTE(SUBSTITUTE(SUBSTITUTE(SUBSTITUTE(SUBSTITUTE(SUBSTITUTE(SUBSTITUTE(SUBSTITUTE(SUBSTITUTE(SUBSTITUTE(SUBSTITUTE(LOWER(TRIM(D163)),"ё","е"),"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категории","")))),IF(TRIM(SUBSTITUTE(SUBSTITUTE(SUBSTITUTE(SUBSTITUTE(SUBSTITUTE(SUBSTITUTE(SUBSTITUTE(SUBSTITUTE(SUBSTITUTE(SUBSTITUTE(SUBSTITUTE(LOWER(TRIM(D163)),"ё","е")," -","-"),"- ","-")," 2 разряда","")," 3 разряда","")," 4 разряда","")," 5 разряда","")," 6 разряда","")," 1 категории","")," 2 категории","")," 3 категории",""))="ведущий инженер",IF(ISNUMBER(SEARCH("диспетч",E163)),"ведущий инженер пдо",TRIM(SUBSTITUTE(SUBSTITUTE(SUBSTITUTE(SUBSTITUTE(SUBSTITUTE(SUBSTITUTE(SUBSTITUTE(SUBSTITUTE(SUBSTITUTE(SUBSTITUTE(SUBSTITUTE(LOWER(TRIM(D163)),"ё","е"),"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отк",TRIM(SUBSTITUTE(SUBSTITUTE(SUBSTITUTE(SUBSTITUTE(SUBSTITUTE(SUBSTITUTE(SUBSTITUTE(SUBSTITUTE(SUBSTITUTE(SUBSTITUTE(SUBSTITUTE(LOWER(TRIM(D163)),"ё","е")," -","-"),"- ","-")," 2 разряда","")," 3 разряда","")," 4 разряда","")," 5 разряда","")," 6 разряда","")," 1 категории","")," 2 категории","")," 3 категории","")))))</f>
        <v>сборщик стеклопластиковых изделий</v>
      </c>
      <c r="H163" s="11" t="n">
        <f aca="false">IFERROR(INDEX(Соответствие!$B$2:$B$76,MATCH(G163,Соответствие!$A$2:$A$76,0)),"?")</f>
        <v>26</v>
      </c>
      <c r="I163" s="8" t="str">
        <f aca="false">IFERROR(INDEX('Перечень должностей'!$C$2:$C$46,MATCH(H163,'Перечень должностей'!$A$2:$A$46,0)),"")</f>
        <v>п.1.37.1, п.3.1.8.3, п.4.3.1, п.4.4, п.5.1, п.15</v>
      </c>
      <c r="J163" s="11" t="n">
        <f aca="false">IFERROR(INDEX('Перечень должностей'!$D$2:$D$46,MATCH(H163,'Перечень должностей'!$A$2:$A$46,0)),12)</f>
        <v>12</v>
      </c>
      <c r="K163" s="16"/>
      <c r="L163" s="16"/>
      <c r="M163" s="15" t="str">
        <f aca="false">IF(K163="","",EDATE(IF(L163&lt;&gt;"",L163,K163),J163))</f>
        <v/>
      </c>
      <c r="N163" s="11" t="str">
        <f aca="false">IFERROR(INDEX('Перечень должностей'!$F$2:$F$46,MATCH(H163,'Перечень должностей'!$A$2:$A$46,0)),"")</f>
        <v>Нет</v>
      </c>
      <c r="O163" s="16"/>
      <c r="P163" s="15" t="str">
        <f aca="false">IF(O163="","",EDATE(O163,60))</f>
        <v/>
      </c>
      <c r="Q163" s="11" t="str">
        <f aca="false">IF(AND(K163&lt;&gt;"",F163&lt;&gt;"",K163&gt;F163),"ДА","")</f>
        <v/>
      </c>
      <c r="R163" s="8"/>
    </row>
    <row r="164" customFormat="false" ht="26.25" hidden="false" customHeight="true" outlineLevel="0" collapsed="false">
      <c r="A164" s="14" t="n">
        <v>163</v>
      </c>
      <c r="B164" s="11" t="s">
        <v>50</v>
      </c>
      <c r="C164" s="14" t="s">
        <v>572</v>
      </c>
      <c r="D164" s="14" t="s">
        <v>48</v>
      </c>
      <c r="E164" s="14" t="s">
        <v>49</v>
      </c>
      <c r="F164" s="15" t="n">
        <v>45812</v>
      </c>
      <c r="G164" s="4" t="str">
        <f aca="false">IF(TRIM(SUBSTITUTE(SUBSTITUTE(SUBSTITUTE(SUBSTITUTE(SUBSTITUTE(SUBSTITUTE(SUBSTITUTE(SUBSTITUTE(SUBSTITUTE(SUBSTITUTE(SUBSTITUTE(LOWER(TRIM(D164)),"ё","е")," -","-"),"- ","-")," 2 разряда","")," 3 разряда","")," 4 разряда","")," 5 разряда","")," 6 разряда","")," 1 категории","")," 2 категории","")," 3 категории",""))="инженер",IF(AND(ISNUMBER(SEARCH("техническ",E164)),ISNUMBER(SEARCH("контрол",E164))),"инженер отк",IF(ISNUMBER(SEARCH("диспетч",E164)),"инженер пдо",TRIM(SUBSTITUTE(SUBSTITUTE(SUBSTITUTE(SUBSTITUTE(SUBSTITUTE(SUBSTITUTE(SUBSTITUTE(SUBSTITUTE(SUBSTITUTE(SUBSTITUTE(SUBSTITUTE(LOWER(TRIM(D164)),"ё","е"),"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категории","")))),IF(TRIM(SUBSTITUTE(SUBSTITUTE(SUBSTITUTE(SUBSTITUTE(SUBSTITUTE(SUBSTITUTE(SUBSTITUTE(SUBSTITUTE(SUBSTITUTE(SUBSTITUTE(SUBSTITUTE(LOWER(TRIM(D164)),"ё","е")," -","-"),"- ","-")," 2 разряда","")," 3 разряда","")," 4 разряда","")," 5 разряда","")," 6 разряда","")," 1 категории","")," 2 категории","")," 3 категории",""))="ведущий инженер",IF(ISNUMBER(SEARCH("диспетч",E164)),"ведущий инженер пдо",TRIM(SUBSTITUTE(SUBSTITUTE(SUBSTITUTE(SUBSTITUTE(SUBSTITUTE(SUBSTITUTE(SUBSTITUTE(SUBSTITUTE(SUBSTITUTE(SUBSTITUTE(SUBSTITUTE(LOWER(TRIM(D164)),"ё","е"),"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отк",TRIM(SUBSTITUTE(SUBSTITUTE(SUBSTITUTE(SUBSTITUTE(SUBSTITUTE(SUBSTITUTE(SUBSTITUTE(SUBSTITUTE(SUBSTITUTE(SUBSTITUTE(SUBSTITUTE(LOWER(TRIM(D164)),"ё","е")," -","-"),"- ","-")," 2 разряда","")," 3 разряда","")," 4 разряда","")," 5 разряда","")," 6 разряда","")," 1 категории","")," 2 категории","")," 3 категории","")))))</f>
        <v>сборщик стеклопластиковых изделий</v>
      </c>
      <c r="H164" s="11" t="n">
        <f aca="false">IFERROR(INDEX(Соответствие!$B$2:$B$76,MATCH(G164,Соответствие!$A$2:$A$76,0)),"?")</f>
        <v>26</v>
      </c>
      <c r="I164" s="8" t="str">
        <f aca="false">IFERROR(INDEX('Перечень должностей'!$C$2:$C$46,MATCH(H164,'Перечень должностей'!$A$2:$A$46,0)),"")</f>
        <v>п.1.37.1, п.3.1.8.3, п.4.3.1, п.4.4, п.5.1, п.15</v>
      </c>
      <c r="J164" s="11" t="n">
        <f aca="false">IFERROR(INDEX('Перечень должностей'!$D$2:$D$46,MATCH(H164,'Перечень должностей'!$A$2:$A$46,0)),12)</f>
        <v>12</v>
      </c>
      <c r="K164" s="16" t="n">
        <v>45803</v>
      </c>
      <c r="L164" s="16"/>
      <c r="M164" s="15" t="n">
        <f aca="false">IF(K164="","",EDATE(IF(L164&lt;&gt;"",L164,K164),J164))</f>
        <v>46168</v>
      </c>
      <c r="N164" s="11" t="str">
        <f aca="false">IFERROR(INDEX('Перечень должностей'!$F$2:$F$46,MATCH(H164,'Перечень должностей'!$A$2:$A$46,0)),"")</f>
        <v>Нет</v>
      </c>
      <c r="O164" s="16"/>
      <c r="P164" s="15" t="str">
        <f aca="false">IF(O164="","",EDATE(O164,60))</f>
        <v/>
      </c>
      <c r="Q164" s="11" t="str">
        <f aca="false">IF(AND(K164&lt;&gt;"",F164&lt;&gt;"",K164&gt;F164),"ДА","")</f>
        <v/>
      </c>
      <c r="R164" s="8"/>
    </row>
    <row r="165" customFormat="false" ht="26.25" hidden="false" customHeight="true" outlineLevel="0" collapsed="false">
      <c r="A165" s="14" t="n">
        <v>164</v>
      </c>
      <c r="B165" s="11" t="s">
        <v>50</v>
      </c>
      <c r="C165" s="14" t="s">
        <v>573</v>
      </c>
      <c r="D165" s="14" t="s">
        <v>574</v>
      </c>
      <c r="E165" s="14" t="s">
        <v>49</v>
      </c>
      <c r="F165" s="15" t="n">
        <v>45593</v>
      </c>
      <c r="G165" s="4" t="str">
        <f aca="false">IF(TRIM(SUBSTITUTE(SUBSTITUTE(SUBSTITUTE(SUBSTITUTE(SUBSTITUTE(SUBSTITUTE(SUBSTITUTE(SUBSTITUTE(SUBSTITUTE(SUBSTITUTE(SUBSTITUTE(LOWER(TRIM(D165)),"ё","е")," -","-"),"- ","-")," 2 разряда","")," 3 разряда","")," 4 разряда","")," 5 разряда","")," 6 разряда","")," 1 категории","")," 2 категории","")," 3 категории",""))="инженер",IF(AND(ISNUMBER(SEARCH("техническ",E165)),ISNUMBER(SEARCH("контрол",E165))),"инженер отк",IF(ISNUMBER(SEARCH("диспетч",E165)),"инженер пдо",TRIM(SUBSTITUTE(SUBSTITUTE(SUBSTITUTE(SUBSTITUTE(SUBSTITUTE(SUBSTITUTE(SUBSTITUTE(SUBSTITUTE(SUBSTITUTE(SUBSTITUTE(SUBSTITUTE(LOWER(TRIM(D165)),"ё","е"),"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категории","")))),IF(TRIM(SUBSTITUTE(SUBSTITUTE(SUBSTITUTE(SUBSTITUTE(SUBSTITUTE(SUBSTITUTE(SUBSTITUTE(SUBSTITUTE(SUBSTITUTE(SUBSTITUTE(SUBSTITUTE(LOWER(TRIM(D165)),"ё","е")," -","-"),"- ","-")," 2 разряда","")," 3 разряда","")," 4 разряда","")," 5 разряда","")," 6 разряда","")," 1 категории","")," 2 категории","")," 3 категории",""))="ведущий инженер",IF(ISNUMBER(SEARCH("диспетч",E165)),"ведущий инженер пдо",TRIM(SUBSTITUTE(SUBSTITUTE(SUBSTITUTE(SUBSTITUTE(SUBSTITUTE(SUBSTITUTE(SUBSTITUTE(SUBSTITUTE(SUBSTITUTE(SUBSTITUTE(SUBSTITUTE(LOWER(TRIM(D165)),"ё","е"),"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отк",TRIM(SUBSTITUTE(SUBSTITUTE(SUBSTITUTE(SUBSTITUTE(SUBSTITUTE(SUBSTITUTE(SUBSTITUTE(SUBSTITUTE(SUBSTITUTE(SUBSTITUTE(SUBSTITUTE(LOWER(TRIM(D165)),"ё","е")," -","-"),"- ","-")," 2 разряда","")," 3 разряда","")," 4 разряда","")," 5 разряда","")," 6 разряда","")," 1 категории","")," 2 категории","")," 3 категории","")))))</f>
        <v>сборщик стеклопластиковых изделий</v>
      </c>
      <c r="H165" s="11" t="n">
        <f aca="false">IFERROR(INDEX(Соответствие!$B$2:$B$76,MATCH(G165,Соответствие!$A$2:$A$76,0)),"?")</f>
        <v>26</v>
      </c>
      <c r="I165" s="8" t="str">
        <f aca="false">IFERROR(INDEX('Перечень должностей'!$C$2:$C$46,MATCH(H165,'Перечень должностей'!$A$2:$A$46,0)),"")</f>
        <v>п.1.37.1, п.3.1.8.3, п.4.3.1, п.4.4, п.5.1, п.15</v>
      </c>
      <c r="J165" s="11" t="n">
        <f aca="false">IFERROR(INDEX('Перечень должностей'!$D$2:$D$46,MATCH(H165,'Перечень должностей'!$A$2:$A$46,0)),12)</f>
        <v>12</v>
      </c>
      <c r="K165" s="16"/>
      <c r="L165" s="16"/>
      <c r="M165" s="15" t="str">
        <f aca="false">IF(K165="","",EDATE(IF(L165&lt;&gt;"",L165,K165),J165))</f>
        <v/>
      </c>
      <c r="N165" s="11" t="str">
        <f aca="false">IFERROR(INDEX('Перечень должностей'!$F$2:$F$46,MATCH(H165,'Перечень должностей'!$A$2:$A$46,0)),"")</f>
        <v>Нет</v>
      </c>
      <c r="O165" s="16"/>
      <c r="P165" s="15" t="str">
        <f aca="false">IF(O165="","",EDATE(O165,60))</f>
        <v/>
      </c>
      <c r="Q165" s="11" t="str">
        <f aca="false">IF(AND(K165&lt;&gt;"",F165&lt;&gt;"",K165&gt;F165),"ДА","")</f>
        <v/>
      </c>
      <c r="R165" s="8"/>
    </row>
    <row r="166" customFormat="false" ht="26.25" hidden="false" customHeight="true" outlineLevel="0" collapsed="false">
      <c r="A166" s="14" t="n">
        <v>165</v>
      </c>
      <c r="B166" s="11" t="s">
        <v>50</v>
      </c>
      <c r="C166" s="14" t="s">
        <v>575</v>
      </c>
      <c r="D166" s="14" t="s">
        <v>574</v>
      </c>
      <c r="E166" s="14" t="s">
        <v>49</v>
      </c>
      <c r="F166" s="15" t="n">
        <v>44636</v>
      </c>
      <c r="G166" s="4" t="str">
        <f aca="false">IF(TRIM(SUBSTITUTE(SUBSTITUTE(SUBSTITUTE(SUBSTITUTE(SUBSTITUTE(SUBSTITUTE(SUBSTITUTE(SUBSTITUTE(SUBSTITUTE(SUBSTITUTE(SUBSTITUTE(LOWER(TRIM(D166)),"ё","е")," -","-"),"- ","-")," 2 разряда","")," 3 разряда","")," 4 разряда","")," 5 разряда","")," 6 разряда","")," 1 категории","")," 2 категории","")," 3 категории",""))="инженер",IF(AND(ISNUMBER(SEARCH("техническ",E166)),ISNUMBER(SEARCH("контрол",E166))),"инженер отк",IF(ISNUMBER(SEARCH("диспетч",E166)),"инженер пдо",TRIM(SUBSTITUTE(SUBSTITUTE(SUBSTITUTE(SUBSTITUTE(SUBSTITUTE(SUBSTITUTE(SUBSTITUTE(SUBSTITUTE(SUBSTITUTE(SUBSTITUTE(SUBSTITUTE(LOWER(TRIM(D166)),"ё","е"),"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категории","")))),IF(TRIM(SUBSTITUTE(SUBSTITUTE(SUBSTITUTE(SUBSTITUTE(SUBSTITUTE(SUBSTITUTE(SUBSTITUTE(SUBSTITUTE(SUBSTITUTE(SUBSTITUTE(SUBSTITUTE(LOWER(TRIM(D166)),"ё","е")," -","-"),"- ","-")," 2 разряда","")," 3 разряда","")," 4 разряда","")," 5 разряда","")," 6 разряда","")," 1 категории","")," 2 категории","")," 3 категории",""))="ведущий инженер",IF(ISNUMBER(SEARCH("диспетч",E166)),"ведущий инженер пдо",TRIM(SUBSTITUTE(SUBSTITUTE(SUBSTITUTE(SUBSTITUTE(SUBSTITUTE(SUBSTITUTE(SUBSTITUTE(SUBSTITUTE(SUBSTITUTE(SUBSTITUTE(SUBSTITUTE(LOWER(TRIM(D166)),"ё","е"),"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отк",TRIM(SUBSTITUTE(SUBSTITUTE(SUBSTITUTE(SUBSTITUTE(SUBSTITUTE(SUBSTITUTE(SUBSTITUTE(SUBSTITUTE(SUBSTITUTE(SUBSTITUTE(SUBSTITUTE(LOWER(TRIM(D166)),"ё","е")," -","-"),"- ","-")," 2 разряда","")," 3 разряда","")," 4 разряда","")," 5 разряда","")," 6 разряда","")," 1 категории","")," 2 категории","")," 3 категории","")))))</f>
        <v>сборщик стеклопластиковых изделий</v>
      </c>
      <c r="H166" s="11" t="n">
        <f aca="false">IFERROR(INDEX(Соответствие!$B$2:$B$76,MATCH(G166,Соответствие!$A$2:$A$76,0)),"?")</f>
        <v>26</v>
      </c>
      <c r="I166" s="8" t="str">
        <f aca="false">IFERROR(INDEX('Перечень должностей'!$C$2:$C$46,MATCH(H166,'Перечень должностей'!$A$2:$A$46,0)),"")</f>
        <v>п.1.37.1, п.3.1.8.3, п.4.3.1, п.4.4, п.5.1, п.15</v>
      </c>
      <c r="J166" s="11" t="n">
        <f aca="false">IFERROR(INDEX('Перечень должностей'!$D$2:$D$46,MATCH(H166,'Перечень должностей'!$A$2:$A$46,0)),12)</f>
        <v>12</v>
      </c>
      <c r="K166" s="16"/>
      <c r="L166" s="16"/>
      <c r="M166" s="15" t="str">
        <f aca="false">IF(K166="","",EDATE(IF(L166&lt;&gt;"",L166,K166),J166))</f>
        <v/>
      </c>
      <c r="N166" s="11" t="str">
        <f aca="false">IFERROR(INDEX('Перечень должностей'!$F$2:$F$46,MATCH(H166,'Перечень должностей'!$A$2:$A$46,0)),"")</f>
        <v>Нет</v>
      </c>
      <c r="O166" s="16"/>
      <c r="P166" s="15" t="str">
        <f aca="false">IF(O166="","",EDATE(O166,60))</f>
        <v/>
      </c>
      <c r="Q166" s="11" t="str">
        <f aca="false">IF(AND(K166&lt;&gt;"",F166&lt;&gt;"",K166&gt;F166),"ДА","")</f>
        <v/>
      </c>
      <c r="R166" s="8"/>
    </row>
    <row r="167" customFormat="false" ht="26.25" hidden="false" customHeight="true" outlineLevel="0" collapsed="false">
      <c r="A167" s="14" t="n">
        <v>166</v>
      </c>
      <c r="B167" s="11" t="s">
        <v>50</v>
      </c>
      <c r="C167" s="14" t="s">
        <v>576</v>
      </c>
      <c r="D167" s="14" t="s">
        <v>577</v>
      </c>
      <c r="E167" s="14" t="s">
        <v>49</v>
      </c>
      <c r="F167" s="15" t="n">
        <v>41295</v>
      </c>
      <c r="G167" s="4" t="str">
        <f aca="false">IF(TRIM(SUBSTITUTE(SUBSTITUTE(SUBSTITUTE(SUBSTITUTE(SUBSTITUTE(SUBSTITUTE(SUBSTITUTE(SUBSTITUTE(SUBSTITUTE(SUBSTITUTE(SUBSTITUTE(LOWER(TRIM(D167)),"ё","е")," -","-"),"- ","-")," 2 разряда","")," 3 разряда","")," 4 разряда","")," 5 разряда","")," 6 разряда","")," 1 категории","")," 2 категории","")," 3 категории",""))="инженер",IF(AND(ISNUMBER(SEARCH("техническ",E167)),ISNUMBER(SEARCH("контрол",E167))),"инженер отк",IF(ISNUMBER(SEARCH("диспетч",E167)),"инженер пдо",TRIM(SUBSTITUTE(SUBSTITUTE(SUBSTITUTE(SUBSTITUTE(SUBSTITUTE(SUBSTITUTE(SUBSTITUTE(SUBSTITUTE(SUBSTITUTE(SUBSTITUTE(SUBSTITUTE(LOWER(TRIM(D167)),"ё","е"),"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категории","")))),IF(TRIM(SUBSTITUTE(SUBSTITUTE(SUBSTITUTE(SUBSTITUTE(SUBSTITUTE(SUBSTITUTE(SUBSTITUTE(SUBSTITUTE(SUBSTITUTE(SUBSTITUTE(SUBSTITUTE(LOWER(TRIM(D167)),"ё","е")," -","-"),"- ","-")," 2 разряда","")," 3 разряда","")," 4 разряда","")," 5 разряда","")," 6 разряда","")," 1 категории","")," 2 категории","")," 3 категории",""))="ведущий инженер",IF(ISNUMBER(SEARCH("диспетч",E167)),"ведущий инженер пдо",TRIM(SUBSTITUTE(SUBSTITUTE(SUBSTITUTE(SUBSTITUTE(SUBSTITUTE(SUBSTITUTE(SUBSTITUTE(SUBSTITUTE(SUBSTITUTE(SUBSTITUTE(SUBSTITUTE(LOWER(TRIM(D167)),"ё","е"),"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отк",TRIM(SUBSTITUTE(SUBSTITUTE(SUBSTITUTE(SUBSTITUTE(SUBSTITUTE(SUBSTITUTE(SUBSTITUTE(SUBSTITUTE(SUBSTITUTE(SUBSTITUTE(SUBSTITUTE(LOWER(TRIM(D167)),"ё","е")," -","-"),"- ","-")," 2 разряда","")," 3 разряда","")," 4 разряда","")," 5 разряда","")," 6 разряда","")," 1 категории","")," 2 категории","")," 3 категории","")))))</f>
        <v>облицовщик деталей мебели</v>
      </c>
      <c r="H167" s="11" t="n">
        <f aca="false">IFERROR(INDEX(Соответствие!$B$2:$B$76,MATCH(G167,Соответствие!$A$2:$A$76,0)),"?")</f>
        <v>23</v>
      </c>
      <c r="I167" s="8" t="str">
        <f aca="false">IFERROR(INDEX('Перечень должностей'!$C$2:$C$46,MATCH(H167,'Перечень должностей'!$A$2:$A$46,0)),"")</f>
        <v>п.1.49.2, п.1.49.14, п.4.3.1, п.4.3.2, п.4.4, п.5.1, п.15</v>
      </c>
      <c r="J167" s="11" t="n">
        <f aca="false">IFERROR(INDEX('Перечень должностей'!$D$2:$D$46,MATCH(H167,'Перечень должностей'!$A$2:$A$46,0)),12)</f>
        <v>12</v>
      </c>
      <c r="K167" s="16"/>
      <c r="L167" s="16"/>
      <c r="M167" s="15" t="str">
        <f aca="false">IF(K167="","",EDATE(IF(L167&lt;&gt;"",L167,K167),J167))</f>
        <v/>
      </c>
      <c r="N167" s="11" t="str">
        <f aca="false">IFERROR(INDEX('Перечень должностей'!$F$2:$F$46,MATCH(H167,'Перечень должностей'!$A$2:$A$46,0)),"")</f>
        <v>-</v>
      </c>
      <c r="O167" s="16"/>
      <c r="P167" s="15" t="str">
        <f aca="false">IF(O167="","",EDATE(O167,60))</f>
        <v/>
      </c>
      <c r="Q167" s="11" t="str">
        <f aca="false">IF(AND(K167&lt;&gt;"",F167&lt;&gt;"",K167&gt;F167),"ДА","")</f>
        <v/>
      </c>
      <c r="R167" s="8"/>
    </row>
    <row r="168" customFormat="false" ht="26.25" hidden="false" customHeight="true" outlineLevel="0" collapsed="false">
      <c r="A168" s="14" t="n">
        <v>167</v>
      </c>
      <c r="B168" s="11" t="s">
        <v>50</v>
      </c>
      <c r="C168" s="14" t="s">
        <v>578</v>
      </c>
      <c r="D168" s="14" t="s">
        <v>577</v>
      </c>
      <c r="E168" s="14" t="s">
        <v>182</v>
      </c>
      <c r="F168" s="15" t="n">
        <v>45623</v>
      </c>
      <c r="G168" s="4" t="str">
        <f aca="false">IF(TRIM(SUBSTITUTE(SUBSTITUTE(SUBSTITUTE(SUBSTITUTE(SUBSTITUTE(SUBSTITUTE(SUBSTITUTE(SUBSTITUTE(SUBSTITUTE(SUBSTITUTE(SUBSTITUTE(LOWER(TRIM(D168)),"ё","е")," -","-"),"- ","-")," 2 разряда","")," 3 разряда","")," 4 разряда","")," 5 разряда","")," 6 разряда","")," 1 категории","")," 2 категории","")," 3 категории",""))="инженер",IF(AND(ISNUMBER(SEARCH("техническ",E168)),ISNUMBER(SEARCH("контрол",E168))),"инженер отк",IF(ISNUMBER(SEARCH("диспетч",E168)),"инженер пдо",TRIM(SUBSTITUTE(SUBSTITUTE(SUBSTITUTE(SUBSTITUTE(SUBSTITUTE(SUBSTITUTE(SUBSTITUTE(SUBSTITUTE(SUBSTITUTE(SUBSTITUTE(SUBSTITUTE(LOWER(TRIM(D168)),"ё","е"),"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категории","")))),IF(TRIM(SUBSTITUTE(SUBSTITUTE(SUBSTITUTE(SUBSTITUTE(SUBSTITUTE(SUBSTITUTE(SUBSTITUTE(SUBSTITUTE(SUBSTITUTE(SUBSTITUTE(SUBSTITUTE(LOWER(TRIM(D168)),"ё","е")," -","-"),"- ","-")," 2 разряда","")," 3 разряда","")," 4 разряда","")," 5 разряда","")," 6 разряда","")," 1 категории","")," 2 категории","")," 3 категории",""))="ведущий инженер",IF(ISNUMBER(SEARCH("диспетч",E168)),"ведущий инженер пдо",TRIM(SUBSTITUTE(SUBSTITUTE(SUBSTITUTE(SUBSTITUTE(SUBSTITUTE(SUBSTITUTE(SUBSTITUTE(SUBSTITUTE(SUBSTITUTE(SUBSTITUTE(SUBSTITUTE(LOWER(TRIM(D168)),"ё","е"),"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отк",TRIM(SUBSTITUTE(SUBSTITUTE(SUBSTITUTE(SUBSTITUTE(SUBSTITUTE(SUBSTITUTE(SUBSTITUTE(SUBSTITUTE(SUBSTITUTE(SUBSTITUTE(SUBSTITUTE(LOWER(TRIM(D168)),"ё","е")," -","-"),"- ","-")," 2 разряда","")," 3 разряда","")," 4 разряда","")," 5 разряда","")," 6 разряда","")," 1 категории","")," 2 категории","")," 3 категории","")))))</f>
        <v>облицовщик деталей мебели</v>
      </c>
      <c r="H168" s="11" t="n">
        <f aca="false">IFERROR(INDEX(Соответствие!$B$2:$B$76,MATCH(G168,Соответствие!$A$2:$A$76,0)),"?")</f>
        <v>23</v>
      </c>
      <c r="I168" s="8" t="str">
        <f aca="false">IFERROR(INDEX('Перечень должностей'!$C$2:$C$46,MATCH(H168,'Перечень должностей'!$A$2:$A$46,0)),"")</f>
        <v>п.1.49.2, п.1.49.14, п.4.3.1, п.4.3.2, п.4.4, п.5.1, п.15</v>
      </c>
      <c r="J168" s="11" t="n">
        <f aca="false">IFERROR(INDEX('Перечень должностей'!$D$2:$D$46,MATCH(H168,'Перечень должностей'!$A$2:$A$46,0)),12)</f>
        <v>12</v>
      </c>
      <c r="K168" s="16"/>
      <c r="L168" s="16"/>
      <c r="M168" s="15" t="str">
        <f aca="false">IF(K168="","",EDATE(IF(L168&lt;&gt;"",L168,K168),J168))</f>
        <v/>
      </c>
      <c r="N168" s="11" t="str">
        <f aca="false">IFERROR(INDEX('Перечень должностей'!$F$2:$F$46,MATCH(H168,'Перечень должностей'!$A$2:$A$46,0)),"")</f>
        <v>-</v>
      </c>
      <c r="O168" s="16"/>
      <c r="P168" s="15" t="str">
        <f aca="false">IF(O168="","",EDATE(O168,60))</f>
        <v/>
      </c>
      <c r="Q168" s="11" t="str">
        <f aca="false">IF(AND(K168&lt;&gt;"",F168&lt;&gt;"",K168&gt;F168),"ДА","")</f>
        <v/>
      </c>
      <c r="R168" s="8"/>
    </row>
    <row r="169" customFormat="false" ht="26.25" hidden="false" customHeight="true" outlineLevel="0" collapsed="false">
      <c r="A169" s="14" t="n">
        <v>168</v>
      </c>
      <c r="B169" s="11" t="s">
        <v>50</v>
      </c>
      <c r="C169" s="14" t="s">
        <v>141</v>
      </c>
      <c r="D169" s="14" t="s">
        <v>188</v>
      </c>
      <c r="E169" s="14" t="s">
        <v>49</v>
      </c>
      <c r="F169" s="15" t="n">
        <v>41061</v>
      </c>
      <c r="G169" s="4" t="str">
        <f aca="false">IF(TRIM(SUBSTITUTE(SUBSTITUTE(SUBSTITUTE(SUBSTITUTE(SUBSTITUTE(SUBSTITUTE(SUBSTITUTE(SUBSTITUTE(SUBSTITUTE(SUBSTITUTE(SUBSTITUTE(LOWER(TRIM(D169)),"ё","е")," -","-"),"- ","-")," 2 разряда","")," 3 разряда","")," 4 разряда","")," 5 разряда","")," 6 разряда","")," 1 категории","")," 2 категории","")," 3 категории",""))="инженер",IF(AND(ISNUMBER(SEARCH("техническ",E169)),ISNUMBER(SEARCH("контрол",E169))),"инженер отк",IF(ISNUMBER(SEARCH("диспетч",E169)),"инженер пдо",TRIM(SUBSTITUTE(SUBSTITUTE(SUBSTITUTE(SUBSTITUTE(SUBSTITUTE(SUBSTITUTE(SUBSTITUTE(SUBSTITUTE(SUBSTITUTE(SUBSTITUTE(SUBSTITUTE(LOWER(TRIM(D169)),"ё","е"),"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категории","")))),IF(TRIM(SUBSTITUTE(SUBSTITUTE(SUBSTITUTE(SUBSTITUTE(SUBSTITUTE(SUBSTITUTE(SUBSTITUTE(SUBSTITUTE(SUBSTITUTE(SUBSTITUTE(SUBSTITUTE(LOWER(TRIM(D169)),"ё","е")," -","-"),"- ","-")," 2 разряда","")," 3 разряда","")," 4 разряда","")," 5 разряда","")," 6 разряда","")," 1 категории","")," 2 категории","")," 3 категории",""))="ведущий инженер",IF(ISNUMBER(SEARCH("диспетч",E169)),"ведущий инженер пдо",TRIM(SUBSTITUTE(SUBSTITUTE(SUBSTITUTE(SUBSTITUTE(SUBSTITUTE(SUBSTITUTE(SUBSTITUTE(SUBSTITUTE(SUBSTITUTE(SUBSTITUTE(SUBSTITUTE(LOWER(TRIM(D169)),"ё","е"),"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категории",""))),IF(TRIM(SUBSTITUTE(SUBSTITUTE(SUBSTITUTE(SUBSTITUTE(SUBSTITUTE(SUBSTITUTE(SUBSTITUTE(SUBSTITUTE(SUBSTITUTE(SUBSTITUTE(SUBSTITUTE(LOWER(TRIM(D169)),"ё","е"),"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отк",TRIM(SUBSTITUTE(SUBSTITUTE(SUBSTITUTE(SUBSTITUTE(SUBSTITUTE(SUBSTITUTE(SUBSTITUTE(SUBSTITUTE(SUBSTITUTE(SUBSTITUTE(SUBSTITUTE(LOWER(TRIM(D169)),"ё","е")," -","-"),"- ","-")," 2 разряда","")," 3 разряда","")," 4 разряда","")," 5 разряда","")," 6 разряда","")," 1 категории","")," 2 категории","")," 3 категории","")))))</f>
        <v>инженер-программист станков с чпу</v>
      </c>
      <c r="H169" s="11" t="str">
        <f aca="false">IFERROR(INDEX(Соответствие!$B$2:$B$76,MATCH(G169,Соответствие!$A$2:$A$76,0)),"?")</f>
        <v>?</v>
      </c>
      <c r="I169" s="8" t="str">
        <f aca="false">IFERROR(INDEX('Перечень должностей'!$C$2:$C$46,MATCH(H169,'Перечень должностей'!$A$2:$A$46,0)),"")</f>
        <v>п.4.3.1, п.4.4, п.4.7, п.4.8, п.5.1, п.6.1</v>
      </c>
      <c r="J169" s="11" t="n">
        <f aca="false">IFERROR(INDEX('Перечень должностей'!$D$2:$D$46,MATCH(H169,'Перечень должностей'!$A$2:$A$46,0)),12)</f>
        <v>12</v>
      </c>
      <c r="K169" s="16"/>
      <c r="L169" s="16"/>
      <c r="M169" s="15" t="str">
        <f aca="false">IF(K169="","",EDATE(IF(L169&lt;&gt;"",L169,K169),J169))</f>
        <v/>
      </c>
      <c r="N169" s="11" t="str">
        <f aca="false">IFERROR(INDEX('Перечень должностей'!$F$2:$F$46,MATCH(H169,'Перечень должностей'!$A$2:$A$46,0)),"")</f>
        <v>-</v>
      </c>
      <c r="O169" s="16"/>
      <c r="P169" s="15" t="str">
        <f aca="false">IF(O169="","",EDATE(O169,60))</f>
        <v/>
      </c>
      <c r="Q169" s="11" t="str">
        <f aca="false">IF(AND(K169&lt;&gt;"",F169&lt;&gt;"",K169&gt;F169),"ДА","")</f>
        <v/>
      </c>
      <c r="R169" s="17" t="s">
        <v>142</v>
      </c>
    </row>
    <row r="170" customFormat="false" ht="26.25" hidden="false" customHeight="true" outlineLevel="0" collapsed="false">
      <c r="A170" s="14" t="n">
        <v>169</v>
      </c>
      <c r="B170" s="11" t="s">
        <v>50</v>
      </c>
      <c r="C170" s="14" t="s">
        <v>579</v>
      </c>
      <c r="D170" s="14" t="s">
        <v>315</v>
      </c>
      <c r="E170" s="14" t="s">
        <v>49</v>
      </c>
      <c r="F170" s="15" t="n">
        <v>45125</v>
      </c>
      <c r="G170" s="4" t="str">
        <f aca="false">IF(TRIM(SUBSTITUTE(SUBSTITUTE(SUBSTITUTE(SUBSTITUTE(SUBSTITUTE(SUBSTITUTE(SUBSTITUTE(SUBSTITUTE(SUBSTITUTE(SUBSTITUTE(SUBSTITUTE(LOWER(TRIM(D170)),"ё","е")," -","-"),"- ","-")," 2 разряда","")," 3 разряда","")," 4 разряда","")," 5 разряда","")," 6 разряда","")," 1 категории","")," 2 категории","")," 3 категории",""))="инженер",IF(AND(ISNUMBER(SEARCH("техническ",E170)),ISNUMBER(SEARCH("контрол",E170))),"инженер отк",IF(ISNUMBER(SEARCH("диспетч",E170)),"инженер пдо",TRIM(SUBSTITUTE(SUBSTITUTE(SUBSTITUTE(SUBSTITUTE(SUBSTITUTE(SUBSTITUTE(SUBSTITUTE(SUBSTITUTE(SUBSTITUTE(SUBSTITUTE(SUBSTITUTE(LOWER(TRIM(D170)),"ё","е"),"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категории","")))),IF(TRIM(SUBSTITUTE(SUBSTITUTE(SUBSTITUTE(SUBSTITUTE(SUBSTITUTE(SUBSTITUTE(SUBSTITUTE(SUBSTITUTE(SUBSTITUTE(SUBSTITUTE(SUBSTITUTE(LOWER(TRIM(D170)),"ё","е")," -","-"),"- ","-")," 2 разряда","")," 3 разряда","")," 4 разряда","")," 5 разряда","")," 6 разряда","")," 1 категории","")," 2 категории","")," 3 категории",""))="ведущий инженер",IF(ISNUMBER(SEARCH("диспетч",E170)),"ведущий инженер пдо",TRIM(SUBSTITUTE(SUBSTITUTE(SUBSTITUTE(SUBSTITUTE(SUBSTITUTE(SUBSTITUTE(SUBSTITUTE(SUBSTITUTE(SUBSTITUTE(SUBSTITUTE(SUBSTITUTE(LOWER(TRIM(D170)),"ё","е"),"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отк",TRIM(SUBSTITUTE(SUBSTITUTE(SUBSTITUTE(SUBSTITUTE(SUBSTITUTE(SUBSTITUTE(SUBSTITUTE(SUBSTITUTE(SUBSTITUTE(SUBSTITUTE(SUBSTITUTE(LOWER(TRIM(D170)),"ё","е")," -","-"),"- ","-")," 2 разряда","")," 3 разряда","")," 4 разряда","")," 5 разряда","")," 6 разряда","")," 1 категории","")," 2 категории","")," 3 категории","")))))</f>
        <v>оператор-наладчик станков с чпу</v>
      </c>
      <c r="H170" s="11" t="n">
        <f aca="false">IFERROR(INDEX(Соответствие!$B$2:$B$76,MATCH(G170,Соответствие!$A$2:$A$76,0)),"?")</f>
        <v>25</v>
      </c>
      <c r="I170" s="8" t="str">
        <f aca="false">IFERROR(INDEX('Перечень должностей'!$C$2:$C$46,MATCH(H170,'Перечень должностей'!$A$2:$A$46,0)),"")</f>
        <v>п.4.3.1, п.4.3.2, п.4.4, п.5.1, п.5.2, п.15</v>
      </c>
      <c r="J170" s="11" t="n">
        <f aca="false">IFERROR(INDEX('Перечень должностей'!$D$2:$D$46,MATCH(H170,'Перечень должностей'!$A$2:$A$46,0)),12)</f>
        <v>12</v>
      </c>
      <c r="K170" s="16"/>
      <c r="L170" s="16"/>
      <c r="M170" s="15" t="str">
        <f aca="false">IF(K170="","",EDATE(IF(L170&lt;&gt;"",L170,K170),J170))</f>
        <v/>
      </c>
      <c r="N170" s="11" t="str">
        <f aca="false">IFERROR(INDEX('Перечень должностей'!$F$2:$F$46,MATCH(H170,'Перечень должностей'!$A$2:$A$46,0)),"")</f>
        <v>-</v>
      </c>
      <c r="O170" s="16"/>
      <c r="P170" s="15" t="str">
        <f aca="false">IF(O170="","",EDATE(O170,60))</f>
        <v/>
      </c>
      <c r="Q170" s="11" t="str">
        <f aca="false">IF(AND(K170&lt;&gt;"",F170&lt;&gt;"",K170&gt;F170),"ДА","")</f>
        <v/>
      </c>
      <c r="R170" s="8"/>
    </row>
    <row r="171" customFormat="false" ht="26.25" hidden="false" customHeight="true" outlineLevel="0" collapsed="false">
      <c r="A171" s="14" t="n">
        <v>170</v>
      </c>
      <c r="B171" s="11" t="s">
        <v>50</v>
      </c>
      <c r="C171" s="14" t="s">
        <v>580</v>
      </c>
      <c r="D171" s="14" t="s">
        <v>581</v>
      </c>
      <c r="E171" s="14" t="s">
        <v>182</v>
      </c>
      <c r="F171" s="15" t="n">
        <v>45999</v>
      </c>
      <c r="G171" s="4" t="str">
        <f aca="false">IF(TRIM(SUBSTITUTE(SUBSTITUTE(SUBSTITUTE(SUBSTITUTE(SUBSTITUTE(SUBSTITUTE(SUBSTITUTE(SUBSTITUTE(SUBSTITUTE(SUBSTITUTE(SUBSTITUTE(LOWER(TRIM(D171)),"ё","е")," -","-"),"- ","-")," 2 разряда","")," 3 разряда","")," 4 разряда","")," 5 разряда","")," 6 разряда","")," 1 категории","")," 2 категории","")," 3 категории",""))="инженер",IF(AND(ISNUMBER(SEARCH("техническ",E171)),ISNUMBER(SEARCH("контрол",E171))),"инженер отк",IF(ISNUMBER(SEARCH("диспетч",E171)),"инженер пдо",TRIM(SUBSTITUTE(SUBSTITUTE(SUBSTITUTE(SUBSTITUTE(SUBSTITUTE(SUBSTITUTE(SUBSTITUTE(SUBSTITUTE(SUBSTITUTE(SUBSTITUTE(SUBSTITUTE(LOWER(TRIM(D171)),"ё","е"),"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категории","")))),IF(TRIM(SUBSTITUTE(SUBSTITUTE(SUBSTITUTE(SUBSTITUTE(SUBSTITUTE(SUBSTITUTE(SUBSTITUTE(SUBSTITUTE(SUBSTITUTE(SUBSTITUTE(SUBSTITUTE(LOWER(TRIM(D171)),"ё","е")," -","-"),"- ","-")," 2 разряда","")," 3 разряда","")," 4 разряда","")," 5 разряда","")," 6 разряда","")," 1 категории","")," 2 категории","")," 3 категории",""))="ведущий инженер",IF(ISNUMBER(SEARCH("диспетч",E171)),"ведущий инженер пдо",TRIM(SUBSTITUTE(SUBSTITUTE(SUBSTITUTE(SUBSTITUTE(SUBSTITUTE(SUBSTITUTE(SUBSTITUTE(SUBSTITUTE(SUBSTITUTE(SUBSTITUTE(SUBSTITUTE(LOWER(TRIM(D171)),"ё","е"),"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отк",TRIM(SUBSTITUTE(SUBSTITUTE(SUBSTITUTE(SUBSTITUTE(SUBSTITUTE(SUBSTITUTE(SUBSTITUTE(SUBSTITUTE(SUBSTITUTE(SUBSTITUTE(SUBSTITUTE(LOWER(TRIM(D171)),"ё","е")," -","-"),"- ","-")," 2 разряда","")," 3 разряда","")," 4 разряда","")," 5 разряда","")," 6 разряда","")," 1 категории","")," 2 категории","")," 3 категории","")))))</f>
        <v>сборщик стеклопластиковых изделий</v>
      </c>
      <c r="H171" s="11" t="n">
        <f aca="false">IFERROR(INDEX(Соответствие!$B$2:$B$76,MATCH(G171,Соответствие!$A$2:$A$76,0)),"?")</f>
        <v>26</v>
      </c>
      <c r="I171" s="8" t="str">
        <f aca="false">IFERROR(INDEX('Перечень должностей'!$C$2:$C$46,MATCH(H171,'Перечень должностей'!$A$2:$A$46,0)),"")</f>
        <v>п.1.37.1, п.3.1.8.3, п.4.3.1, п.4.4, п.5.1, п.15</v>
      </c>
      <c r="J171" s="11" t="n">
        <f aca="false">IFERROR(INDEX('Перечень должностей'!$D$2:$D$46,MATCH(H171,'Перечень должностей'!$A$2:$A$46,0)),12)</f>
        <v>12</v>
      </c>
      <c r="K171" s="16"/>
      <c r="L171" s="16"/>
      <c r="M171" s="15" t="str">
        <f aca="false">IF(K171="","",EDATE(IF(L171&lt;&gt;"",L171,K171),J171))</f>
        <v/>
      </c>
      <c r="N171" s="11" t="str">
        <f aca="false">IFERROR(INDEX('Перечень должностей'!$F$2:$F$46,MATCH(H171,'Перечень должностей'!$A$2:$A$46,0)),"")</f>
        <v>Нет</v>
      </c>
      <c r="O171" s="16"/>
      <c r="P171" s="15" t="str">
        <f aca="false">IF(O171="","",EDATE(O171,60))</f>
        <v/>
      </c>
      <c r="Q171" s="11" t="str">
        <f aca="false">IF(AND(K171&lt;&gt;"",F171&lt;&gt;"",K171&gt;F171),"ДА","")</f>
        <v/>
      </c>
      <c r="R171" s="8"/>
    </row>
    <row r="172" customFormat="false" ht="26.25" hidden="false" customHeight="true" outlineLevel="0" collapsed="false">
      <c r="A172" s="14" t="n">
        <v>171</v>
      </c>
      <c r="B172" s="11" t="s">
        <v>50</v>
      </c>
      <c r="C172" s="14" t="s">
        <v>143</v>
      </c>
      <c r="D172" s="14" t="s">
        <v>582</v>
      </c>
      <c r="E172" s="14" t="s">
        <v>182</v>
      </c>
      <c r="F172" s="15" t="n">
        <v>45719</v>
      </c>
      <c r="G172" s="4" t="str">
        <f aca="false">IF(TRIM(SUBSTITUTE(SUBSTITUTE(SUBSTITUTE(SUBSTITUTE(SUBSTITUTE(SUBSTITUTE(SUBSTITUTE(SUBSTITUTE(SUBSTITUTE(SUBSTITUTE(SUBSTITUTE(LOWER(TRIM(D172)),"ё","е")," -","-"),"- ","-")," 2 разряда","")," 3 разряда","")," 4 разряда","")," 5 разряда","")," 6 разряда","")," 1 категории","")," 2 категории","")," 3 категории",""))="инженер",IF(AND(ISNUMBER(SEARCH("техническ",E172)),ISNUMBER(SEARCH("контрол",E172))),"инженер отк",IF(ISNUMBER(SEARCH("диспетч",E172)),"инженер пдо",TRIM(SUBSTITUTE(SUBSTITUTE(SUBSTITUTE(SUBSTITUTE(SUBSTITUTE(SUBSTITUTE(SUBSTITUTE(SUBSTITUTE(SUBSTITUTE(SUBSTITUTE(SUBSTITUTE(LOWER(TRIM(D172)),"ё","е"),"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категории","")))),IF(TRIM(SUBSTITUTE(SUBSTITUTE(SUBSTITUTE(SUBSTITUTE(SUBSTITUTE(SUBSTITUTE(SUBSTITUTE(SUBSTITUTE(SUBSTITUTE(SUBSTITUTE(SUBSTITUTE(LOWER(TRIM(D172)),"ё","е")," -","-"),"- ","-")," 2 разряда","")," 3 разряда","")," 4 разряда","")," 5 разряда","")," 6 разряда","")," 1 категории","")," 2 категории","")," 3 категории",""))="ведущий инженер",IF(ISNUMBER(SEARCH("диспетч",E172)),"ведущий инженер пдо",TRIM(SUBSTITUTE(SUBSTITUTE(SUBSTITUTE(SUBSTITUTE(SUBSTITUTE(SUBSTITUTE(SUBSTITUTE(SUBSTITUTE(SUBSTITUTE(SUBSTITUTE(SUBSTITUTE(LOWER(TRIM(D172)),"ё","е"),"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отк",TRIM(SUBSTITUTE(SUBSTITUTE(SUBSTITUTE(SUBSTITUTE(SUBSTITUTE(SUBSTITUTE(SUBSTITUTE(SUBSTITUTE(SUBSTITUTE(SUBSTITUTE(SUBSTITUTE(LOWER(TRIM(D172)),"ё","е")," -","-"),"- ","-")," 2 разряда","")," 3 разряда","")," 4 разряда","")," 5 разряда","")," 6 разряда","")," 1 категории","")," 2 категории","")," 3 категории","")))))</f>
        <v>облицовщик деталей мебели</v>
      </c>
      <c r="H172" s="11" t="n">
        <f aca="false">IFERROR(INDEX(Соответствие!$B$2:$B$76,MATCH(G172,Соответствие!$A$2:$A$76,0)),"?")</f>
        <v>23</v>
      </c>
      <c r="I172" s="8" t="str">
        <f aca="false">IFERROR(INDEX('Перечень должностей'!$C$2:$C$46,MATCH(H172,'Перечень должностей'!$A$2:$A$46,0)),"")</f>
        <v>п.1.49.2, п.1.49.14, п.4.3.1, п.4.3.2, п.4.4, п.5.1, п.15</v>
      </c>
      <c r="J172" s="11" t="n">
        <f aca="false">IFERROR(INDEX('Перечень должностей'!$D$2:$D$46,MATCH(H172,'Перечень должностей'!$A$2:$A$46,0)),12)</f>
        <v>12</v>
      </c>
      <c r="K172" s="16"/>
      <c r="L172" s="16"/>
      <c r="M172" s="15" t="str">
        <f aca="false">IF(K172="","",EDATE(IF(L172&lt;&gt;"",L172,K172),J172))</f>
        <v/>
      </c>
      <c r="N172" s="11" t="str">
        <f aca="false">IFERROR(INDEX('Перечень должностей'!$F$2:$F$46,MATCH(H172,'Перечень должностей'!$A$2:$A$46,0)),"")</f>
        <v>-</v>
      </c>
      <c r="O172" s="16"/>
      <c r="P172" s="15" t="str">
        <f aca="false">IF(O172="","",EDATE(O172,60))</f>
        <v/>
      </c>
      <c r="Q172" s="11" t="str">
        <f aca="false">IF(AND(K172&lt;&gt;"",F172&lt;&gt;"",K172&gt;F172),"ДА","")</f>
        <v/>
      </c>
      <c r="R172" s="17" t="s">
        <v>144</v>
      </c>
    </row>
    <row r="173" customFormat="false" ht="26.25" hidden="false" customHeight="true" outlineLevel="0" collapsed="false">
      <c r="A173" s="14" t="n">
        <v>172</v>
      </c>
      <c r="B173" s="11" t="s">
        <v>50</v>
      </c>
      <c r="C173" s="14" t="s">
        <v>583</v>
      </c>
      <c r="D173" s="14" t="s">
        <v>581</v>
      </c>
      <c r="E173" s="14" t="s">
        <v>49</v>
      </c>
      <c r="F173" s="15" t="n">
        <v>46036</v>
      </c>
      <c r="G173" s="4" t="str">
        <f aca="false">IF(TRIM(SUBSTITUTE(SUBSTITUTE(SUBSTITUTE(SUBSTITUTE(SUBSTITUTE(SUBSTITUTE(SUBSTITUTE(SUBSTITUTE(SUBSTITUTE(SUBSTITUTE(SUBSTITUTE(LOWER(TRIM(D173)),"ё","е")," -","-"),"- ","-")," 2 разряда","")," 3 разряда","")," 4 разряда","")," 5 разряда","")," 6 разряда","")," 1 категории","")," 2 категории","")," 3 категории",""))="инженер",IF(AND(ISNUMBER(SEARCH("техническ",E173)),ISNUMBER(SEARCH("контрол",E173))),"инженер отк",IF(ISNUMBER(SEARCH("диспетч",E173)),"инженер пдо",TRIM(SUBSTITUTE(SUBSTITUTE(SUBSTITUTE(SUBSTITUTE(SUBSTITUTE(SUBSTITUTE(SUBSTITUTE(SUBSTITUTE(SUBSTITUTE(SUBSTITUTE(SUBSTITUTE(LOWER(TRIM(D173)),"ё","е"),"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категории","")))),IF(TRIM(SUBSTITUTE(SUBSTITUTE(SUBSTITUTE(SUBSTITUTE(SUBSTITUTE(SUBSTITUTE(SUBSTITUTE(SUBSTITUTE(SUBSTITUTE(SUBSTITUTE(SUBSTITUTE(LOWER(TRIM(D173)),"ё","е")," -","-"),"- ","-")," 2 разряда","")," 3 разряда","")," 4 разряда","")," 5 разряда","")," 6 разряда","")," 1 категории","")," 2 категории","")," 3 категории",""))="ведущий инженер",IF(ISNUMBER(SEARCH("диспетч",E173)),"ведущий инженер пдо",TRIM(SUBSTITUTE(SUBSTITUTE(SUBSTITUTE(SUBSTITUTE(SUBSTITUTE(SUBSTITUTE(SUBSTITUTE(SUBSTITUTE(SUBSTITUTE(SUBSTITUTE(SUBSTITUTE(LOWER(TRIM(D173)),"ё","е"),"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отк",TRIM(SUBSTITUTE(SUBSTITUTE(SUBSTITUTE(SUBSTITUTE(SUBSTITUTE(SUBSTITUTE(SUBSTITUTE(SUBSTITUTE(SUBSTITUTE(SUBSTITUTE(SUBSTITUTE(LOWER(TRIM(D173)),"ё","е")," -","-"),"- ","-")," 2 разряда","")," 3 разряда","")," 4 разряда","")," 5 разряда","")," 6 разряда","")," 1 категории","")," 2 категории","")," 3 категории","")))))</f>
        <v>сборщик стеклопластиковых изделий</v>
      </c>
      <c r="H173" s="11" t="n">
        <f aca="false">IFERROR(INDEX(Соответствие!$B$2:$B$76,MATCH(G173,Соответствие!$A$2:$A$76,0)),"?")</f>
        <v>26</v>
      </c>
      <c r="I173" s="8" t="str">
        <f aca="false">IFERROR(INDEX('Перечень должностей'!$C$2:$C$46,MATCH(H173,'Перечень должностей'!$A$2:$A$46,0)),"")</f>
        <v>п.1.37.1, п.3.1.8.3, п.4.3.1, п.4.4, п.5.1, п.15</v>
      </c>
      <c r="J173" s="11" t="n">
        <f aca="false">IFERROR(INDEX('Перечень должностей'!$D$2:$D$46,MATCH(H173,'Перечень должностей'!$A$2:$A$46,0)),12)</f>
        <v>12</v>
      </c>
      <c r="K173" s="16"/>
      <c r="L173" s="16"/>
      <c r="M173" s="15" t="str">
        <f aca="false">IF(K173="","",EDATE(IF(L173&lt;&gt;"",L173,K173),J173))</f>
        <v/>
      </c>
      <c r="N173" s="11" t="str">
        <f aca="false">IFERROR(INDEX('Перечень должностей'!$F$2:$F$46,MATCH(H173,'Перечень должностей'!$A$2:$A$46,0)),"")</f>
        <v>Нет</v>
      </c>
      <c r="O173" s="16"/>
      <c r="P173" s="15" t="str">
        <f aca="false">IF(O173="","",EDATE(O173,60))</f>
        <v/>
      </c>
      <c r="Q173" s="11" t="str">
        <f aca="false">IF(AND(K173&lt;&gt;"",F173&lt;&gt;"",K173&gt;F173),"ДА","")</f>
        <v/>
      </c>
      <c r="R173" s="8"/>
    </row>
    <row r="174" customFormat="false" ht="26.25" hidden="false" customHeight="true" outlineLevel="0" collapsed="false">
      <c r="A174" s="14" t="n">
        <v>173</v>
      </c>
      <c r="B174" s="11" t="s">
        <v>50</v>
      </c>
      <c r="C174" s="14" t="s">
        <v>584</v>
      </c>
      <c r="D174" s="14" t="s">
        <v>581</v>
      </c>
      <c r="E174" s="14" t="s">
        <v>49</v>
      </c>
      <c r="F174" s="15" t="n">
        <v>46051</v>
      </c>
      <c r="G174" s="4" t="str">
        <f aca="false">IF(TRIM(SUBSTITUTE(SUBSTITUTE(SUBSTITUTE(SUBSTITUTE(SUBSTITUTE(SUBSTITUTE(SUBSTITUTE(SUBSTITUTE(SUBSTITUTE(SUBSTITUTE(SUBSTITUTE(LOWER(TRIM(D174)),"ё","е")," -","-"),"- ","-")," 2 разряда","")," 3 разряда","")," 4 разряда","")," 5 разряда","")," 6 разряда","")," 1 категории","")," 2 категории","")," 3 категории",""))="инженер",IF(AND(ISNUMBER(SEARCH("техническ",E174)),ISNUMBER(SEARCH("контрол",E174))),"инженер отк",IF(ISNUMBER(SEARCH("диспетч",E174)),"инженер пдо",TRIM(SUBSTITUTE(SUBSTITUTE(SUBSTITUTE(SUBSTITUTE(SUBSTITUTE(SUBSTITUTE(SUBSTITUTE(SUBSTITUTE(SUBSTITUTE(SUBSTITUTE(SUBSTITUTE(LOWER(TRIM(D174)),"ё","е"),"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категории","")))),IF(TRIM(SUBSTITUTE(SUBSTITUTE(SUBSTITUTE(SUBSTITUTE(SUBSTITUTE(SUBSTITUTE(SUBSTITUTE(SUBSTITUTE(SUBSTITUTE(SUBSTITUTE(SUBSTITUTE(LOWER(TRIM(D174)),"ё","е")," -","-"),"- ","-")," 2 разряда","")," 3 разряда","")," 4 разряда","")," 5 разряда","")," 6 разряда","")," 1 категории","")," 2 категории","")," 3 категории",""))="ведущий инженер",IF(ISNUMBER(SEARCH("диспетч",E174)),"ведущий инженер пдо",TRIM(SUBSTITUTE(SUBSTITUTE(SUBSTITUTE(SUBSTITUTE(SUBSTITUTE(SUBSTITUTE(SUBSTITUTE(SUBSTITUTE(SUBSTITUTE(SUBSTITUTE(SUBSTITUTE(LOWER(TRIM(D174)),"ё","е"),"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отк",TRIM(SUBSTITUTE(SUBSTITUTE(SUBSTITUTE(SUBSTITUTE(SUBSTITUTE(SUBSTITUTE(SUBSTITUTE(SUBSTITUTE(SUBSTITUTE(SUBSTITUTE(SUBSTITUTE(LOWER(TRIM(D174)),"ё","е")," -","-"),"- ","-")," 2 разряда","")," 3 разряда","")," 4 разряда","")," 5 разряда","")," 6 разряда","")," 1 категории","")," 2 категории","")," 3 категории","")))))</f>
        <v>сборщик стеклопластиковых изделий</v>
      </c>
      <c r="H174" s="11" t="n">
        <f aca="false">IFERROR(INDEX(Соответствие!$B$2:$B$76,MATCH(G174,Соответствие!$A$2:$A$76,0)),"?")</f>
        <v>26</v>
      </c>
      <c r="I174" s="8" t="str">
        <f aca="false">IFERROR(INDEX('Перечень должностей'!$C$2:$C$46,MATCH(H174,'Перечень должностей'!$A$2:$A$46,0)),"")</f>
        <v>п.1.37.1, п.3.1.8.3, п.4.3.1, п.4.4, п.5.1, п.15</v>
      </c>
      <c r="J174" s="11" t="n">
        <f aca="false">IFERROR(INDEX('Перечень должностей'!$D$2:$D$46,MATCH(H174,'Перечень должностей'!$A$2:$A$46,0)),12)</f>
        <v>12</v>
      </c>
      <c r="K174" s="16"/>
      <c r="L174" s="16"/>
      <c r="M174" s="15" t="str">
        <f aca="false">IF(K174="","",EDATE(IF(L174&lt;&gt;"",L174,K174),J174))</f>
        <v/>
      </c>
      <c r="N174" s="11" t="str">
        <f aca="false">IFERROR(INDEX('Перечень должностей'!$F$2:$F$46,MATCH(H174,'Перечень должностей'!$A$2:$A$46,0)),"")</f>
        <v>Нет</v>
      </c>
      <c r="O174" s="16"/>
      <c r="P174" s="15" t="str">
        <f aca="false">IF(O174="","",EDATE(O174,60))</f>
        <v/>
      </c>
      <c r="Q174" s="11" t="str">
        <f aca="false">IF(AND(K174&lt;&gt;"",F174&lt;&gt;"",K174&gt;F174),"ДА","")</f>
        <v/>
      </c>
      <c r="R174" s="8"/>
    </row>
    <row r="175" customFormat="false" ht="26.25" hidden="false" customHeight="true" outlineLevel="0" collapsed="false">
      <c r="A175" s="14" t="n">
        <v>174</v>
      </c>
      <c r="B175" s="11" t="s">
        <v>50</v>
      </c>
      <c r="C175" s="14" t="s">
        <v>145</v>
      </c>
      <c r="D175" s="14" t="s">
        <v>585</v>
      </c>
      <c r="E175" s="14" t="s">
        <v>182</v>
      </c>
      <c r="F175" s="15" t="n">
        <v>46181</v>
      </c>
      <c r="G175" s="4" t="str">
        <f aca="false">IF(TRIM(SUBSTITUTE(SUBSTITUTE(SUBSTITUTE(SUBSTITUTE(SUBSTITUTE(SUBSTITUTE(SUBSTITUTE(SUBSTITUTE(SUBSTITUTE(SUBSTITUTE(SUBSTITUTE(LOWER(TRIM(D175)),"ё","е")," -","-"),"- ","-")," 2 разряда","")," 3 разряда","")," 4 разряда","")," 5 разряда","")," 6 разряда","")," 1 категории","")," 2 категории","")," 3 категории",""))="инженер",IF(AND(ISNUMBER(SEARCH("техническ",E175)),ISNUMBER(SEARCH("контрол",E175))),"инженер отк",IF(ISNUMBER(SEARCH("диспетч",E175)),"инженер пдо",TRIM(SUBSTITUTE(SUBSTITUTE(SUBSTITUTE(SUBSTITUTE(SUBSTITUTE(SUBSTITUTE(SUBSTITUTE(SUBSTITUTE(SUBSTITUTE(SUBSTITUTE(SUBSTITUTE(LOWER(TRIM(D175)),"ё","е"),"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категории","")))),IF(TRIM(SUBSTITUTE(SUBSTITUTE(SUBSTITUTE(SUBSTITUTE(SUBSTITUTE(SUBSTITUTE(SUBSTITUTE(SUBSTITUTE(SUBSTITUTE(SUBSTITUTE(SUBSTITUTE(LOWER(TRIM(D175)),"ё","е")," -","-"),"- ","-")," 2 разряда","")," 3 разряда","")," 4 разряда","")," 5 разряда","")," 6 разряда","")," 1 категории","")," 2 категории","")," 3 категории",""))="ведущий инженер",IF(ISNUMBER(SEARCH("диспетч",E175)),"ведущий инженер пдо",TRIM(SUBSTITUTE(SUBSTITUTE(SUBSTITUTE(SUBSTITUTE(SUBSTITUTE(SUBSTITUTE(SUBSTITUTE(SUBSTITUTE(SUBSTITUTE(SUBSTITUTE(SUBSTITUTE(LOWER(TRIM(D175)),"ё","е"),"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отк",TRIM(SUBSTITUTE(SUBSTITUTE(SUBSTITUTE(SUBSTITUTE(SUBSTITUTE(SUBSTITUTE(SUBSTITUTE(SUBSTITUTE(SUBSTITUTE(SUBSTITUTE(SUBSTITUTE(LOWER(TRIM(D175)),"ё","е")," -","-"),"- ","-")," 2 разряда","")," 3 разряда","")," 4 разряда","")," 5 разряда","")," 6 разряда","")," 1 категории","")," 2 категории","")," 3 категории","")))))</f>
        <v>техник-сборщик</v>
      </c>
      <c r="H175" s="11" t="n">
        <f aca="false">IFERROR(INDEX(Соответствие!$B$2:$B$76,MATCH(G175,Соответствие!$A$2:$A$76,0)),"?")</f>
        <v>21</v>
      </c>
      <c r="I175" s="8" t="str">
        <f aca="false">IFERROR(INDEX('Перечень должностей'!$C$2:$C$46,MATCH(H175,'Перечень должностей'!$A$2:$A$46,0)),"")</f>
        <v>п.1.49.2, п.1.49.14, п.4.3.1, п.4.3.2, п.4.4, п.5.1, п.15</v>
      </c>
      <c r="J175" s="11" t="n">
        <f aca="false">IFERROR(INDEX('Перечень должностей'!$D$2:$D$46,MATCH(H175,'Перечень должностей'!$A$2:$A$46,0)),12)</f>
        <v>12</v>
      </c>
      <c r="K175" s="16" t="n">
        <v>46171</v>
      </c>
      <c r="L175" s="16"/>
      <c r="M175" s="15" t="n">
        <f aca="false">IF(K175="","",EDATE(IF(L175&lt;&gt;"",L175,K175),J175))</f>
        <v>46536</v>
      </c>
      <c r="N175" s="11" t="str">
        <f aca="false">IFERROR(INDEX('Перечень должностей'!$F$2:$F$46,MATCH(H175,'Перечень должностей'!$A$2:$A$46,0)),"")</f>
        <v>-</v>
      </c>
      <c r="O175" s="16"/>
      <c r="P175" s="15" t="str">
        <f aca="false">IF(O175="","",EDATE(O175,60))</f>
        <v/>
      </c>
      <c r="Q175" s="11" t="str">
        <f aca="false">IF(AND(K175&lt;&gt;"",F175&lt;&gt;"",K175&gt;F175),"ДА","")</f>
        <v/>
      </c>
      <c r="R175" s="17" t="s">
        <v>146</v>
      </c>
    </row>
    <row r="176" customFormat="false" ht="26.25" hidden="false" customHeight="true" outlineLevel="0" collapsed="false">
      <c r="A176" s="14" t="n">
        <v>175</v>
      </c>
      <c r="B176" s="11" t="s">
        <v>50</v>
      </c>
      <c r="C176" s="14" t="s">
        <v>586</v>
      </c>
      <c r="D176" s="14" t="s">
        <v>60</v>
      </c>
      <c r="E176" s="14" t="s">
        <v>187</v>
      </c>
      <c r="F176" s="15" t="n">
        <v>39734</v>
      </c>
      <c r="G176" s="4" t="str">
        <f aca="false">IF(TRIM(SUBSTITUTE(SUBSTITUTE(SUBSTITUTE(SUBSTITUTE(SUBSTITUTE(SUBSTITUTE(SUBSTITUTE(SUBSTITUTE(SUBSTITUTE(SUBSTITUTE(SUBSTITUTE(LOWER(TRIM(D176)),"ё","е")," -","-"),"- ","-")," 2 разряда","")," 3 разряда","")," 4 разряда","")," 5 разряда","")," 6 разряда","")," 1 категории","")," 2 категории","")," 3 категории",""))="инженер",IF(AND(ISNUMBER(SEARCH("техническ",E176)),ISNUMBER(SEARCH("контрол",E176))),"инженер отк",IF(ISNUMBER(SEARCH("диспетч",E176)),"инженер пдо",TRIM(SUBSTITUTE(SUBSTITUTE(SUBSTITUTE(SUBSTITUTE(SUBSTITUTE(SUBSTITUTE(SUBSTITUTE(SUBSTITUTE(SUBSTITUTE(SUBSTITUTE(SUBSTITUTE(LOWER(TRIM(D176)),"ё","е"),"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категории","")))),IF(TRIM(SUBSTITUTE(SUBSTITUTE(SUBSTITUTE(SUBSTITUTE(SUBSTITUTE(SUBSTITUTE(SUBSTITUTE(SUBSTITUTE(SUBSTITUTE(SUBSTITUTE(SUBSTITUTE(LOWER(TRIM(D176)),"ё","е")," -","-"),"- ","-")," 2 разряда","")," 3 разряда","")," 4 разряда","")," 5 разряда","")," 6 разряда","")," 1 категории","")," 2 категории","")," 3 категории",""))="ведущий инженер",IF(ISNUMBER(SEARCH("диспетч",E176)),"ведущий инженер пдо",TRIM(SUBSTITUTE(SUBSTITUTE(SUBSTITUTE(SUBSTITUTE(SUBSTITUTE(SUBSTITUTE(SUBSTITUTE(SUBSTITUTE(SUBSTITUTE(SUBSTITUTE(SUBSTITUTE(LOWER(TRIM(D176)),"ё","е"),"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отк",TRIM(SUBSTITUTE(SUBSTITUTE(SUBSTITUTE(SUBSTITUTE(SUBSTITUTE(SUBSTITUTE(SUBSTITUTE(SUBSTITUTE(SUBSTITUTE(SUBSTITUTE(SUBSTITUTE(LOWER(TRIM(D176)),"ё","е")," -","-"),"- ","-")," 2 разряда","")," 3 разряда","")," 4 разряда","")," 5 разряда","")," 6 разряда","")," 1 категории","")," 2 категории","")," 3 категории","")))))</f>
        <v>мастер участка</v>
      </c>
      <c r="H176" s="11" t="n">
        <f aca="false">IFERROR(INDEX(Соответствие!$B$2:$B$76,MATCH(G176,Соответствие!$A$2:$A$76,0)),"?")</f>
        <v>18</v>
      </c>
      <c r="I176" s="8" t="str">
        <f aca="false">IFERROR(INDEX('Перечень должностей'!$C$2:$C$46,MATCH(H176,'Перечень должностей'!$A$2:$A$46,0)),"")</f>
        <v>п.4.4, п.5.1, п.5.2</v>
      </c>
      <c r="J176" s="11" t="n">
        <f aca="false">IFERROR(INDEX('Перечень должностей'!$D$2:$D$46,MATCH(H176,'Перечень должностей'!$A$2:$A$46,0)),12)</f>
        <v>12</v>
      </c>
      <c r="K176" s="16"/>
      <c r="L176" s="16"/>
      <c r="M176" s="15" t="str">
        <f aca="false">IF(K176="","",EDATE(IF(L176&lt;&gt;"",L176,K176),J176))</f>
        <v/>
      </c>
      <c r="N176" s="11" t="str">
        <f aca="false">IFERROR(INDEX('Перечень должностей'!$F$2:$F$46,MATCH(H176,'Перечень должностей'!$A$2:$A$46,0)),"")</f>
        <v>-</v>
      </c>
      <c r="O176" s="16"/>
      <c r="P176" s="15" t="str">
        <f aca="false">IF(O176="","",EDATE(O176,60))</f>
        <v/>
      </c>
      <c r="Q176" s="11" t="str">
        <f aca="false">IF(AND(K176&lt;&gt;"",F176&lt;&gt;"",K176&gt;F176),"ДА","")</f>
        <v/>
      </c>
      <c r="R176" s="8"/>
    </row>
    <row r="177" customFormat="false" ht="26.25" hidden="false" customHeight="true" outlineLevel="0" collapsed="false">
      <c r="A177" s="14" t="n">
        <v>176</v>
      </c>
      <c r="B177" s="11" t="s">
        <v>50</v>
      </c>
      <c r="C177" s="14" t="s">
        <v>147</v>
      </c>
      <c r="D177" s="14" t="s">
        <v>568</v>
      </c>
      <c r="E177" s="14" t="s">
        <v>187</v>
      </c>
      <c r="F177" s="15" t="n">
        <v>42443</v>
      </c>
      <c r="G177" s="4" t="str">
        <f aca="false">IF(TRIM(SUBSTITUTE(SUBSTITUTE(SUBSTITUTE(SUBSTITUTE(SUBSTITUTE(SUBSTITUTE(SUBSTITUTE(SUBSTITUTE(SUBSTITUTE(SUBSTITUTE(SUBSTITUTE(LOWER(TRIM(D177)),"ё","е")," -","-"),"- ","-")," 2 разряда","")," 3 разряда","")," 4 разряда","")," 5 разряда","")," 6 разряда","")," 1 категории","")," 2 категории","")," 3 категории",""))="инженер",IF(AND(ISNUMBER(SEARCH("техническ",E177)),ISNUMBER(SEARCH("контрол",E177))),"инженер отк",IF(ISNUMBER(SEARCH("диспетч",E177)),"инженер пдо",TRIM(SUBSTITUTE(SUBSTITUTE(SUBSTITUTE(SUBSTITUTE(SUBSTITUTE(SUBSTITUTE(SUBSTITUTE(SUBSTITUTE(SUBSTITUTE(SUBSTITUTE(SUBSTITUTE(LOWER(TRIM(D177)),"ё","е"),"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категории","")))),IF(TRIM(SUBSTITUTE(SUBSTITUTE(SUBSTITUTE(SUBSTITUTE(SUBSTITUTE(SUBSTITUTE(SUBSTITUTE(SUBSTITUTE(SUBSTITUTE(SUBSTITUTE(SUBSTITUTE(LOWER(TRIM(D177)),"ё","е")," -","-"),"- ","-")," 2 разряда","")," 3 разряда","")," 4 разряда","")," 5 разряда","")," 6 разряда","")," 1 категории","")," 2 категории","")," 3 категории",""))="ведущий инженер",IF(ISNUMBER(SEARCH("диспетч",E177)),"ведущий инженер пдо",TRIM(SUBSTITUTE(SUBSTITUTE(SUBSTITUTE(SUBSTITUTE(SUBSTITUTE(SUBSTITUTE(SUBSTITUTE(SUBSTITUTE(SUBSTITUTE(SUBSTITUTE(SUBSTITUTE(LOWER(TRIM(D177)),"ё","е"),"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отк",TRIM(SUBSTITUTE(SUBSTITUTE(SUBSTITUTE(SUBSTITUTE(SUBSTITUTE(SUBSTITUTE(SUBSTITUTE(SUBSTITUTE(SUBSTITUTE(SUBSTITUTE(SUBSTITUTE(LOWER(TRIM(D177)),"ё","е")," -","-"),"- ","-")," 2 разряда","")," 3 разряда","")," 4 разряда","")," 5 разряда","")," 6 разряда","")," 1 категории","")," 2 категории","")," 3 категории","")))))</f>
        <v>бригадир</v>
      </c>
      <c r="H177" s="11" t="n">
        <f aca="false">IFERROR(INDEX(Соответствие!$B$2:$B$76,MATCH(G177,Соответствие!$A$2:$A$76,0)),"?")</f>
        <v>18</v>
      </c>
      <c r="I177" s="8" t="str">
        <f aca="false">IFERROR(INDEX('Перечень должностей'!$C$2:$C$46,MATCH(H177,'Перечень должностей'!$A$2:$A$46,0)),"")</f>
        <v>п.4.4, п.5.1, п.5.2</v>
      </c>
      <c r="J177" s="11" t="n">
        <f aca="false">IFERROR(INDEX('Перечень должностей'!$D$2:$D$46,MATCH(H177,'Перечень должностей'!$A$2:$A$46,0)),12)</f>
        <v>12</v>
      </c>
      <c r="K177" s="16"/>
      <c r="L177" s="16"/>
      <c r="M177" s="15" t="str">
        <f aca="false">IF(K177="","",EDATE(IF(L177&lt;&gt;"",L177,K177),J177))</f>
        <v/>
      </c>
      <c r="N177" s="11" t="str">
        <f aca="false">IFERROR(INDEX('Перечень должностей'!$F$2:$F$46,MATCH(H177,'Перечень должностей'!$A$2:$A$46,0)),"")</f>
        <v>-</v>
      </c>
      <c r="O177" s="16"/>
      <c r="P177" s="15" t="str">
        <f aca="false">IF(O177="","",EDATE(O177,60))</f>
        <v/>
      </c>
      <c r="Q177" s="11" t="str">
        <f aca="false">IF(AND(K177&lt;&gt;"",F177&lt;&gt;"",K177&gt;F177),"ДА","")</f>
        <v/>
      </c>
      <c r="R177" s="17" t="s">
        <v>148</v>
      </c>
    </row>
    <row r="178" customFormat="false" ht="35.05" hidden="false" customHeight="false" outlineLevel="0" collapsed="false">
      <c r="A178" s="14" t="n">
        <v>177</v>
      </c>
      <c r="B178" s="11" t="s">
        <v>50</v>
      </c>
      <c r="C178" s="14" t="s">
        <v>149</v>
      </c>
      <c r="D178" s="14" t="s">
        <v>568</v>
      </c>
      <c r="E178" s="14" t="s">
        <v>187</v>
      </c>
      <c r="F178" s="15" t="n">
        <v>42382</v>
      </c>
      <c r="G178" s="4" t="str">
        <f aca="false">IF(TRIM(SUBSTITUTE(SUBSTITUTE(SUBSTITUTE(SUBSTITUTE(SUBSTITUTE(SUBSTITUTE(SUBSTITUTE(SUBSTITUTE(SUBSTITUTE(SUBSTITUTE(SUBSTITUTE(LOWER(TRIM(D178)),"ё","е")," -","-"),"- ","-")," 2 разряда","")," 3 разряда","")," 4 разряда","")," 5 разряда","")," 6 разряда","")," 1 категории","")," 2 категории","")," 3 категории",""))="инженер",IF(AND(ISNUMBER(SEARCH("техническ",E178)),ISNUMBER(SEARCH("контрол",E178))),"инженер отк",IF(ISNUMBER(SEARCH("диспетч",E178)),"инженер пдо",TRIM(SUBSTITUTE(SUBSTITUTE(SUBSTITUTE(SUBSTITUTE(SUBSTITUTE(SUBSTITUTE(SUBSTITUTE(SUBSTITUTE(SUBSTITUTE(SUBSTITUTE(SUBSTITUTE(LOWER(TRIM(D178)),"ё","е"),"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категории","")))),IF(TRIM(SUBSTITUTE(SUBSTITUTE(SUBSTITUTE(SUBSTITUTE(SUBSTITUTE(SUBSTITUTE(SUBSTITUTE(SUBSTITUTE(SUBSTITUTE(SUBSTITUTE(SUBSTITUTE(LOWER(TRIM(D178)),"ё","е")," -","-"),"- ","-")," 2 разряда","")," 3 разряда","")," 4 разряда","")," 5 разряда","")," 6 разряда","")," 1 категории","")," 2 категории","")," 3 категории",""))="ведущий инженер",IF(ISNUMBER(SEARCH("диспетч",E178)),"ведущий инженер пдо",TRIM(SUBSTITUTE(SUBSTITUTE(SUBSTITUTE(SUBSTITUTE(SUBSTITUTE(SUBSTITUTE(SUBSTITUTE(SUBSTITUTE(SUBSTITUTE(SUBSTITUTE(SUBSTITUTE(LOWER(TRIM(D178)),"ё","е"),"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отк",TRIM(SUBSTITUTE(SUBSTITUTE(SUBSTITUTE(SUBSTITUTE(SUBSTITUTE(SUBSTITUTE(SUBSTITUTE(SUBSTITUTE(SUBSTITUTE(SUBSTITUTE(SUBSTITUTE(LOWER(TRIM(D178)),"ё","е")," -","-"),"- ","-")," 2 разряда","")," 3 разряда","")," 4 разряда","")," 5 разряда","")," 6 разряда","")," 1 категории","")," 2 категории","")," 3 категории","")))))</f>
        <v>бригадир</v>
      </c>
      <c r="H178" s="11" t="n">
        <f aca="false">IFERROR(INDEX(Соответствие!$B$2:$B$76,MATCH(G178,Соответствие!$A$2:$A$76,0)),"?")</f>
        <v>18</v>
      </c>
      <c r="I178" s="8" t="str">
        <f aca="false">IFERROR(INDEX('Перечень должностей'!$C$2:$C$46,MATCH(H178,'Перечень должностей'!$A$2:$A$46,0)),"")</f>
        <v>п.4.4, п.5.1, п.5.2</v>
      </c>
      <c r="J178" s="11" t="n">
        <f aca="false">IFERROR(INDEX('Перечень должностей'!$D$2:$D$46,MATCH(H178,'Перечень должностей'!$A$2:$A$46,0)),12)</f>
        <v>12</v>
      </c>
      <c r="K178" s="16"/>
      <c r="L178" s="16"/>
      <c r="M178" s="15" t="str">
        <f aca="false">IF(K178="","",EDATE(IF(L178&lt;&gt;"",L178,K178),J178))</f>
        <v/>
      </c>
      <c r="N178" s="11" t="str">
        <f aca="false">IFERROR(INDEX('Перечень должностей'!$F$2:$F$46,MATCH(H178,'Перечень должностей'!$A$2:$A$46,0)),"")</f>
        <v>-</v>
      </c>
      <c r="O178" s="16"/>
      <c r="P178" s="15" t="str">
        <f aca="false">IF(O178="","",EDATE(O178,60))</f>
        <v/>
      </c>
      <c r="Q178" s="11" t="str">
        <f aca="false">IF(AND(K178&lt;&gt;"",F178&lt;&gt;"",K178&gt;F178),"ДА","")</f>
        <v/>
      </c>
      <c r="R178" s="17" t="s">
        <v>148</v>
      </c>
    </row>
    <row r="179" customFormat="false" ht="39" hidden="false" customHeight="true" outlineLevel="0" collapsed="false">
      <c r="A179" s="14" t="n">
        <v>178</v>
      </c>
      <c r="B179" s="11" t="s">
        <v>50</v>
      </c>
      <c r="C179" s="14" t="s">
        <v>150</v>
      </c>
      <c r="D179" s="14" t="s">
        <v>587</v>
      </c>
      <c r="E179" s="14" t="s">
        <v>57</v>
      </c>
      <c r="F179" s="15" t="n">
        <v>37683</v>
      </c>
      <c r="G179" s="4" t="str">
        <f aca="false">IF(TRIM(SUBSTITUTE(SUBSTITUTE(SUBSTITUTE(SUBSTITUTE(SUBSTITUTE(SUBSTITUTE(SUBSTITUTE(SUBSTITUTE(SUBSTITUTE(SUBSTITUTE(SUBSTITUTE(LOWER(TRIM(D179)),"ё","е")," -","-"),"- ","-")," 2 разряда","")," 3 разряда","")," 4 разряда","")," 5 разряда","")," 6 разряда","")," 1 категории","")," 2 категории","")," 3 категории",""))="инженер",IF(AND(ISNUMBER(SEARCH("техническ",E179)),ISNUMBER(SEARCH("контрол",E179))),"инженер отк",IF(ISNUMBER(SEARCH("диспетч",E179)),"инженер пдо",TRIM(SUBSTITUTE(SUBSTITUTE(SUBSTITUTE(SUBSTITUTE(SUBSTITUTE(SUBSTITUTE(SUBSTITUTE(SUBSTITUTE(SUBSTITUTE(SUBSTITUTE(SUBSTITUTE(LOWER(TRIM(D179)),"ё","е"),"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категории","")))),IF(TRIM(SUBSTITUTE(SUBSTITUTE(SUBSTITUTE(SUBSTITUTE(SUBSTITUTE(SUBSTITUTE(SUBSTITUTE(SUBSTITUTE(SUBSTITUTE(SUBSTITUTE(SUBSTITUTE(LOWER(TRIM(D179)),"ё","е")," -","-"),"- ","-")," 2 разряда","")," 3 разряда","")," 4 разряда","")," 5 разряда","")," 6 разряда","")," 1 категории","")," 2 категории","")," 3 категории",""))="ведущий инженер",IF(ISNUMBER(SEARCH("диспетч",E179)),"ведущий инженер пдо",TRIM(SUBSTITUTE(SUBSTITUTE(SUBSTITUTE(SUBSTITUTE(SUBSTITUTE(SUBSTITUTE(SUBSTITUTE(SUBSTITUTE(SUBSTITUTE(SUBSTITUTE(SUBSTITUTE(LOWER(TRIM(D179)),"ё","е"),"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категории",""))),IF(TRIM(SUBSTITUTE(SUBSTITUTE(SUBSTITUTE(SUBSTITUTE(SUBSTITUTE(SUBSTITUTE(SUBSTITUTE(SUBSTITUTE(SUBSTITUTE(SUBSTITUTE(SUBSTITUTE(LOWER(TRIM(D179)),"ё","е"),"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отк",TRIM(SUBSTITUTE(SUBSTITUTE(SUBSTITUTE(SUBSTITUTE(SUBSTITUTE(SUBSTITUTE(SUBSTITUTE(SUBSTITUTE(SUBSTITUTE(SUBSTITUTE(SUBSTITUTE(LOWER(TRIM(D179)),"ё","е")," -","-"),"- ","-")," 2 разряда","")," 3 разряда","")," 4 разряда","")," 5 разряда","")," 6 разряда","")," 1 категории","")," 2 категории","")," 3 категории","")))))</f>
        <v>облицовщик деталей мебели</v>
      </c>
      <c r="H179" s="11" t="n">
        <f aca="false">IFERROR(INDEX(Соответствие!$B$2:$B$76,MATCH(G179,Соответствие!$A$2:$A$76,0)),"?")</f>
        <v>23</v>
      </c>
      <c r="I179" s="8" t="str">
        <f aca="false">IFERROR(INDEX('Перечень должностей'!$C$2:$C$46,MATCH(H179,'Перечень должностей'!$A$2:$A$46,0)),"")</f>
        <v>п.1.49.2, п.1.49.14, п.4.3.1, п.4.3.2, п.4.4, п.5.1, п.15</v>
      </c>
      <c r="J179" s="11" t="n">
        <f aca="false">IFERROR(INDEX('Перечень должностей'!$D$2:$D$46,MATCH(H179,'Перечень должностей'!$A$2:$A$46,0)),12)</f>
        <v>12</v>
      </c>
      <c r="K179" s="16"/>
      <c r="L179" s="16"/>
      <c r="M179" s="15" t="str">
        <f aca="false">IF(K179="","",EDATE(IF(L179&lt;&gt;"",L179,K179),J179))</f>
        <v/>
      </c>
      <c r="N179" s="11" t="str">
        <f aca="false">IFERROR(INDEX('Перечень должностей'!$F$2:$F$46,MATCH(H179,'Перечень должностей'!$A$2:$A$46,0)),"")</f>
        <v>-</v>
      </c>
      <c r="O179" s="16"/>
      <c r="P179" s="15" t="str">
        <f aca="false">IF(O179="","",EDATE(O179,60))</f>
        <v/>
      </c>
      <c r="Q179" s="11" t="str">
        <f aca="false">IF(AND(K179&lt;&gt;"",F179&lt;&gt;"",K179&gt;F179),"ДА","")</f>
        <v/>
      </c>
      <c r="R179" s="17" t="s">
        <v>151</v>
      </c>
    </row>
    <row r="180" customFormat="false" ht="39" hidden="false" customHeight="true" outlineLevel="0" collapsed="false">
      <c r="A180" s="14" t="n">
        <v>179</v>
      </c>
      <c r="B180" s="11" t="s">
        <v>50</v>
      </c>
      <c r="C180" s="14" t="s">
        <v>152</v>
      </c>
      <c r="D180" s="14" t="s">
        <v>587</v>
      </c>
      <c r="E180" s="14" t="s">
        <v>187</v>
      </c>
      <c r="F180" s="15" t="n">
        <v>39824</v>
      </c>
      <c r="G180" s="4" t="str">
        <f aca="false">IF(TRIM(SUBSTITUTE(SUBSTITUTE(SUBSTITUTE(SUBSTITUTE(SUBSTITUTE(SUBSTITUTE(SUBSTITUTE(SUBSTITUTE(SUBSTITUTE(SUBSTITUTE(SUBSTITUTE(LOWER(TRIM(D180)),"ё","е")," -","-"),"- ","-")," 2 разряда","")," 3 разряда","")," 4 разряда","")," 5 разряда","")," 6 разряда","")," 1 категории","")," 2 категории","")," 3 категории",""))="инженер",IF(AND(ISNUMBER(SEARCH("техническ",E180)),ISNUMBER(SEARCH("контрол",E180))),"инженер отк",IF(ISNUMBER(SEARCH("диспетч",E180)),"инженер пдо",TRIM(SUBSTITUTE(SUBSTITUTE(SUBSTITUTE(SUBSTITUTE(SUBSTITUTE(SUBSTITUTE(SUBSTITUTE(SUBSTITUTE(SUBSTITUTE(SUBSTITUTE(SUBSTITUTE(LOWER(TRIM(D180)),"ё","е"),"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категории","")))),IF(TRIM(SUBSTITUTE(SUBSTITUTE(SUBSTITUTE(SUBSTITUTE(SUBSTITUTE(SUBSTITUTE(SUBSTITUTE(SUBSTITUTE(SUBSTITUTE(SUBSTITUTE(SUBSTITUTE(LOWER(TRIM(D180)),"ё","е")," -","-"),"- ","-")," 2 разряда","")," 3 разряда","")," 4 разряда","")," 5 разряда","")," 6 разряда","")," 1 категории","")," 2 категории","")," 3 категории",""))="ведущий инженер",IF(ISNUMBER(SEARCH("диспетч",E180)),"ведущий инженер пдо",TRIM(SUBSTITUTE(SUBSTITUTE(SUBSTITUTE(SUBSTITUTE(SUBSTITUTE(SUBSTITUTE(SUBSTITUTE(SUBSTITUTE(SUBSTITUTE(SUBSTITUTE(SUBSTITUTE(LOWER(TRIM(D180)),"ё","е"),"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отк",TRIM(SUBSTITUTE(SUBSTITUTE(SUBSTITUTE(SUBSTITUTE(SUBSTITUTE(SUBSTITUTE(SUBSTITUTE(SUBSTITUTE(SUBSTITUTE(SUBSTITUTE(SUBSTITUTE(LOWER(TRIM(D180)),"ё","е")," -","-"),"- ","-")," 2 разряда","")," 3 разряда","")," 4 разряда","")," 5 разряда","")," 6 разряда","")," 1 категории","")," 2 категории","")," 3 категории","")))))</f>
        <v>облицовщик деталей мебели</v>
      </c>
      <c r="H180" s="11" t="n">
        <f aca="false">IFERROR(INDEX(Соответствие!$B$2:$B$76,MATCH(G180,Соответствие!$A$2:$A$76,0)),"?")</f>
        <v>23</v>
      </c>
      <c r="I180" s="8" t="str">
        <f aca="false">IFERROR(INDEX('Перечень должностей'!$C$2:$C$46,MATCH(H180,'Перечень должностей'!$A$2:$A$46,0)),"")</f>
        <v>п.1.49.2, п.1.49.14, п.4.3.1, п.4.3.2, п.4.4, п.5.1, п.15</v>
      </c>
      <c r="J180" s="11" t="n">
        <f aca="false">IFERROR(INDEX('Перечень должностей'!$D$2:$D$46,MATCH(H180,'Перечень должностей'!$A$2:$A$46,0)),12)</f>
        <v>12</v>
      </c>
      <c r="K180" s="16"/>
      <c r="L180" s="16"/>
      <c r="M180" s="15" t="str">
        <f aca="false">IF(K180="","",EDATE(IF(L180&lt;&gt;"",L180,K180),J180))</f>
        <v/>
      </c>
      <c r="N180" s="11" t="str">
        <f aca="false">IFERROR(INDEX('Перечень должностей'!$F$2:$F$46,MATCH(H180,'Перечень должностей'!$A$2:$A$46,0)),"")</f>
        <v>-</v>
      </c>
      <c r="O180" s="16"/>
      <c r="P180" s="15" t="str">
        <f aca="false">IF(O180="","",EDATE(O180,60))</f>
        <v/>
      </c>
      <c r="Q180" s="11" t="str">
        <f aca="false">IF(AND(K180&lt;&gt;"",F180&lt;&gt;"",K180&gt;F180),"ДА","")</f>
        <v/>
      </c>
      <c r="R180" s="17" t="s">
        <v>151</v>
      </c>
    </row>
    <row r="181" customFormat="false" ht="39" hidden="false" customHeight="true" outlineLevel="0" collapsed="false">
      <c r="A181" s="14" t="n">
        <v>180</v>
      </c>
      <c r="B181" s="11" t="s">
        <v>50</v>
      </c>
      <c r="C181" s="14" t="s">
        <v>153</v>
      </c>
      <c r="D181" s="14" t="s">
        <v>588</v>
      </c>
      <c r="E181" s="14" t="s">
        <v>187</v>
      </c>
      <c r="F181" s="15" t="n">
        <v>42495</v>
      </c>
      <c r="G181" s="4" t="str">
        <f aca="false">IF(TRIM(SUBSTITUTE(SUBSTITUTE(SUBSTITUTE(SUBSTITUTE(SUBSTITUTE(SUBSTITUTE(SUBSTITUTE(SUBSTITUTE(SUBSTITUTE(SUBSTITUTE(SUBSTITUTE(LOWER(TRIM(D181)),"ё","е")," -","-"),"- ","-")," 2 разряда","")," 3 разряда","")," 4 разряда","")," 5 разряда","")," 6 разряда","")," 1 категории","")," 2 категории","")," 3 категории",""))="инженер",IF(AND(ISNUMBER(SEARCH("техническ",E181)),ISNUMBER(SEARCH("контрол",E181))),"инженер отк",IF(ISNUMBER(SEARCH("диспетч",E181)),"инженер пдо",TRIM(SUBSTITUTE(SUBSTITUTE(SUBSTITUTE(SUBSTITUTE(SUBSTITUTE(SUBSTITUTE(SUBSTITUTE(SUBSTITUTE(SUBSTITUTE(SUBSTITUTE(SUBSTITUTE(LOWER(TRIM(D181)),"ё","е"),"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категории","")))),IF(TRIM(SUBSTITUTE(SUBSTITUTE(SUBSTITUTE(SUBSTITUTE(SUBSTITUTE(SUBSTITUTE(SUBSTITUTE(SUBSTITUTE(SUBSTITUTE(SUBSTITUTE(SUBSTITUTE(LOWER(TRIM(D181)),"ё","е")," -","-"),"- ","-")," 2 разряда","")," 3 разряда","")," 4 разряда","")," 5 разряда","")," 6 разряда","")," 1 категории","")," 2 категории","")," 3 категории",""))="ведущий инженер",IF(ISNUMBER(SEARCH("диспетч",E181)),"ведущий инженер пдо",TRIM(SUBSTITUTE(SUBSTITUTE(SUBSTITUTE(SUBSTITUTE(SUBSTITUTE(SUBSTITUTE(SUBSTITUTE(SUBSTITUTE(SUBSTITUTE(SUBSTITUTE(SUBSTITUTE(LOWER(TRIM(D181)),"ё","е"),"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отк",TRIM(SUBSTITUTE(SUBSTITUTE(SUBSTITUTE(SUBSTITUTE(SUBSTITUTE(SUBSTITUTE(SUBSTITUTE(SUBSTITUTE(SUBSTITUTE(SUBSTITUTE(SUBSTITUTE(LOWER(TRIM(D181)),"ё","е")," -","-"),"- ","-")," 2 разряда","")," 3 разряда","")," 4 разряда","")," 5 разряда","")," 6 разряда","")," 1 категории","")," 2 категории","")," 3 категории","")))))</f>
        <v>техник</v>
      </c>
      <c r="H181" s="11" t="n">
        <f aca="false">IFERROR(INDEX(Соответствие!$B$2:$B$76,MATCH(G181,Соответствие!$A$2:$A$76,0)),"?")</f>
        <v>36</v>
      </c>
      <c r="I181" s="8" t="str">
        <f aca="false">IFERROR(INDEX('Перечень должностей'!$C$2:$C$46,MATCH(H181,'Перечень должностей'!$A$2:$A$46,0)),"")</f>
        <v>п.1.14.2, п.1.36, п.1.37.1, п.1.45.1, п.1.45.2, п.1.50, п.4.3.1, п.4.4, п.5.1, п.17</v>
      </c>
      <c r="J181" s="11" t="n">
        <f aca="false">IFERROR(INDEX('Перечень должностей'!$D$2:$D$46,MATCH(H181,'Перечень должностей'!$A$2:$A$46,0)),12)</f>
        <v>12</v>
      </c>
      <c r="K181" s="16"/>
      <c r="L181" s="16"/>
      <c r="M181" s="15" t="str">
        <f aca="false">IF(K181="","",EDATE(IF(L181&lt;&gt;"",L181,K181),J181))</f>
        <v/>
      </c>
      <c r="N181" s="11" t="str">
        <f aca="false">IFERROR(INDEX('Перечень должностей'!$F$2:$F$46,MATCH(H181,'Перечень должностей'!$A$2:$A$46,0)),"")</f>
        <v>-</v>
      </c>
      <c r="O181" s="16"/>
      <c r="P181" s="15" t="str">
        <f aca="false">IF(O181="","",EDATE(O181,60))</f>
        <v/>
      </c>
      <c r="Q181" s="11" t="str">
        <f aca="false">IF(AND(K181&lt;&gt;"",F181&lt;&gt;"",K181&gt;F181),"ДА","")</f>
        <v/>
      </c>
      <c r="R181" s="17" t="s">
        <v>154</v>
      </c>
    </row>
    <row r="182" customFormat="false" ht="39" hidden="false" customHeight="true" outlineLevel="0" collapsed="false">
      <c r="A182" s="14" t="n">
        <v>181</v>
      </c>
      <c r="B182" s="11" t="s">
        <v>50</v>
      </c>
      <c r="C182" s="14" t="s">
        <v>589</v>
      </c>
      <c r="D182" s="14" t="s">
        <v>590</v>
      </c>
      <c r="E182" s="14" t="s">
        <v>187</v>
      </c>
      <c r="F182" s="15" t="n">
        <v>45428</v>
      </c>
      <c r="G182" s="4" t="str">
        <f aca="false">IF(TRIM(SUBSTITUTE(SUBSTITUTE(SUBSTITUTE(SUBSTITUTE(SUBSTITUTE(SUBSTITUTE(SUBSTITUTE(SUBSTITUTE(SUBSTITUTE(SUBSTITUTE(SUBSTITUTE(LOWER(TRIM(D182)),"ё","е")," -","-"),"- ","-")," 2 разряда","")," 3 разряда","")," 4 разряда","")," 5 разряда","")," 6 разряда","")," 1 категории","")," 2 категории","")," 3 категории",""))="инженер",IF(AND(ISNUMBER(SEARCH("техническ",E182)),ISNUMBER(SEARCH("контрол",E182))),"инженер отк",IF(ISNUMBER(SEARCH("диспетч",E182)),"инженер пдо",TRIM(SUBSTITUTE(SUBSTITUTE(SUBSTITUTE(SUBSTITUTE(SUBSTITUTE(SUBSTITUTE(SUBSTITUTE(SUBSTITUTE(SUBSTITUTE(SUBSTITUTE(SUBSTITUTE(LOWER(TRIM(D182)),"ё","е"),"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категории","")))),IF(TRIM(SUBSTITUTE(SUBSTITUTE(SUBSTITUTE(SUBSTITUTE(SUBSTITUTE(SUBSTITUTE(SUBSTITUTE(SUBSTITUTE(SUBSTITUTE(SUBSTITUTE(SUBSTITUTE(LOWER(TRIM(D182)),"ё","е")," -","-"),"- ","-")," 2 разряда","")," 3 разряда","")," 4 разряда","")," 5 разряда","")," 6 разряда","")," 1 категории","")," 2 категории","")," 3 категории",""))="ведущий инженер",IF(ISNUMBER(SEARCH("диспетч",E182)),"ведущий инженер пдо",TRIM(SUBSTITUTE(SUBSTITUTE(SUBSTITUTE(SUBSTITUTE(SUBSTITUTE(SUBSTITUTE(SUBSTITUTE(SUBSTITUTE(SUBSTITUTE(SUBSTITUTE(SUBSTITUTE(LOWER(TRIM(D182)),"ё","е"),"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отк",TRIM(SUBSTITUTE(SUBSTITUTE(SUBSTITUTE(SUBSTITUTE(SUBSTITUTE(SUBSTITUTE(SUBSTITUTE(SUBSTITUTE(SUBSTITUTE(SUBSTITUTE(SUBSTITUTE(LOWER(TRIM(D182)),"ё","е")," -","-"),"- ","-")," 2 разряда","")," 3 разряда","")," 4 разряда","")," 5 разряда","")," 6 разряда","")," 1 категории","")," 2 категории","")," 3 категории","")))))</f>
        <v>маляр</v>
      </c>
      <c r="H182" s="11" t="n">
        <f aca="false">IFERROR(INDEX(Соответствие!$B$2:$B$76,MATCH(G182,Соответствие!$A$2:$A$76,0)),"?")</f>
        <v>36</v>
      </c>
      <c r="I182" s="8" t="str">
        <f aca="false">IFERROR(INDEX('Перечень должностей'!$C$2:$C$46,MATCH(H182,'Перечень должностей'!$A$2:$A$46,0)),"")</f>
        <v>п.1.14.2, п.1.36, п.1.37.1, п.1.45.1, п.1.45.2, п.1.50, п.4.3.1, п.4.4, п.5.1, п.17</v>
      </c>
      <c r="J182" s="11" t="n">
        <f aca="false">IFERROR(INDEX('Перечень должностей'!$D$2:$D$46,MATCH(H182,'Перечень должностей'!$A$2:$A$46,0)),12)</f>
        <v>12</v>
      </c>
      <c r="K182" s="16"/>
      <c r="L182" s="16"/>
      <c r="M182" s="15" t="str">
        <f aca="false">IF(K182="","",EDATE(IF(L182&lt;&gt;"",L182,K182),J182))</f>
        <v/>
      </c>
      <c r="N182" s="11" t="str">
        <f aca="false">IFERROR(INDEX('Перечень должностей'!$F$2:$F$46,MATCH(H182,'Перечень должностей'!$A$2:$A$46,0)),"")</f>
        <v>-</v>
      </c>
      <c r="O182" s="16"/>
      <c r="P182" s="15" t="str">
        <f aca="false">IF(O182="","",EDATE(O182,60))</f>
        <v/>
      </c>
      <c r="Q182" s="11" t="str">
        <f aca="false">IF(AND(K182&lt;&gt;"",F182&lt;&gt;"",K182&gt;F182),"ДА","")</f>
        <v/>
      </c>
      <c r="R182" s="8"/>
    </row>
    <row r="183" customFormat="false" ht="39" hidden="false" customHeight="true" outlineLevel="0" collapsed="false">
      <c r="A183" s="14" t="n">
        <v>182</v>
      </c>
      <c r="B183" s="11" t="s">
        <v>50</v>
      </c>
      <c r="C183" s="14" t="s">
        <v>155</v>
      </c>
      <c r="D183" s="14" t="s">
        <v>577</v>
      </c>
      <c r="E183" s="14" t="s">
        <v>57</v>
      </c>
      <c r="F183" s="15" t="n">
        <v>44706</v>
      </c>
      <c r="G183" s="4" t="str">
        <f aca="false">IF(TRIM(SUBSTITUTE(SUBSTITUTE(SUBSTITUTE(SUBSTITUTE(SUBSTITUTE(SUBSTITUTE(SUBSTITUTE(SUBSTITUTE(SUBSTITUTE(SUBSTITUTE(SUBSTITUTE(LOWER(TRIM(D183)),"ё","е")," -","-"),"- ","-")," 2 разряда","")," 3 разряда","")," 4 разряда","")," 5 разряда","")," 6 разряда","")," 1 категории","")," 2 категории","")," 3 категории",""))="инженер",IF(AND(ISNUMBER(SEARCH("техническ",E183)),ISNUMBER(SEARCH("контрол",E183))),"инженер отк",IF(ISNUMBER(SEARCH("диспетч",E183)),"инженер пдо",TRIM(SUBSTITUTE(SUBSTITUTE(SUBSTITUTE(SUBSTITUTE(SUBSTITUTE(SUBSTITUTE(SUBSTITUTE(SUBSTITUTE(SUBSTITUTE(SUBSTITUTE(SUBSTITUTE(LOWER(TRIM(D183)),"ё","е"),"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категории","")))),IF(TRIM(SUBSTITUTE(SUBSTITUTE(SUBSTITUTE(SUBSTITUTE(SUBSTITUTE(SUBSTITUTE(SUBSTITUTE(SUBSTITUTE(SUBSTITUTE(SUBSTITUTE(SUBSTITUTE(LOWER(TRIM(D183)),"ё","е")," -","-"),"- ","-")," 2 разряда","")," 3 разряда","")," 4 разряда","")," 5 разряда","")," 6 разряда","")," 1 категории","")," 2 категории","")," 3 категории",""))="ведущий инженер",IF(ISNUMBER(SEARCH("диспетч",E183)),"ведущий инженер пдо",TRIM(SUBSTITUTE(SUBSTITUTE(SUBSTITUTE(SUBSTITUTE(SUBSTITUTE(SUBSTITUTE(SUBSTITUTE(SUBSTITUTE(SUBSTITUTE(SUBSTITUTE(SUBSTITUTE(LOWER(TRIM(D183)),"ё","е"),"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отк",TRIM(SUBSTITUTE(SUBSTITUTE(SUBSTITUTE(SUBSTITUTE(SUBSTITUTE(SUBSTITUTE(SUBSTITUTE(SUBSTITUTE(SUBSTITUTE(SUBSTITUTE(SUBSTITUTE(LOWER(TRIM(D183)),"ё","е")," -","-"),"- ","-")," 2 разряда","")," 3 разряда","")," 4 разряда","")," 5 разряда","")," 6 разряда","")," 1 категории","")," 2 категории","")," 3 категории","")))))</f>
        <v>облицовщик деталей мебели</v>
      </c>
      <c r="H183" s="11" t="n">
        <f aca="false">IFERROR(INDEX(Соответствие!$B$2:$B$76,MATCH(G183,Соответствие!$A$2:$A$76,0)),"?")</f>
        <v>23</v>
      </c>
      <c r="I183" s="8" t="str">
        <f aca="false">IFERROR(INDEX('Перечень должностей'!$C$2:$C$46,MATCH(H183,'Перечень должностей'!$A$2:$A$46,0)),"")</f>
        <v>п.1.49.2, п.1.49.14, п.4.3.1, п.4.3.2, п.4.4, п.5.1, п.15</v>
      </c>
      <c r="J183" s="11" t="n">
        <f aca="false">IFERROR(INDEX('Перечень должностей'!$D$2:$D$46,MATCH(H183,'Перечень должностей'!$A$2:$A$46,0)),12)</f>
        <v>12</v>
      </c>
      <c r="K183" s="16"/>
      <c r="L183" s="16"/>
      <c r="M183" s="15" t="str">
        <f aca="false">IF(K183="","",EDATE(IF(L183&lt;&gt;"",L183,K183),J183))</f>
        <v/>
      </c>
      <c r="N183" s="11" t="str">
        <f aca="false">IFERROR(INDEX('Перечень должностей'!$F$2:$F$46,MATCH(H183,'Перечень должностей'!$A$2:$A$46,0)),"")</f>
        <v>-</v>
      </c>
      <c r="O183" s="16"/>
      <c r="P183" s="15" t="str">
        <f aca="false">IF(O183="","",EDATE(O183,60))</f>
        <v/>
      </c>
      <c r="Q183" s="11" t="str">
        <f aca="false">IF(AND(K183&lt;&gt;"",F183&lt;&gt;"",K183&gt;F183),"ДА","")</f>
        <v/>
      </c>
      <c r="R183" s="17" t="s">
        <v>156</v>
      </c>
    </row>
    <row r="184" customFormat="false" ht="39" hidden="false" customHeight="true" outlineLevel="0" collapsed="false">
      <c r="A184" s="14" t="n">
        <v>183</v>
      </c>
      <c r="B184" s="11" t="s">
        <v>50</v>
      </c>
      <c r="C184" s="14" t="s">
        <v>591</v>
      </c>
      <c r="D184" s="14" t="s">
        <v>592</v>
      </c>
      <c r="E184" s="14" t="s">
        <v>57</v>
      </c>
      <c r="F184" s="15" t="n">
        <v>45952</v>
      </c>
      <c r="G184" s="4" t="str">
        <f aca="false">IF(TRIM(SUBSTITUTE(SUBSTITUTE(SUBSTITUTE(SUBSTITUTE(SUBSTITUTE(SUBSTITUTE(SUBSTITUTE(SUBSTITUTE(SUBSTITUTE(SUBSTITUTE(SUBSTITUTE(LOWER(TRIM(D184)),"ё","е")," -","-"),"- ","-")," 2 разряда","")," 3 разряда","")," 4 разряда","")," 5 разряда","")," 6 разряда","")," 1 категории","")," 2 категории","")," 3 категории",""))="инженер",IF(AND(ISNUMBER(SEARCH("техническ",E184)),ISNUMBER(SEARCH("контрол",E184))),"инженер отк",IF(ISNUMBER(SEARCH("диспетч",E184)),"инженер пдо",TRIM(SUBSTITUTE(SUBSTITUTE(SUBSTITUTE(SUBSTITUTE(SUBSTITUTE(SUBSTITUTE(SUBSTITUTE(SUBSTITUTE(SUBSTITUTE(SUBSTITUTE(SUBSTITUTE(LOWER(TRIM(D184)),"ё","е"),"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категории","")))),IF(TRIM(SUBSTITUTE(SUBSTITUTE(SUBSTITUTE(SUBSTITUTE(SUBSTITUTE(SUBSTITUTE(SUBSTITUTE(SUBSTITUTE(SUBSTITUTE(SUBSTITUTE(SUBSTITUTE(LOWER(TRIM(D184)),"ё","е")," -","-"),"- ","-")," 2 разряда","")," 3 разряда","")," 4 разряда","")," 5 разряда","")," 6 разряда","")," 1 категории","")," 2 категории","")," 3 категории",""))="ведущий инженер",IF(ISNUMBER(SEARCH("диспетч",E184)),"ведущий инженер пдо",TRIM(SUBSTITUTE(SUBSTITUTE(SUBSTITUTE(SUBSTITUTE(SUBSTITUTE(SUBSTITUTE(SUBSTITUTE(SUBSTITUTE(SUBSTITUTE(SUBSTITUTE(SUBSTITUTE(LOWER(TRIM(D184)),"ё","е"),"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отк",TRIM(SUBSTITUTE(SUBSTITUTE(SUBSTITUTE(SUBSTITUTE(SUBSTITUTE(SUBSTITUTE(SUBSTITUTE(SUBSTITUTE(SUBSTITUTE(SUBSTITUTE(SUBSTITUTE(LOWER(TRIM(D184)),"ё","е")," -","-"),"- ","-")," 2 разряда","")," 3 разряда","")," 4 разряда","")," 5 разряда","")," 6 разряда","")," 1 категории","")," 2 категории","")," 3 категории","")))))</f>
        <v>маляр</v>
      </c>
      <c r="H184" s="11" t="n">
        <f aca="false">IFERROR(INDEX(Соответствие!$B$2:$B$76,MATCH(G184,Соответствие!$A$2:$A$76,0)),"?")</f>
        <v>36</v>
      </c>
      <c r="I184" s="8" t="str">
        <f aca="false">IFERROR(INDEX('Перечень должностей'!$C$2:$C$46,MATCH(H184,'Перечень должностей'!$A$2:$A$46,0)),"")</f>
        <v>п.1.14.2, п.1.36, п.1.37.1, п.1.45.1, п.1.45.2, п.1.50, п.4.3.1, п.4.4, п.5.1, п.17</v>
      </c>
      <c r="J184" s="11" t="n">
        <f aca="false">IFERROR(INDEX('Перечень должностей'!$D$2:$D$46,MATCH(H184,'Перечень должностей'!$A$2:$A$46,0)),12)</f>
        <v>12</v>
      </c>
      <c r="K184" s="16" t="n">
        <v>45945</v>
      </c>
      <c r="L184" s="16"/>
      <c r="M184" s="15" t="n">
        <f aca="false">IF(K184="","",EDATE(IF(L184&lt;&gt;"",L184,K184),J184))</f>
        <v>46310</v>
      </c>
      <c r="N184" s="11" t="str">
        <f aca="false">IFERROR(INDEX('Перечень должностей'!$F$2:$F$46,MATCH(H184,'Перечень должностей'!$A$2:$A$46,0)),"")</f>
        <v>-</v>
      </c>
      <c r="O184" s="16"/>
      <c r="P184" s="15" t="str">
        <f aca="false">IF(O184="","",EDATE(O184,60))</f>
        <v/>
      </c>
      <c r="Q184" s="11" t="str">
        <f aca="false">IF(AND(K184&lt;&gt;"",F184&lt;&gt;"",K184&gt;F184),"ДА","")</f>
        <v/>
      </c>
      <c r="R184" s="8"/>
    </row>
    <row r="185" customFormat="false" ht="39" hidden="false" customHeight="true" outlineLevel="0" collapsed="false">
      <c r="A185" s="14" t="n">
        <v>184</v>
      </c>
      <c r="B185" s="11" t="s">
        <v>50</v>
      </c>
      <c r="C185" s="14" t="s">
        <v>593</v>
      </c>
      <c r="D185" s="14" t="s">
        <v>592</v>
      </c>
      <c r="E185" s="14" t="s">
        <v>57</v>
      </c>
      <c r="F185" s="15" t="n">
        <v>45831</v>
      </c>
      <c r="G185" s="4" t="str">
        <f aca="false">IF(TRIM(SUBSTITUTE(SUBSTITUTE(SUBSTITUTE(SUBSTITUTE(SUBSTITUTE(SUBSTITUTE(SUBSTITUTE(SUBSTITUTE(SUBSTITUTE(SUBSTITUTE(SUBSTITUTE(LOWER(TRIM(D185)),"ё","е")," -","-"),"- ","-")," 2 разряда","")," 3 разряда","")," 4 разряда","")," 5 разряда","")," 6 разряда","")," 1 категории","")," 2 категории","")," 3 категории",""))="инженер",IF(AND(ISNUMBER(SEARCH("техническ",E185)),ISNUMBER(SEARCH("контрол",E185))),"инженер отк",IF(ISNUMBER(SEARCH("диспетч",E185)),"инженер пдо",TRIM(SUBSTITUTE(SUBSTITUTE(SUBSTITUTE(SUBSTITUTE(SUBSTITUTE(SUBSTITUTE(SUBSTITUTE(SUBSTITUTE(SUBSTITUTE(SUBSTITUTE(SUBSTITUTE(LOWER(TRIM(D185)),"ё","е"),"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категории","")))),IF(TRIM(SUBSTITUTE(SUBSTITUTE(SUBSTITUTE(SUBSTITUTE(SUBSTITUTE(SUBSTITUTE(SUBSTITUTE(SUBSTITUTE(SUBSTITUTE(SUBSTITUTE(SUBSTITUTE(LOWER(TRIM(D185)),"ё","е")," -","-"),"- ","-")," 2 разряда","")," 3 разряда","")," 4 разряда","")," 5 разряда","")," 6 разряда","")," 1 категории","")," 2 категории","")," 3 категории",""))="ведущий инженер",IF(ISNUMBER(SEARCH("диспетч",E185)),"ведущий инженер пдо",TRIM(SUBSTITUTE(SUBSTITUTE(SUBSTITUTE(SUBSTITUTE(SUBSTITUTE(SUBSTITUTE(SUBSTITUTE(SUBSTITUTE(SUBSTITUTE(SUBSTITUTE(SUBSTITUTE(LOWER(TRIM(D185)),"ё","е"),"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отк",TRIM(SUBSTITUTE(SUBSTITUTE(SUBSTITUTE(SUBSTITUTE(SUBSTITUTE(SUBSTITUTE(SUBSTITUTE(SUBSTITUTE(SUBSTITUTE(SUBSTITUTE(SUBSTITUTE(LOWER(TRIM(D185)),"ё","е")," -","-"),"- ","-")," 2 разряда","")," 3 разряда","")," 4 разряда","")," 5 разряда","")," 6 разряда","")," 1 категории","")," 2 категории","")," 3 категории","")))))</f>
        <v>маляр</v>
      </c>
      <c r="H185" s="11" t="n">
        <f aca="false">IFERROR(INDEX(Соответствие!$B$2:$B$76,MATCH(G185,Соответствие!$A$2:$A$76,0)),"?")</f>
        <v>36</v>
      </c>
      <c r="I185" s="8" t="str">
        <f aca="false">IFERROR(INDEX('Перечень должностей'!$C$2:$C$46,MATCH(H185,'Перечень должностей'!$A$2:$A$46,0)),"")</f>
        <v>п.1.14.2, п.1.36, п.1.37.1, п.1.45.1, п.1.45.2, п.1.50, п.4.3.1, п.4.4, п.5.1, п.17</v>
      </c>
      <c r="J185" s="11" t="n">
        <f aca="false">IFERROR(INDEX('Перечень должностей'!$D$2:$D$46,MATCH(H185,'Перечень должностей'!$A$2:$A$46,0)),12)</f>
        <v>12</v>
      </c>
      <c r="K185" s="16"/>
      <c r="L185" s="16"/>
      <c r="M185" s="15" t="str">
        <f aca="false">IF(K185="","",EDATE(IF(L185&lt;&gt;"",L185,K185),J185))</f>
        <v/>
      </c>
      <c r="N185" s="11" t="str">
        <f aca="false">IFERROR(INDEX('Перечень должностей'!$F$2:$F$46,MATCH(H185,'Перечень должностей'!$A$2:$A$46,0)),"")</f>
        <v>-</v>
      </c>
      <c r="O185" s="16"/>
      <c r="P185" s="15" t="str">
        <f aca="false">IF(O185="","",EDATE(O185,60))</f>
        <v/>
      </c>
      <c r="Q185" s="11" t="str">
        <f aca="false">IF(AND(K185&lt;&gt;"",F185&lt;&gt;"",K185&gt;F185),"ДА","")</f>
        <v/>
      </c>
      <c r="R185" s="8"/>
    </row>
    <row r="186" customFormat="false" ht="39" hidden="false" customHeight="true" outlineLevel="0" collapsed="false">
      <c r="A186" s="14" t="n">
        <v>185</v>
      </c>
      <c r="B186" s="11" t="s">
        <v>50</v>
      </c>
      <c r="C186" s="14" t="s">
        <v>157</v>
      </c>
      <c r="D186" s="14" t="s">
        <v>594</v>
      </c>
      <c r="E186" s="14" t="s">
        <v>187</v>
      </c>
      <c r="F186" s="15" t="n">
        <v>46080</v>
      </c>
      <c r="G186" s="4" t="str">
        <f aca="false">IF(TRIM(SUBSTITUTE(SUBSTITUTE(SUBSTITUTE(SUBSTITUTE(SUBSTITUTE(SUBSTITUTE(SUBSTITUTE(SUBSTITUTE(SUBSTITUTE(SUBSTITUTE(SUBSTITUTE(LOWER(TRIM(D186)),"ё","е")," -","-"),"- ","-")," 2 разряда","")," 3 разряда","")," 4 разряда","")," 5 разряда","")," 6 разряда","")," 1 категории","")," 2 категории","")," 3 категории",""))="инженер",IF(AND(ISNUMBER(SEARCH("техническ",E186)),ISNUMBER(SEARCH("контрол",E186))),"инженер отк",IF(ISNUMBER(SEARCH("диспетч",E186)),"инженер пдо",TRIM(SUBSTITUTE(SUBSTITUTE(SUBSTITUTE(SUBSTITUTE(SUBSTITUTE(SUBSTITUTE(SUBSTITUTE(SUBSTITUTE(SUBSTITUTE(SUBSTITUTE(SUBSTITUTE(LOWER(TRIM(D186)),"ё","е"),"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категории","")))),IF(TRIM(SUBSTITUTE(SUBSTITUTE(SUBSTITUTE(SUBSTITUTE(SUBSTITUTE(SUBSTITUTE(SUBSTITUTE(SUBSTITUTE(SUBSTITUTE(SUBSTITUTE(SUBSTITUTE(LOWER(TRIM(D186)),"ё","е")," -","-"),"- ","-")," 2 разряда","")," 3 разряда","")," 4 разряда","")," 5 разряда","")," 6 разряда","")," 1 категории","")," 2 категории","")," 3 категории",""))="ведущий инженер",IF(ISNUMBER(SEARCH("диспетч",E186)),"ведущий инженер пдо",TRIM(SUBSTITUTE(SUBSTITUTE(SUBSTITUTE(SUBSTITUTE(SUBSTITUTE(SUBSTITUTE(SUBSTITUTE(SUBSTITUTE(SUBSTITUTE(SUBSTITUTE(SUBSTITUTE(LOWER(TRIM(D186)),"ё","е"),"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отк",TRIM(SUBSTITUTE(SUBSTITUTE(SUBSTITUTE(SUBSTITUTE(SUBSTITUTE(SUBSTITUTE(SUBSTITUTE(SUBSTITUTE(SUBSTITUTE(SUBSTITUTE(SUBSTITUTE(LOWER(TRIM(D186)),"ё","е")," -","-"),"- ","-")," 2 разряда","")," 3 разряда","")," 4 разряда","")," 5 разряда","")," 6 разряда","")," 1 категории","")," 2 категории","")," 3 категории","")))))</f>
        <v>техник</v>
      </c>
      <c r="H186" s="11" t="n">
        <f aca="false">IFERROR(INDEX(Соответствие!$B$2:$B$76,MATCH(G186,Соответствие!$A$2:$A$76,0)),"?")</f>
        <v>36</v>
      </c>
      <c r="I186" s="8" t="str">
        <f aca="false">IFERROR(INDEX('Перечень должностей'!$C$2:$C$46,MATCH(H186,'Перечень должностей'!$A$2:$A$46,0)),"")</f>
        <v>п.1.14.2, п.1.36, п.1.37.1, п.1.45.1, п.1.45.2, п.1.50, п.4.3.1, п.4.4, п.5.1, п.17</v>
      </c>
      <c r="J186" s="11" t="n">
        <f aca="false">IFERROR(INDEX('Перечень должностей'!$D$2:$D$46,MATCH(H186,'Перечень должностей'!$A$2:$A$46,0)),12)</f>
        <v>12</v>
      </c>
      <c r="K186" s="16"/>
      <c r="L186" s="16"/>
      <c r="M186" s="15" t="str">
        <f aca="false">IF(K186="","",EDATE(IF(L186&lt;&gt;"",L186,K186),J186))</f>
        <v/>
      </c>
      <c r="N186" s="11" t="str">
        <f aca="false">IFERROR(INDEX('Перечень должностей'!$F$2:$F$46,MATCH(H186,'Перечень должностей'!$A$2:$A$46,0)),"")</f>
        <v>-</v>
      </c>
      <c r="O186" s="16"/>
      <c r="P186" s="15" t="str">
        <f aca="false">IF(O186="","",EDATE(O186,60))</f>
        <v/>
      </c>
      <c r="Q186" s="11" t="str">
        <f aca="false">IF(AND(K186&lt;&gt;"",F186&lt;&gt;"",K186&gt;F186),"ДА","")</f>
        <v/>
      </c>
      <c r="R186" s="17" t="s">
        <v>158</v>
      </c>
    </row>
    <row r="187" customFormat="false" ht="39" hidden="false" customHeight="true" outlineLevel="0" collapsed="false">
      <c r="A187" s="14" t="n">
        <v>186</v>
      </c>
      <c r="B187" s="11" t="s">
        <v>50</v>
      </c>
      <c r="C187" s="14" t="s">
        <v>159</v>
      </c>
      <c r="D187" s="14" t="s">
        <v>588</v>
      </c>
      <c r="E187" s="14" t="s">
        <v>57</v>
      </c>
      <c r="F187" s="15" t="n">
        <v>40819</v>
      </c>
      <c r="G187" s="4" t="str">
        <f aca="false">IF(TRIM(SUBSTITUTE(SUBSTITUTE(SUBSTITUTE(SUBSTITUTE(SUBSTITUTE(SUBSTITUTE(SUBSTITUTE(SUBSTITUTE(SUBSTITUTE(SUBSTITUTE(SUBSTITUTE(LOWER(TRIM(D187)),"ё","е")," -","-"),"- ","-")," 2 разряда","")," 3 разряда","")," 4 разряда","")," 5 разряда","")," 6 разряда","")," 1 категории","")," 2 категории","")," 3 категории",""))="инженер",IF(AND(ISNUMBER(SEARCH("техническ",E187)),ISNUMBER(SEARCH("контрол",E187))),"инженер отк",IF(ISNUMBER(SEARCH("диспетч",E187)),"инженер пдо",TRIM(SUBSTITUTE(SUBSTITUTE(SUBSTITUTE(SUBSTITUTE(SUBSTITUTE(SUBSTITUTE(SUBSTITUTE(SUBSTITUTE(SUBSTITUTE(SUBSTITUTE(SUBSTITUTE(LOWER(TRIM(D187)),"ё","е"),"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категории","")))),IF(TRIM(SUBSTITUTE(SUBSTITUTE(SUBSTITUTE(SUBSTITUTE(SUBSTITUTE(SUBSTITUTE(SUBSTITUTE(SUBSTITUTE(SUBSTITUTE(SUBSTITUTE(SUBSTITUTE(LOWER(TRIM(D187)),"ё","е")," -","-"),"- ","-")," 2 разряда","")," 3 разряда","")," 4 разряда","")," 5 разряда","")," 6 разряда","")," 1 категории","")," 2 категории","")," 3 категории",""))="ведущий инженер",IF(ISNUMBER(SEARCH("диспетч",E187)),"ведущий инженер пдо",TRIM(SUBSTITUTE(SUBSTITUTE(SUBSTITUTE(SUBSTITUTE(SUBSTITUTE(SUBSTITUTE(SUBSTITUTE(SUBSTITUTE(SUBSTITUTE(SUBSTITUTE(SUBSTITUTE(LOWER(TRIM(D187)),"ё","е"),"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отк",TRIM(SUBSTITUTE(SUBSTITUTE(SUBSTITUTE(SUBSTITUTE(SUBSTITUTE(SUBSTITUTE(SUBSTITUTE(SUBSTITUTE(SUBSTITUTE(SUBSTITUTE(SUBSTITUTE(LOWER(TRIM(D187)),"ё","е")," -","-"),"- ","-")," 2 разряда","")," 3 разряда","")," 4 разряда","")," 5 разряда","")," 6 разряда","")," 1 категории","")," 2 категории","")," 3 категории","")))))</f>
        <v>техник</v>
      </c>
      <c r="H187" s="11" t="n">
        <f aca="false">IFERROR(INDEX(Соответствие!$B$2:$B$76,MATCH(G187,Соответствие!$A$2:$A$76,0)),"?")</f>
        <v>36</v>
      </c>
      <c r="I187" s="8" t="str">
        <f aca="false">IFERROR(INDEX('Перечень должностей'!$C$2:$C$46,MATCH(H187,'Перечень должностей'!$A$2:$A$46,0)),"")</f>
        <v>п.1.14.2, п.1.36, п.1.37.1, п.1.45.1, п.1.45.2, п.1.50, п.4.3.1, п.4.4, п.5.1, п.17</v>
      </c>
      <c r="J187" s="11" t="n">
        <f aca="false">IFERROR(INDEX('Перечень должностей'!$D$2:$D$46,MATCH(H187,'Перечень должностей'!$A$2:$A$46,0)),12)</f>
        <v>12</v>
      </c>
      <c r="K187" s="16"/>
      <c r="L187" s="16"/>
      <c r="M187" s="15" t="str">
        <f aca="false">IF(K187="","",EDATE(IF(L187&lt;&gt;"",L187,K187),J187))</f>
        <v/>
      </c>
      <c r="N187" s="11" t="str">
        <f aca="false">IFERROR(INDEX('Перечень должностей'!$F$2:$F$46,MATCH(H187,'Перечень должностей'!$A$2:$A$46,0)),"")</f>
        <v>-</v>
      </c>
      <c r="O187" s="16"/>
      <c r="P187" s="15" t="str">
        <f aca="false">IF(O187="","",EDATE(O187,60))</f>
        <v/>
      </c>
      <c r="Q187" s="11" t="str">
        <f aca="false">IF(AND(K187&lt;&gt;"",F187&lt;&gt;"",K187&gt;F187),"ДА","")</f>
        <v/>
      </c>
      <c r="R187" s="17" t="s">
        <v>160</v>
      </c>
    </row>
    <row r="188" customFormat="false" ht="39" hidden="false" customHeight="true" outlineLevel="0" collapsed="false">
      <c r="A188" s="14" t="n">
        <v>187</v>
      </c>
      <c r="B188" s="11" t="s">
        <v>50</v>
      </c>
      <c r="C188" s="14" t="s">
        <v>161</v>
      </c>
      <c r="D188" s="14" t="s">
        <v>588</v>
      </c>
      <c r="E188" s="14" t="s">
        <v>57</v>
      </c>
      <c r="F188" s="15" t="n">
        <v>39420</v>
      </c>
      <c r="G188" s="4" t="str">
        <f aca="false">IF(TRIM(SUBSTITUTE(SUBSTITUTE(SUBSTITUTE(SUBSTITUTE(SUBSTITUTE(SUBSTITUTE(SUBSTITUTE(SUBSTITUTE(SUBSTITUTE(SUBSTITUTE(SUBSTITUTE(LOWER(TRIM(D188)),"ё","е")," -","-"),"- ","-")," 2 разряда","")," 3 разряда","")," 4 разряда","")," 5 разряда","")," 6 разряда","")," 1 категории","")," 2 категории","")," 3 категории",""))="инженер",IF(AND(ISNUMBER(SEARCH("техническ",E188)),ISNUMBER(SEARCH("контрол",E188))),"инженер отк",IF(ISNUMBER(SEARCH("диспетч",E188)),"инженер пдо",TRIM(SUBSTITUTE(SUBSTITUTE(SUBSTITUTE(SUBSTITUTE(SUBSTITUTE(SUBSTITUTE(SUBSTITUTE(SUBSTITUTE(SUBSTITUTE(SUBSTITUTE(SUBSTITUTE(LOWER(TRIM(D188)),"ё","е"),"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категории","")))),IF(TRIM(SUBSTITUTE(SUBSTITUTE(SUBSTITUTE(SUBSTITUTE(SUBSTITUTE(SUBSTITUTE(SUBSTITUTE(SUBSTITUTE(SUBSTITUTE(SUBSTITUTE(SUBSTITUTE(LOWER(TRIM(D188)),"ё","е")," -","-"),"- ","-")," 2 разряда","")," 3 разряда","")," 4 разряда","")," 5 разряда","")," 6 разряда","")," 1 категории","")," 2 категории","")," 3 категории",""))="ведущий инженер",IF(ISNUMBER(SEARCH("диспетч",E188)),"ведущий инженер пдо",TRIM(SUBSTITUTE(SUBSTITUTE(SUBSTITUTE(SUBSTITUTE(SUBSTITUTE(SUBSTITUTE(SUBSTITUTE(SUBSTITUTE(SUBSTITUTE(SUBSTITUTE(SUBSTITUTE(LOWER(TRIM(D188)),"ё","е"),"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отк",TRIM(SUBSTITUTE(SUBSTITUTE(SUBSTITUTE(SUBSTITUTE(SUBSTITUTE(SUBSTITUTE(SUBSTITUTE(SUBSTITUTE(SUBSTITUTE(SUBSTITUTE(SUBSTITUTE(LOWER(TRIM(D188)),"ё","е")," -","-"),"- ","-")," 2 разряда","")," 3 разряда","")," 4 разряда","")," 5 разряда","")," 6 разряда","")," 1 категории","")," 2 категории","")," 3 категории","")))))</f>
        <v>техник</v>
      </c>
      <c r="H188" s="11" t="n">
        <f aca="false">IFERROR(INDEX(Соответствие!$B$2:$B$76,MATCH(G188,Соответствие!$A$2:$A$76,0)),"?")</f>
        <v>36</v>
      </c>
      <c r="I188" s="8" t="str">
        <f aca="false">IFERROR(INDEX('Перечень должностей'!$C$2:$C$46,MATCH(H188,'Перечень должностей'!$A$2:$A$46,0)),"")</f>
        <v>п.1.14.2, п.1.36, п.1.37.1, п.1.45.1, п.1.45.2, п.1.50, п.4.3.1, п.4.4, п.5.1, п.17</v>
      </c>
      <c r="J188" s="11" t="n">
        <f aca="false">IFERROR(INDEX('Перечень должностей'!$D$2:$D$46,MATCH(H188,'Перечень должностей'!$A$2:$A$46,0)),12)</f>
        <v>12</v>
      </c>
      <c r="K188" s="16"/>
      <c r="L188" s="16"/>
      <c r="M188" s="15" t="str">
        <f aca="false">IF(K188="","",EDATE(IF(L188&lt;&gt;"",L188,K188),J188))</f>
        <v/>
      </c>
      <c r="N188" s="11" t="str">
        <f aca="false">IFERROR(INDEX('Перечень должностей'!$F$2:$F$46,MATCH(H188,'Перечень должностей'!$A$2:$A$46,0)),"")</f>
        <v>-</v>
      </c>
      <c r="O188" s="16"/>
      <c r="P188" s="15" t="str">
        <f aca="false">IF(O188="","",EDATE(O188,60))</f>
        <v/>
      </c>
      <c r="Q188" s="11" t="str">
        <f aca="false">IF(AND(K188&lt;&gt;"",F188&lt;&gt;"",K188&gt;F188),"ДА","")</f>
        <v/>
      </c>
      <c r="R188" s="17" t="s">
        <v>160</v>
      </c>
    </row>
    <row r="189" customFormat="false" ht="39" hidden="false" customHeight="true" outlineLevel="0" collapsed="false">
      <c r="A189" s="14" t="n">
        <v>188</v>
      </c>
      <c r="B189" s="11" t="s">
        <v>50</v>
      </c>
      <c r="C189" s="14" t="s">
        <v>162</v>
      </c>
      <c r="D189" s="14" t="s">
        <v>588</v>
      </c>
      <c r="E189" s="14" t="s">
        <v>57</v>
      </c>
      <c r="F189" s="15" t="n">
        <v>44482</v>
      </c>
      <c r="G189" s="4" t="str">
        <f aca="false">IF(TRIM(SUBSTITUTE(SUBSTITUTE(SUBSTITUTE(SUBSTITUTE(SUBSTITUTE(SUBSTITUTE(SUBSTITUTE(SUBSTITUTE(SUBSTITUTE(SUBSTITUTE(SUBSTITUTE(LOWER(TRIM(D189)),"ё","е")," -","-"),"- ","-")," 2 разряда","")," 3 разряда","")," 4 разряда","")," 5 разряда","")," 6 разряда","")," 1 категории","")," 2 категории","")," 3 категории",""))="инженер",IF(AND(ISNUMBER(SEARCH("техническ",E189)),ISNUMBER(SEARCH("контрол",E189))),"инженер отк",IF(ISNUMBER(SEARCH("диспетч",E189)),"инженер пдо",TRIM(SUBSTITUTE(SUBSTITUTE(SUBSTITUTE(SUBSTITUTE(SUBSTITUTE(SUBSTITUTE(SUBSTITUTE(SUBSTITUTE(SUBSTITUTE(SUBSTITUTE(SUBSTITUTE(LOWER(TRIM(D189)),"ё","е"),"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категории","")))),IF(TRIM(SUBSTITUTE(SUBSTITUTE(SUBSTITUTE(SUBSTITUTE(SUBSTITUTE(SUBSTITUTE(SUBSTITUTE(SUBSTITUTE(SUBSTITUTE(SUBSTITUTE(SUBSTITUTE(LOWER(TRIM(D189)),"ё","е")," -","-"),"- ","-")," 2 разряда","")," 3 разряда","")," 4 разряда","")," 5 разряда","")," 6 разряда","")," 1 категории","")," 2 категории","")," 3 категории",""))="ведущий инженер",IF(ISNUMBER(SEARCH("диспетч",E189)),"ведущий инженер пдо",TRIM(SUBSTITUTE(SUBSTITUTE(SUBSTITUTE(SUBSTITUTE(SUBSTITUTE(SUBSTITUTE(SUBSTITUTE(SUBSTITUTE(SUBSTITUTE(SUBSTITUTE(SUBSTITUTE(LOWER(TRIM(D189)),"ё","е"),"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категории",""))),IF(TRIM(SUBSTITUTE(SUBSTITUTE(SUBSTITUTE(SUBSTITUTE(SUBSTITUTE(SUBSTITUTE(SUBSTITUTE(SUBSTITUTE(SUBSTITUTE(SUBSTITUTE(SUBSTITUTE(LOWER(TRIM(D189)),"ё","е"),"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отк",TRIM(SUBSTITUTE(SUBSTITUTE(SUBSTITUTE(SUBSTITUTE(SUBSTITUTE(SUBSTITUTE(SUBSTITUTE(SUBSTITUTE(SUBSTITUTE(SUBSTITUTE(SUBSTITUTE(LOWER(TRIM(D189)),"ё","е")," -","-"),"- ","-")," 2 разряда","")," 3 разряда","")," 4 разряда","")," 5 разряда","")," 6 разряда","")," 1 категории","")," 2 категории","")," 3 категории","")))))</f>
        <v>техник</v>
      </c>
      <c r="H189" s="11" t="n">
        <f aca="false">IFERROR(INDEX(Соответствие!$B$2:$B$76,MATCH(G189,Соответствие!$A$2:$A$76,0)),"?")</f>
        <v>36</v>
      </c>
      <c r="I189" s="8" t="str">
        <f aca="false">IFERROR(INDEX('Перечень должностей'!$C$2:$C$46,MATCH(H189,'Перечень должностей'!$A$2:$A$46,0)),"")</f>
        <v>п.1.14.2, п.1.36, п.1.37.1, п.1.45.1, п.1.45.2, п.1.50, п.4.3.1, п.4.4, п.5.1, п.17</v>
      </c>
      <c r="J189" s="11" t="n">
        <f aca="false">IFERROR(INDEX('Перечень должностей'!$D$2:$D$46,MATCH(H189,'Перечень должностей'!$A$2:$A$46,0)),12)</f>
        <v>12</v>
      </c>
      <c r="K189" s="16"/>
      <c r="L189" s="16"/>
      <c r="M189" s="15" t="str">
        <f aca="false">IF(K189="","",EDATE(IF(L189&lt;&gt;"",L189,K189),J189))</f>
        <v/>
      </c>
      <c r="N189" s="11" t="str">
        <f aca="false">IFERROR(INDEX('Перечень должностей'!$F$2:$F$46,MATCH(H189,'Перечень должностей'!$A$2:$A$46,0)),"")</f>
        <v>-</v>
      </c>
      <c r="O189" s="16"/>
      <c r="P189" s="15" t="str">
        <f aca="false">IF(O189="","",EDATE(O189,60))</f>
        <v/>
      </c>
      <c r="Q189" s="11" t="str">
        <f aca="false">IF(AND(K189&lt;&gt;"",F189&lt;&gt;"",K189&gt;F189),"ДА","")</f>
        <v/>
      </c>
      <c r="R189" s="17" t="s">
        <v>160</v>
      </c>
    </row>
    <row r="190" customFormat="false" ht="39" hidden="false" customHeight="true" outlineLevel="0" collapsed="false">
      <c r="A190" s="14" t="n">
        <v>189</v>
      </c>
      <c r="B190" s="11" t="s">
        <v>50</v>
      </c>
      <c r="C190" s="14" t="s">
        <v>163</v>
      </c>
      <c r="D190" s="14" t="s">
        <v>595</v>
      </c>
      <c r="E190" s="14" t="s">
        <v>187</v>
      </c>
      <c r="F190" s="15" t="n">
        <v>45754</v>
      </c>
      <c r="G190" s="4" t="str">
        <f aca="false">IF(TRIM(SUBSTITUTE(SUBSTITUTE(SUBSTITUTE(SUBSTITUTE(SUBSTITUTE(SUBSTITUTE(SUBSTITUTE(SUBSTITUTE(SUBSTITUTE(SUBSTITUTE(SUBSTITUTE(LOWER(TRIM(D190)),"ё","е")," -","-"),"- ","-")," 2 разряда","")," 3 разряда","")," 4 разряда","")," 5 разряда","")," 6 разряда","")," 1 категории","")," 2 категории","")," 3 категории",""))="инженер",IF(AND(ISNUMBER(SEARCH("техническ",E190)),ISNUMBER(SEARCH("контрол",E190))),"инженер отк",IF(ISNUMBER(SEARCH("диспетч",E190)),"инженер пдо",TRIM(SUBSTITUTE(SUBSTITUTE(SUBSTITUTE(SUBSTITUTE(SUBSTITUTE(SUBSTITUTE(SUBSTITUTE(SUBSTITUTE(SUBSTITUTE(SUBSTITUTE(SUBSTITUTE(LOWER(TRIM(D190)),"ё","е"),"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категории","")))),IF(TRIM(SUBSTITUTE(SUBSTITUTE(SUBSTITUTE(SUBSTITUTE(SUBSTITUTE(SUBSTITUTE(SUBSTITUTE(SUBSTITUTE(SUBSTITUTE(SUBSTITUTE(SUBSTITUTE(LOWER(TRIM(D190)),"ё","е")," -","-"),"- ","-")," 2 разряда","")," 3 разряда","")," 4 разряда","")," 5 разряда","")," 6 разряда","")," 1 категории","")," 2 категории","")," 3 категории",""))="ведущий инженер",IF(ISNUMBER(SEARCH("диспетч",E190)),"ведущий инженер пдо",TRIM(SUBSTITUTE(SUBSTITUTE(SUBSTITUTE(SUBSTITUTE(SUBSTITUTE(SUBSTITUTE(SUBSTITUTE(SUBSTITUTE(SUBSTITUTE(SUBSTITUTE(SUBSTITUTE(LOWER(TRIM(D190)),"ё","е"),"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отк",TRIM(SUBSTITUTE(SUBSTITUTE(SUBSTITUTE(SUBSTITUTE(SUBSTITUTE(SUBSTITUTE(SUBSTITUTE(SUBSTITUTE(SUBSTITUTE(SUBSTITUTE(SUBSTITUTE(LOWER(TRIM(D190)),"ё","е")," -","-"),"- ","-")," 2 разряда","")," 3 разряда","")," 4 разряда","")," 5 разряда","")," 6 разряда","")," 1 категории","")," 2 категории","")," 3 категории","")))))</f>
        <v>техник</v>
      </c>
      <c r="H190" s="11" t="n">
        <f aca="false">IFERROR(INDEX(Соответствие!$B$2:$B$76,MATCH(G190,Соответствие!$A$2:$A$76,0)),"?")</f>
        <v>36</v>
      </c>
      <c r="I190" s="8" t="str">
        <f aca="false">IFERROR(INDEX('Перечень должностей'!$C$2:$C$46,MATCH(H190,'Перечень должностей'!$A$2:$A$46,0)),"")</f>
        <v>п.1.14.2, п.1.36, п.1.37.1, п.1.45.1, п.1.45.2, п.1.50, п.4.3.1, п.4.4, п.5.1, п.17</v>
      </c>
      <c r="J190" s="11" t="n">
        <f aca="false">IFERROR(INDEX('Перечень должностей'!$D$2:$D$46,MATCH(H190,'Перечень должностей'!$A$2:$A$46,0)),12)</f>
        <v>12</v>
      </c>
      <c r="K190" s="16"/>
      <c r="L190" s="16"/>
      <c r="M190" s="15" t="str">
        <f aca="false">IF(K190="","",EDATE(IF(L190&lt;&gt;"",L190,K190),J190))</f>
        <v/>
      </c>
      <c r="N190" s="11" t="str">
        <f aca="false">IFERROR(INDEX('Перечень должностей'!$F$2:$F$46,MATCH(H190,'Перечень должностей'!$A$2:$A$46,0)),"")</f>
        <v>-</v>
      </c>
      <c r="O190" s="16"/>
      <c r="P190" s="15" t="str">
        <f aca="false">IF(O190="","",EDATE(O190,60))</f>
        <v/>
      </c>
      <c r="Q190" s="11" t="str">
        <f aca="false">IF(AND(K190&lt;&gt;"",F190&lt;&gt;"",K190&gt;F190),"ДА","")</f>
        <v/>
      </c>
      <c r="R190" s="17" t="s">
        <v>164</v>
      </c>
    </row>
    <row r="191" customFormat="false" ht="39" hidden="false" customHeight="true" outlineLevel="0" collapsed="false">
      <c r="A191" s="14" t="n">
        <v>190</v>
      </c>
      <c r="B191" s="11" t="s">
        <v>50</v>
      </c>
      <c r="C191" s="14" t="s">
        <v>165</v>
      </c>
      <c r="D191" s="14" t="s">
        <v>595</v>
      </c>
      <c r="E191" s="14" t="s">
        <v>187</v>
      </c>
      <c r="F191" s="15" t="n">
        <v>46136</v>
      </c>
      <c r="G191" s="4" t="str">
        <f aca="false">IF(TRIM(SUBSTITUTE(SUBSTITUTE(SUBSTITUTE(SUBSTITUTE(SUBSTITUTE(SUBSTITUTE(SUBSTITUTE(SUBSTITUTE(SUBSTITUTE(SUBSTITUTE(SUBSTITUTE(LOWER(TRIM(D191)),"ё","е")," -","-"),"- ","-")," 2 разряда","")," 3 разряда","")," 4 разряда","")," 5 разряда","")," 6 разряда","")," 1 категории","")," 2 категории","")," 3 категории",""))="инженер",IF(AND(ISNUMBER(SEARCH("техническ",E191)),ISNUMBER(SEARCH("контрол",E191))),"инженер отк",IF(ISNUMBER(SEARCH("диспетч",E191)),"инженер пдо",TRIM(SUBSTITUTE(SUBSTITUTE(SUBSTITUTE(SUBSTITUTE(SUBSTITUTE(SUBSTITUTE(SUBSTITUTE(SUBSTITUTE(SUBSTITUTE(SUBSTITUTE(SUBSTITUTE(LOWER(TRIM(D191)),"ё","е"),"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категории","")))),IF(TRIM(SUBSTITUTE(SUBSTITUTE(SUBSTITUTE(SUBSTITUTE(SUBSTITUTE(SUBSTITUTE(SUBSTITUTE(SUBSTITUTE(SUBSTITUTE(SUBSTITUTE(SUBSTITUTE(LOWER(TRIM(D191)),"ё","е")," -","-"),"- ","-")," 2 разряда","")," 3 разряда","")," 4 разряда","")," 5 разряда","")," 6 разряда","")," 1 категории","")," 2 категории","")," 3 категории",""))="ведущий инженер",IF(ISNUMBER(SEARCH("диспетч",E191)),"ведущий инженер пдо",TRIM(SUBSTITUTE(SUBSTITUTE(SUBSTITUTE(SUBSTITUTE(SUBSTITUTE(SUBSTITUTE(SUBSTITUTE(SUBSTITUTE(SUBSTITUTE(SUBSTITUTE(SUBSTITUTE(LOWER(TRIM(D191)),"ё","е"),"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отк",TRIM(SUBSTITUTE(SUBSTITUTE(SUBSTITUTE(SUBSTITUTE(SUBSTITUTE(SUBSTITUTE(SUBSTITUTE(SUBSTITUTE(SUBSTITUTE(SUBSTITUTE(SUBSTITUTE(LOWER(TRIM(D191)),"ё","е")," -","-"),"- ","-")," 2 разряда","")," 3 разряда","")," 4 разряда","")," 5 разряда","")," 6 разряда","")," 1 категории","")," 2 категории","")," 3 категории","")))))</f>
        <v>техник</v>
      </c>
      <c r="H191" s="11" t="n">
        <f aca="false">IFERROR(INDEX(Соответствие!$B$2:$B$76,MATCH(G191,Соответствие!$A$2:$A$76,0)),"?")</f>
        <v>36</v>
      </c>
      <c r="I191" s="8" t="str">
        <f aca="false">IFERROR(INDEX('Перечень должностей'!$C$2:$C$46,MATCH(H191,'Перечень должностей'!$A$2:$A$46,0)),"")</f>
        <v>п.1.14.2, п.1.36, п.1.37.1, п.1.45.1, п.1.45.2, п.1.50, п.4.3.1, п.4.4, п.5.1, п.17</v>
      </c>
      <c r="J191" s="11" t="n">
        <f aca="false">IFERROR(INDEX('Перечень должностей'!$D$2:$D$46,MATCH(H191,'Перечень должностей'!$A$2:$A$46,0)),12)</f>
        <v>12</v>
      </c>
      <c r="K191" s="16"/>
      <c r="L191" s="16"/>
      <c r="M191" s="15" t="str">
        <f aca="false">IF(K191="","",EDATE(IF(L191&lt;&gt;"",L191,K191),J191))</f>
        <v/>
      </c>
      <c r="N191" s="11" t="str">
        <f aca="false">IFERROR(INDEX('Перечень должностей'!$F$2:$F$46,MATCH(H191,'Перечень должностей'!$A$2:$A$46,0)),"")</f>
        <v>-</v>
      </c>
      <c r="O191" s="16"/>
      <c r="P191" s="15" t="str">
        <f aca="false">IF(O191="","",EDATE(O191,60))</f>
        <v/>
      </c>
      <c r="Q191" s="11" t="str">
        <f aca="false">IF(AND(K191&lt;&gt;"",F191&lt;&gt;"",K191&gt;F191),"ДА","")</f>
        <v/>
      </c>
      <c r="R191" s="17" t="s">
        <v>164</v>
      </c>
    </row>
    <row r="192" customFormat="false" ht="39" hidden="false" customHeight="true" outlineLevel="0" collapsed="false">
      <c r="A192" s="14" t="n">
        <v>191</v>
      </c>
      <c r="B192" s="11" t="s">
        <v>50</v>
      </c>
      <c r="C192" s="14" t="s">
        <v>166</v>
      </c>
      <c r="D192" s="14" t="s">
        <v>56</v>
      </c>
      <c r="E192" s="14" t="s">
        <v>187</v>
      </c>
      <c r="F192" s="15" t="n">
        <v>46162</v>
      </c>
      <c r="G192" s="4" t="str">
        <f aca="false">IF(TRIM(SUBSTITUTE(SUBSTITUTE(SUBSTITUTE(SUBSTITUTE(SUBSTITUTE(SUBSTITUTE(SUBSTITUTE(SUBSTITUTE(SUBSTITUTE(SUBSTITUTE(SUBSTITUTE(LOWER(TRIM(D192)),"ё","е")," -","-"),"- ","-")," 2 разряда","")," 3 разряда","")," 4 разряда","")," 5 разряда","")," 6 разряда","")," 1 категории","")," 2 категории","")," 3 категории",""))="инженер",IF(AND(ISNUMBER(SEARCH("техническ",E192)),ISNUMBER(SEARCH("контрол",E192))),"инженер отк",IF(ISNUMBER(SEARCH("диспетч",E192)),"инженер пдо",TRIM(SUBSTITUTE(SUBSTITUTE(SUBSTITUTE(SUBSTITUTE(SUBSTITUTE(SUBSTITUTE(SUBSTITUTE(SUBSTITUTE(SUBSTITUTE(SUBSTITUTE(SUBSTITUTE(LOWER(TRIM(D192)),"ё","е"),"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категории","")))),IF(TRIM(SUBSTITUTE(SUBSTITUTE(SUBSTITUTE(SUBSTITUTE(SUBSTITUTE(SUBSTITUTE(SUBSTITUTE(SUBSTITUTE(SUBSTITUTE(SUBSTITUTE(SUBSTITUTE(LOWER(TRIM(D192)),"ё","е")," -","-"),"- ","-")," 2 разряда","")," 3 разряда","")," 4 разряда","")," 5 разряда","")," 6 разряда","")," 1 категории","")," 2 категории","")," 3 категории",""))="ведущий инженер",IF(ISNUMBER(SEARCH("диспетч",E192)),"ведущий инженер пдо",TRIM(SUBSTITUTE(SUBSTITUTE(SUBSTITUTE(SUBSTITUTE(SUBSTITUTE(SUBSTITUTE(SUBSTITUTE(SUBSTITUTE(SUBSTITUTE(SUBSTITUTE(SUBSTITUTE(LOWER(TRIM(D192)),"ё","е"),"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отк",TRIM(SUBSTITUTE(SUBSTITUTE(SUBSTITUTE(SUBSTITUTE(SUBSTITUTE(SUBSTITUTE(SUBSTITUTE(SUBSTITUTE(SUBSTITUTE(SUBSTITUTE(SUBSTITUTE(LOWER(TRIM(D192)),"ё","е")," -","-"),"- ","-")," 2 разряда","")," 3 разряда","")," 4 разряда","")," 5 разряда","")," 6 разряда","")," 1 категории","")," 2 категории","")," 3 категории","")))))</f>
        <v>техник</v>
      </c>
      <c r="H192" s="11" t="n">
        <f aca="false">IFERROR(INDEX(Соответствие!$B$2:$B$76,MATCH(G192,Соответствие!$A$2:$A$76,0)),"?")</f>
        <v>36</v>
      </c>
      <c r="I192" s="8" t="str">
        <f aca="false">IFERROR(INDEX('Перечень должностей'!$C$2:$C$46,MATCH(H192,'Перечень должностей'!$A$2:$A$46,0)),"")</f>
        <v>п.1.14.2, п.1.36, п.1.37.1, п.1.45.1, п.1.45.2, п.1.50, п.4.3.1, п.4.4, п.5.1, п.17</v>
      </c>
      <c r="J192" s="11" t="n">
        <f aca="false">IFERROR(INDEX('Перечень должностей'!$D$2:$D$46,MATCH(H192,'Перечень должностей'!$A$2:$A$46,0)),12)</f>
        <v>12</v>
      </c>
      <c r="K192" s="16" t="n">
        <v>46157</v>
      </c>
      <c r="L192" s="16"/>
      <c r="M192" s="15" t="n">
        <f aca="false">IF(K192="","",EDATE(IF(L192&lt;&gt;"",L192,K192),J192))</f>
        <v>46522</v>
      </c>
      <c r="N192" s="11" t="str">
        <f aca="false">IFERROR(INDEX('Перечень должностей'!$F$2:$F$46,MATCH(H192,'Перечень должностей'!$A$2:$A$46,0)),"")</f>
        <v>-</v>
      </c>
      <c r="O192" s="16"/>
      <c r="P192" s="15" t="str">
        <f aca="false">IF(O192="","",EDATE(O192,60))</f>
        <v/>
      </c>
      <c r="Q192" s="11" t="str">
        <f aca="false">IF(AND(K192&lt;&gt;"",F192&lt;&gt;"",K192&gt;F192),"ДА","")</f>
        <v/>
      </c>
      <c r="R192" s="17" t="s">
        <v>167</v>
      </c>
    </row>
    <row r="193" customFormat="false" ht="39" hidden="false" customHeight="true" outlineLevel="0" collapsed="false">
      <c r="A193" s="14" t="n">
        <v>192</v>
      </c>
      <c r="B193" s="11" t="s">
        <v>50</v>
      </c>
      <c r="C193" s="14" t="s">
        <v>168</v>
      </c>
      <c r="D193" s="14" t="s">
        <v>56</v>
      </c>
      <c r="E193" s="14" t="s">
        <v>187</v>
      </c>
      <c r="F193" s="15" t="n">
        <v>45972</v>
      </c>
      <c r="G193" s="4" t="str">
        <f aca="false">IF(TRIM(SUBSTITUTE(SUBSTITUTE(SUBSTITUTE(SUBSTITUTE(SUBSTITUTE(SUBSTITUTE(SUBSTITUTE(SUBSTITUTE(SUBSTITUTE(SUBSTITUTE(SUBSTITUTE(LOWER(TRIM(D193)),"ё","е")," -","-"),"- ","-")," 2 разряда","")," 3 разряда","")," 4 разряда","")," 5 разряда","")," 6 разряда","")," 1 категории","")," 2 категории","")," 3 категории",""))="инженер",IF(AND(ISNUMBER(SEARCH("техническ",E193)),ISNUMBER(SEARCH("контрол",E193))),"инженер отк",IF(ISNUMBER(SEARCH("диспетч",E193)),"инженер пдо",TRIM(SUBSTITUTE(SUBSTITUTE(SUBSTITUTE(SUBSTITUTE(SUBSTITUTE(SUBSTITUTE(SUBSTITUTE(SUBSTITUTE(SUBSTITUTE(SUBSTITUTE(SUBSTITUTE(LOWER(TRIM(D193)),"ё","е"),"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категории","")))),IF(TRIM(SUBSTITUTE(SUBSTITUTE(SUBSTITUTE(SUBSTITUTE(SUBSTITUTE(SUBSTITUTE(SUBSTITUTE(SUBSTITUTE(SUBSTITUTE(SUBSTITUTE(SUBSTITUTE(LOWER(TRIM(D193)),"ё","е")," -","-"),"- ","-")," 2 разряда","")," 3 разряда","")," 4 разряда","")," 5 разряда","")," 6 разряда","")," 1 категории","")," 2 категории","")," 3 категории",""))="ведущий инженер",IF(ISNUMBER(SEARCH("диспетч",E193)),"ведущий инженер пдо",TRIM(SUBSTITUTE(SUBSTITUTE(SUBSTITUTE(SUBSTITUTE(SUBSTITUTE(SUBSTITUTE(SUBSTITUTE(SUBSTITUTE(SUBSTITUTE(SUBSTITUTE(SUBSTITUTE(LOWER(TRIM(D193)),"ё","е"),"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отк",TRIM(SUBSTITUTE(SUBSTITUTE(SUBSTITUTE(SUBSTITUTE(SUBSTITUTE(SUBSTITUTE(SUBSTITUTE(SUBSTITUTE(SUBSTITUTE(SUBSTITUTE(SUBSTITUTE(LOWER(TRIM(D193)),"ё","е")," -","-"),"- ","-")," 2 разряда","")," 3 разряда","")," 4 разряда","")," 5 разряда","")," 6 разряда","")," 1 категории","")," 2 категории","")," 3 категории","")))))</f>
        <v>техник</v>
      </c>
      <c r="H193" s="11" t="n">
        <f aca="false">IFERROR(INDEX(Соответствие!$B$2:$B$76,MATCH(G193,Соответствие!$A$2:$A$76,0)),"?")</f>
        <v>36</v>
      </c>
      <c r="I193" s="8" t="str">
        <f aca="false">IFERROR(INDEX('Перечень должностей'!$C$2:$C$46,MATCH(H193,'Перечень должностей'!$A$2:$A$46,0)),"")</f>
        <v>п.1.14.2, п.1.36, п.1.37.1, п.1.45.1, п.1.45.2, п.1.50, п.4.3.1, п.4.4, п.5.1, п.17</v>
      </c>
      <c r="J193" s="11" t="n">
        <f aca="false">IFERROR(INDEX('Перечень должностей'!$D$2:$D$46,MATCH(H193,'Перечень должностей'!$A$2:$A$46,0)),12)</f>
        <v>12</v>
      </c>
      <c r="K193" s="16"/>
      <c r="L193" s="16"/>
      <c r="M193" s="15" t="str">
        <f aca="false">IF(K193="","",EDATE(IF(L193&lt;&gt;"",L193,K193),J193))</f>
        <v/>
      </c>
      <c r="N193" s="11" t="str">
        <f aca="false">IFERROR(INDEX('Перечень должностей'!$F$2:$F$46,MATCH(H193,'Перечень должностей'!$A$2:$A$46,0)),"")</f>
        <v>-</v>
      </c>
      <c r="O193" s="16"/>
      <c r="P193" s="15" t="str">
        <f aca="false">IF(O193="","",EDATE(O193,60))</f>
        <v/>
      </c>
      <c r="Q193" s="11" t="str">
        <f aca="false">IF(AND(K193&lt;&gt;"",F193&lt;&gt;"",K193&gt;F193),"ДА","")</f>
        <v/>
      </c>
      <c r="R193" s="17" t="s">
        <v>167</v>
      </c>
    </row>
    <row r="194" customFormat="false" ht="39" hidden="false" customHeight="true" outlineLevel="0" collapsed="false">
      <c r="A194" s="14" t="n">
        <v>193</v>
      </c>
      <c r="B194" s="11" t="s">
        <v>50</v>
      </c>
      <c r="C194" s="14" t="s">
        <v>169</v>
      </c>
      <c r="D194" s="14" t="s">
        <v>56</v>
      </c>
      <c r="E194" s="14" t="s">
        <v>187</v>
      </c>
      <c r="F194" s="15" t="n">
        <v>46230</v>
      </c>
      <c r="G194" s="4" t="str">
        <f aca="false">IF(TRIM(SUBSTITUTE(SUBSTITUTE(SUBSTITUTE(SUBSTITUTE(SUBSTITUTE(SUBSTITUTE(SUBSTITUTE(SUBSTITUTE(SUBSTITUTE(SUBSTITUTE(SUBSTITUTE(LOWER(TRIM(D194)),"ё","е")," -","-"),"- ","-")," 2 разряда","")," 3 разряда","")," 4 разряда","")," 5 разряда","")," 6 разряда","")," 1 категории","")," 2 категории","")," 3 категории",""))="инженер",IF(AND(ISNUMBER(SEARCH("техническ",E194)),ISNUMBER(SEARCH("контрол",E194))),"инженер отк",IF(ISNUMBER(SEARCH("диспетч",E194)),"инженер пдо",TRIM(SUBSTITUTE(SUBSTITUTE(SUBSTITUTE(SUBSTITUTE(SUBSTITUTE(SUBSTITUTE(SUBSTITUTE(SUBSTITUTE(SUBSTITUTE(SUBSTITUTE(SUBSTITUTE(LOWER(TRIM(D194)),"ё","е"),"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категории","")))),IF(TRIM(SUBSTITUTE(SUBSTITUTE(SUBSTITUTE(SUBSTITUTE(SUBSTITUTE(SUBSTITUTE(SUBSTITUTE(SUBSTITUTE(SUBSTITUTE(SUBSTITUTE(SUBSTITUTE(LOWER(TRIM(D194)),"ё","е")," -","-"),"- ","-")," 2 разряда","")," 3 разряда","")," 4 разряда","")," 5 разряда","")," 6 разряда","")," 1 категории","")," 2 категории","")," 3 категории",""))="ведущий инженер",IF(ISNUMBER(SEARCH("диспетч",E194)),"ведущий инженер пдо",TRIM(SUBSTITUTE(SUBSTITUTE(SUBSTITUTE(SUBSTITUTE(SUBSTITUTE(SUBSTITUTE(SUBSTITUTE(SUBSTITUTE(SUBSTITUTE(SUBSTITUTE(SUBSTITUTE(LOWER(TRIM(D194)),"ё","е"),"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отк",TRIM(SUBSTITUTE(SUBSTITUTE(SUBSTITUTE(SUBSTITUTE(SUBSTITUTE(SUBSTITUTE(SUBSTITUTE(SUBSTITUTE(SUBSTITUTE(SUBSTITUTE(SUBSTITUTE(LOWER(TRIM(D194)),"ё","е")," -","-"),"- ","-")," 2 разряда","")," 3 разряда","")," 4 разряда","")," 5 разряда","")," 6 разряда","")," 1 категории","")," 2 категории","")," 3 категории","")))))</f>
        <v>техник</v>
      </c>
      <c r="H194" s="11" t="n">
        <f aca="false">IFERROR(INDEX(Соответствие!$B$2:$B$76,MATCH(G194,Соответствие!$A$2:$A$76,0)),"?")</f>
        <v>36</v>
      </c>
      <c r="I194" s="8" t="str">
        <f aca="false">IFERROR(INDEX('Перечень должностей'!$C$2:$C$46,MATCH(H194,'Перечень должностей'!$A$2:$A$46,0)),"")</f>
        <v>п.1.14.2, п.1.36, п.1.37.1, п.1.45.1, п.1.45.2, п.1.50, п.4.3.1, п.4.4, п.5.1, п.17</v>
      </c>
      <c r="J194" s="11" t="n">
        <f aca="false">IFERROR(INDEX('Перечень должностей'!$D$2:$D$46,MATCH(H194,'Перечень должностей'!$A$2:$A$46,0)),12)</f>
        <v>12</v>
      </c>
      <c r="K194" s="16" t="n">
        <v>46220</v>
      </c>
      <c r="L194" s="16"/>
      <c r="M194" s="15" t="n">
        <f aca="false">IF(K194="","",EDATE(IF(L194&lt;&gt;"",L194,K194),J194))</f>
        <v>46585</v>
      </c>
      <c r="N194" s="11" t="str">
        <f aca="false">IFERROR(INDEX('Перечень должностей'!$F$2:$F$46,MATCH(H194,'Перечень должностей'!$A$2:$A$46,0)),"")</f>
        <v>-</v>
      </c>
      <c r="O194" s="16"/>
      <c r="P194" s="15" t="str">
        <f aca="false">IF(O194="","",EDATE(O194,60))</f>
        <v/>
      </c>
      <c r="Q194" s="11" t="str">
        <f aca="false">IF(AND(K194&lt;&gt;"",F194&lt;&gt;"",K194&gt;F194),"ДА","")</f>
        <v/>
      </c>
      <c r="R194" s="17" t="s">
        <v>167</v>
      </c>
    </row>
    <row r="195" customFormat="false" ht="39" hidden="false" customHeight="true" outlineLevel="0" collapsed="false">
      <c r="A195" s="14" t="n">
        <v>194</v>
      </c>
      <c r="B195" s="11" t="s">
        <v>50</v>
      </c>
      <c r="C195" s="14" t="s">
        <v>170</v>
      </c>
      <c r="D195" s="14" t="s">
        <v>596</v>
      </c>
      <c r="E195" s="14" t="s">
        <v>57</v>
      </c>
      <c r="F195" s="15" t="n">
        <v>46148</v>
      </c>
      <c r="G195" s="4" t="str">
        <f aca="false">IF(TRIM(SUBSTITUTE(SUBSTITUTE(SUBSTITUTE(SUBSTITUTE(SUBSTITUTE(SUBSTITUTE(SUBSTITUTE(SUBSTITUTE(SUBSTITUTE(SUBSTITUTE(SUBSTITUTE(LOWER(TRIM(D195)),"ё","е")," -","-"),"- ","-")," 2 разряда","")," 3 разряда","")," 4 разряда","")," 5 разряда","")," 6 разряда","")," 1 категории","")," 2 категории","")," 3 категории",""))="инженер",IF(AND(ISNUMBER(SEARCH("техническ",E195)),ISNUMBER(SEARCH("контрол",E195))),"инженер отк",IF(ISNUMBER(SEARCH("диспетч",E195)),"инженер пдо",TRIM(SUBSTITUTE(SUBSTITUTE(SUBSTITUTE(SUBSTITUTE(SUBSTITUTE(SUBSTITUTE(SUBSTITUTE(SUBSTITUTE(SUBSTITUTE(SUBSTITUTE(SUBSTITUTE(LOWER(TRIM(D195)),"ё","е"),"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категории","")))),IF(TRIM(SUBSTITUTE(SUBSTITUTE(SUBSTITUTE(SUBSTITUTE(SUBSTITUTE(SUBSTITUTE(SUBSTITUTE(SUBSTITUTE(SUBSTITUTE(SUBSTITUTE(SUBSTITUTE(LOWER(TRIM(D195)),"ё","е")," -","-"),"- ","-")," 2 разряда","")," 3 разряда","")," 4 разряда","")," 5 разряда","")," 6 разряда","")," 1 категории","")," 2 категории","")," 3 категории",""))="ведущий инженер",IF(ISNUMBER(SEARCH("диспетч",E195)),"ведущий инженер пдо",TRIM(SUBSTITUTE(SUBSTITUTE(SUBSTITUTE(SUBSTITUTE(SUBSTITUTE(SUBSTITUTE(SUBSTITUTE(SUBSTITUTE(SUBSTITUTE(SUBSTITUTE(SUBSTITUTE(LOWER(TRIM(D195)),"ё","е"),"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отк",TRIM(SUBSTITUTE(SUBSTITUTE(SUBSTITUTE(SUBSTITUTE(SUBSTITUTE(SUBSTITUTE(SUBSTITUTE(SUBSTITUTE(SUBSTITUTE(SUBSTITUTE(SUBSTITUTE(LOWER(TRIM(D195)),"ё","е")," -","-"),"- ","-")," 2 разряда","")," 3 разряда","")," 4 разряда","")," 5 разряда","")," 6 разряда","")," 1 категории","")," 2 категории","")," 3 категории","")))))</f>
        <v>техник</v>
      </c>
      <c r="H195" s="11" t="n">
        <f aca="false">IFERROR(INDEX(Соответствие!$B$2:$B$76,MATCH(G195,Соответствие!$A$2:$A$76,0)),"?")</f>
        <v>36</v>
      </c>
      <c r="I195" s="8" t="str">
        <f aca="false">IFERROR(INDEX('Перечень должностей'!$C$2:$C$46,MATCH(H195,'Перечень должностей'!$A$2:$A$46,0)),"")</f>
        <v>п.1.14.2, п.1.36, п.1.37.1, п.1.45.1, п.1.45.2, п.1.50, п.4.3.1, п.4.4, п.5.1, п.17</v>
      </c>
      <c r="J195" s="11" t="n">
        <f aca="false">IFERROR(INDEX('Перечень должностей'!$D$2:$D$46,MATCH(H195,'Перечень должностей'!$A$2:$A$46,0)),12)</f>
        <v>12</v>
      </c>
      <c r="K195" s="16"/>
      <c r="L195" s="16"/>
      <c r="M195" s="15" t="str">
        <f aca="false">IF(K195="","",EDATE(IF(L195&lt;&gt;"",L195,K195),J195))</f>
        <v/>
      </c>
      <c r="N195" s="11" t="str">
        <f aca="false">IFERROR(INDEX('Перечень должностей'!$F$2:$F$46,MATCH(H195,'Перечень должностей'!$A$2:$A$46,0)),"")</f>
        <v>-</v>
      </c>
      <c r="O195" s="16"/>
      <c r="P195" s="15" t="str">
        <f aca="false">IF(O195="","",EDATE(O195,60))</f>
        <v/>
      </c>
      <c r="Q195" s="11" t="str">
        <f aca="false">IF(AND(K195&lt;&gt;"",F195&lt;&gt;"",K195&gt;F195),"ДА","")</f>
        <v/>
      </c>
      <c r="R195" s="17" t="s">
        <v>171</v>
      </c>
    </row>
    <row r="196" customFormat="false" ht="39" hidden="false" customHeight="true" outlineLevel="0" collapsed="false">
      <c r="A196" s="14" t="n">
        <v>195</v>
      </c>
      <c r="B196" s="11" t="s">
        <v>50</v>
      </c>
      <c r="C196" s="14" t="s">
        <v>597</v>
      </c>
      <c r="D196" s="14" t="s">
        <v>598</v>
      </c>
      <c r="E196" s="14" t="s">
        <v>599</v>
      </c>
      <c r="F196" s="15" t="n">
        <v>45649</v>
      </c>
      <c r="G196" s="4" t="str">
        <f aca="false">IF(TRIM(SUBSTITUTE(SUBSTITUTE(SUBSTITUTE(SUBSTITUTE(SUBSTITUTE(SUBSTITUTE(SUBSTITUTE(SUBSTITUTE(SUBSTITUTE(SUBSTITUTE(SUBSTITUTE(LOWER(TRIM(D196)),"ё","е")," -","-"),"- ","-")," 2 разряда","")," 3 разряда","")," 4 разряда","")," 5 разряда","")," 6 разряда","")," 1 категории","")," 2 категории","")," 3 категории",""))="инженер",IF(AND(ISNUMBER(SEARCH("техническ",E196)),ISNUMBER(SEARCH("контрол",E196))),"инженер отк",IF(ISNUMBER(SEARCH("диспетч",E196)),"инженер пдо",TRIM(SUBSTITUTE(SUBSTITUTE(SUBSTITUTE(SUBSTITUTE(SUBSTITUTE(SUBSTITUTE(SUBSTITUTE(SUBSTITUTE(SUBSTITUTE(SUBSTITUTE(SUBSTITUTE(LOWER(TRIM(D196)),"ё","е"),"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категории","")))),IF(TRIM(SUBSTITUTE(SUBSTITUTE(SUBSTITUTE(SUBSTITUTE(SUBSTITUTE(SUBSTITUTE(SUBSTITUTE(SUBSTITUTE(SUBSTITUTE(SUBSTITUTE(SUBSTITUTE(LOWER(TRIM(D196)),"ё","е")," -","-"),"- ","-")," 2 разряда","")," 3 разряда","")," 4 разряда","")," 5 разряда","")," 6 разряда","")," 1 категории","")," 2 категории","")," 3 категории",""))="ведущий инженер",IF(ISNUMBER(SEARCH("диспетч",E196)),"ведущий инженер пдо",TRIM(SUBSTITUTE(SUBSTITUTE(SUBSTITUTE(SUBSTITUTE(SUBSTITUTE(SUBSTITUTE(SUBSTITUTE(SUBSTITUTE(SUBSTITUTE(SUBSTITUTE(SUBSTITUTE(LOWER(TRIM(D196)),"ё","е"),"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отк",TRIM(SUBSTITUTE(SUBSTITUTE(SUBSTITUTE(SUBSTITUTE(SUBSTITUTE(SUBSTITUTE(SUBSTITUTE(SUBSTITUTE(SUBSTITUTE(SUBSTITUTE(SUBSTITUTE(LOWER(TRIM(D196)),"ё","е")," -","-"),"- ","-")," 2 разряда","")," 3 разряда","")," 4 разряда","")," 5 разряда","")," 6 разряда","")," 1 категории","")," 2 категории","")," 3 категории","")))))</f>
        <v>рабочий по комплексному обслуживанию и ремонту зданий</v>
      </c>
      <c r="H196" s="11" t="n">
        <f aca="false">IFERROR(INDEX(Соответствие!$B$2:$B$76,MATCH(G196,Соответствие!$A$2:$A$76,0)),"?")</f>
        <v>1</v>
      </c>
      <c r="I196" s="8" t="str">
        <f aca="false">IFERROR(INDEX('Перечень должностей'!$C$2:$C$46,MATCH(H196,'Перечень должностей'!$A$2:$A$46,0)),"")</f>
        <v>п.4.3.1, п.4.4, п.4.7, п.4.8, п.5.1, п.6.1</v>
      </c>
      <c r="J196" s="11" t="n">
        <f aca="false">IFERROR(INDEX('Перечень должностей'!$D$2:$D$46,MATCH(H196,'Перечень должностей'!$A$2:$A$46,0)),12)</f>
        <v>12</v>
      </c>
      <c r="K196" s="16"/>
      <c r="L196" s="16"/>
      <c r="M196" s="15" t="str">
        <f aca="false">IF(K196="","",EDATE(IF(L196&lt;&gt;"",L196,K196),J196))</f>
        <v/>
      </c>
      <c r="N196" s="11" t="str">
        <f aca="false">IFERROR(INDEX('Перечень должностей'!$F$2:$F$46,MATCH(H196,'Перечень должностей'!$A$2:$A$46,0)),"")</f>
        <v>-</v>
      </c>
      <c r="O196" s="16"/>
      <c r="P196" s="15" t="str">
        <f aca="false">IF(O196="","",EDATE(O196,60))</f>
        <v/>
      </c>
      <c r="Q196" s="11" t="str">
        <f aca="false">IF(AND(K196&lt;&gt;"",F196&lt;&gt;"",K196&gt;F196),"ДА","")</f>
        <v/>
      </c>
      <c r="R196" s="8"/>
    </row>
    <row r="197" customFormat="false" ht="39" hidden="false" customHeight="true" outlineLevel="0" collapsed="false">
      <c r="A197" s="14" t="n">
        <v>196</v>
      </c>
      <c r="B197" s="11" t="s">
        <v>50</v>
      </c>
      <c r="C197" s="14" t="s">
        <v>600</v>
      </c>
      <c r="D197" s="14" t="s">
        <v>371</v>
      </c>
      <c r="E197" s="14" t="s">
        <v>601</v>
      </c>
      <c r="F197" s="15" t="n">
        <v>45943</v>
      </c>
      <c r="G197" s="4" t="str">
        <f aca="false">IF(TRIM(SUBSTITUTE(SUBSTITUTE(SUBSTITUTE(SUBSTITUTE(SUBSTITUTE(SUBSTITUTE(SUBSTITUTE(SUBSTITUTE(SUBSTITUTE(SUBSTITUTE(SUBSTITUTE(LOWER(TRIM(D197)),"ё","е")," -","-"),"- ","-")," 2 разряда","")," 3 разряда","")," 4 разряда","")," 5 разряда","")," 6 разряда","")," 1 категории","")," 2 категории","")," 3 категории",""))="инженер",IF(AND(ISNUMBER(SEARCH("техническ",E197)),ISNUMBER(SEARCH("контрол",E197))),"инженер отк",IF(ISNUMBER(SEARCH("диспетч",E197)),"инженер пдо",TRIM(SUBSTITUTE(SUBSTITUTE(SUBSTITUTE(SUBSTITUTE(SUBSTITUTE(SUBSTITUTE(SUBSTITUTE(SUBSTITUTE(SUBSTITUTE(SUBSTITUTE(SUBSTITUTE(LOWER(TRIM(D197)),"ё","е"),"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категории","")))),IF(TRIM(SUBSTITUTE(SUBSTITUTE(SUBSTITUTE(SUBSTITUTE(SUBSTITUTE(SUBSTITUTE(SUBSTITUTE(SUBSTITUTE(SUBSTITUTE(SUBSTITUTE(SUBSTITUTE(LOWER(TRIM(D197)),"ё","е")," -","-"),"- ","-")," 2 разряда","")," 3 разряда","")," 4 разряда","")," 5 разряда","")," 6 разряда","")," 1 категории","")," 2 категории","")," 3 категории",""))="ведущий инженер",IF(ISNUMBER(SEARCH("диспетч",E197)),"ведущий инженер пдо",TRIM(SUBSTITUTE(SUBSTITUTE(SUBSTITUTE(SUBSTITUTE(SUBSTITUTE(SUBSTITUTE(SUBSTITUTE(SUBSTITUTE(SUBSTITUTE(SUBSTITUTE(SUBSTITUTE(LOWER(TRIM(D197)),"ё","е"),"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отк",TRIM(SUBSTITUTE(SUBSTITUTE(SUBSTITUTE(SUBSTITUTE(SUBSTITUTE(SUBSTITUTE(SUBSTITUTE(SUBSTITUTE(SUBSTITUTE(SUBSTITUTE(SUBSTITUTE(LOWER(TRIM(D197)),"ё","е")," -","-"),"- ","-")," 2 разряда","")," 3 разряда","")," 4 разряда","")," 5 разряда","")," 6 разряда","")," 1 категории","")," 2 категории","")," 3 категории","")))))</f>
        <v>инженер отк</v>
      </c>
      <c r="H197" s="11" t="n">
        <f aca="false">IFERROR(INDEX(Соответствие!$B$2:$B$76,MATCH(G197,Соответствие!$A$2:$A$76,0)),"?")</f>
        <v>13</v>
      </c>
      <c r="I197" s="8" t="str">
        <f aca="false">IFERROR(INDEX('Перечень должностей'!$C$2:$C$46,MATCH(H197,'Перечень должностей'!$A$2:$A$46,0)),"")</f>
        <v>п.4.4, п.5.1, п.5.2</v>
      </c>
      <c r="J197" s="11" t="n">
        <f aca="false">IFERROR(INDEX('Перечень должностей'!$D$2:$D$46,MATCH(H197,'Перечень должностей'!$A$2:$A$46,0)),12)</f>
        <v>12</v>
      </c>
      <c r="K197" s="16"/>
      <c r="L197" s="16"/>
      <c r="M197" s="15" t="str">
        <f aca="false">IF(K197="","",EDATE(IF(L197&lt;&gt;"",L197,K197),J197))</f>
        <v/>
      </c>
      <c r="N197" s="11" t="str">
        <f aca="false">IFERROR(INDEX('Перечень должностей'!$F$2:$F$46,MATCH(H197,'Перечень должностей'!$A$2:$A$46,0)),"")</f>
        <v>-</v>
      </c>
      <c r="O197" s="16"/>
      <c r="P197" s="15" t="str">
        <f aca="false">IF(O197="","",EDATE(O197,60))</f>
        <v/>
      </c>
      <c r="Q197" s="11" t="str">
        <f aca="false">IF(AND(K197&lt;&gt;"",F197&lt;&gt;"",K197&gt;F197),"ДА","")</f>
        <v/>
      </c>
      <c r="R197" s="8"/>
    </row>
    <row r="198" customFormat="false" ht="26.25" hidden="false" customHeight="true" outlineLevel="0" collapsed="false">
      <c r="A198" s="14" t="n">
        <v>197</v>
      </c>
      <c r="B198" s="11" t="s">
        <v>50</v>
      </c>
      <c r="C198" s="14" t="s">
        <v>602</v>
      </c>
      <c r="D198" s="14" t="s">
        <v>381</v>
      </c>
      <c r="E198" s="14" t="s">
        <v>601</v>
      </c>
      <c r="F198" s="15" t="n">
        <v>46077</v>
      </c>
      <c r="G198" s="4" t="str">
        <f aca="false">IF(TRIM(SUBSTITUTE(SUBSTITUTE(SUBSTITUTE(SUBSTITUTE(SUBSTITUTE(SUBSTITUTE(SUBSTITUTE(SUBSTITUTE(SUBSTITUTE(SUBSTITUTE(SUBSTITUTE(LOWER(TRIM(D198)),"ё","е")," -","-"),"- ","-")," 2 разряда","")," 3 разряда","")," 4 разряда","")," 5 разряда","")," 6 разряда","")," 1 категории","")," 2 категории","")," 3 категории",""))="инженер",IF(AND(ISNUMBER(SEARCH("техническ",E198)),ISNUMBER(SEARCH("контрол",E198))),"инженер отк",IF(ISNUMBER(SEARCH("диспетч",E198)),"инженер пдо",TRIM(SUBSTITUTE(SUBSTITUTE(SUBSTITUTE(SUBSTITUTE(SUBSTITUTE(SUBSTITUTE(SUBSTITUTE(SUBSTITUTE(SUBSTITUTE(SUBSTITUTE(SUBSTITUTE(LOWER(TRIM(D198)),"ё","е"),"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категории","")))),IF(TRIM(SUBSTITUTE(SUBSTITUTE(SUBSTITUTE(SUBSTITUTE(SUBSTITUTE(SUBSTITUTE(SUBSTITUTE(SUBSTITUTE(SUBSTITUTE(SUBSTITUTE(SUBSTITUTE(LOWER(TRIM(D198)),"ё","е")," -","-"),"- ","-")," 2 разряда","")," 3 разряда","")," 4 разряда","")," 5 разряда","")," 6 разряда","")," 1 категории","")," 2 категории","")," 3 категории",""))="ведущий инженер",IF(ISNUMBER(SEARCH("диспетч",E198)),"ведущий инженер пдо",TRIM(SUBSTITUTE(SUBSTITUTE(SUBSTITUTE(SUBSTITUTE(SUBSTITUTE(SUBSTITUTE(SUBSTITUTE(SUBSTITUTE(SUBSTITUTE(SUBSTITUTE(SUBSTITUTE(LOWER(TRIM(D198)),"ё","е"),"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отк",TRIM(SUBSTITUTE(SUBSTITUTE(SUBSTITUTE(SUBSTITUTE(SUBSTITUTE(SUBSTITUTE(SUBSTITUTE(SUBSTITUTE(SUBSTITUTE(SUBSTITUTE(SUBSTITUTE(LOWER(TRIM(D198)),"ё","е")," -","-"),"- ","-")," 2 разряда","")," 3 разряда","")," 4 разряда","")," 5 разряда","")," 6 разряда","")," 1 категории","")," 2 категории","")," 3 категории","")))))</f>
        <v>контролер отк</v>
      </c>
      <c r="H198" s="11" t="n">
        <f aca="false">IFERROR(INDEX(Соответствие!$B$2:$B$76,MATCH(G198,Соответствие!$A$2:$A$76,0)),"?")</f>
        <v>13</v>
      </c>
      <c r="I198" s="8" t="str">
        <f aca="false">IFERROR(INDEX('Перечень должностей'!$C$2:$C$46,MATCH(H198,'Перечень должностей'!$A$2:$A$46,0)),"")</f>
        <v>п.4.4, п.5.1, п.5.2</v>
      </c>
      <c r="J198" s="11" t="n">
        <f aca="false">IFERROR(INDEX('Перечень должностей'!$D$2:$D$46,MATCH(H198,'Перечень должностей'!$A$2:$A$46,0)),12)</f>
        <v>12</v>
      </c>
      <c r="K198" s="16"/>
      <c r="L198" s="16"/>
      <c r="M198" s="15" t="str">
        <f aca="false">IF(K198="","",EDATE(IF(L198&lt;&gt;"",L198,K198),J198))</f>
        <v/>
      </c>
      <c r="N198" s="11" t="str">
        <f aca="false">IFERROR(INDEX('Перечень должностей'!$F$2:$F$46,MATCH(H198,'Перечень должностей'!$A$2:$A$46,0)),"")</f>
        <v>-</v>
      </c>
      <c r="O198" s="16"/>
      <c r="P198" s="15" t="str">
        <f aca="false">IF(O198="","",EDATE(O198,60))</f>
        <v/>
      </c>
      <c r="Q198" s="11" t="str">
        <f aca="false">IF(AND(K198&lt;&gt;"",F198&lt;&gt;"",K198&gt;F198),"ДА","")</f>
        <v/>
      </c>
      <c r="R198" s="8"/>
    </row>
    <row r="199" customFormat="false" ht="14.25" hidden="false" customHeight="false" outlineLevel="0" collapsed="false">
      <c r="A199" s="14" t="n">
        <v>198</v>
      </c>
      <c r="B199" s="11" t="s">
        <v>50</v>
      </c>
      <c r="C199" s="14" t="s">
        <v>603</v>
      </c>
      <c r="D199" s="14" t="s">
        <v>381</v>
      </c>
      <c r="E199" s="14" t="s">
        <v>601</v>
      </c>
      <c r="F199" s="15" t="n">
        <v>46097</v>
      </c>
      <c r="G199" s="4" t="str">
        <f aca="false">IF(TRIM(SUBSTITUTE(SUBSTITUTE(SUBSTITUTE(SUBSTITUTE(SUBSTITUTE(SUBSTITUTE(SUBSTITUTE(SUBSTITUTE(SUBSTITUTE(SUBSTITUTE(SUBSTITUTE(LOWER(TRIM(D199)),"ё","е")," -","-"),"- ","-")," 2 разряда","")," 3 разряда","")," 4 разряда","")," 5 разряда","")," 6 разряда","")," 1 категории","")," 2 категории","")," 3 категории",""))="инженер",IF(AND(ISNUMBER(SEARCH("техническ",E199)),ISNUMBER(SEARCH("контрол",E199))),"инженер отк",IF(ISNUMBER(SEARCH("диспетч",E199)),"инженер пдо",TRIM(SUBSTITUTE(SUBSTITUTE(SUBSTITUTE(SUBSTITUTE(SUBSTITUTE(SUBSTITUTE(SUBSTITUTE(SUBSTITUTE(SUBSTITUTE(SUBSTITUTE(SUBSTITUTE(LOWER(TRIM(D199)),"ё","е"),"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категории","")))),IF(TRIM(SUBSTITUTE(SUBSTITUTE(SUBSTITUTE(SUBSTITUTE(SUBSTITUTE(SUBSTITUTE(SUBSTITUTE(SUBSTITUTE(SUBSTITUTE(SUBSTITUTE(SUBSTITUTE(LOWER(TRIM(D199)),"ё","е")," -","-"),"- ","-")," 2 разряда","")," 3 разряда","")," 4 разряда","")," 5 разряда","")," 6 разряда","")," 1 категории","")," 2 категории","")," 3 категории",""))="ведущий инженер",IF(ISNUMBER(SEARCH("диспетч",E199)),"ведущий инженер пдо",TRIM(SUBSTITUTE(SUBSTITUTE(SUBSTITUTE(SUBSTITUTE(SUBSTITUTE(SUBSTITUTE(SUBSTITUTE(SUBSTITUTE(SUBSTITUTE(SUBSTITUTE(SUBSTITUTE(LOWER(TRIM(D199)),"ё","е"),"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категории",""))),IF(TRIM(SUBSTITUTE(SUBSTITUTE(SUBSTITUTE(SUBSTITUTE(SUBSTITUTE(SUBSTITUTE(SUBSTITUTE(SUBSTITUTE(SUBSTITUTE(SUBSTITUTE(SUBSTITUTE(LOWER(TRIM(D199)),"ё","е"),"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отк",TRIM(SUBSTITUTE(SUBSTITUTE(SUBSTITUTE(SUBSTITUTE(SUBSTITUTE(SUBSTITUTE(SUBSTITUTE(SUBSTITUTE(SUBSTITUTE(SUBSTITUTE(SUBSTITUTE(LOWER(TRIM(D199)),"ё","е")," -","-"),"- ","-")," 2 разряда","")," 3 разряда","")," 4 разряда","")," 5 разряда","")," 6 разряда","")," 1 категории","")," 2 категории","")," 3 категории","")))))</f>
        <v>контролер отк</v>
      </c>
      <c r="H199" s="11" t="n">
        <f aca="false">IFERROR(INDEX(Соответствие!$B$2:$B$76,MATCH(G199,Соответствие!$A$2:$A$76,0)),"?")</f>
        <v>13</v>
      </c>
      <c r="I199" s="8" t="str">
        <f aca="false">IFERROR(INDEX('Перечень должностей'!$C$2:$C$46,MATCH(H199,'Перечень должностей'!$A$2:$A$46,0)),"")</f>
        <v>п.4.4, п.5.1, п.5.2</v>
      </c>
      <c r="J199" s="11" t="n">
        <f aca="false">IFERROR(INDEX('Перечень должностей'!$D$2:$D$46,MATCH(H199,'Перечень должностей'!$A$2:$A$46,0)),12)</f>
        <v>12</v>
      </c>
      <c r="K199" s="16"/>
      <c r="L199" s="16"/>
      <c r="M199" s="15" t="str">
        <f aca="false">IF(K199="","",EDATE(IF(L199&lt;&gt;"",L199,K199),J199))</f>
        <v/>
      </c>
      <c r="N199" s="11" t="str">
        <f aca="false">IFERROR(INDEX('Перечень должностей'!$F$2:$F$46,MATCH(H199,'Перечень должностей'!$A$2:$A$46,0)),"")</f>
        <v>-</v>
      </c>
      <c r="O199" s="16"/>
      <c r="P199" s="15" t="str">
        <f aca="false">IF(O199="","",EDATE(O199,60))</f>
        <v/>
      </c>
      <c r="Q199" s="11" t="str">
        <f aca="false">IF(AND(K199&lt;&gt;"",F199&lt;&gt;"",K199&gt;F199),"ДА","")</f>
        <v/>
      </c>
      <c r="R199" s="8"/>
    </row>
    <row r="200" customFormat="false" ht="23.85" hidden="false" customHeight="false" outlineLevel="0" collapsed="false">
      <c r="A200" s="14" t="n">
        <v>199</v>
      </c>
      <c r="B200" s="11" t="s">
        <v>50</v>
      </c>
      <c r="C200" s="14" t="s">
        <v>604</v>
      </c>
      <c r="D200" s="14" t="s">
        <v>272</v>
      </c>
      <c r="E200" s="14" t="s">
        <v>605</v>
      </c>
      <c r="F200" s="15" t="n">
        <v>43040</v>
      </c>
      <c r="G200" s="4" t="str">
        <f aca="false">IF(TRIM(SUBSTITUTE(SUBSTITUTE(SUBSTITUTE(SUBSTITUTE(SUBSTITUTE(SUBSTITUTE(SUBSTITUTE(SUBSTITUTE(SUBSTITUTE(SUBSTITUTE(SUBSTITUTE(LOWER(TRIM(D200)),"ё","е")," -","-"),"- ","-")," 2 разряда","")," 3 разряда","")," 4 разряда","")," 5 разряда","")," 6 разряда","")," 1 категории","")," 2 категории","")," 3 категории",""))="инженер",IF(AND(ISNUMBER(SEARCH("техническ",E200)),ISNUMBER(SEARCH("контрол",E200))),"инженер отк",IF(ISNUMBER(SEARCH("диспетч",E200)),"инженер пдо",TRIM(SUBSTITUTE(SUBSTITUTE(SUBSTITUTE(SUBSTITUTE(SUBSTITUTE(SUBSTITUTE(SUBSTITUTE(SUBSTITUTE(SUBSTITUTE(SUBSTITUTE(SUBSTITUTE(LOWER(TRIM(D200)),"ё","е"),"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категории","")))),IF(TRIM(SUBSTITUTE(SUBSTITUTE(SUBSTITUTE(SUBSTITUTE(SUBSTITUTE(SUBSTITUTE(SUBSTITUTE(SUBSTITUTE(SUBSTITUTE(SUBSTITUTE(SUBSTITUTE(LOWER(TRIM(D200)),"ё","е")," -","-"),"- ","-")," 2 разряда","")," 3 разряда","")," 4 разряда","")," 5 разряда","")," 6 разряда","")," 1 категории","")," 2 категории","")," 3 категории",""))="ведущий инженер",IF(ISNUMBER(SEARCH("диспетч",E200)),"ведущий инженер пдо",TRIM(SUBSTITUTE(SUBSTITUTE(SUBSTITUTE(SUBSTITUTE(SUBSTITUTE(SUBSTITUTE(SUBSTITUTE(SUBSTITUTE(SUBSTITUTE(SUBSTITUTE(SUBSTITUTE(LOWER(TRIM(D200)),"ё","е"),"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отк",TRIM(SUBSTITUTE(SUBSTITUTE(SUBSTITUTE(SUBSTITUTE(SUBSTITUTE(SUBSTITUTE(SUBSTITUTE(SUBSTITUTE(SUBSTITUTE(SUBSTITUTE(SUBSTITUTE(LOWER(TRIM(D200)),"ё","е")," -","-"),"- ","-")," 2 разряда","")," 3 разряда","")," 4 разряда","")," 5 разряда","")," 6 разряда","")," 1 категории","")," 2 категории","")," 3 категории","")))))</f>
        <v>механик</v>
      </c>
      <c r="H200" s="11" t="n">
        <f aca="false">IFERROR(INDEX(Соответствие!$B$2:$B$76,MATCH(G200,Соответствие!$A$2:$A$76,0)),"?")</f>
        <v>3</v>
      </c>
      <c r="I200" s="8" t="str">
        <f aca="false">IFERROR(INDEX('Перечень должностей'!$C$2:$C$46,MATCH(H200,'Перечень должностей'!$A$2:$A$46,0)),"")</f>
        <v>п.1.50, п.4.3.2, п.4.4, п.4.7, п.4.8, п.5.1, п.5.2, п.6.2, п.15</v>
      </c>
      <c r="J200" s="11" t="n">
        <f aca="false">IFERROR(INDEX('Перечень должностей'!$D$2:$D$46,MATCH(H200,'Перечень должностей'!$A$2:$A$46,0)),12)</f>
        <v>12</v>
      </c>
      <c r="K200" s="16"/>
      <c r="L200" s="16"/>
      <c r="M200" s="15" t="str">
        <f aca="false">IF(K200="","",EDATE(IF(L200&lt;&gt;"",L200,K200),J200))</f>
        <v/>
      </c>
      <c r="N200" s="11" t="str">
        <f aca="false">IFERROR(INDEX('Перечень должностей'!$F$2:$F$46,MATCH(H200,'Перечень должностей'!$A$2:$A$46,0)),"")</f>
        <v>-</v>
      </c>
      <c r="O200" s="16"/>
      <c r="P200" s="15" t="str">
        <f aca="false">IF(O200="","",EDATE(O200,60))</f>
        <v/>
      </c>
      <c r="Q200" s="11" t="str">
        <f aca="false">IF(AND(K200&lt;&gt;"",F200&lt;&gt;"",K200&gt;F200),"ДА","")</f>
        <v/>
      </c>
      <c r="R200" s="8"/>
    </row>
    <row r="201" customFormat="false" ht="23.85" hidden="false" customHeight="false" outlineLevel="0" collapsed="false">
      <c r="A201" s="14" t="n">
        <v>200</v>
      </c>
      <c r="B201" s="11" t="s">
        <v>50</v>
      </c>
      <c r="C201" s="14" t="s">
        <v>606</v>
      </c>
      <c r="D201" s="14" t="s">
        <v>598</v>
      </c>
      <c r="E201" s="14" t="s">
        <v>605</v>
      </c>
      <c r="F201" s="15" t="n">
        <v>46080</v>
      </c>
      <c r="G201" s="4" t="str">
        <f aca="false">IF(TRIM(SUBSTITUTE(SUBSTITUTE(SUBSTITUTE(SUBSTITUTE(SUBSTITUTE(SUBSTITUTE(SUBSTITUTE(SUBSTITUTE(SUBSTITUTE(SUBSTITUTE(SUBSTITUTE(LOWER(TRIM(D201)),"ё","е")," -","-"),"- ","-")," 2 разряда","")," 3 разряда","")," 4 разряда","")," 5 разряда","")," 6 разряда","")," 1 категории","")," 2 категории","")," 3 категории",""))="инженер",IF(AND(ISNUMBER(SEARCH("техническ",E201)),ISNUMBER(SEARCH("контрол",E201))),"инженер отк",IF(ISNUMBER(SEARCH("диспетч",E201)),"инженер пдо",TRIM(SUBSTITUTE(SUBSTITUTE(SUBSTITUTE(SUBSTITUTE(SUBSTITUTE(SUBSTITUTE(SUBSTITUTE(SUBSTITUTE(SUBSTITUTE(SUBSTITUTE(SUBSTITUTE(LOWER(TRIM(D201)),"ё","е"),"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категории","")))),IF(TRIM(SUBSTITUTE(SUBSTITUTE(SUBSTITUTE(SUBSTITUTE(SUBSTITUTE(SUBSTITUTE(SUBSTITUTE(SUBSTITUTE(SUBSTITUTE(SUBSTITUTE(SUBSTITUTE(LOWER(TRIM(D201)),"ё","е")," -","-"),"- ","-")," 2 разряда","")," 3 разряда","")," 4 разряда","")," 5 разряда","")," 6 разряда","")," 1 категории","")," 2 категории","")," 3 категории",""))="ведущий инженер",IF(ISNUMBER(SEARCH("диспетч",E201)),"ведущий инженер пдо",TRIM(SUBSTITUTE(SUBSTITUTE(SUBSTITUTE(SUBSTITUTE(SUBSTITUTE(SUBSTITUTE(SUBSTITUTE(SUBSTITUTE(SUBSTITUTE(SUBSTITUTE(SUBSTITUTE(LOWER(TRIM(D201)),"ё","е"),"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отк",TRIM(SUBSTITUTE(SUBSTITUTE(SUBSTITUTE(SUBSTITUTE(SUBSTITUTE(SUBSTITUTE(SUBSTITUTE(SUBSTITUTE(SUBSTITUTE(SUBSTITUTE(SUBSTITUTE(LOWER(TRIM(D201)),"ё","е")," -","-"),"- ","-")," 2 разряда","")," 3 разряда","")," 4 разряда","")," 5 разряда","")," 6 разряда","")," 1 категории","")," 2 категории","")," 3 категории","")))))</f>
        <v>рабочий по комплексному обслуживанию и ремонту зданий</v>
      </c>
      <c r="H201" s="11" t="n">
        <f aca="false">IFERROR(INDEX(Соответствие!$B$2:$B$76,MATCH(G201,Соответствие!$A$2:$A$76,0)),"?")</f>
        <v>1</v>
      </c>
      <c r="I201" s="8" t="str">
        <f aca="false">IFERROR(INDEX('Перечень должностей'!$C$2:$C$46,MATCH(H201,'Перечень должностей'!$A$2:$A$46,0)),"")</f>
        <v>п.4.3.1, п.4.4, п.4.7, п.4.8, п.5.1, п.6.1</v>
      </c>
      <c r="J201" s="11" t="n">
        <f aca="false">IFERROR(INDEX('Перечень должностей'!$D$2:$D$46,MATCH(H201,'Перечень должностей'!$A$2:$A$46,0)),12)</f>
        <v>12</v>
      </c>
      <c r="K201" s="16"/>
      <c r="L201" s="16"/>
      <c r="M201" s="15" t="str">
        <f aca="false">IF(K201="","",EDATE(IF(L201&lt;&gt;"",L201,K201),J201))</f>
        <v/>
      </c>
      <c r="N201" s="11" t="str">
        <f aca="false">IFERROR(INDEX('Перечень должностей'!$F$2:$F$46,MATCH(H201,'Перечень должностей'!$A$2:$A$46,0)),"")</f>
        <v>-</v>
      </c>
      <c r="O201" s="16"/>
      <c r="P201" s="15" t="str">
        <f aca="false">IF(O201="","",EDATE(O201,60))</f>
        <v/>
      </c>
      <c r="Q201" s="11" t="str">
        <f aca="false">IF(AND(K201&lt;&gt;"",F201&lt;&gt;"",K201&gt;F201),"ДА","")</f>
        <v/>
      </c>
      <c r="R201" s="8"/>
    </row>
    <row r="202" customFormat="false" ht="26.25" hidden="false" customHeight="true" outlineLevel="0" collapsed="false">
      <c r="A202" s="14" t="n">
        <v>201</v>
      </c>
      <c r="B202" s="11" t="s">
        <v>50</v>
      </c>
      <c r="C202" s="14" t="s">
        <v>607</v>
      </c>
      <c r="D202" s="14" t="s">
        <v>598</v>
      </c>
      <c r="E202" s="14" t="s">
        <v>605</v>
      </c>
      <c r="F202" s="15" t="n">
        <v>46111</v>
      </c>
      <c r="G202" s="4" t="str">
        <f aca="false">IF(TRIM(SUBSTITUTE(SUBSTITUTE(SUBSTITUTE(SUBSTITUTE(SUBSTITUTE(SUBSTITUTE(SUBSTITUTE(SUBSTITUTE(SUBSTITUTE(SUBSTITUTE(SUBSTITUTE(LOWER(TRIM(D202)),"ё","е")," -","-"),"- ","-")," 2 разряда","")," 3 разряда","")," 4 разряда","")," 5 разряда","")," 6 разряда","")," 1 категории","")," 2 категории","")," 3 категории",""))="инженер",IF(AND(ISNUMBER(SEARCH("техническ",E202)),ISNUMBER(SEARCH("контрол",E202))),"инженер отк",IF(ISNUMBER(SEARCH("диспетч",E202)),"инженер пдо",TRIM(SUBSTITUTE(SUBSTITUTE(SUBSTITUTE(SUBSTITUTE(SUBSTITUTE(SUBSTITUTE(SUBSTITUTE(SUBSTITUTE(SUBSTITUTE(SUBSTITUTE(SUBSTITUTE(LOWER(TRIM(D202)),"ё","е"),"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категории","")))),IF(TRIM(SUBSTITUTE(SUBSTITUTE(SUBSTITUTE(SUBSTITUTE(SUBSTITUTE(SUBSTITUTE(SUBSTITUTE(SUBSTITUTE(SUBSTITUTE(SUBSTITUTE(SUBSTITUTE(LOWER(TRIM(D202)),"ё","е")," -","-"),"- ","-")," 2 разряда","")," 3 разряда","")," 4 разряда","")," 5 разряда","")," 6 разряда","")," 1 категории","")," 2 категории","")," 3 категории",""))="ведущий инженер",IF(ISNUMBER(SEARCH("диспетч",E202)),"ведущий инженер пдо",TRIM(SUBSTITUTE(SUBSTITUTE(SUBSTITUTE(SUBSTITUTE(SUBSTITUTE(SUBSTITUTE(SUBSTITUTE(SUBSTITUTE(SUBSTITUTE(SUBSTITUTE(SUBSTITUTE(LOWER(TRIM(D202)),"ё","е"),"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отк",TRIM(SUBSTITUTE(SUBSTITUTE(SUBSTITUTE(SUBSTITUTE(SUBSTITUTE(SUBSTITUTE(SUBSTITUTE(SUBSTITUTE(SUBSTITUTE(SUBSTITUTE(SUBSTITUTE(LOWER(TRIM(D202)),"ё","е")," -","-"),"- ","-")," 2 разряда","")," 3 разряда","")," 4 разряда","")," 5 разряда","")," 6 разряда","")," 1 категории","")," 2 категории","")," 3 категории","")))))</f>
        <v>рабочий по комплексному обслуживанию и ремонту зданий</v>
      </c>
      <c r="H202" s="11" t="n">
        <f aca="false">IFERROR(INDEX(Соответствие!$B$2:$B$76,MATCH(G202,Соответствие!$A$2:$A$76,0)),"?")</f>
        <v>1</v>
      </c>
      <c r="I202" s="8" t="str">
        <f aca="false">IFERROR(INDEX('Перечень должностей'!$C$2:$C$46,MATCH(H202,'Перечень должностей'!$A$2:$A$46,0)),"")</f>
        <v>п.4.3.1, п.4.4, п.4.7, п.4.8, п.5.1, п.6.1</v>
      </c>
      <c r="J202" s="11" t="n">
        <f aca="false">IFERROR(INDEX('Перечень должностей'!$D$2:$D$46,MATCH(H202,'Перечень должностей'!$A$2:$A$46,0)),12)</f>
        <v>12</v>
      </c>
      <c r="K202" s="16"/>
      <c r="L202" s="16"/>
      <c r="M202" s="15" t="str">
        <f aca="false">IF(K202="","",EDATE(IF(L202&lt;&gt;"",L202,K202),J202))</f>
        <v/>
      </c>
      <c r="N202" s="11" t="str">
        <f aca="false">IFERROR(INDEX('Перечень должностей'!$F$2:$F$46,MATCH(H202,'Перечень должностей'!$A$2:$A$46,0)),"")</f>
        <v>-</v>
      </c>
      <c r="O202" s="16"/>
      <c r="P202" s="15" t="str">
        <f aca="false">IF(O202="","",EDATE(O202,60))</f>
        <v/>
      </c>
      <c r="Q202" s="11" t="str">
        <f aca="false">IF(AND(K202&lt;&gt;"",F202&lt;&gt;"",K202&gt;F202),"ДА","")</f>
        <v/>
      </c>
      <c r="R202" s="8"/>
    </row>
    <row r="203" customFormat="false" ht="26.25" hidden="false" customHeight="true" outlineLevel="0" collapsed="false">
      <c r="A203" s="14" t="n">
        <v>202</v>
      </c>
      <c r="B203" s="11" t="s">
        <v>50</v>
      </c>
      <c r="C203" s="14" t="s">
        <v>608</v>
      </c>
      <c r="D203" s="14" t="s">
        <v>283</v>
      </c>
      <c r="E203" s="14" t="s">
        <v>605</v>
      </c>
      <c r="F203" s="15" t="n">
        <v>46064</v>
      </c>
      <c r="G203" s="4" t="str">
        <f aca="false">IF(TRIM(SUBSTITUTE(SUBSTITUTE(SUBSTITUTE(SUBSTITUTE(SUBSTITUTE(SUBSTITUTE(SUBSTITUTE(SUBSTITUTE(SUBSTITUTE(SUBSTITUTE(SUBSTITUTE(LOWER(TRIM(D203)),"ё","е")," -","-"),"- ","-")," 2 разряда","")," 3 разряда","")," 4 разряда","")," 5 разряда","")," 6 разряда","")," 1 категории","")," 2 категории","")," 3 категории",""))="инженер",IF(AND(ISNUMBER(SEARCH("техническ",E203)),ISNUMBER(SEARCH("контрол",E203))),"инженер отк",IF(ISNUMBER(SEARCH("диспетч",E203)),"инженер пдо",TRIM(SUBSTITUTE(SUBSTITUTE(SUBSTITUTE(SUBSTITUTE(SUBSTITUTE(SUBSTITUTE(SUBSTITUTE(SUBSTITUTE(SUBSTITUTE(SUBSTITUTE(SUBSTITUTE(LOWER(TRIM(D203)),"ё","е"),"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категории","")))),IF(TRIM(SUBSTITUTE(SUBSTITUTE(SUBSTITUTE(SUBSTITUTE(SUBSTITUTE(SUBSTITUTE(SUBSTITUTE(SUBSTITUTE(SUBSTITUTE(SUBSTITUTE(SUBSTITUTE(LOWER(TRIM(D203)),"ё","е")," -","-"),"- ","-")," 2 разряда","")," 3 разряда","")," 4 разряда","")," 5 разряда","")," 6 разряда","")," 1 категории","")," 2 категории","")," 3 категории",""))="ведущий инженер",IF(ISNUMBER(SEARCH("диспетч",E203)),"ведущий инженер пдо",TRIM(SUBSTITUTE(SUBSTITUTE(SUBSTITUTE(SUBSTITUTE(SUBSTITUTE(SUBSTITUTE(SUBSTITUTE(SUBSTITUTE(SUBSTITUTE(SUBSTITUTE(SUBSTITUTE(LOWER(TRIM(D203)),"ё","е"),"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отк",TRIM(SUBSTITUTE(SUBSTITUTE(SUBSTITUTE(SUBSTITUTE(SUBSTITUTE(SUBSTITUTE(SUBSTITUTE(SUBSTITUTE(SUBSTITUTE(SUBSTITUTE(SUBSTITUTE(LOWER(TRIM(D203)),"ё","е")," -","-"),"- ","-")," 2 разряда","")," 3 разряда","")," 4 разряда","")," 5 разряда","")," 6 разряда","")," 1 категории","")," 2 категории","")," 3 категории","")))))</f>
        <v>разнорабочий</v>
      </c>
      <c r="H203" s="11" t="n">
        <f aca="false">IFERROR(INDEX(Соответствие!$B$2:$B$76,MATCH(G203,Соответствие!$A$2:$A$76,0)),"?")</f>
        <v>7</v>
      </c>
      <c r="I203" s="8" t="str">
        <f aca="false">IFERROR(INDEX('Перечень должностей'!$C$2:$C$46,MATCH(H203,'Перечень должностей'!$A$2:$A$46,0)),"")</f>
        <v>п.4.3.1, п.4.4, п.4.7, п.4.8, п.5.1, п.6.1</v>
      </c>
      <c r="J203" s="11" t="n">
        <f aca="false">IFERROR(INDEX('Перечень должностей'!$D$2:$D$46,MATCH(H203,'Перечень должностей'!$A$2:$A$46,0)),12)</f>
        <v>12</v>
      </c>
      <c r="K203" s="16"/>
      <c r="L203" s="16"/>
      <c r="M203" s="15" t="str">
        <f aca="false">IF(K203="","",EDATE(IF(L203&lt;&gt;"",L203,K203),J203))</f>
        <v/>
      </c>
      <c r="N203" s="11" t="str">
        <f aca="false">IFERROR(INDEX('Перечень должностей'!$F$2:$F$46,MATCH(H203,'Перечень должностей'!$A$2:$A$46,0)),"")</f>
        <v>-</v>
      </c>
      <c r="O203" s="16"/>
      <c r="P203" s="15" t="str">
        <f aca="false">IF(O203="","",EDATE(O203,60))</f>
        <v/>
      </c>
      <c r="Q203" s="11" t="str">
        <f aca="false">IF(AND(K203&lt;&gt;"",F203&lt;&gt;"",K203&gt;F203),"ДА","")</f>
        <v/>
      </c>
      <c r="R203" s="8"/>
    </row>
    <row r="204" customFormat="false" ht="26.25" hidden="false" customHeight="true" outlineLevel="0" collapsed="false">
      <c r="A204" s="14" t="n">
        <v>203</v>
      </c>
      <c r="B204" s="11" t="s">
        <v>50</v>
      </c>
      <c r="C204" s="14" t="s">
        <v>609</v>
      </c>
      <c r="D204" s="14" t="s">
        <v>283</v>
      </c>
      <c r="E204" s="14" t="s">
        <v>605</v>
      </c>
      <c r="F204" s="15" t="n">
        <v>46049</v>
      </c>
      <c r="G204" s="4" t="str">
        <f aca="false">IF(TRIM(SUBSTITUTE(SUBSTITUTE(SUBSTITUTE(SUBSTITUTE(SUBSTITUTE(SUBSTITUTE(SUBSTITUTE(SUBSTITUTE(SUBSTITUTE(SUBSTITUTE(SUBSTITUTE(LOWER(TRIM(D204)),"ё","е")," -","-"),"- ","-")," 2 разряда","")," 3 разряда","")," 4 разряда","")," 5 разряда","")," 6 разряда","")," 1 категории","")," 2 категории","")," 3 категории",""))="инженер",IF(AND(ISNUMBER(SEARCH("техническ",E204)),ISNUMBER(SEARCH("контрол",E204))),"инженер отк",IF(ISNUMBER(SEARCH("диспетч",E204)),"инженер пдо",TRIM(SUBSTITUTE(SUBSTITUTE(SUBSTITUTE(SUBSTITUTE(SUBSTITUTE(SUBSTITUTE(SUBSTITUTE(SUBSTITUTE(SUBSTITUTE(SUBSTITUTE(SUBSTITUTE(LOWER(TRIM(D204)),"ё","е"),"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категории","")))),IF(TRIM(SUBSTITUTE(SUBSTITUTE(SUBSTITUTE(SUBSTITUTE(SUBSTITUTE(SUBSTITUTE(SUBSTITUTE(SUBSTITUTE(SUBSTITUTE(SUBSTITUTE(SUBSTITUTE(LOWER(TRIM(D204)),"ё","е")," -","-"),"- ","-")," 2 разряда","")," 3 разряда","")," 4 разряда","")," 5 разряда","")," 6 разряда","")," 1 категории","")," 2 категории","")," 3 категории",""))="ведущий инженер",IF(ISNUMBER(SEARCH("диспетч",E204)),"ведущий инженер пдо",TRIM(SUBSTITUTE(SUBSTITUTE(SUBSTITUTE(SUBSTITUTE(SUBSTITUTE(SUBSTITUTE(SUBSTITUTE(SUBSTITUTE(SUBSTITUTE(SUBSTITUTE(SUBSTITUTE(LOWER(TRIM(D204)),"ё","е"),"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отк",TRIM(SUBSTITUTE(SUBSTITUTE(SUBSTITUTE(SUBSTITUTE(SUBSTITUTE(SUBSTITUTE(SUBSTITUTE(SUBSTITUTE(SUBSTITUTE(SUBSTITUTE(SUBSTITUTE(LOWER(TRIM(D204)),"ё","е")," -","-"),"- ","-")," 2 разряда","")," 3 разряда","")," 4 разряда","")," 5 разряда","")," 6 разряда","")," 1 категории","")," 2 категории","")," 3 категории","")))))</f>
        <v>разнорабочий</v>
      </c>
      <c r="H204" s="11" t="n">
        <f aca="false">IFERROR(INDEX(Соответствие!$B$2:$B$76,MATCH(G204,Соответствие!$A$2:$A$76,0)),"?")</f>
        <v>7</v>
      </c>
      <c r="I204" s="8" t="str">
        <f aca="false">IFERROR(INDEX('Перечень должностей'!$C$2:$C$46,MATCH(H204,'Перечень должностей'!$A$2:$A$46,0)),"")</f>
        <v>п.4.3.1, п.4.4, п.4.7, п.4.8, п.5.1, п.6.1</v>
      </c>
      <c r="J204" s="11" t="n">
        <f aca="false">IFERROR(INDEX('Перечень должностей'!$D$2:$D$46,MATCH(H204,'Перечень должностей'!$A$2:$A$46,0)),12)</f>
        <v>12</v>
      </c>
      <c r="K204" s="16"/>
      <c r="L204" s="16"/>
      <c r="M204" s="15" t="str">
        <f aca="false">IF(K204="","",EDATE(IF(L204&lt;&gt;"",L204,K204),J204))</f>
        <v/>
      </c>
      <c r="N204" s="11" t="str">
        <f aca="false">IFERROR(INDEX('Перечень должностей'!$F$2:$F$46,MATCH(H204,'Перечень должностей'!$A$2:$A$46,0)),"")</f>
        <v>-</v>
      </c>
      <c r="O204" s="16"/>
      <c r="P204" s="15" t="str">
        <f aca="false">IF(O204="","",EDATE(O204,60))</f>
        <v/>
      </c>
      <c r="Q204" s="11" t="str">
        <f aca="false">IF(AND(K204&lt;&gt;"",F204&lt;&gt;"",K204&gt;F204),"ДА","")</f>
        <v/>
      </c>
      <c r="R204" s="8"/>
    </row>
    <row r="205" customFormat="false" ht="26.25" hidden="false" customHeight="true" outlineLevel="0" collapsed="false">
      <c r="A205" s="14" t="n">
        <v>204</v>
      </c>
      <c r="B205" s="11" t="s">
        <v>50</v>
      </c>
      <c r="C205" s="14" t="s">
        <v>610</v>
      </c>
      <c r="D205" s="14" t="s">
        <v>276</v>
      </c>
      <c r="E205" s="14" t="s">
        <v>605</v>
      </c>
      <c r="F205" s="15" t="n">
        <v>45748</v>
      </c>
      <c r="G205" s="4" t="str">
        <f aca="false">IF(TRIM(SUBSTITUTE(SUBSTITUTE(SUBSTITUTE(SUBSTITUTE(SUBSTITUTE(SUBSTITUTE(SUBSTITUTE(SUBSTITUTE(SUBSTITUTE(SUBSTITUTE(SUBSTITUTE(LOWER(TRIM(D205)),"ё","е")," -","-"),"- ","-")," 2 разряда","")," 3 разряда","")," 4 разряда","")," 5 разряда","")," 6 разряда","")," 1 категории","")," 2 категории","")," 3 категории",""))="инженер",IF(AND(ISNUMBER(SEARCH("техническ",E205)),ISNUMBER(SEARCH("контрол",E205))),"инженер отк",IF(ISNUMBER(SEARCH("диспетч",E205)),"инженер пдо",TRIM(SUBSTITUTE(SUBSTITUTE(SUBSTITUTE(SUBSTITUTE(SUBSTITUTE(SUBSTITUTE(SUBSTITUTE(SUBSTITUTE(SUBSTITUTE(SUBSTITUTE(SUBSTITUTE(LOWER(TRIM(D205)),"ё","е"),"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категории","")))),IF(TRIM(SUBSTITUTE(SUBSTITUTE(SUBSTITUTE(SUBSTITUTE(SUBSTITUTE(SUBSTITUTE(SUBSTITUTE(SUBSTITUTE(SUBSTITUTE(SUBSTITUTE(SUBSTITUTE(LOWER(TRIM(D205)),"ё","е")," -","-"),"- ","-")," 2 разряда","")," 3 разряда","")," 4 разряда","")," 5 разряда","")," 6 разряда","")," 1 категории","")," 2 категории","")," 3 категории",""))="ведущий инженер",IF(ISNUMBER(SEARCH("диспетч",E205)),"ведущий инженер пдо",TRIM(SUBSTITUTE(SUBSTITUTE(SUBSTITUTE(SUBSTITUTE(SUBSTITUTE(SUBSTITUTE(SUBSTITUTE(SUBSTITUTE(SUBSTITUTE(SUBSTITUTE(SUBSTITUTE(LOWER(TRIM(D205)),"ё","е"),"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отк",TRIM(SUBSTITUTE(SUBSTITUTE(SUBSTITUTE(SUBSTITUTE(SUBSTITUTE(SUBSTITUTE(SUBSTITUTE(SUBSTITUTE(SUBSTITUTE(SUBSTITUTE(SUBSTITUTE(LOWER(TRIM(D205)),"ё","е")," -","-"),"- ","-")," 2 разряда","")," 3 разряда","")," 4 разряда","")," 5 разряда","")," 6 разряда","")," 1 категории","")," 2 категории","")," 3 категории","")))))</f>
        <v>главный энергетик</v>
      </c>
      <c r="H205" s="11" t="n">
        <f aca="false">IFERROR(INDEX(Соответствие!$B$2:$B$76,MATCH(G205,Соответствие!$A$2:$A$76,0)),"?")</f>
        <v>5</v>
      </c>
      <c r="I205" s="8" t="str">
        <f aca="false">IFERROR(INDEX('Перечень должностей'!$C$2:$C$46,MATCH(H205,'Перечень должностей'!$A$2:$A$46,0)),"")</f>
        <v>п.4.4, п.5.2, п.6.2</v>
      </c>
      <c r="J205" s="11" t="n">
        <f aca="false">IFERROR(INDEX('Перечень должностей'!$D$2:$D$46,MATCH(H205,'Перечень должностей'!$A$2:$A$46,0)),12)</f>
        <v>12</v>
      </c>
      <c r="K205" s="16"/>
      <c r="L205" s="16"/>
      <c r="M205" s="15" t="str">
        <f aca="false">IF(K205="","",EDATE(IF(L205&lt;&gt;"",L205,K205),J205))</f>
        <v/>
      </c>
      <c r="N205" s="11" t="str">
        <f aca="false">IFERROR(INDEX('Перечень должностей'!$F$2:$F$46,MATCH(H205,'Перечень должностей'!$A$2:$A$46,0)),"")</f>
        <v>Да</v>
      </c>
      <c r="O205" s="16"/>
      <c r="P205" s="15" t="str">
        <f aca="false">IF(O205="","",EDATE(O205,60))</f>
        <v/>
      </c>
      <c r="Q205" s="11" t="str">
        <f aca="false">IF(AND(K205&lt;&gt;"",F205&lt;&gt;"",K205&gt;F205),"ДА","")</f>
        <v/>
      </c>
      <c r="R205" s="8"/>
    </row>
    <row r="206" customFormat="false" ht="26.25" hidden="false" customHeight="true" outlineLevel="0" collapsed="false">
      <c r="A206" s="14" t="n">
        <v>205</v>
      </c>
      <c r="B206" s="11" t="s">
        <v>50</v>
      </c>
      <c r="C206" s="14" t="s">
        <v>611</v>
      </c>
      <c r="D206" s="14" t="s">
        <v>280</v>
      </c>
      <c r="E206" s="14" t="s">
        <v>605</v>
      </c>
      <c r="F206" s="15" t="n">
        <v>46091</v>
      </c>
      <c r="G206" s="4" t="str">
        <f aca="false">IF(TRIM(SUBSTITUTE(SUBSTITUTE(SUBSTITUTE(SUBSTITUTE(SUBSTITUTE(SUBSTITUTE(SUBSTITUTE(SUBSTITUTE(SUBSTITUTE(SUBSTITUTE(SUBSTITUTE(LOWER(TRIM(D206)),"ё","е")," -","-"),"- ","-")," 2 разряда","")," 3 разряда","")," 4 разряда","")," 5 разряда","")," 6 разряда","")," 1 категории","")," 2 категории","")," 3 категории",""))="инженер",IF(AND(ISNUMBER(SEARCH("техническ",E206)),ISNUMBER(SEARCH("контрол",E206))),"инженер отк",IF(ISNUMBER(SEARCH("диспетч",E206)),"инженер пдо",TRIM(SUBSTITUTE(SUBSTITUTE(SUBSTITUTE(SUBSTITUTE(SUBSTITUTE(SUBSTITUTE(SUBSTITUTE(SUBSTITUTE(SUBSTITUTE(SUBSTITUTE(SUBSTITUTE(LOWER(TRIM(D206)),"ё","е"),"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категории","")))),IF(TRIM(SUBSTITUTE(SUBSTITUTE(SUBSTITUTE(SUBSTITUTE(SUBSTITUTE(SUBSTITUTE(SUBSTITUTE(SUBSTITUTE(SUBSTITUTE(SUBSTITUTE(SUBSTITUTE(LOWER(TRIM(D206)),"ё","е")," -","-"),"- ","-")," 2 разряда","")," 3 разряда","")," 4 разряда","")," 5 разряда","")," 6 разряда","")," 1 категории","")," 2 категории","")," 3 категории",""))="ведущий инженер",IF(ISNUMBER(SEARCH("диспетч",E206)),"ведущий инженер пдо",TRIM(SUBSTITUTE(SUBSTITUTE(SUBSTITUTE(SUBSTITUTE(SUBSTITUTE(SUBSTITUTE(SUBSTITUTE(SUBSTITUTE(SUBSTITUTE(SUBSTITUTE(SUBSTITUTE(LOWER(TRIM(D206)),"ё","е"),"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отк",TRIM(SUBSTITUTE(SUBSTITUTE(SUBSTITUTE(SUBSTITUTE(SUBSTITUTE(SUBSTITUTE(SUBSTITUTE(SUBSTITUTE(SUBSTITUTE(SUBSTITUTE(SUBSTITUTE(LOWER(TRIM(D206)),"ё","е")," -","-"),"- ","-")," 2 разряда","")," 3 разряда","")," 4 разряда","")," 5 разряда","")," 6 разряда","")," 1 категории","")," 2 категории","")," 3 категории","")))))</f>
        <v>главный механик</v>
      </c>
      <c r="H206" s="11" t="n">
        <f aca="false">IFERROR(INDEX(Соответствие!$B$2:$B$76,MATCH(G206,Соответствие!$A$2:$A$76,0)),"?")</f>
        <v>6</v>
      </c>
      <c r="I206" s="8" t="str">
        <f aca="false">IFERROR(INDEX('Перечень должностей'!$C$2:$C$46,MATCH(H206,'Перечень должностей'!$A$2:$A$46,0)),"")</f>
        <v>п.4.4, п.5.2, п.6.2</v>
      </c>
      <c r="J206" s="11" t="n">
        <f aca="false">IFERROR(INDEX('Перечень должностей'!$D$2:$D$46,MATCH(H206,'Перечень должностей'!$A$2:$A$46,0)),12)</f>
        <v>12</v>
      </c>
      <c r="K206" s="16"/>
      <c r="L206" s="16"/>
      <c r="M206" s="15" t="str">
        <f aca="false">IF(K206="","",EDATE(IF(L206&lt;&gt;"",L206,K206),J206))</f>
        <v/>
      </c>
      <c r="N206" s="11" t="str">
        <f aca="false">IFERROR(INDEX('Перечень должностей'!$F$2:$F$46,MATCH(H206,'Перечень должностей'!$A$2:$A$46,0)),"")</f>
        <v>Нет</v>
      </c>
      <c r="O206" s="16"/>
      <c r="P206" s="15" t="str">
        <f aca="false">IF(O206="","",EDATE(O206,60))</f>
        <v/>
      </c>
      <c r="Q206" s="11" t="str">
        <f aca="false">IF(AND(K206&lt;&gt;"",F206&lt;&gt;"",K206&gt;F206),"ДА","")</f>
        <v/>
      </c>
      <c r="R206" s="8"/>
    </row>
    <row r="207" customFormat="false" ht="23.85" hidden="false" customHeight="false" outlineLevel="0" collapsed="false">
      <c r="A207" s="14" t="n">
        <v>206</v>
      </c>
      <c r="B207" s="11" t="s">
        <v>50</v>
      </c>
      <c r="C207" s="14" t="s">
        <v>612</v>
      </c>
      <c r="D207" s="14" t="s">
        <v>613</v>
      </c>
      <c r="E207" s="14" t="s">
        <v>605</v>
      </c>
      <c r="F207" s="15" t="n">
        <v>44621</v>
      </c>
      <c r="G207" s="4" t="str">
        <f aca="false">IF(TRIM(SUBSTITUTE(SUBSTITUTE(SUBSTITUTE(SUBSTITUTE(SUBSTITUTE(SUBSTITUTE(SUBSTITUTE(SUBSTITUTE(SUBSTITUTE(SUBSTITUTE(SUBSTITUTE(LOWER(TRIM(D207)),"ё","е")," -","-"),"- ","-")," 2 разряда","")," 3 разряда","")," 4 разряда","")," 5 разряда","")," 6 разряда","")," 1 категории","")," 2 категории","")," 3 категории",""))="инженер",IF(AND(ISNUMBER(SEARCH("техническ",E207)),ISNUMBER(SEARCH("контрол",E207))),"инженер отк",IF(ISNUMBER(SEARCH("диспетч",E207)),"инженер пдо",TRIM(SUBSTITUTE(SUBSTITUTE(SUBSTITUTE(SUBSTITUTE(SUBSTITUTE(SUBSTITUTE(SUBSTITUTE(SUBSTITUTE(SUBSTITUTE(SUBSTITUTE(SUBSTITUTE(LOWER(TRIM(D207)),"ё","е"),"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категории","")))),IF(TRIM(SUBSTITUTE(SUBSTITUTE(SUBSTITUTE(SUBSTITUTE(SUBSTITUTE(SUBSTITUTE(SUBSTITUTE(SUBSTITUTE(SUBSTITUTE(SUBSTITUTE(SUBSTITUTE(LOWER(TRIM(D207)),"ё","е")," -","-"),"- ","-")," 2 разряда","")," 3 разряда","")," 4 разряда","")," 5 разряда","")," 6 разряда","")," 1 категории","")," 2 категории","")," 3 категории",""))="ведущий инженер",IF(ISNUMBER(SEARCH("диспетч",E207)),"ведущий инженер пдо",TRIM(SUBSTITUTE(SUBSTITUTE(SUBSTITUTE(SUBSTITUTE(SUBSTITUTE(SUBSTITUTE(SUBSTITUTE(SUBSTITUTE(SUBSTITUTE(SUBSTITUTE(SUBSTITUTE(LOWER(TRIM(D207)),"ё","е"),"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отк",TRIM(SUBSTITUTE(SUBSTITUTE(SUBSTITUTE(SUBSTITUTE(SUBSTITUTE(SUBSTITUTE(SUBSTITUTE(SUBSTITUTE(SUBSTITUTE(SUBSTITUTE(SUBSTITUTE(LOWER(TRIM(D207)),"ё","е")," -","-"),"- ","-")," 2 разряда","")," 3 разряда","")," 4 разряда","")," 5 разряда","")," 6 разряда","")," 1 категории","")," 2 категории","")," 3 категории","")))))</f>
        <v>электромонтер по ремонту и обслуживанию электрооборудования</v>
      </c>
      <c r="H207" s="11" t="n">
        <f aca="false">IFERROR(INDEX(Соответствие!$B$2:$B$76,MATCH(G207,Соответствие!$A$2:$A$76,0)),"?")</f>
        <v>2</v>
      </c>
      <c r="I207" s="8" t="str">
        <f aca="false">IFERROR(INDEX('Перечень должностей'!$C$2:$C$46,MATCH(H207,'Перечень должностей'!$A$2:$A$46,0)),"")</f>
        <v>п.4.2.3, п.4.3.1, п.4.3.2, п.4.4, п.5.1, п.5.2, п.6.2, п.9</v>
      </c>
      <c r="J207" s="11" t="n">
        <f aca="false">IFERROR(INDEX('Перечень должностей'!$D$2:$D$46,MATCH(H207,'Перечень должностей'!$A$2:$A$46,0)),12)</f>
        <v>12</v>
      </c>
      <c r="K207" s="16"/>
      <c r="L207" s="16"/>
      <c r="M207" s="15" t="str">
        <f aca="false">IF(K207="","",EDATE(IF(L207&lt;&gt;"",L207,K207),J207))</f>
        <v/>
      </c>
      <c r="N207" s="11" t="str">
        <f aca="false">IFERROR(INDEX('Перечень должностей'!$F$2:$F$46,MATCH(H207,'Перечень должностей'!$A$2:$A$46,0)),"")</f>
        <v>Да</v>
      </c>
      <c r="O207" s="16"/>
      <c r="P207" s="15" t="str">
        <f aca="false">IF(O207="","",EDATE(O207,60))</f>
        <v/>
      </c>
      <c r="Q207" s="11" t="str">
        <f aca="false">IF(AND(K207&lt;&gt;"",F207&lt;&gt;"",K207&gt;F207),"ДА","")</f>
        <v/>
      </c>
      <c r="R207" s="8"/>
    </row>
    <row r="208" customFormat="false" ht="23.85" hidden="false" customHeight="false" outlineLevel="0" collapsed="false">
      <c r="A208" s="14" t="n">
        <v>207</v>
      </c>
      <c r="B208" s="11" t="s">
        <v>50</v>
      </c>
      <c r="C208" s="14" t="s">
        <v>614</v>
      </c>
      <c r="D208" s="14" t="s">
        <v>613</v>
      </c>
      <c r="E208" s="14" t="s">
        <v>605</v>
      </c>
      <c r="F208" s="15" t="n">
        <v>46084</v>
      </c>
      <c r="G208" s="4" t="str">
        <f aca="false">IF(TRIM(SUBSTITUTE(SUBSTITUTE(SUBSTITUTE(SUBSTITUTE(SUBSTITUTE(SUBSTITUTE(SUBSTITUTE(SUBSTITUTE(SUBSTITUTE(SUBSTITUTE(SUBSTITUTE(LOWER(TRIM(D208)),"ё","е")," -","-"),"- ","-")," 2 разряда","")," 3 разряда","")," 4 разряда","")," 5 разряда","")," 6 разряда","")," 1 категории","")," 2 категории","")," 3 категории",""))="инженер",IF(AND(ISNUMBER(SEARCH("техническ",E208)),ISNUMBER(SEARCH("контрол",E208))),"инженер отк",IF(ISNUMBER(SEARCH("диспетч",E208)),"инженер пдо",TRIM(SUBSTITUTE(SUBSTITUTE(SUBSTITUTE(SUBSTITUTE(SUBSTITUTE(SUBSTITUTE(SUBSTITUTE(SUBSTITUTE(SUBSTITUTE(SUBSTITUTE(SUBSTITUTE(LOWER(TRIM(D208)),"ё","е"),"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категории","")))),IF(TRIM(SUBSTITUTE(SUBSTITUTE(SUBSTITUTE(SUBSTITUTE(SUBSTITUTE(SUBSTITUTE(SUBSTITUTE(SUBSTITUTE(SUBSTITUTE(SUBSTITUTE(SUBSTITUTE(LOWER(TRIM(D208)),"ё","е")," -","-"),"- ","-")," 2 разряда","")," 3 разряда","")," 4 разряда","")," 5 разряда","")," 6 разряда","")," 1 категории","")," 2 категории","")," 3 категории",""))="ведущий инженер",IF(ISNUMBER(SEARCH("диспетч",E208)),"ведущий инженер пдо",TRIM(SUBSTITUTE(SUBSTITUTE(SUBSTITUTE(SUBSTITUTE(SUBSTITUTE(SUBSTITUTE(SUBSTITUTE(SUBSTITUTE(SUBSTITUTE(SUBSTITUTE(SUBSTITUTE(LOWER(TRIM(D208)),"ё","е"),"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отк",TRIM(SUBSTITUTE(SUBSTITUTE(SUBSTITUTE(SUBSTITUTE(SUBSTITUTE(SUBSTITUTE(SUBSTITUTE(SUBSTITUTE(SUBSTITUTE(SUBSTITUTE(SUBSTITUTE(LOWER(TRIM(D208)),"ё","е")," -","-"),"- ","-")," 2 разряда","")," 3 разряда","")," 4 разряда","")," 5 разряда","")," 6 разряда","")," 1 категории","")," 2 категории","")," 3 категории","")))))</f>
        <v>электромонтер по ремонту и обслуживанию электрооборудования</v>
      </c>
      <c r="H208" s="11" t="n">
        <f aca="false">IFERROR(INDEX(Соответствие!$B$2:$B$76,MATCH(G208,Соответствие!$A$2:$A$76,0)),"?")</f>
        <v>2</v>
      </c>
      <c r="I208" s="8" t="str">
        <f aca="false">IFERROR(INDEX('Перечень должностей'!$C$2:$C$46,MATCH(H208,'Перечень должностей'!$A$2:$A$46,0)),"")</f>
        <v>п.4.2.3, п.4.3.1, п.4.3.2, п.4.4, п.5.1, п.5.2, п.6.2, п.9</v>
      </c>
      <c r="J208" s="11" t="n">
        <f aca="false">IFERROR(INDEX('Перечень должностей'!$D$2:$D$46,MATCH(H208,'Перечень должностей'!$A$2:$A$46,0)),12)</f>
        <v>12</v>
      </c>
      <c r="K208" s="16"/>
      <c r="L208" s="16"/>
      <c r="M208" s="15" t="str">
        <f aca="false">IF(K208="","",EDATE(IF(L208&lt;&gt;"",L208,K208),J208))</f>
        <v/>
      </c>
      <c r="N208" s="11" t="str">
        <f aca="false">IFERROR(INDEX('Перечень должностей'!$F$2:$F$46,MATCH(H208,'Перечень должностей'!$A$2:$A$46,0)),"")</f>
        <v>Да</v>
      </c>
      <c r="O208" s="16"/>
      <c r="P208" s="15" t="str">
        <f aca="false">IF(O208="","",EDATE(O208,60))</f>
        <v/>
      </c>
      <c r="Q208" s="11" t="str">
        <f aca="false">IF(AND(K208&lt;&gt;"",F208&lt;&gt;"",K208&gt;F208),"ДА","")</f>
        <v/>
      </c>
      <c r="R208" s="8"/>
    </row>
    <row r="209" customFormat="false" ht="26.25" hidden="false" customHeight="true" outlineLevel="0" collapsed="false">
      <c r="A209" s="14" t="n">
        <v>208</v>
      </c>
      <c r="B209" s="11" t="s">
        <v>50</v>
      </c>
      <c r="C209" s="14" t="s">
        <v>615</v>
      </c>
      <c r="D209" s="14" t="s">
        <v>274</v>
      </c>
      <c r="E209" s="14" t="s">
        <v>605</v>
      </c>
      <c r="F209" s="15" t="n">
        <v>45596</v>
      </c>
      <c r="G209" s="4" t="str">
        <f aca="false">IF(TRIM(SUBSTITUTE(SUBSTITUTE(SUBSTITUTE(SUBSTITUTE(SUBSTITUTE(SUBSTITUTE(SUBSTITUTE(SUBSTITUTE(SUBSTITUTE(SUBSTITUTE(SUBSTITUTE(LOWER(TRIM(D209)),"ё","е")," -","-"),"- ","-")," 2 разряда","")," 3 разряда","")," 4 разряда","")," 5 разряда","")," 6 разряда","")," 1 категории","")," 2 категории","")," 3 категории",""))="инженер",IF(AND(ISNUMBER(SEARCH("техническ",E209)),ISNUMBER(SEARCH("контрол",E209))),"инженер отк",IF(ISNUMBER(SEARCH("диспетч",E209)),"инженер пдо",TRIM(SUBSTITUTE(SUBSTITUTE(SUBSTITUTE(SUBSTITUTE(SUBSTITUTE(SUBSTITUTE(SUBSTITUTE(SUBSTITUTE(SUBSTITUTE(SUBSTITUTE(SUBSTITUTE(LOWER(TRIM(D209)),"ё","е"),"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категории","")))),IF(TRIM(SUBSTITUTE(SUBSTITUTE(SUBSTITUTE(SUBSTITUTE(SUBSTITUTE(SUBSTITUTE(SUBSTITUTE(SUBSTITUTE(SUBSTITUTE(SUBSTITUTE(SUBSTITUTE(LOWER(TRIM(D209)),"ё","е")," -","-"),"- ","-")," 2 разряда","")," 3 разряда","")," 4 разряда","")," 5 разряда","")," 6 разряда","")," 1 категории","")," 2 категории","")," 3 категории",""))="ведущий инженер",IF(ISNUMBER(SEARCH("диспетч",E209)),"ведущий инженер пдо",TRIM(SUBSTITUTE(SUBSTITUTE(SUBSTITUTE(SUBSTITUTE(SUBSTITUTE(SUBSTITUTE(SUBSTITUTE(SUBSTITUTE(SUBSTITUTE(SUBSTITUTE(SUBSTITUTE(LOWER(TRIM(D209)),"ё","е"),"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категории",""))),IF(TRIM(SUBSTITUTE(SUBSTITUTE(SUBSTITUTE(SUBSTITUTE(SUBSTITUTE(SUBSTITUTE(SUBSTITUTE(SUBSTITUTE(SUBSTITUTE(SUBSTITUTE(SUBSTITUTE(LOWER(TRIM(D209)),"ё","е"),"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отк",TRIM(SUBSTITUTE(SUBSTITUTE(SUBSTITUTE(SUBSTITUTE(SUBSTITUTE(SUBSTITUTE(SUBSTITUTE(SUBSTITUTE(SUBSTITUTE(SUBSTITUTE(SUBSTITUTE(LOWER(TRIM(D209)),"ё","е")," -","-"),"- ","-")," 2 разряда","")," 3 разряда","")," 4 разряда","")," 5 разряда","")," 6 разряда","")," 1 категории","")," 2 категории","")," 3 категории","")))))</f>
        <v>инженер по эксплуатации зданий и сооружений</v>
      </c>
      <c r="H209" s="11" t="n">
        <f aca="false">IFERROR(INDEX(Соответствие!$B$2:$B$76,MATCH(G209,Соответствие!$A$2:$A$76,0)),"?")</f>
        <v>4</v>
      </c>
      <c r="I209" s="8" t="str">
        <f aca="false">IFERROR(INDEX('Перечень должностей'!$C$2:$C$46,MATCH(H209,'Перечень должностей'!$A$2:$A$46,0)),"")</f>
        <v>п.4.3.1, п.4.4, п.5.1, п.5.2, п.6.2</v>
      </c>
      <c r="J209" s="11" t="n">
        <f aca="false">IFERROR(INDEX('Перечень должностей'!$D$2:$D$46,MATCH(H209,'Перечень должностей'!$A$2:$A$46,0)),12)</f>
        <v>12</v>
      </c>
      <c r="K209" s="16"/>
      <c r="L209" s="16"/>
      <c r="M209" s="15" t="str">
        <f aca="false">IF(K209="","",EDATE(IF(L209&lt;&gt;"",L209,K209),J209))</f>
        <v/>
      </c>
      <c r="N209" s="11" t="str">
        <f aca="false">IFERROR(INDEX('Перечень должностей'!$F$2:$F$46,MATCH(H209,'Перечень должностей'!$A$2:$A$46,0)),"")</f>
        <v>-</v>
      </c>
      <c r="O209" s="16"/>
      <c r="P209" s="15" t="str">
        <f aca="false">IF(O209="","",EDATE(O209,60))</f>
        <v/>
      </c>
      <c r="Q209" s="11" t="str">
        <f aca="false">IF(AND(K209&lt;&gt;"",F209&lt;&gt;"",K209&gt;F209),"ДА","")</f>
        <v/>
      </c>
      <c r="R209" s="8"/>
    </row>
    <row r="210" customFormat="false" ht="26.25" hidden="false" customHeight="true" outlineLevel="0" collapsed="false">
      <c r="A210" s="14" t="n">
        <v>209</v>
      </c>
      <c r="B210" s="11" t="s">
        <v>50</v>
      </c>
      <c r="C210" s="14" t="s">
        <v>616</v>
      </c>
      <c r="D210" s="14" t="s">
        <v>617</v>
      </c>
      <c r="E210" s="14" t="s">
        <v>605</v>
      </c>
      <c r="F210" s="15" t="n">
        <v>46036</v>
      </c>
      <c r="G210" s="4" t="str">
        <f aca="false">IF(TRIM(SUBSTITUTE(SUBSTITUTE(SUBSTITUTE(SUBSTITUTE(SUBSTITUTE(SUBSTITUTE(SUBSTITUTE(SUBSTITUTE(SUBSTITUTE(SUBSTITUTE(SUBSTITUTE(LOWER(TRIM(D210)),"ё","е")," -","-"),"- ","-")," 2 разряда","")," 3 разряда","")," 4 разряда","")," 5 разряда","")," 6 разряда","")," 1 категории","")," 2 категории","")," 3 категории",""))="инженер",IF(AND(ISNUMBER(SEARCH("техническ",E210)),ISNUMBER(SEARCH("контрол",E210))),"инженер отк",IF(ISNUMBER(SEARCH("диспетч",E210)),"инженер пдо",TRIM(SUBSTITUTE(SUBSTITUTE(SUBSTITUTE(SUBSTITUTE(SUBSTITUTE(SUBSTITUTE(SUBSTITUTE(SUBSTITUTE(SUBSTITUTE(SUBSTITUTE(SUBSTITUTE(LOWER(TRIM(D210)),"ё","е"),"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категории","")))),IF(TRIM(SUBSTITUTE(SUBSTITUTE(SUBSTITUTE(SUBSTITUTE(SUBSTITUTE(SUBSTITUTE(SUBSTITUTE(SUBSTITUTE(SUBSTITUTE(SUBSTITUTE(SUBSTITUTE(LOWER(TRIM(D210)),"ё","е")," -","-"),"- ","-")," 2 разряда","")," 3 разряда","")," 4 разряда","")," 5 разряда","")," 6 разряда","")," 1 категории","")," 2 категории","")," 3 категории",""))="ведущий инженер",IF(ISNUMBER(SEARCH("диспетч",E210)),"ведущий инженер пдо",TRIM(SUBSTITUTE(SUBSTITUTE(SUBSTITUTE(SUBSTITUTE(SUBSTITUTE(SUBSTITUTE(SUBSTITUTE(SUBSTITUTE(SUBSTITUTE(SUBSTITUTE(SUBSTITUTE(LOWER(TRIM(D210)),"ё","е"),"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отк",TRIM(SUBSTITUTE(SUBSTITUTE(SUBSTITUTE(SUBSTITUTE(SUBSTITUTE(SUBSTITUTE(SUBSTITUTE(SUBSTITUTE(SUBSTITUTE(SUBSTITUTE(SUBSTITUTE(LOWER(TRIM(D210)),"ё","е")," -","-"),"- ","-")," 2 разряда","")," 3 разряда","")," 4 разряда","")," 5 разряда","")," 6 разряда","")," 1 категории","")," 2 категории","")," 3 категории","")))))</f>
        <v>электромонтер по ремонту и обслуживанию электрооборудования</v>
      </c>
      <c r="H210" s="11" t="n">
        <f aca="false">IFERROR(INDEX(Соответствие!$B$2:$B$76,MATCH(G210,Соответствие!$A$2:$A$76,0)),"?")</f>
        <v>2</v>
      </c>
      <c r="I210" s="8" t="str">
        <f aca="false">IFERROR(INDEX('Перечень должностей'!$C$2:$C$46,MATCH(H210,'Перечень должностей'!$A$2:$A$46,0)),"")</f>
        <v>п.4.2.3, п.4.3.1, п.4.3.2, п.4.4, п.5.1, п.5.2, п.6.2, п.9</v>
      </c>
      <c r="J210" s="11" t="n">
        <f aca="false">IFERROR(INDEX('Перечень должностей'!$D$2:$D$46,MATCH(H210,'Перечень должностей'!$A$2:$A$46,0)),12)</f>
        <v>12</v>
      </c>
      <c r="K210" s="16"/>
      <c r="L210" s="16"/>
      <c r="M210" s="15" t="str">
        <f aca="false">IF(K210="","",EDATE(IF(L210&lt;&gt;"",L210,K210),J210))</f>
        <v/>
      </c>
      <c r="N210" s="11" t="str">
        <f aca="false">IFERROR(INDEX('Перечень должностей'!$F$2:$F$46,MATCH(H210,'Перечень должностей'!$A$2:$A$46,0)),"")</f>
        <v>Да</v>
      </c>
      <c r="O210" s="16"/>
      <c r="P210" s="15" t="str">
        <f aca="false">IF(O210="","",EDATE(O210,60))</f>
        <v/>
      </c>
      <c r="Q210" s="11" t="str">
        <f aca="false">IF(AND(K210&lt;&gt;"",F210&lt;&gt;"",K210&gt;F210),"ДА","")</f>
        <v/>
      </c>
      <c r="R210" s="8"/>
    </row>
    <row r="211" customFormat="false" ht="23.85" hidden="false" customHeight="false" outlineLevel="0" collapsed="false">
      <c r="A211" s="14" t="n">
        <v>210</v>
      </c>
      <c r="B211" s="11" t="s">
        <v>50</v>
      </c>
      <c r="C211" s="14" t="s">
        <v>618</v>
      </c>
      <c r="D211" s="14" t="s">
        <v>619</v>
      </c>
      <c r="E211" s="14" t="s">
        <v>605</v>
      </c>
      <c r="F211" s="15" t="n">
        <v>42388</v>
      </c>
      <c r="G211" s="4" t="str">
        <f aca="false">IF(TRIM(SUBSTITUTE(SUBSTITUTE(SUBSTITUTE(SUBSTITUTE(SUBSTITUTE(SUBSTITUTE(SUBSTITUTE(SUBSTITUTE(SUBSTITUTE(SUBSTITUTE(SUBSTITUTE(LOWER(TRIM(D211)),"ё","е")," -","-"),"- ","-")," 2 разряда","")," 3 разряда","")," 4 разряда","")," 5 разряда","")," 6 разряда","")," 1 категории","")," 2 категории","")," 3 категории",""))="инженер",IF(AND(ISNUMBER(SEARCH("техническ",E211)),ISNUMBER(SEARCH("контрол",E211))),"инженер отк",IF(ISNUMBER(SEARCH("диспетч",E211)),"инженер пдо",TRIM(SUBSTITUTE(SUBSTITUTE(SUBSTITUTE(SUBSTITUTE(SUBSTITUTE(SUBSTITUTE(SUBSTITUTE(SUBSTITUTE(SUBSTITUTE(SUBSTITUTE(SUBSTITUTE(LOWER(TRIM(D211)),"ё","е"),"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категории","")))),IF(TRIM(SUBSTITUTE(SUBSTITUTE(SUBSTITUTE(SUBSTITUTE(SUBSTITUTE(SUBSTITUTE(SUBSTITUTE(SUBSTITUTE(SUBSTITUTE(SUBSTITUTE(SUBSTITUTE(LOWER(TRIM(D211)),"ё","е")," -","-"),"- ","-")," 2 разряда","")," 3 разряда","")," 4 разряда","")," 5 разряда","")," 6 разряда","")," 1 категории","")," 2 категории","")," 3 категории",""))="ведущий инженер",IF(ISNUMBER(SEARCH("диспетч",E211)),"ведущий инженер пдо",TRIM(SUBSTITUTE(SUBSTITUTE(SUBSTITUTE(SUBSTITUTE(SUBSTITUTE(SUBSTITUTE(SUBSTITUTE(SUBSTITUTE(SUBSTITUTE(SUBSTITUTE(SUBSTITUTE(LOWER(TRIM(D211)),"ё","е"),"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отк",TRIM(SUBSTITUTE(SUBSTITUTE(SUBSTITUTE(SUBSTITUTE(SUBSTITUTE(SUBSTITUTE(SUBSTITUTE(SUBSTITUTE(SUBSTITUTE(SUBSTITUTE(SUBSTITUTE(LOWER(TRIM(D211)),"ё","е")," -","-"),"- ","-")," 2 разряда","")," 3 разряда","")," 4 разряда","")," 5 разряда","")," 6 разряда","")," 1 категории","")," 2 категории","")," 3 категории","")))))</f>
        <v>механик-наладчик</v>
      </c>
      <c r="H211" s="11" t="n">
        <f aca="false">IFERROR(INDEX(Соответствие!$B$2:$B$76,MATCH(G211,Соответствие!$A$2:$A$76,0)),"?")</f>
        <v>11</v>
      </c>
      <c r="I211" s="8" t="str">
        <f aca="false">IFERROR(INDEX('Перечень должностей'!$C$2:$C$46,MATCH(H211,'Перечень должностей'!$A$2:$A$46,0)),"")</f>
        <v>п.4.3.1, п.4.3.2, п.4.4, п.4.6, п.5.1, п.6.2</v>
      </c>
      <c r="J211" s="11" t="n">
        <f aca="false">IFERROR(INDEX('Перечень должностей'!$D$2:$D$46,MATCH(H211,'Перечень должностей'!$A$2:$A$46,0)),12)</f>
        <v>12</v>
      </c>
      <c r="K211" s="16"/>
      <c r="L211" s="16"/>
      <c r="M211" s="15" t="str">
        <f aca="false">IF(K211="","",EDATE(IF(L211&lt;&gt;"",L211,K211),J211))</f>
        <v/>
      </c>
      <c r="N211" s="11" t="str">
        <f aca="false">IFERROR(INDEX('Перечень должностей'!$F$2:$F$46,MATCH(H211,'Перечень должностей'!$A$2:$A$46,0)),"")</f>
        <v>-</v>
      </c>
      <c r="O211" s="16"/>
      <c r="P211" s="15" t="str">
        <f aca="false">IF(O211="","",EDATE(O211,60))</f>
        <v/>
      </c>
      <c r="Q211" s="11" t="str">
        <f aca="false">IF(AND(K211&lt;&gt;"",F211&lt;&gt;"",K211&gt;F211),"ДА","")</f>
        <v/>
      </c>
      <c r="R211" s="8"/>
    </row>
    <row r="212" customFormat="false" ht="26.25" hidden="false" customHeight="true" outlineLevel="0" collapsed="false">
      <c r="A212" s="14" t="n">
        <v>211</v>
      </c>
      <c r="B212" s="11" t="s">
        <v>50</v>
      </c>
      <c r="C212" s="14" t="s">
        <v>620</v>
      </c>
      <c r="D212" s="14" t="s">
        <v>621</v>
      </c>
      <c r="E212" s="14" t="s">
        <v>605</v>
      </c>
      <c r="F212" s="15" t="n">
        <v>45817</v>
      </c>
      <c r="G212" s="4" t="str">
        <f aca="false">IF(TRIM(SUBSTITUTE(SUBSTITUTE(SUBSTITUTE(SUBSTITUTE(SUBSTITUTE(SUBSTITUTE(SUBSTITUTE(SUBSTITUTE(SUBSTITUTE(SUBSTITUTE(SUBSTITUTE(LOWER(TRIM(D212)),"ё","е")," -","-"),"- ","-")," 2 разряда","")," 3 разряда","")," 4 разряда","")," 5 разряда","")," 6 разряда","")," 1 категории","")," 2 категории","")," 3 категории",""))="инженер",IF(AND(ISNUMBER(SEARCH("техническ",E212)),ISNUMBER(SEARCH("контрол",E212))),"инженер отк",IF(ISNUMBER(SEARCH("диспетч",E212)),"инженер пдо",TRIM(SUBSTITUTE(SUBSTITUTE(SUBSTITUTE(SUBSTITUTE(SUBSTITUTE(SUBSTITUTE(SUBSTITUTE(SUBSTITUTE(SUBSTITUTE(SUBSTITUTE(SUBSTITUTE(LOWER(TRIM(D212)),"ё","е"),"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категории","")))),IF(TRIM(SUBSTITUTE(SUBSTITUTE(SUBSTITUTE(SUBSTITUTE(SUBSTITUTE(SUBSTITUTE(SUBSTITUTE(SUBSTITUTE(SUBSTITUTE(SUBSTITUTE(SUBSTITUTE(LOWER(TRIM(D212)),"ё","е")," -","-"),"- ","-")," 2 разряда","")," 3 разряда","")," 4 разряда","")," 5 разряда","")," 6 разряда","")," 1 категории","")," 2 категории","")," 3 категории",""))="ведущий инженер",IF(ISNUMBER(SEARCH("диспетч",E212)),"ведущий инженер пдо",TRIM(SUBSTITUTE(SUBSTITUTE(SUBSTITUTE(SUBSTITUTE(SUBSTITUTE(SUBSTITUTE(SUBSTITUTE(SUBSTITUTE(SUBSTITUTE(SUBSTITUTE(SUBSTITUTE(LOWER(TRIM(D212)),"ё","е"),"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отк",TRIM(SUBSTITUTE(SUBSTITUTE(SUBSTITUTE(SUBSTITUTE(SUBSTITUTE(SUBSTITUTE(SUBSTITUTE(SUBSTITUTE(SUBSTITUTE(SUBSTITUTE(SUBSTITUTE(LOWER(TRIM(D212)),"ё","е")," -","-"),"- ","-")," 2 разряда","")," 3 разряда","")," 4 разряда","")," 5 разряда","")," 6 разряда","")," 1 категории","")," 2 категории","")," 3 категории","")))))</f>
        <v>инженер-электрик</v>
      </c>
      <c r="H212" s="11" t="n">
        <f aca="false">IFERROR(INDEX(Соответствие!$B$2:$B$76,MATCH(G212,Соответствие!$A$2:$A$76,0)),"?")</f>
        <v>2</v>
      </c>
      <c r="I212" s="8" t="str">
        <f aca="false">IFERROR(INDEX('Перечень должностей'!$C$2:$C$46,MATCH(H212,'Перечень должностей'!$A$2:$A$46,0)),"")</f>
        <v>п.4.2.3, п.4.3.1, п.4.3.2, п.4.4, п.5.1, п.5.2, п.6.2, п.9</v>
      </c>
      <c r="J212" s="11" t="n">
        <f aca="false">IFERROR(INDEX('Перечень должностей'!$D$2:$D$46,MATCH(H212,'Перечень должностей'!$A$2:$A$46,0)),12)</f>
        <v>12</v>
      </c>
      <c r="K212" s="16"/>
      <c r="L212" s="16"/>
      <c r="M212" s="15" t="str">
        <f aca="false">IF(K212="","",EDATE(IF(L212&lt;&gt;"",L212,K212),J212))</f>
        <v/>
      </c>
      <c r="N212" s="11" t="str">
        <f aca="false">IFERROR(INDEX('Перечень должностей'!$F$2:$F$46,MATCH(H212,'Перечень должностей'!$A$2:$A$46,0)),"")</f>
        <v>Да</v>
      </c>
      <c r="O212" s="16"/>
      <c r="P212" s="15" t="str">
        <f aca="false">IF(O212="","",EDATE(O212,60))</f>
        <v/>
      </c>
      <c r="Q212" s="11" t="str">
        <f aca="false">IF(AND(K212&lt;&gt;"",F212&lt;&gt;"",K212&gt;F212),"ДА","")</f>
        <v/>
      </c>
      <c r="R212" s="8"/>
    </row>
    <row r="213" customFormat="false" ht="26.25" hidden="false" customHeight="true" outlineLevel="0" collapsed="false">
      <c r="A213" s="14" t="n">
        <v>212</v>
      </c>
      <c r="B213" s="11" t="s">
        <v>50</v>
      </c>
      <c r="C213" s="14" t="s">
        <v>622</v>
      </c>
      <c r="D213" s="14" t="s">
        <v>294</v>
      </c>
      <c r="E213" s="14" t="s">
        <v>623</v>
      </c>
      <c r="F213" s="15" t="n">
        <v>45698</v>
      </c>
      <c r="G213" s="4" t="str">
        <f aca="false">IF(TRIM(SUBSTITUTE(SUBSTITUTE(SUBSTITUTE(SUBSTITUTE(SUBSTITUTE(SUBSTITUTE(SUBSTITUTE(SUBSTITUTE(SUBSTITUTE(SUBSTITUTE(SUBSTITUTE(LOWER(TRIM(D213)),"ё","е")," -","-"),"- ","-")," 2 разряда","")," 3 разряда","")," 4 разряда","")," 5 разряда","")," 6 разряда","")," 1 категории","")," 2 категории","")," 3 категории",""))="инженер",IF(AND(ISNUMBER(SEARCH("техническ",E213)),ISNUMBER(SEARCH("контрол",E213))),"инженер отк",IF(ISNUMBER(SEARCH("диспетч",E213)),"инженер пдо",TRIM(SUBSTITUTE(SUBSTITUTE(SUBSTITUTE(SUBSTITUTE(SUBSTITUTE(SUBSTITUTE(SUBSTITUTE(SUBSTITUTE(SUBSTITUTE(SUBSTITUTE(SUBSTITUTE(LOWER(TRIM(D213)),"ё","е"),"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категории","")))),IF(TRIM(SUBSTITUTE(SUBSTITUTE(SUBSTITUTE(SUBSTITUTE(SUBSTITUTE(SUBSTITUTE(SUBSTITUTE(SUBSTITUTE(SUBSTITUTE(SUBSTITUTE(SUBSTITUTE(LOWER(TRIM(D213)),"ё","е")," -","-"),"- ","-")," 2 разряда","")," 3 разряда","")," 4 разряда","")," 5 разряда","")," 6 разряда","")," 1 категории","")," 2 категории","")," 3 категории",""))="ведущий инженер",IF(ISNUMBER(SEARCH("диспетч",E213)),"ведущий инженер пдо",TRIM(SUBSTITUTE(SUBSTITUTE(SUBSTITUTE(SUBSTITUTE(SUBSTITUTE(SUBSTITUTE(SUBSTITUTE(SUBSTITUTE(SUBSTITUTE(SUBSTITUTE(SUBSTITUTE(LOWER(TRIM(D213)),"ё","е"),"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отк",TRIM(SUBSTITUTE(SUBSTITUTE(SUBSTITUTE(SUBSTITUTE(SUBSTITUTE(SUBSTITUTE(SUBSTITUTE(SUBSTITUTE(SUBSTITUTE(SUBSTITUTE(SUBSTITUTE(LOWER(TRIM(D213)),"ё","е")," -","-"),"- ","-")," 2 разряда","")," 3 разряда","")," 4 разряда","")," 5 разряда","")," 6 разряда","")," 1 категории","")," 2 категории","")," 3 категории","")))))</f>
        <v>специалист</v>
      </c>
      <c r="H213" s="11" t="n">
        <f aca="false">IFERROR(INDEX(Соответствие!$B$2:$B$76,MATCH(G213,Соответствие!$A$2:$A$76,0)),"?")</f>
        <v>12</v>
      </c>
      <c r="I213" s="8" t="str">
        <f aca="false">IFERROR(INDEX('Перечень должностей'!$C$2:$C$46,MATCH(H213,'Перечень должностей'!$A$2:$A$46,0)),"")</f>
        <v>п.4.4, п.5.1, п.5.2</v>
      </c>
      <c r="J213" s="11" t="n">
        <f aca="false">IFERROR(INDEX('Перечень должностей'!$D$2:$D$46,MATCH(H213,'Перечень должностей'!$A$2:$A$46,0)),12)</f>
        <v>12</v>
      </c>
      <c r="K213" s="16"/>
      <c r="L213" s="16"/>
      <c r="M213" s="15" t="str">
        <f aca="false">IF(K213="","",EDATE(IF(L213&lt;&gt;"",L213,K213),J213))</f>
        <v/>
      </c>
      <c r="N213" s="11" t="str">
        <f aca="false">IFERROR(INDEX('Перечень должностей'!$F$2:$F$46,MATCH(H213,'Перечень должностей'!$A$2:$A$46,0)),"")</f>
        <v>-</v>
      </c>
      <c r="O213" s="16"/>
      <c r="P213" s="15" t="str">
        <f aca="false">IF(O213="","",EDATE(O213,60))</f>
        <v/>
      </c>
      <c r="Q213" s="11" t="str">
        <f aca="false">IF(AND(K213&lt;&gt;"",F213&lt;&gt;"",K213&gt;F213),"ДА","")</f>
        <v/>
      </c>
      <c r="R213" s="8"/>
    </row>
    <row r="214" customFormat="false" ht="26.25" hidden="false" customHeight="true" outlineLevel="0" collapsed="false">
      <c r="A214" s="14" t="n">
        <v>213</v>
      </c>
      <c r="B214" s="11" t="s">
        <v>50</v>
      </c>
      <c r="C214" s="14" t="s">
        <v>624</v>
      </c>
      <c r="D214" s="14" t="s">
        <v>625</v>
      </c>
      <c r="E214" s="14" t="s">
        <v>623</v>
      </c>
      <c r="F214" s="15" t="n">
        <v>45098</v>
      </c>
      <c r="G214" s="4" t="str">
        <f aca="false">IF(TRIM(SUBSTITUTE(SUBSTITUTE(SUBSTITUTE(SUBSTITUTE(SUBSTITUTE(SUBSTITUTE(SUBSTITUTE(SUBSTITUTE(SUBSTITUTE(SUBSTITUTE(SUBSTITUTE(LOWER(TRIM(D214)),"ё","е")," -","-"),"- ","-")," 2 разряда","")," 3 разряда","")," 4 разряда","")," 5 разряда","")," 6 разряда","")," 1 категории","")," 2 категории","")," 3 категории",""))="инженер",IF(AND(ISNUMBER(SEARCH("техническ",E214)),ISNUMBER(SEARCH("контрол",E214))),"инженер отк",IF(ISNUMBER(SEARCH("диспетч",E214)),"инженер пдо",TRIM(SUBSTITUTE(SUBSTITUTE(SUBSTITUTE(SUBSTITUTE(SUBSTITUTE(SUBSTITUTE(SUBSTITUTE(SUBSTITUTE(SUBSTITUTE(SUBSTITUTE(SUBSTITUTE(LOWER(TRIM(D214)),"ё","е"),"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категории","")))),IF(TRIM(SUBSTITUTE(SUBSTITUTE(SUBSTITUTE(SUBSTITUTE(SUBSTITUTE(SUBSTITUTE(SUBSTITUTE(SUBSTITUTE(SUBSTITUTE(SUBSTITUTE(SUBSTITUTE(LOWER(TRIM(D214)),"ё","е")," -","-"),"- ","-")," 2 разряда","")," 3 разряда","")," 4 разряда","")," 5 разряда","")," 6 разряда","")," 1 категории","")," 2 категории","")," 3 категории",""))="ведущий инженер",IF(ISNUMBER(SEARCH("диспетч",E214)),"ведущий инженер пдо",TRIM(SUBSTITUTE(SUBSTITUTE(SUBSTITUTE(SUBSTITUTE(SUBSTITUTE(SUBSTITUTE(SUBSTITUTE(SUBSTITUTE(SUBSTITUTE(SUBSTITUTE(SUBSTITUTE(LOWER(TRIM(D214)),"ё","е"),"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отк",TRIM(SUBSTITUTE(SUBSTITUTE(SUBSTITUTE(SUBSTITUTE(SUBSTITUTE(SUBSTITUTE(SUBSTITUTE(SUBSTITUTE(SUBSTITUTE(SUBSTITUTE(SUBSTITUTE(LOWER(TRIM(D214)),"ё","е")," -","-"),"- ","-")," 2 разряда","")," 3 разряда","")," 4 разряда","")," 5 разряда","")," 6 разряда","")," 1 категории","")," 2 категории","")," 3 категории","")))))</f>
        <v>уборщик производственных и служебных помещений</v>
      </c>
      <c r="H214" s="11" t="n">
        <f aca="false">IFERROR(INDEX(Соответствие!$B$2:$B$76,MATCH(G214,Соответствие!$A$2:$A$76,0)),"?")</f>
        <v>10</v>
      </c>
      <c r="I214" s="8" t="str">
        <f aca="false">IFERROR(INDEX('Перечень должностей'!$C$2:$C$46,MATCH(H214,'Перечень должностей'!$A$2:$A$46,0)),"")</f>
        <v>п.1.48, п.4.3.1, п.4.4, п.5.1</v>
      </c>
      <c r="J214" s="11" t="n">
        <f aca="false">IFERROR(INDEX('Перечень должностей'!$D$2:$D$46,MATCH(H214,'Перечень должностей'!$A$2:$A$46,0)),12)</f>
        <v>12</v>
      </c>
      <c r="K214" s="16"/>
      <c r="L214" s="16"/>
      <c r="M214" s="15" t="str">
        <f aca="false">IF(K214="","",EDATE(IF(L214&lt;&gt;"",L214,K214),J214))</f>
        <v/>
      </c>
      <c r="N214" s="11" t="str">
        <f aca="false">IFERROR(INDEX('Перечень должностей'!$F$2:$F$46,MATCH(H214,'Перечень должностей'!$A$2:$A$46,0)),"")</f>
        <v>-</v>
      </c>
      <c r="O214" s="16"/>
      <c r="P214" s="15" t="str">
        <f aca="false">IF(O214="","",EDATE(O214,60))</f>
        <v/>
      </c>
      <c r="Q214" s="11" t="str">
        <f aca="false">IF(AND(K214&lt;&gt;"",F214&lt;&gt;"",K214&gt;F214),"ДА","")</f>
        <v/>
      </c>
      <c r="R214" s="8"/>
    </row>
    <row r="215" customFormat="false" ht="14.25" hidden="false" customHeight="false" outlineLevel="0" collapsed="false">
      <c r="A215" s="14" t="n">
        <v>214</v>
      </c>
      <c r="B215" s="11" t="s">
        <v>50</v>
      </c>
      <c r="C215" s="14" t="s">
        <v>626</v>
      </c>
      <c r="D215" s="14" t="s">
        <v>625</v>
      </c>
      <c r="E215" s="14" t="s">
        <v>623</v>
      </c>
      <c r="F215" s="15" t="n">
        <v>42849</v>
      </c>
      <c r="G215" s="4" t="str">
        <f aca="false">IF(TRIM(SUBSTITUTE(SUBSTITUTE(SUBSTITUTE(SUBSTITUTE(SUBSTITUTE(SUBSTITUTE(SUBSTITUTE(SUBSTITUTE(SUBSTITUTE(SUBSTITUTE(SUBSTITUTE(LOWER(TRIM(D215)),"ё","е")," -","-"),"- ","-")," 2 разряда","")," 3 разряда","")," 4 разряда","")," 5 разряда","")," 6 разряда","")," 1 категории","")," 2 категории","")," 3 категории",""))="инженер",IF(AND(ISNUMBER(SEARCH("техническ",E215)),ISNUMBER(SEARCH("контрол",E215))),"инженер отк",IF(ISNUMBER(SEARCH("диспетч",E215)),"инженер пдо",TRIM(SUBSTITUTE(SUBSTITUTE(SUBSTITUTE(SUBSTITUTE(SUBSTITUTE(SUBSTITUTE(SUBSTITUTE(SUBSTITUTE(SUBSTITUTE(SUBSTITUTE(SUBSTITUTE(LOWER(TRIM(D215)),"ё","е"),"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категории","")))),IF(TRIM(SUBSTITUTE(SUBSTITUTE(SUBSTITUTE(SUBSTITUTE(SUBSTITUTE(SUBSTITUTE(SUBSTITUTE(SUBSTITUTE(SUBSTITUTE(SUBSTITUTE(SUBSTITUTE(LOWER(TRIM(D215)),"ё","е")," -","-"),"- ","-")," 2 разряда","")," 3 разряда","")," 4 разряда","")," 5 разряда","")," 6 разряда","")," 1 категории","")," 2 категории","")," 3 категории",""))="ведущий инженер",IF(ISNUMBER(SEARCH("диспетч",E215)),"ведущий инженер пдо",TRIM(SUBSTITUTE(SUBSTITUTE(SUBSTITUTE(SUBSTITUTE(SUBSTITUTE(SUBSTITUTE(SUBSTITUTE(SUBSTITUTE(SUBSTITUTE(SUBSTITUTE(SUBSTITUTE(LOWER(TRIM(D215)),"ё","е"),"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отк",TRIM(SUBSTITUTE(SUBSTITUTE(SUBSTITUTE(SUBSTITUTE(SUBSTITUTE(SUBSTITUTE(SUBSTITUTE(SUBSTITUTE(SUBSTITUTE(SUBSTITUTE(SUBSTITUTE(LOWER(TRIM(D215)),"ё","е")," -","-"),"- ","-")," 2 разряда","")," 3 разряда","")," 4 разряда","")," 5 разряда","")," 6 разряда","")," 1 категории","")," 2 категории","")," 3 категории","")))))</f>
        <v>уборщик производственных и служебных помещений</v>
      </c>
      <c r="H215" s="11" t="n">
        <f aca="false">IFERROR(INDEX(Соответствие!$B$2:$B$76,MATCH(G215,Соответствие!$A$2:$A$76,0)),"?")</f>
        <v>10</v>
      </c>
      <c r="I215" s="8" t="str">
        <f aca="false">IFERROR(INDEX('Перечень должностей'!$C$2:$C$46,MATCH(H215,'Перечень должностей'!$A$2:$A$46,0)),"")</f>
        <v>п.1.48, п.4.3.1, п.4.4, п.5.1</v>
      </c>
      <c r="J215" s="11" t="n">
        <f aca="false">IFERROR(INDEX('Перечень должностей'!$D$2:$D$46,MATCH(H215,'Перечень должностей'!$A$2:$A$46,0)),12)</f>
        <v>12</v>
      </c>
      <c r="K215" s="16"/>
      <c r="L215" s="16"/>
      <c r="M215" s="15" t="str">
        <f aca="false">IF(K215="","",EDATE(IF(L215&lt;&gt;"",L215,K215),J215))</f>
        <v/>
      </c>
      <c r="N215" s="11" t="str">
        <f aca="false">IFERROR(INDEX('Перечень должностей'!$F$2:$F$46,MATCH(H215,'Перечень должностей'!$A$2:$A$46,0)),"")</f>
        <v>-</v>
      </c>
      <c r="O215" s="16"/>
      <c r="P215" s="15" t="str">
        <f aca="false">IF(O215="","",EDATE(O215,60))</f>
        <v/>
      </c>
      <c r="Q215" s="11" t="str">
        <f aca="false">IF(AND(K215&lt;&gt;"",F215&lt;&gt;"",K215&gt;F215),"ДА","")</f>
        <v/>
      </c>
      <c r="R215" s="8"/>
    </row>
    <row r="216" customFormat="false" ht="14.25" hidden="false" customHeight="false" outlineLevel="0" collapsed="false">
      <c r="A216" s="14" t="n">
        <v>215</v>
      </c>
      <c r="B216" s="11" t="s">
        <v>50</v>
      </c>
      <c r="C216" s="14" t="s">
        <v>627</v>
      </c>
      <c r="D216" s="14" t="s">
        <v>625</v>
      </c>
      <c r="E216" s="14" t="s">
        <v>623</v>
      </c>
      <c r="F216" s="15" t="n">
        <v>46086</v>
      </c>
      <c r="G216" s="4" t="str">
        <f aca="false">IF(TRIM(SUBSTITUTE(SUBSTITUTE(SUBSTITUTE(SUBSTITUTE(SUBSTITUTE(SUBSTITUTE(SUBSTITUTE(SUBSTITUTE(SUBSTITUTE(SUBSTITUTE(SUBSTITUTE(LOWER(TRIM(D216)),"ё","е")," -","-"),"- ","-")," 2 разряда","")," 3 разряда","")," 4 разряда","")," 5 разряда","")," 6 разряда","")," 1 категории","")," 2 категории","")," 3 категории",""))="инженер",IF(AND(ISNUMBER(SEARCH("техническ",E216)),ISNUMBER(SEARCH("контрол",E216))),"инженер отк",IF(ISNUMBER(SEARCH("диспетч",E216)),"инженер пдо",TRIM(SUBSTITUTE(SUBSTITUTE(SUBSTITUTE(SUBSTITUTE(SUBSTITUTE(SUBSTITUTE(SUBSTITUTE(SUBSTITUTE(SUBSTITUTE(SUBSTITUTE(SUBSTITUTE(LOWER(TRIM(D216)),"ё","е"),"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категории","")))),IF(TRIM(SUBSTITUTE(SUBSTITUTE(SUBSTITUTE(SUBSTITUTE(SUBSTITUTE(SUBSTITUTE(SUBSTITUTE(SUBSTITUTE(SUBSTITUTE(SUBSTITUTE(SUBSTITUTE(LOWER(TRIM(D216)),"ё","е")," -","-"),"- ","-")," 2 разряда","")," 3 разряда","")," 4 разряда","")," 5 разряда","")," 6 разряда","")," 1 категории","")," 2 категории","")," 3 категории",""))="ведущий инженер",IF(ISNUMBER(SEARCH("диспетч",E216)),"ведущий инженер пдо",TRIM(SUBSTITUTE(SUBSTITUTE(SUBSTITUTE(SUBSTITUTE(SUBSTITUTE(SUBSTITUTE(SUBSTITUTE(SUBSTITUTE(SUBSTITUTE(SUBSTITUTE(SUBSTITUTE(LOWER(TRIM(D216)),"ё","е"),"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отк",TRIM(SUBSTITUTE(SUBSTITUTE(SUBSTITUTE(SUBSTITUTE(SUBSTITUTE(SUBSTITUTE(SUBSTITUTE(SUBSTITUTE(SUBSTITUTE(SUBSTITUTE(SUBSTITUTE(LOWER(TRIM(D216)),"ё","е")," -","-"),"- ","-")," 2 разряда","")," 3 разряда","")," 4 разряда","")," 5 разряда","")," 6 разряда","")," 1 категории","")," 2 категории","")," 3 категории","")))))</f>
        <v>уборщик производственных и служебных помещений</v>
      </c>
      <c r="H216" s="11" t="n">
        <f aca="false">IFERROR(INDEX(Соответствие!$B$2:$B$76,MATCH(G216,Соответствие!$A$2:$A$76,0)),"?")</f>
        <v>10</v>
      </c>
      <c r="I216" s="8" t="str">
        <f aca="false">IFERROR(INDEX('Перечень должностей'!$C$2:$C$46,MATCH(H216,'Перечень должностей'!$A$2:$A$46,0)),"")</f>
        <v>п.1.48, п.4.3.1, п.4.4, п.5.1</v>
      </c>
      <c r="J216" s="11" t="n">
        <f aca="false">IFERROR(INDEX('Перечень должностей'!$D$2:$D$46,MATCH(H216,'Перечень должностей'!$A$2:$A$46,0)),12)</f>
        <v>12</v>
      </c>
      <c r="K216" s="16"/>
      <c r="L216" s="16"/>
      <c r="M216" s="15" t="str">
        <f aca="false">IF(K216="","",EDATE(IF(L216&lt;&gt;"",L216,K216),J216))</f>
        <v/>
      </c>
      <c r="N216" s="11" t="str">
        <f aca="false">IFERROR(INDEX('Перечень должностей'!$F$2:$F$46,MATCH(H216,'Перечень должностей'!$A$2:$A$46,0)),"")</f>
        <v>-</v>
      </c>
      <c r="O216" s="16"/>
      <c r="P216" s="15" t="str">
        <f aca="false">IF(O216="","",EDATE(O216,60))</f>
        <v/>
      </c>
      <c r="Q216" s="11" t="str">
        <f aca="false">IF(AND(K216&lt;&gt;"",F216&lt;&gt;"",K216&gt;F216),"ДА","")</f>
        <v/>
      </c>
      <c r="R216" s="8"/>
    </row>
    <row r="217" customFormat="false" ht="14.25" hidden="false" customHeight="false" outlineLevel="0" collapsed="false">
      <c r="A217" s="14" t="n">
        <v>216</v>
      </c>
      <c r="B217" s="11" t="s">
        <v>50</v>
      </c>
      <c r="C217" s="14" t="s">
        <v>628</v>
      </c>
      <c r="D217" s="14" t="s">
        <v>625</v>
      </c>
      <c r="E217" s="14" t="s">
        <v>623</v>
      </c>
      <c r="F217" s="15" t="n">
        <v>45978</v>
      </c>
      <c r="G217" s="4" t="str">
        <f aca="false">IF(TRIM(SUBSTITUTE(SUBSTITUTE(SUBSTITUTE(SUBSTITUTE(SUBSTITUTE(SUBSTITUTE(SUBSTITUTE(SUBSTITUTE(SUBSTITUTE(SUBSTITUTE(SUBSTITUTE(LOWER(TRIM(D217)),"ё","е")," -","-"),"- ","-")," 2 разряда","")," 3 разряда","")," 4 разряда","")," 5 разряда","")," 6 разряда","")," 1 категории","")," 2 категории","")," 3 категории",""))="инженер",IF(AND(ISNUMBER(SEARCH("техническ",E217)),ISNUMBER(SEARCH("контрол",E217))),"инженер отк",IF(ISNUMBER(SEARCH("диспетч",E217)),"инженер пдо",TRIM(SUBSTITUTE(SUBSTITUTE(SUBSTITUTE(SUBSTITUTE(SUBSTITUTE(SUBSTITUTE(SUBSTITUTE(SUBSTITUTE(SUBSTITUTE(SUBSTITUTE(SUBSTITUTE(LOWER(TRIM(D217)),"ё","е"),"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категории","")))),IF(TRIM(SUBSTITUTE(SUBSTITUTE(SUBSTITUTE(SUBSTITUTE(SUBSTITUTE(SUBSTITUTE(SUBSTITUTE(SUBSTITUTE(SUBSTITUTE(SUBSTITUTE(SUBSTITUTE(LOWER(TRIM(D217)),"ё","е")," -","-"),"- ","-")," 2 разряда","")," 3 разряда","")," 4 разряда","")," 5 разряда","")," 6 разряда","")," 1 категории","")," 2 категории","")," 3 категории",""))="ведущий инженер",IF(ISNUMBER(SEARCH("диспетч",E217)),"ведущий инженер пдо",TRIM(SUBSTITUTE(SUBSTITUTE(SUBSTITUTE(SUBSTITUTE(SUBSTITUTE(SUBSTITUTE(SUBSTITUTE(SUBSTITUTE(SUBSTITUTE(SUBSTITUTE(SUBSTITUTE(LOWER(TRIM(D217)),"ё","е"),"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отк",TRIM(SUBSTITUTE(SUBSTITUTE(SUBSTITUTE(SUBSTITUTE(SUBSTITUTE(SUBSTITUTE(SUBSTITUTE(SUBSTITUTE(SUBSTITUTE(SUBSTITUTE(SUBSTITUTE(LOWER(TRIM(D217)),"ё","е")," -","-"),"- ","-")," 2 разряда","")," 3 разряда","")," 4 разряда","")," 5 разряда","")," 6 разряда","")," 1 категории","")," 2 категории","")," 3 категории","")))))</f>
        <v>уборщик производственных и служебных помещений</v>
      </c>
      <c r="H217" s="11" t="n">
        <f aca="false">IFERROR(INDEX(Соответствие!$B$2:$B$76,MATCH(G217,Соответствие!$A$2:$A$76,0)),"?")</f>
        <v>10</v>
      </c>
      <c r="I217" s="8" t="str">
        <f aca="false">IFERROR(INDEX('Перечень должностей'!$C$2:$C$46,MATCH(H217,'Перечень должностей'!$A$2:$A$46,0)),"")</f>
        <v>п.1.48, п.4.3.1, п.4.4, п.5.1</v>
      </c>
      <c r="J217" s="11" t="n">
        <f aca="false">IFERROR(INDEX('Перечень должностей'!$D$2:$D$46,MATCH(H217,'Перечень должностей'!$A$2:$A$46,0)),12)</f>
        <v>12</v>
      </c>
      <c r="K217" s="16"/>
      <c r="L217" s="16"/>
      <c r="M217" s="15" t="str">
        <f aca="false">IF(K217="","",EDATE(IF(L217&lt;&gt;"",L217,K217),J217))</f>
        <v/>
      </c>
      <c r="N217" s="11" t="str">
        <f aca="false">IFERROR(INDEX('Перечень должностей'!$F$2:$F$46,MATCH(H217,'Перечень должностей'!$A$2:$A$46,0)),"")</f>
        <v>-</v>
      </c>
      <c r="O217" s="16"/>
      <c r="P217" s="15" t="str">
        <f aca="false">IF(O217="","",EDATE(O217,60))</f>
        <v/>
      </c>
      <c r="Q217" s="11" t="str">
        <f aca="false">IF(AND(K217&lt;&gt;"",F217&lt;&gt;"",K217&gt;F217),"ДА","")</f>
        <v/>
      </c>
      <c r="R217" s="8"/>
    </row>
    <row r="218" customFormat="false" ht="14.25" hidden="false" customHeight="false" outlineLevel="0" collapsed="false">
      <c r="A218" s="14" t="n">
        <v>217</v>
      </c>
      <c r="B218" s="11" t="s">
        <v>50</v>
      </c>
      <c r="C218" s="14" t="s">
        <v>629</v>
      </c>
      <c r="D218" s="14" t="s">
        <v>625</v>
      </c>
      <c r="E218" s="14" t="s">
        <v>623</v>
      </c>
      <c r="F218" s="15" t="n">
        <v>45936</v>
      </c>
      <c r="G218" s="4" t="str">
        <f aca="false">IF(TRIM(SUBSTITUTE(SUBSTITUTE(SUBSTITUTE(SUBSTITUTE(SUBSTITUTE(SUBSTITUTE(SUBSTITUTE(SUBSTITUTE(SUBSTITUTE(SUBSTITUTE(SUBSTITUTE(LOWER(TRIM(D218)),"ё","е")," -","-"),"- ","-")," 2 разряда","")," 3 разряда","")," 4 разряда","")," 5 разряда","")," 6 разряда","")," 1 категории","")," 2 категории","")," 3 категории",""))="инженер",IF(AND(ISNUMBER(SEARCH("техническ",E218)),ISNUMBER(SEARCH("контрол",E218))),"инженер отк",IF(ISNUMBER(SEARCH("диспетч",E218)),"инженер пдо",TRIM(SUBSTITUTE(SUBSTITUTE(SUBSTITUTE(SUBSTITUTE(SUBSTITUTE(SUBSTITUTE(SUBSTITUTE(SUBSTITUTE(SUBSTITUTE(SUBSTITUTE(SUBSTITUTE(LOWER(TRIM(D218)),"ё","е"),"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категории","")))),IF(TRIM(SUBSTITUTE(SUBSTITUTE(SUBSTITUTE(SUBSTITUTE(SUBSTITUTE(SUBSTITUTE(SUBSTITUTE(SUBSTITUTE(SUBSTITUTE(SUBSTITUTE(SUBSTITUTE(LOWER(TRIM(D218)),"ё","е")," -","-"),"- ","-")," 2 разряда","")," 3 разряда","")," 4 разряда","")," 5 разряда","")," 6 разряда","")," 1 категории","")," 2 категории","")," 3 категории",""))="ведущий инженер",IF(ISNUMBER(SEARCH("диспетч",E218)),"ведущий инженер пдо",TRIM(SUBSTITUTE(SUBSTITUTE(SUBSTITUTE(SUBSTITUTE(SUBSTITUTE(SUBSTITUTE(SUBSTITUTE(SUBSTITUTE(SUBSTITUTE(SUBSTITUTE(SUBSTITUTE(LOWER(TRIM(D218)),"ё","е"),"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отк",TRIM(SUBSTITUTE(SUBSTITUTE(SUBSTITUTE(SUBSTITUTE(SUBSTITUTE(SUBSTITUTE(SUBSTITUTE(SUBSTITUTE(SUBSTITUTE(SUBSTITUTE(SUBSTITUTE(LOWER(TRIM(D218)),"ё","е")," -","-"),"- ","-")," 2 разряда","")," 3 разряда","")," 4 разряда","")," 5 разряда","")," 6 разряда","")," 1 категории","")," 2 категории","")," 3 категории","")))))</f>
        <v>уборщик производственных и служебных помещений</v>
      </c>
      <c r="H218" s="11" t="n">
        <f aca="false">IFERROR(INDEX(Соответствие!$B$2:$B$76,MATCH(G218,Соответствие!$A$2:$A$76,0)),"?")</f>
        <v>10</v>
      </c>
      <c r="I218" s="8" t="str">
        <f aca="false">IFERROR(INDEX('Перечень должностей'!$C$2:$C$46,MATCH(H218,'Перечень должностей'!$A$2:$A$46,0)),"")</f>
        <v>п.1.48, п.4.3.1, п.4.4, п.5.1</v>
      </c>
      <c r="J218" s="11" t="n">
        <f aca="false">IFERROR(INDEX('Перечень должностей'!$D$2:$D$46,MATCH(H218,'Перечень должностей'!$A$2:$A$46,0)),12)</f>
        <v>12</v>
      </c>
      <c r="K218" s="16"/>
      <c r="L218" s="16"/>
      <c r="M218" s="15" t="str">
        <f aca="false">IF(K218="","",EDATE(IF(L218&lt;&gt;"",L218,K218),J218))</f>
        <v/>
      </c>
      <c r="N218" s="11" t="str">
        <f aca="false">IFERROR(INDEX('Перечень должностей'!$F$2:$F$46,MATCH(H218,'Перечень должностей'!$A$2:$A$46,0)),"")</f>
        <v>-</v>
      </c>
      <c r="O218" s="16"/>
      <c r="P218" s="15" t="str">
        <f aca="false">IF(O218="","",EDATE(O218,60))</f>
        <v/>
      </c>
      <c r="Q218" s="11" t="str">
        <f aca="false">IF(AND(K218&lt;&gt;"",F218&lt;&gt;"",K218&gt;F218),"ДА","")</f>
        <v/>
      </c>
      <c r="R218" s="8"/>
    </row>
    <row r="219" customFormat="false" ht="14.25" hidden="false" customHeight="false" outlineLevel="0" collapsed="false">
      <c r="A219" s="14" t="n">
        <v>218</v>
      </c>
      <c r="B219" s="11" t="s">
        <v>50</v>
      </c>
      <c r="C219" s="14" t="s">
        <v>630</v>
      </c>
      <c r="D219" s="14" t="s">
        <v>625</v>
      </c>
      <c r="E219" s="14" t="s">
        <v>623</v>
      </c>
      <c r="F219" s="15" t="n">
        <v>45930</v>
      </c>
      <c r="G219" s="4" t="str">
        <f aca="false">IF(TRIM(SUBSTITUTE(SUBSTITUTE(SUBSTITUTE(SUBSTITUTE(SUBSTITUTE(SUBSTITUTE(SUBSTITUTE(SUBSTITUTE(SUBSTITUTE(SUBSTITUTE(SUBSTITUTE(LOWER(TRIM(D219)),"ё","е")," -","-"),"- ","-")," 2 разряда","")," 3 разряда","")," 4 разряда","")," 5 разряда","")," 6 разряда","")," 1 категории","")," 2 категории","")," 3 категории",""))="инженер",IF(AND(ISNUMBER(SEARCH("техническ",E219)),ISNUMBER(SEARCH("контрол",E219))),"инженер отк",IF(ISNUMBER(SEARCH("диспетч",E219)),"инженер пдо",TRIM(SUBSTITUTE(SUBSTITUTE(SUBSTITUTE(SUBSTITUTE(SUBSTITUTE(SUBSTITUTE(SUBSTITUTE(SUBSTITUTE(SUBSTITUTE(SUBSTITUTE(SUBSTITUTE(LOWER(TRIM(D219)),"ё","е"),"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категории","")))),IF(TRIM(SUBSTITUTE(SUBSTITUTE(SUBSTITUTE(SUBSTITUTE(SUBSTITUTE(SUBSTITUTE(SUBSTITUTE(SUBSTITUTE(SUBSTITUTE(SUBSTITUTE(SUBSTITUTE(LOWER(TRIM(D219)),"ё","е")," -","-"),"- ","-")," 2 разряда","")," 3 разряда","")," 4 разряда","")," 5 разряда","")," 6 разряда","")," 1 категории","")," 2 категории","")," 3 категории",""))="ведущий инженер",IF(ISNUMBER(SEARCH("диспетч",E219)),"ведущий инженер пдо",TRIM(SUBSTITUTE(SUBSTITUTE(SUBSTITUTE(SUBSTITUTE(SUBSTITUTE(SUBSTITUTE(SUBSTITUTE(SUBSTITUTE(SUBSTITUTE(SUBSTITUTE(SUBSTITUTE(LOWER(TRIM(D219)),"ё","е"),"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категории",""))),IF(TRIM(SUBSTITUTE(SUBSTITUTE(SUBSTITUTE(SUBSTITUTE(SUBSTITUTE(SUBSTITUTE(SUBSTITUTE(SUBSTITUTE(SUBSTITUTE(SUBSTITUTE(SUBSTITUTE(LOWER(TRIM(D219)),"ё","е"),"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отк",TRIM(SUBSTITUTE(SUBSTITUTE(SUBSTITUTE(SUBSTITUTE(SUBSTITUTE(SUBSTITUTE(SUBSTITUTE(SUBSTITUTE(SUBSTITUTE(SUBSTITUTE(SUBSTITUTE(LOWER(TRIM(D219)),"ё","е")," -","-"),"- ","-")," 2 разряда","")," 3 разряда","")," 4 разряда","")," 5 разряда","")," 6 разряда","")," 1 категории","")," 2 категории","")," 3 категории","")))))</f>
        <v>уборщик производственных и служебных помещений</v>
      </c>
      <c r="H219" s="11" t="n">
        <f aca="false">IFERROR(INDEX(Соответствие!$B$2:$B$76,MATCH(G219,Соответствие!$A$2:$A$76,0)),"?")</f>
        <v>10</v>
      </c>
      <c r="I219" s="8" t="str">
        <f aca="false">IFERROR(INDEX('Перечень должностей'!$C$2:$C$46,MATCH(H219,'Перечень должностей'!$A$2:$A$46,0)),"")</f>
        <v>п.1.48, п.4.3.1, п.4.4, п.5.1</v>
      </c>
      <c r="J219" s="11" t="n">
        <f aca="false">IFERROR(INDEX('Перечень должностей'!$D$2:$D$46,MATCH(H219,'Перечень должностей'!$A$2:$A$46,0)),12)</f>
        <v>12</v>
      </c>
      <c r="K219" s="16"/>
      <c r="L219" s="16"/>
      <c r="M219" s="15" t="str">
        <f aca="false">IF(K219="","",EDATE(IF(L219&lt;&gt;"",L219,K219),J219))</f>
        <v/>
      </c>
      <c r="N219" s="11" t="str">
        <f aca="false">IFERROR(INDEX('Перечень должностей'!$F$2:$F$46,MATCH(H219,'Перечень должностей'!$A$2:$A$46,0)),"")</f>
        <v>-</v>
      </c>
      <c r="O219" s="16"/>
      <c r="P219" s="15" t="str">
        <f aca="false">IF(O219="","",EDATE(O219,60))</f>
        <v/>
      </c>
      <c r="Q219" s="11" t="str">
        <f aca="false">IF(AND(K219&lt;&gt;"",F219&lt;&gt;"",K219&gt;F219),"ДА","")</f>
        <v/>
      </c>
      <c r="R219" s="8"/>
    </row>
    <row r="220" customFormat="false" ht="14.25" hidden="false" customHeight="false" outlineLevel="0" collapsed="false">
      <c r="A220" s="14" t="n">
        <v>219</v>
      </c>
      <c r="B220" s="11" t="s">
        <v>50</v>
      </c>
      <c r="C220" s="14" t="s">
        <v>631</v>
      </c>
      <c r="D220" s="14" t="s">
        <v>632</v>
      </c>
      <c r="E220" s="14" t="s">
        <v>633</v>
      </c>
      <c r="F220" s="15" t="n">
        <v>45545</v>
      </c>
      <c r="G220" s="4" t="str">
        <f aca="false">IF(TRIM(SUBSTITUTE(SUBSTITUTE(SUBSTITUTE(SUBSTITUTE(SUBSTITUTE(SUBSTITUTE(SUBSTITUTE(SUBSTITUTE(SUBSTITUTE(SUBSTITUTE(SUBSTITUTE(LOWER(TRIM(D220)),"ё","е")," -","-"),"- ","-")," 2 разряда","")," 3 разряда","")," 4 разряда","")," 5 разряда","")," 6 разряда","")," 1 категории","")," 2 категории","")," 3 категории",""))="инженер",IF(AND(ISNUMBER(SEARCH("техническ",E220)),ISNUMBER(SEARCH("контрол",E220))),"инженер отк",IF(ISNUMBER(SEARCH("диспетч",E220)),"инженер пдо",TRIM(SUBSTITUTE(SUBSTITUTE(SUBSTITUTE(SUBSTITUTE(SUBSTITUTE(SUBSTITUTE(SUBSTITUTE(SUBSTITUTE(SUBSTITUTE(SUBSTITUTE(SUBSTITUTE(LOWER(TRIM(D220)),"ё","е"),"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категории","")))),IF(TRIM(SUBSTITUTE(SUBSTITUTE(SUBSTITUTE(SUBSTITUTE(SUBSTITUTE(SUBSTITUTE(SUBSTITUTE(SUBSTITUTE(SUBSTITUTE(SUBSTITUTE(SUBSTITUTE(LOWER(TRIM(D220)),"ё","е")," -","-"),"- ","-")," 2 разряда","")," 3 разряда","")," 4 разряда","")," 5 разряда","")," 6 разряда","")," 1 категории","")," 2 категории","")," 3 категории",""))="ведущий инженер",IF(ISNUMBER(SEARCH("диспетч",E220)),"ведущий инженер пдо",TRIM(SUBSTITUTE(SUBSTITUTE(SUBSTITUTE(SUBSTITUTE(SUBSTITUTE(SUBSTITUTE(SUBSTITUTE(SUBSTITUTE(SUBSTITUTE(SUBSTITUTE(SUBSTITUTE(LOWER(TRIM(D220)),"ё","е"),"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отк",TRIM(SUBSTITUTE(SUBSTITUTE(SUBSTITUTE(SUBSTITUTE(SUBSTITUTE(SUBSTITUTE(SUBSTITUTE(SUBSTITUTE(SUBSTITUTE(SUBSTITUTE(SUBSTITUTE(LOWER(TRIM(D220)),"ё","е")," -","-"),"- ","-")," 2 разряда","")," 3 разряда","")," 4 разряда","")," 5 разряда","")," 6 разряда","")," 1 категории","")," 2 категории","")," 3 категории","")))))</f>
        <v>сторож</v>
      </c>
      <c r="H220" s="11" t="n">
        <f aca="false">IFERROR(INDEX(Соответствие!$B$2:$B$76,MATCH(G220,Соответствие!$A$2:$A$76,0)),"?")</f>
        <v>45</v>
      </c>
      <c r="I220" s="8" t="str">
        <f aca="false">IFERROR(INDEX('Перечень должностей'!$C$2:$C$46,MATCH(H220,'Перечень должностей'!$A$2:$A$46,0)),"")</f>
        <v>п.4.7, п.4.8, п.5.1, п.5.2</v>
      </c>
      <c r="J220" s="11" t="n">
        <f aca="false">IFERROR(INDEX('Перечень должностей'!$D$2:$D$46,MATCH(H220,'Перечень должностей'!$A$2:$A$46,0)),12)</f>
        <v>12</v>
      </c>
      <c r="K220" s="16"/>
      <c r="L220" s="16"/>
      <c r="M220" s="15" t="str">
        <f aca="false">IF(K220="","",EDATE(IF(L220&lt;&gt;"",L220,K220),J220))</f>
        <v/>
      </c>
      <c r="N220" s="11" t="str">
        <f aca="false">IFERROR(INDEX('Перечень должностей'!$F$2:$F$46,MATCH(H220,'Перечень должностей'!$A$2:$A$46,0)),"")</f>
        <v>Нет</v>
      </c>
      <c r="O220" s="16"/>
      <c r="P220" s="15" t="str">
        <f aca="false">IF(O220="","",EDATE(O220,60))</f>
        <v/>
      </c>
      <c r="Q220" s="11" t="str">
        <f aca="false">IF(AND(K220&lt;&gt;"",F220&lt;&gt;"",K220&gt;F220),"ДА","")</f>
        <v/>
      </c>
      <c r="R220" s="8"/>
    </row>
    <row r="221" customFormat="false" ht="14.25" hidden="false" customHeight="false" outlineLevel="0" collapsed="false">
      <c r="A221" s="14" t="n">
        <v>220</v>
      </c>
      <c r="B221" s="11" t="s">
        <v>50</v>
      </c>
      <c r="C221" s="14" t="s">
        <v>634</v>
      </c>
      <c r="D221" s="14" t="s">
        <v>632</v>
      </c>
      <c r="E221" s="14" t="s">
        <v>633</v>
      </c>
      <c r="F221" s="15" t="n">
        <v>42919</v>
      </c>
      <c r="G221" s="4" t="str">
        <f aca="false">IF(TRIM(SUBSTITUTE(SUBSTITUTE(SUBSTITUTE(SUBSTITUTE(SUBSTITUTE(SUBSTITUTE(SUBSTITUTE(SUBSTITUTE(SUBSTITUTE(SUBSTITUTE(SUBSTITUTE(LOWER(TRIM(D221)),"ё","е")," -","-"),"- ","-")," 2 разряда","")," 3 разряда","")," 4 разряда","")," 5 разряда","")," 6 разряда","")," 1 категории","")," 2 категории","")," 3 категории",""))="инженер",IF(AND(ISNUMBER(SEARCH("техническ",E221)),ISNUMBER(SEARCH("контрол",E221))),"инженер отк",IF(ISNUMBER(SEARCH("диспетч",E221)),"инженер пдо",TRIM(SUBSTITUTE(SUBSTITUTE(SUBSTITUTE(SUBSTITUTE(SUBSTITUTE(SUBSTITUTE(SUBSTITUTE(SUBSTITUTE(SUBSTITUTE(SUBSTITUTE(SUBSTITUTE(LOWER(TRIM(D221)),"ё","е"),"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категории","")))),IF(TRIM(SUBSTITUTE(SUBSTITUTE(SUBSTITUTE(SUBSTITUTE(SUBSTITUTE(SUBSTITUTE(SUBSTITUTE(SUBSTITUTE(SUBSTITUTE(SUBSTITUTE(SUBSTITUTE(LOWER(TRIM(D221)),"ё","е")," -","-"),"- ","-")," 2 разряда","")," 3 разряда","")," 4 разряда","")," 5 разряда","")," 6 разряда","")," 1 категории","")," 2 категории","")," 3 категории",""))="ведущий инженер",IF(ISNUMBER(SEARCH("диспетч",E221)),"ведущий инженер пдо",TRIM(SUBSTITUTE(SUBSTITUTE(SUBSTITUTE(SUBSTITUTE(SUBSTITUTE(SUBSTITUTE(SUBSTITUTE(SUBSTITUTE(SUBSTITUTE(SUBSTITUTE(SUBSTITUTE(LOWER(TRIM(D221)),"ё","е"),"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отк",TRIM(SUBSTITUTE(SUBSTITUTE(SUBSTITUTE(SUBSTITUTE(SUBSTITUTE(SUBSTITUTE(SUBSTITUTE(SUBSTITUTE(SUBSTITUTE(SUBSTITUTE(SUBSTITUTE(LOWER(TRIM(D221)),"ё","е")," -","-"),"- ","-")," 2 разряда","")," 3 разряда","")," 4 разряда","")," 5 разряда","")," 6 разряда","")," 1 категории","")," 2 категории","")," 3 категории","")))))</f>
        <v>сторож</v>
      </c>
      <c r="H221" s="11" t="n">
        <f aca="false">IFERROR(INDEX(Соответствие!$B$2:$B$76,MATCH(G221,Соответствие!$A$2:$A$76,0)),"?")</f>
        <v>45</v>
      </c>
      <c r="I221" s="8" t="str">
        <f aca="false">IFERROR(INDEX('Перечень должностей'!$C$2:$C$46,MATCH(H221,'Перечень должностей'!$A$2:$A$46,0)),"")</f>
        <v>п.4.7, п.4.8, п.5.1, п.5.2</v>
      </c>
      <c r="J221" s="11" t="n">
        <f aca="false">IFERROR(INDEX('Перечень должностей'!$D$2:$D$46,MATCH(H221,'Перечень должностей'!$A$2:$A$46,0)),12)</f>
        <v>12</v>
      </c>
      <c r="K221" s="16"/>
      <c r="L221" s="16"/>
      <c r="M221" s="15" t="str">
        <f aca="false">IF(K221="","",EDATE(IF(L221&lt;&gt;"",L221,K221),J221))</f>
        <v/>
      </c>
      <c r="N221" s="11" t="str">
        <f aca="false">IFERROR(INDEX('Перечень должностей'!$F$2:$F$46,MATCH(H221,'Перечень должностей'!$A$2:$A$46,0)),"")</f>
        <v>Нет</v>
      </c>
      <c r="O221" s="16"/>
      <c r="P221" s="15" t="str">
        <f aca="false">IF(O221="","",EDATE(O221,60))</f>
        <v/>
      </c>
      <c r="Q221" s="11" t="str">
        <f aca="false">IF(AND(K221&lt;&gt;"",F221&lt;&gt;"",K221&gt;F221),"ДА","")</f>
        <v/>
      </c>
      <c r="R221" s="8"/>
    </row>
    <row r="222" customFormat="false" ht="14.25" hidden="false" customHeight="false" outlineLevel="0" collapsed="false">
      <c r="A222" s="14" t="n">
        <v>221</v>
      </c>
      <c r="B222" s="11" t="s">
        <v>50</v>
      </c>
      <c r="C222" s="14" t="s">
        <v>635</v>
      </c>
      <c r="D222" s="14" t="s">
        <v>632</v>
      </c>
      <c r="E222" s="14" t="s">
        <v>633</v>
      </c>
      <c r="F222" s="15" t="n">
        <v>42919</v>
      </c>
      <c r="G222" s="4" t="str">
        <f aca="false">IF(TRIM(SUBSTITUTE(SUBSTITUTE(SUBSTITUTE(SUBSTITUTE(SUBSTITUTE(SUBSTITUTE(SUBSTITUTE(SUBSTITUTE(SUBSTITUTE(SUBSTITUTE(SUBSTITUTE(LOWER(TRIM(D222)),"ё","е")," -","-"),"- ","-")," 2 разряда","")," 3 разряда","")," 4 разряда","")," 5 разряда","")," 6 разряда","")," 1 категории","")," 2 категории","")," 3 категории",""))="инженер",IF(AND(ISNUMBER(SEARCH("техническ",E222)),ISNUMBER(SEARCH("контрол",E222))),"инженер отк",IF(ISNUMBER(SEARCH("диспетч",E222)),"инженер пдо",TRIM(SUBSTITUTE(SUBSTITUTE(SUBSTITUTE(SUBSTITUTE(SUBSTITUTE(SUBSTITUTE(SUBSTITUTE(SUBSTITUTE(SUBSTITUTE(SUBSTITUTE(SUBSTITUTE(LOWER(TRIM(D222)),"ё","е"),"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категории","")))),IF(TRIM(SUBSTITUTE(SUBSTITUTE(SUBSTITUTE(SUBSTITUTE(SUBSTITUTE(SUBSTITUTE(SUBSTITUTE(SUBSTITUTE(SUBSTITUTE(SUBSTITUTE(SUBSTITUTE(LOWER(TRIM(D222)),"ё","е")," -","-"),"- ","-")," 2 разряда","")," 3 разряда","")," 4 разряда","")," 5 разряда","")," 6 разряда","")," 1 категории","")," 2 категории","")," 3 категории",""))="ведущий инженер",IF(ISNUMBER(SEARCH("диспетч",E222)),"ведущий инженер пдо",TRIM(SUBSTITUTE(SUBSTITUTE(SUBSTITUTE(SUBSTITUTE(SUBSTITUTE(SUBSTITUTE(SUBSTITUTE(SUBSTITUTE(SUBSTITUTE(SUBSTITUTE(SUBSTITUTE(LOWER(TRIM(D222)),"ё","е"),"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отк",TRIM(SUBSTITUTE(SUBSTITUTE(SUBSTITUTE(SUBSTITUTE(SUBSTITUTE(SUBSTITUTE(SUBSTITUTE(SUBSTITUTE(SUBSTITUTE(SUBSTITUTE(SUBSTITUTE(LOWER(TRIM(D222)),"ё","е")," -","-"),"- ","-")," 2 разряда","")," 3 разряда","")," 4 разряда","")," 5 разряда","")," 6 разряда","")," 1 категории","")," 2 категории","")," 3 категории","")))))</f>
        <v>сторож</v>
      </c>
      <c r="H222" s="11" t="n">
        <f aca="false">IFERROR(INDEX(Соответствие!$B$2:$B$76,MATCH(G222,Соответствие!$A$2:$A$76,0)),"?")</f>
        <v>45</v>
      </c>
      <c r="I222" s="8" t="str">
        <f aca="false">IFERROR(INDEX('Перечень должностей'!$C$2:$C$46,MATCH(H222,'Перечень должностей'!$A$2:$A$46,0)),"")</f>
        <v>п.4.7, п.4.8, п.5.1, п.5.2</v>
      </c>
      <c r="J222" s="11" t="n">
        <f aca="false">IFERROR(INDEX('Перечень должностей'!$D$2:$D$46,MATCH(H222,'Перечень должностей'!$A$2:$A$46,0)),12)</f>
        <v>12</v>
      </c>
      <c r="K222" s="16"/>
      <c r="L222" s="16"/>
      <c r="M222" s="15" t="str">
        <f aca="false">IF(K222="","",EDATE(IF(L222&lt;&gt;"",L222,K222),J222))</f>
        <v/>
      </c>
      <c r="N222" s="11" t="str">
        <f aca="false">IFERROR(INDEX('Перечень должностей'!$F$2:$F$46,MATCH(H222,'Перечень должностей'!$A$2:$A$46,0)),"")</f>
        <v>Нет</v>
      </c>
      <c r="O222" s="16"/>
      <c r="P222" s="15" t="str">
        <f aca="false">IF(O222="","",EDATE(O222,60))</f>
        <v/>
      </c>
      <c r="Q222" s="11" t="str">
        <f aca="false">IF(AND(K222&lt;&gt;"",F222&lt;&gt;"",K222&gt;F222),"ДА","")</f>
        <v/>
      </c>
      <c r="R222" s="8"/>
    </row>
    <row r="223" customFormat="false" ht="14.25" hidden="false" customHeight="false" outlineLevel="0" collapsed="false">
      <c r="A223" s="14" t="n">
        <v>222</v>
      </c>
      <c r="B223" s="11" t="s">
        <v>50</v>
      </c>
      <c r="C223" s="14" t="s">
        <v>636</v>
      </c>
      <c r="D223" s="14" t="s">
        <v>632</v>
      </c>
      <c r="E223" s="14" t="s">
        <v>633</v>
      </c>
      <c r="F223" s="15" t="n">
        <v>45398</v>
      </c>
      <c r="G223" s="4" t="str">
        <f aca="false">IF(TRIM(SUBSTITUTE(SUBSTITUTE(SUBSTITUTE(SUBSTITUTE(SUBSTITUTE(SUBSTITUTE(SUBSTITUTE(SUBSTITUTE(SUBSTITUTE(SUBSTITUTE(SUBSTITUTE(LOWER(TRIM(D223)),"ё","е")," -","-"),"- ","-")," 2 разряда","")," 3 разряда","")," 4 разряда","")," 5 разряда","")," 6 разряда","")," 1 категории","")," 2 категории","")," 3 категории",""))="инженер",IF(AND(ISNUMBER(SEARCH("техническ",E223)),ISNUMBER(SEARCH("контрол",E223))),"инженер отк",IF(ISNUMBER(SEARCH("диспетч",E223)),"инженер пдо",TRIM(SUBSTITUTE(SUBSTITUTE(SUBSTITUTE(SUBSTITUTE(SUBSTITUTE(SUBSTITUTE(SUBSTITUTE(SUBSTITUTE(SUBSTITUTE(SUBSTITUTE(SUBSTITUTE(LOWER(TRIM(D223)),"ё","е"),"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категории","")))),IF(TRIM(SUBSTITUTE(SUBSTITUTE(SUBSTITUTE(SUBSTITUTE(SUBSTITUTE(SUBSTITUTE(SUBSTITUTE(SUBSTITUTE(SUBSTITUTE(SUBSTITUTE(SUBSTITUTE(LOWER(TRIM(D223)),"ё","е")," -","-"),"- ","-")," 2 разряда","")," 3 разряда","")," 4 разряда","")," 5 разряда","")," 6 разряда","")," 1 категории","")," 2 категории","")," 3 категории",""))="ведущий инженер",IF(ISNUMBER(SEARCH("диспетч",E223)),"ведущий инженер пдо",TRIM(SUBSTITUTE(SUBSTITUTE(SUBSTITUTE(SUBSTITUTE(SUBSTITUTE(SUBSTITUTE(SUBSTITUTE(SUBSTITUTE(SUBSTITUTE(SUBSTITUTE(SUBSTITUTE(LOWER(TRIM(D223)),"ё","е"),"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отк",TRIM(SUBSTITUTE(SUBSTITUTE(SUBSTITUTE(SUBSTITUTE(SUBSTITUTE(SUBSTITUTE(SUBSTITUTE(SUBSTITUTE(SUBSTITUTE(SUBSTITUTE(SUBSTITUTE(LOWER(TRIM(D223)),"ё","е")," -","-"),"- ","-")," 2 разряда","")," 3 разряда","")," 4 разряда","")," 5 разряда","")," 6 разряда","")," 1 категории","")," 2 категории","")," 3 категории","")))))</f>
        <v>сторож</v>
      </c>
      <c r="H223" s="11" t="n">
        <f aca="false">IFERROR(INDEX(Соответствие!$B$2:$B$76,MATCH(G223,Соответствие!$A$2:$A$76,0)),"?")</f>
        <v>45</v>
      </c>
      <c r="I223" s="8" t="str">
        <f aca="false">IFERROR(INDEX('Перечень должностей'!$C$2:$C$46,MATCH(H223,'Перечень должностей'!$A$2:$A$46,0)),"")</f>
        <v>п.4.7, п.4.8, п.5.1, п.5.2</v>
      </c>
      <c r="J223" s="11" t="n">
        <f aca="false">IFERROR(INDEX('Перечень должностей'!$D$2:$D$46,MATCH(H223,'Перечень должностей'!$A$2:$A$46,0)),12)</f>
        <v>12</v>
      </c>
      <c r="K223" s="16"/>
      <c r="L223" s="16"/>
      <c r="M223" s="15" t="str">
        <f aca="false">IF(K223="","",EDATE(IF(L223&lt;&gt;"",L223,K223),J223))</f>
        <v/>
      </c>
      <c r="N223" s="11" t="str">
        <f aca="false">IFERROR(INDEX('Перечень должностей'!$F$2:$F$46,MATCH(H223,'Перечень должностей'!$A$2:$A$46,0)),"")</f>
        <v>Нет</v>
      </c>
      <c r="O223" s="16"/>
      <c r="P223" s="15" t="str">
        <f aca="false">IF(O223="","",EDATE(O223,60))</f>
        <v/>
      </c>
      <c r="Q223" s="11" t="str">
        <f aca="false">IF(AND(K223&lt;&gt;"",F223&lt;&gt;"",K223&gt;F223),"ДА","")</f>
        <v/>
      </c>
      <c r="R223" s="8"/>
    </row>
    <row r="224" customFormat="false" ht="14.25" hidden="false" customHeight="false" outlineLevel="0" collapsed="false">
      <c r="A224" s="14" t="n">
        <v>223</v>
      </c>
      <c r="B224" s="11" t="s">
        <v>50</v>
      </c>
      <c r="C224" s="14" t="s">
        <v>637</v>
      </c>
      <c r="D224" s="14" t="s">
        <v>632</v>
      </c>
      <c r="E224" s="14" t="s">
        <v>633</v>
      </c>
      <c r="F224" s="15" t="n">
        <v>42919</v>
      </c>
      <c r="G224" s="4" t="str">
        <f aca="false">IF(TRIM(SUBSTITUTE(SUBSTITUTE(SUBSTITUTE(SUBSTITUTE(SUBSTITUTE(SUBSTITUTE(SUBSTITUTE(SUBSTITUTE(SUBSTITUTE(SUBSTITUTE(SUBSTITUTE(LOWER(TRIM(D224)),"ё","е")," -","-"),"- ","-")," 2 разряда","")," 3 разряда","")," 4 разряда","")," 5 разряда","")," 6 разряда","")," 1 категории","")," 2 категории","")," 3 категории",""))="инженер",IF(AND(ISNUMBER(SEARCH("техническ",E224)),ISNUMBER(SEARCH("контрол",E224))),"инженер отк",IF(ISNUMBER(SEARCH("диспетч",E224)),"инженер пдо",TRIM(SUBSTITUTE(SUBSTITUTE(SUBSTITUTE(SUBSTITUTE(SUBSTITUTE(SUBSTITUTE(SUBSTITUTE(SUBSTITUTE(SUBSTITUTE(SUBSTITUTE(SUBSTITUTE(LOWER(TRIM(D224)),"ё","е"),"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категории","")))),IF(TRIM(SUBSTITUTE(SUBSTITUTE(SUBSTITUTE(SUBSTITUTE(SUBSTITUTE(SUBSTITUTE(SUBSTITUTE(SUBSTITUTE(SUBSTITUTE(SUBSTITUTE(SUBSTITUTE(LOWER(TRIM(D224)),"ё","е")," -","-"),"- ","-")," 2 разряда","")," 3 разряда","")," 4 разряда","")," 5 разряда","")," 6 разряда","")," 1 категории","")," 2 категории","")," 3 категории",""))="ведущий инженер",IF(ISNUMBER(SEARCH("диспетч",E224)),"ведущий инженер пдо",TRIM(SUBSTITUTE(SUBSTITUTE(SUBSTITUTE(SUBSTITUTE(SUBSTITUTE(SUBSTITUTE(SUBSTITUTE(SUBSTITUTE(SUBSTITUTE(SUBSTITUTE(SUBSTITUTE(LOWER(TRIM(D224)),"ё","е"),"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отк",TRIM(SUBSTITUTE(SUBSTITUTE(SUBSTITUTE(SUBSTITUTE(SUBSTITUTE(SUBSTITUTE(SUBSTITUTE(SUBSTITUTE(SUBSTITUTE(SUBSTITUTE(SUBSTITUTE(LOWER(TRIM(D224)),"ё","е")," -","-"),"- ","-")," 2 разряда","")," 3 разряда","")," 4 разряда","")," 5 разряда","")," 6 разряда","")," 1 категории","")," 2 категории","")," 3 категории","")))))</f>
        <v>сторож</v>
      </c>
      <c r="H224" s="11" t="n">
        <f aca="false">IFERROR(INDEX(Соответствие!$B$2:$B$76,MATCH(G224,Соответствие!$A$2:$A$76,0)),"?")</f>
        <v>45</v>
      </c>
      <c r="I224" s="8" t="str">
        <f aca="false">IFERROR(INDEX('Перечень должностей'!$C$2:$C$46,MATCH(H224,'Перечень должностей'!$A$2:$A$46,0)),"")</f>
        <v>п.4.7, п.4.8, п.5.1, п.5.2</v>
      </c>
      <c r="J224" s="11" t="n">
        <f aca="false">IFERROR(INDEX('Перечень должностей'!$D$2:$D$46,MATCH(H224,'Перечень должностей'!$A$2:$A$46,0)),12)</f>
        <v>12</v>
      </c>
      <c r="K224" s="16"/>
      <c r="L224" s="16"/>
      <c r="M224" s="15" t="str">
        <f aca="false">IF(K224="","",EDATE(IF(L224&lt;&gt;"",L224,K224),J224))</f>
        <v/>
      </c>
      <c r="N224" s="11" t="str">
        <f aca="false">IFERROR(INDEX('Перечень должностей'!$F$2:$F$46,MATCH(H224,'Перечень должностей'!$A$2:$A$46,0)),"")</f>
        <v>Нет</v>
      </c>
      <c r="O224" s="16"/>
      <c r="P224" s="15" t="str">
        <f aca="false">IF(O224="","",EDATE(O224,60))</f>
        <v/>
      </c>
      <c r="Q224" s="11" t="str">
        <f aca="false">IF(AND(K224&lt;&gt;"",F224&lt;&gt;"",K224&gt;F224),"ДА","")</f>
        <v/>
      </c>
      <c r="R224" s="8"/>
    </row>
    <row r="225" customFormat="false" ht="14.25" hidden="false" customHeight="false" outlineLevel="0" collapsed="false">
      <c r="A225" s="14" t="n">
        <v>224</v>
      </c>
      <c r="B225" s="11" t="s">
        <v>50</v>
      </c>
      <c r="C225" s="14" t="s">
        <v>638</v>
      </c>
      <c r="D225" s="14" t="s">
        <v>632</v>
      </c>
      <c r="E225" s="14" t="s">
        <v>633</v>
      </c>
      <c r="F225" s="15" t="n">
        <v>42919</v>
      </c>
      <c r="G225" s="4" t="str">
        <f aca="false">IF(TRIM(SUBSTITUTE(SUBSTITUTE(SUBSTITUTE(SUBSTITUTE(SUBSTITUTE(SUBSTITUTE(SUBSTITUTE(SUBSTITUTE(SUBSTITUTE(SUBSTITUTE(SUBSTITUTE(LOWER(TRIM(D225)),"ё","е")," -","-"),"- ","-")," 2 разряда","")," 3 разряда","")," 4 разряда","")," 5 разряда","")," 6 разряда","")," 1 категории","")," 2 категории","")," 3 категории",""))="инженер",IF(AND(ISNUMBER(SEARCH("техническ",E225)),ISNUMBER(SEARCH("контрол",E225))),"инженер отк",IF(ISNUMBER(SEARCH("диспетч",E225)),"инженер пдо",TRIM(SUBSTITUTE(SUBSTITUTE(SUBSTITUTE(SUBSTITUTE(SUBSTITUTE(SUBSTITUTE(SUBSTITUTE(SUBSTITUTE(SUBSTITUTE(SUBSTITUTE(SUBSTITUTE(LOWER(TRIM(D225)),"ё","е"),"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категории","")))),IF(TRIM(SUBSTITUTE(SUBSTITUTE(SUBSTITUTE(SUBSTITUTE(SUBSTITUTE(SUBSTITUTE(SUBSTITUTE(SUBSTITUTE(SUBSTITUTE(SUBSTITUTE(SUBSTITUTE(LOWER(TRIM(D225)),"ё","е")," -","-"),"- ","-")," 2 разряда","")," 3 разряда","")," 4 разряда","")," 5 разряда","")," 6 разряда","")," 1 категории","")," 2 категории","")," 3 категории",""))="ведущий инженер",IF(ISNUMBER(SEARCH("диспетч",E225)),"ведущий инженер пдо",TRIM(SUBSTITUTE(SUBSTITUTE(SUBSTITUTE(SUBSTITUTE(SUBSTITUTE(SUBSTITUTE(SUBSTITUTE(SUBSTITUTE(SUBSTITUTE(SUBSTITUTE(SUBSTITUTE(LOWER(TRIM(D225)),"ё","е"),"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отк",TRIM(SUBSTITUTE(SUBSTITUTE(SUBSTITUTE(SUBSTITUTE(SUBSTITUTE(SUBSTITUTE(SUBSTITUTE(SUBSTITUTE(SUBSTITUTE(SUBSTITUTE(SUBSTITUTE(LOWER(TRIM(D225)),"ё","е")," -","-"),"- ","-")," 2 разряда","")," 3 разряда","")," 4 разряда","")," 5 разряда","")," 6 разряда","")," 1 категории","")," 2 категории","")," 3 категории","")))))</f>
        <v>сторож</v>
      </c>
      <c r="H225" s="11" t="n">
        <f aca="false">IFERROR(INDEX(Соответствие!$B$2:$B$76,MATCH(G225,Соответствие!$A$2:$A$76,0)),"?")</f>
        <v>45</v>
      </c>
      <c r="I225" s="8" t="str">
        <f aca="false">IFERROR(INDEX('Перечень должностей'!$C$2:$C$46,MATCH(H225,'Перечень должностей'!$A$2:$A$46,0)),"")</f>
        <v>п.4.7, п.4.8, п.5.1, п.5.2</v>
      </c>
      <c r="J225" s="11" t="n">
        <f aca="false">IFERROR(INDEX('Перечень должностей'!$D$2:$D$46,MATCH(H225,'Перечень должностей'!$A$2:$A$46,0)),12)</f>
        <v>12</v>
      </c>
      <c r="K225" s="16"/>
      <c r="L225" s="16"/>
      <c r="M225" s="15" t="str">
        <f aca="false">IF(K225="","",EDATE(IF(L225&lt;&gt;"",L225,K225),J225))</f>
        <v/>
      </c>
      <c r="N225" s="11" t="str">
        <f aca="false">IFERROR(INDEX('Перечень должностей'!$F$2:$F$46,MATCH(H225,'Перечень должностей'!$A$2:$A$46,0)),"")</f>
        <v>Нет</v>
      </c>
      <c r="O225" s="16"/>
      <c r="P225" s="15" t="str">
        <f aca="false">IF(O225="","",EDATE(O225,60))</f>
        <v/>
      </c>
      <c r="Q225" s="11" t="str">
        <f aca="false">IF(AND(K225&lt;&gt;"",F225&lt;&gt;"",K225&gt;F225),"ДА","")</f>
        <v/>
      </c>
      <c r="R225" s="8"/>
    </row>
    <row r="226" customFormat="false" ht="14.25" hidden="false" customHeight="false" outlineLevel="0" collapsed="false">
      <c r="A226" s="14" t="n">
        <v>225</v>
      </c>
      <c r="B226" s="11" t="s">
        <v>50</v>
      </c>
      <c r="C226" s="14" t="s">
        <v>639</v>
      </c>
      <c r="D226" s="14" t="s">
        <v>632</v>
      </c>
      <c r="E226" s="14" t="s">
        <v>633</v>
      </c>
      <c r="F226" s="15" t="n">
        <v>42919</v>
      </c>
      <c r="G226" s="4" t="str">
        <f aca="false">IF(TRIM(SUBSTITUTE(SUBSTITUTE(SUBSTITUTE(SUBSTITUTE(SUBSTITUTE(SUBSTITUTE(SUBSTITUTE(SUBSTITUTE(SUBSTITUTE(SUBSTITUTE(SUBSTITUTE(LOWER(TRIM(D226)),"ё","е")," -","-"),"- ","-")," 2 разряда","")," 3 разряда","")," 4 разряда","")," 5 разряда","")," 6 разряда","")," 1 категории","")," 2 категории","")," 3 категории",""))="инженер",IF(AND(ISNUMBER(SEARCH("техническ",E226)),ISNUMBER(SEARCH("контрол",E226))),"инженер отк",IF(ISNUMBER(SEARCH("диспетч",E226)),"инженер пдо",TRIM(SUBSTITUTE(SUBSTITUTE(SUBSTITUTE(SUBSTITUTE(SUBSTITUTE(SUBSTITUTE(SUBSTITUTE(SUBSTITUTE(SUBSTITUTE(SUBSTITUTE(SUBSTITUTE(LOWER(TRIM(D226)),"ё","е"),"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категории","")))),IF(TRIM(SUBSTITUTE(SUBSTITUTE(SUBSTITUTE(SUBSTITUTE(SUBSTITUTE(SUBSTITUTE(SUBSTITUTE(SUBSTITUTE(SUBSTITUTE(SUBSTITUTE(SUBSTITUTE(LOWER(TRIM(D226)),"ё","е")," -","-"),"- ","-")," 2 разряда","")," 3 разряда","")," 4 разряда","")," 5 разряда","")," 6 разряда","")," 1 категории","")," 2 категории","")," 3 категории",""))="ведущий инженер",IF(ISNUMBER(SEARCH("диспетч",E226)),"ведущий инженер пдо",TRIM(SUBSTITUTE(SUBSTITUTE(SUBSTITUTE(SUBSTITUTE(SUBSTITUTE(SUBSTITUTE(SUBSTITUTE(SUBSTITUTE(SUBSTITUTE(SUBSTITUTE(SUBSTITUTE(LOWER(TRIM(D226)),"ё","е"),"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отк",TRIM(SUBSTITUTE(SUBSTITUTE(SUBSTITUTE(SUBSTITUTE(SUBSTITUTE(SUBSTITUTE(SUBSTITUTE(SUBSTITUTE(SUBSTITUTE(SUBSTITUTE(SUBSTITUTE(LOWER(TRIM(D226)),"ё","е")," -","-"),"- ","-")," 2 разряда","")," 3 разряда","")," 4 разряда","")," 5 разряда","")," 6 разряда","")," 1 категории","")," 2 категории","")," 3 категории","")))))</f>
        <v>сторож</v>
      </c>
      <c r="H226" s="11" t="n">
        <f aca="false">IFERROR(INDEX(Соответствие!$B$2:$B$76,MATCH(G226,Соответствие!$A$2:$A$76,0)),"?")</f>
        <v>45</v>
      </c>
      <c r="I226" s="8" t="str">
        <f aca="false">IFERROR(INDEX('Перечень должностей'!$C$2:$C$46,MATCH(H226,'Перечень должностей'!$A$2:$A$46,0)),"")</f>
        <v>п.4.7, п.4.8, п.5.1, п.5.2</v>
      </c>
      <c r="J226" s="11" t="n">
        <f aca="false">IFERROR(INDEX('Перечень должностей'!$D$2:$D$46,MATCH(H226,'Перечень должностей'!$A$2:$A$46,0)),12)</f>
        <v>12</v>
      </c>
      <c r="K226" s="16"/>
      <c r="L226" s="16"/>
      <c r="M226" s="15" t="str">
        <f aca="false">IF(K226="","",EDATE(IF(L226&lt;&gt;"",L226,K226),J226))</f>
        <v/>
      </c>
      <c r="N226" s="11" t="str">
        <f aca="false">IFERROR(INDEX('Перечень должностей'!$F$2:$F$46,MATCH(H226,'Перечень должностей'!$A$2:$A$46,0)),"")</f>
        <v>Нет</v>
      </c>
      <c r="O226" s="16"/>
      <c r="P226" s="15" t="str">
        <f aca="false">IF(O226="","",EDATE(O226,60))</f>
        <v/>
      </c>
      <c r="Q226" s="11" t="str">
        <f aca="false">IF(AND(K226&lt;&gt;"",F226&lt;&gt;"",K226&gt;F226),"ДА","")</f>
        <v/>
      </c>
      <c r="R226" s="8"/>
    </row>
    <row r="227" customFormat="false" ht="14.25" hidden="false" customHeight="false" outlineLevel="0" collapsed="false">
      <c r="A227" s="14" t="n">
        <v>226</v>
      </c>
      <c r="B227" s="11" t="s">
        <v>50</v>
      </c>
      <c r="C227" s="14" t="s">
        <v>640</v>
      </c>
      <c r="D227" s="14" t="s">
        <v>641</v>
      </c>
      <c r="E227" s="14" t="s">
        <v>633</v>
      </c>
      <c r="F227" s="15" t="n">
        <v>42919</v>
      </c>
      <c r="G227" s="4" t="str">
        <f aca="false">IF(TRIM(SUBSTITUTE(SUBSTITUTE(SUBSTITUTE(SUBSTITUTE(SUBSTITUTE(SUBSTITUTE(SUBSTITUTE(SUBSTITUTE(SUBSTITUTE(SUBSTITUTE(SUBSTITUTE(LOWER(TRIM(D227)),"ё","е")," -","-"),"- ","-")," 2 разряда","")," 3 разряда","")," 4 разряда","")," 5 разряда","")," 6 разряда","")," 1 категории","")," 2 категории","")," 3 категории",""))="инженер",IF(AND(ISNUMBER(SEARCH("техническ",E227)),ISNUMBER(SEARCH("контрол",E227))),"инженер отк",IF(ISNUMBER(SEARCH("диспетч",E227)),"инженер пдо",TRIM(SUBSTITUTE(SUBSTITUTE(SUBSTITUTE(SUBSTITUTE(SUBSTITUTE(SUBSTITUTE(SUBSTITUTE(SUBSTITUTE(SUBSTITUTE(SUBSTITUTE(SUBSTITUTE(LOWER(TRIM(D227)),"ё","е"),"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категории","")))),IF(TRIM(SUBSTITUTE(SUBSTITUTE(SUBSTITUTE(SUBSTITUTE(SUBSTITUTE(SUBSTITUTE(SUBSTITUTE(SUBSTITUTE(SUBSTITUTE(SUBSTITUTE(SUBSTITUTE(LOWER(TRIM(D227)),"ё","е")," -","-"),"- ","-")," 2 разряда","")," 3 разряда","")," 4 разряда","")," 5 разряда","")," 6 разряда","")," 1 категории","")," 2 категории","")," 3 категории",""))="ведущий инженер",IF(ISNUMBER(SEARCH("диспетч",E227)),"ведущий инженер пдо",TRIM(SUBSTITUTE(SUBSTITUTE(SUBSTITUTE(SUBSTITUTE(SUBSTITUTE(SUBSTITUTE(SUBSTITUTE(SUBSTITUTE(SUBSTITUTE(SUBSTITUTE(SUBSTITUTE(LOWER(TRIM(D227)),"ё","е"),"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отк",TRIM(SUBSTITUTE(SUBSTITUTE(SUBSTITUTE(SUBSTITUTE(SUBSTITUTE(SUBSTITUTE(SUBSTITUTE(SUBSTITUTE(SUBSTITUTE(SUBSTITUTE(SUBSTITUTE(LOWER(TRIM(D227)),"ё","е")," -","-"),"- ","-")," 2 разряда","")," 3 разряда","")," 4 разряда","")," 5 разряда","")," 6 разряда","")," 1 категории","")," 2 категории","")," 3 категории","")))))</f>
        <v>старший сторож</v>
      </c>
      <c r="H227" s="11" t="n">
        <f aca="false">IFERROR(INDEX(Соответствие!$B$2:$B$76,MATCH(G227,Соответствие!$A$2:$A$76,0)),"?")</f>
        <v>45</v>
      </c>
      <c r="I227" s="8" t="str">
        <f aca="false">IFERROR(INDEX('Перечень должностей'!$C$2:$C$46,MATCH(H227,'Перечень должностей'!$A$2:$A$46,0)),"")</f>
        <v>п.4.7, п.4.8, п.5.1, п.5.2</v>
      </c>
      <c r="J227" s="11" t="n">
        <f aca="false">IFERROR(INDEX('Перечень должностей'!$D$2:$D$46,MATCH(H227,'Перечень должностей'!$A$2:$A$46,0)),12)</f>
        <v>12</v>
      </c>
      <c r="K227" s="16"/>
      <c r="L227" s="16"/>
      <c r="M227" s="15" t="str">
        <f aca="false">IF(K227="","",EDATE(IF(L227&lt;&gt;"",L227,K227),J227))</f>
        <v/>
      </c>
      <c r="N227" s="11" t="str">
        <f aca="false">IFERROR(INDEX('Перечень должностей'!$F$2:$F$46,MATCH(H227,'Перечень должностей'!$A$2:$A$46,0)),"")</f>
        <v>Нет</v>
      </c>
      <c r="O227" s="16"/>
      <c r="P227" s="15" t="str">
        <f aca="false">IF(O227="","",EDATE(O227,60))</f>
        <v/>
      </c>
      <c r="Q227" s="11" t="str">
        <f aca="false">IF(AND(K227&lt;&gt;"",F227&lt;&gt;"",K227&gt;F227),"ДА","")</f>
        <v/>
      </c>
      <c r="R227" s="8"/>
    </row>
    <row r="228" customFormat="false" ht="14.25" hidden="false" customHeight="false" outlineLevel="0" collapsed="false">
      <c r="A228" s="14" t="n">
        <v>227</v>
      </c>
      <c r="B228" s="11" t="s">
        <v>50</v>
      </c>
      <c r="C228" s="14" t="s">
        <v>642</v>
      </c>
      <c r="D228" s="14" t="s">
        <v>643</v>
      </c>
      <c r="E228" s="14" t="s">
        <v>633</v>
      </c>
      <c r="F228" s="15" t="n">
        <v>45756</v>
      </c>
      <c r="G228" s="4" t="str">
        <f aca="false">IF(TRIM(SUBSTITUTE(SUBSTITUTE(SUBSTITUTE(SUBSTITUTE(SUBSTITUTE(SUBSTITUTE(SUBSTITUTE(SUBSTITUTE(SUBSTITUTE(SUBSTITUTE(SUBSTITUTE(LOWER(TRIM(D228)),"ё","е")," -","-"),"- ","-")," 2 разряда","")," 3 разряда","")," 4 разряда","")," 5 разряда","")," 6 разряда","")," 1 категории","")," 2 категории","")," 3 категории",""))="инженер",IF(AND(ISNUMBER(SEARCH("техническ",E228)),ISNUMBER(SEARCH("контрол",E228))),"инженер отк",IF(ISNUMBER(SEARCH("диспетч",E228)),"инженер пдо",TRIM(SUBSTITUTE(SUBSTITUTE(SUBSTITUTE(SUBSTITUTE(SUBSTITUTE(SUBSTITUTE(SUBSTITUTE(SUBSTITUTE(SUBSTITUTE(SUBSTITUTE(SUBSTITUTE(LOWER(TRIM(D228)),"ё","е"),"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категории","")))),IF(TRIM(SUBSTITUTE(SUBSTITUTE(SUBSTITUTE(SUBSTITUTE(SUBSTITUTE(SUBSTITUTE(SUBSTITUTE(SUBSTITUTE(SUBSTITUTE(SUBSTITUTE(SUBSTITUTE(LOWER(TRIM(D228)),"ё","е")," -","-"),"- ","-")," 2 разряда","")," 3 разряда","")," 4 разряда","")," 5 разряда","")," 6 разряда","")," 1 категории","")," 2 категории","")," 3 категории",""))="ведущий инженер",IF(ISNUMBER(SEARCH("диспетч",E228)),"ведущий инженер пдо",TRIM(SUBSTITUTE(SUBSTITUTE(SUBSTITUTE(SUBSTITUTE(SUBSTITUTE(SUBSTITUTE(SUBSTITUTE(SUBSTITUTE(SUBSTITUTE(SUBSTITUTE(SUBSTITUTE(LOWER(TRIM(D228)),"ё","е"),"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отк",TRIM(SUBSTITUTE(SUBSTITUTE(SUBSTITUTE(SUBSTITUTE(SUBSTITUTE(SUBSTITUTE(SUBSTITUTE(SUBSTITUTE(SUBSTITUTE(SUBSTITUTE(SUBSTITUTE(LOWER(TRIM(D228)),"ё","е")," -","-"),"- ","-")," 2 разряда","")," 3 разряда","")," 4 разряда","")," 5 разряда","")," 6 разряда","")," 1 категории","")," 2 категории","")," 3 категории","")))))</f>
        <v>старший охраны объекта</v>
      </c>
      <c r="H228" s="11" t="n">
        <f aca="false">IFERROR(INDEX(Соответствие!$B$2:$B$76,MATCH(G228,Соответствие!$A$2:$A$76,0)),"?")</f>
        <v>45</v>
      </c>
      <c r="I228" s="8" t="str">
        <f aca="false">IFERROR(INDEX('Перечень должностей'!$C$2:$C$46,MATCH(H228,'Перечень должностей'!$A$2:$A$46,0)),"")</f>
        <v>п.4.7, п.4.8, п.5.1, п.5.2</v>
      </c>
      <c r="J228" s="11" t="n">
        <f aca="false">IFERROR(INDEX('Перечень должностей'!$D$2:$D$46,MATCH(H228,'Перечень должностей'!$A$2:$A$46,0)),12)</f>
        <v>12</v>
      </c>
      <c r="K228" s="16"/>
      <c r="L228" s="16"/>
      <c r="M228" s="15" t="str">
        <f aca="false">IF(K228="","",EDATE(IF(L228&lt;&gt;"",L228,K228),J228))</f>
        <v/>
      </c>
      <c r="N228" s="11" t="str">
        <f aca="false">IFERROR(INDEX('Перечень должностей'!$F$2:$F$46,MATCH(H228,'Перечень должностей'!$A$2:$A$46,0)),"")</f>
        <v>Нет</v>
      </c>
      <c r="O228" s="16"/>
      <c r="P228" s="15" t="str">
        <f aca="false">IF(O228="","",EDATE(O228,60))</f>
        <v/>
      </c>
      <c r="Q228" s="11" t="str">
        <f aca="false">IF(AND(K228&lt;&gt;"",F228&lt;&gt;"",K228&gt;F228),"ДА","")</f>
        <v/>
      </c>
      <c r="R228" s="8"/>
    </row>
    <row r="229" customFormat="false" ht="14.25" hidden="false" customHeight="false" outlineLevel="0" collapsed="false">
      <c r="A229" s="14" t="n">
        <v>228</v>
      </c>
      <c r="B229" s="11" t="s">
        <v>50</v>
      </c>
      <c r="C229" s="14" t="s">
        <v>644</v>
      </c>
      <c r="D229" s="14" t="s">
        <v>645</v>
      </c>
      <c r="E229" s="14" t="s">
        <v>194</v>
      </c>
      <c r="F229" s="15" t="n">
        <v>40560</v>
      </c>
      <c r="G229" s="4" t="str">
        <f aca="false">IF(TRIM(SUBSTITUTE(SUBSTITUTE(SUBSTITUTE(SUBSTITUTE(SUBSTITUTE(SUBSTITUTE(SUBSTITUTE(SUBSTITUTE(SUBSTITUTE(SUBSTITUTE(SUBSTITUTE(LOWER(TRIM(D229)),"ё","е")," -","-"),"- ","-")," 2 разряда","")," 3 разряда","")," 4 разряда","")," 5 разряда","")," 6 разряда","")," 1 категории","")," 2 категории","")," 3 категории",""))="инженер",IF(AND(ISNUMBER(SEARCH("техническ",E229)),ISNUMBER(SEARCH("контрол",E229))),"инженер отк",IF(ISNUMBER(SEARCH("диспетч",E229)),"инженер пдо",TRIM(SUBSTITUTE(SUBSTITUTE(SUBSTITUTE(SUBSTITUTE(SUBSTITUTE(SUBSTITUTE(SUBSTITUTE(SUBSTITUTE(SUBSTITUTE(SUBSTITUTE(SUBSTITUTE(LOWER(TRIM(D229)),"ё","е"),"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категории","")))),IF(TRIM(SUBSTITUTE(SUBSTITUTE(SUBSTITUTE(SUBSTITUTE(SUBSTITUTE(SUBSTITUTE(SUBSTITUTE(SUBSTITUTE(SUBSTITUTE(SUBSTITUTE(SUBSTITUTE(LOWER(TRIM(D229)),"ё","е")," -","-"),"- ","-")," 2 разряда","")," 3 разряда","")," 4 разряда","")," 5 разряда","")," 6 разряда","")," 1 категории","")," 2 категории","")," 3 категории",""))="ведущий инженер",IF(ISNUMBER(SEARCH("диспетч",E229)),"ведущий инженер пдо",TRIM(SUBSTITUTE(SUBSTITUTE(SUBSTITUTE(SUBSTITUTE(SUBSTITUTE(SUBSTITUTE(SUBSTITUTE(SUBSTITUTE(SUBSTITUTE(SUBSTITUTE(SUBSTITUTE(LOWER(TRIM(D229)),"ё","е"),"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категории",""))),IF(TRIM(SUBSTITUTE(SUBSTITUTE(SUBSTITUTE(SUBSTITUTE(SUBSTITUTE(SUBSTITUTE(SUBSTITUTE(SUBSTITUTE(SUBSTITUTE(SUBSTITUTE(SUBSTITUTE(LOWER(TRIM(D229)),"ё","е"),"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отк",TRIM(SUBSTITUTE(SUBSTITUTE(SUBSTITUTE(SUBSTITUTE(SUBSTITUTE(SUBSTITUTE(SUBSTITUTE(SUBSTITUTE(SUBSTITUTE(SUBSTITUTE(SUBSTITUTE(LOWER(TRIM(D229)),"ё","е")," -","-"),"- ","-")," 2 разряда","")," 3 разряда","")," 4 разряда","")," 5 разряда","")," 6 разряда","")," 1 категории","")," 2 категории","")," 3 категории","")))))</f>
        <v>старший кладовщик</v>
      </c>
      <c r="H229" s="11" t="n">
        <f aca="false">IFERROR(INDEX(Соответствие!$B$2:$B$76,MATCH(G229,Соответствие!$A$2:$A$76,0)),"?")</f>
        <v>14</v>
      </c>
      <c r="I229" s="8" t="str">
        <f aca="false">IFERROR(INDEX('Перечень должностей'!$C$2:$C$46,MATCH(H229,'Перечень должностей'!$A$2:$A$46,0)),"")</f>
        <v>п.4.4, п.5.1, п.6.2</v>
      </c>
      <c r="J229" s="11" t="n">
        <f aca="false">IFERROR(INDEX('Перечень должностей'!$D$2:$D$46,MATCH(H229,'Перечень должностей'!$A$2:$A$46,0)),12)</f>
        <v>12</v>
      </c>
      <c r="K229" s="16"/>
      <c r="L229" s="16"/>
      <c r="M229" s="15" t="str">
        <f aca="false">IF(K229="","",EDATE(IF(L229&lt;&gt;"",L229,K229),J229))</f>
        <v/>
      </c>
      <c r="N229" s="11" t="str">
        <f aca="false">IFERROR(INDEX('Перечень должностей'!$F$2:$F$46,MATCH(H229,'Перечень должностей'!$A$2:$A$46,0)),"")</f>
        <v>-</v>
      </c>
      <c r="O229" s="16"/>
      <c r="P229" s="15" t="str">
        <f aca="false">IF(O229="","",EDATE(O229,60))</f>
        <v/>
      </c>
      <c r="Q229" s="11" t="str">
        <f aca="false">IF(AND(K229&lt;&gt;"",F229&lt;&gt;"",K229&gt;F229),"ДА","")</f>
        <v/>
      </c>
      <c r="R229" s="8"/>
    </row>
    <row r="230" customFormat="false" ht="14.25" hidden="false" customHeight="false" outlineLevel="0" collapsed="false">
      <c r="A230" s="14" t="n">
        <v>229</v>
      </c>
      <c r="B230" s="11" t="s">
        <v>50</v>
      </c>
      <c r="C230" s="14" t="s">
        <v>646</v>
      </c>
      <c r="D230" s="14" t="s">
        <v>645</v>
      </c>
      <c r="E230" s="14" t="s">
        <v>194</v>
      </c>
      <c r="F230" s="15" t="n">
        <v>45365</v>
      </c>
      <c r="G230" s="4" t="str">
        <f aca="false">IF(TRIM(SUBSTITUTE(SUBSTITUTE(SUBSTITUTE(SUBSTITUTE(SUBSTITUTE(SUBSTITUTE(SUBSTITUTE(SUBSTITUTE(SUBSTITUTE(SUBSTITUTE(SUBSTITUTE(LOWER(TRIM(D230)),"ё","е")," -","-"),"- ","-")," 2 разряда","")," 3 разряда","")," 4 разряда","")," 5 разряда","")," 6 разряда","")," 1 категории","")," 2 категории","")," 3 категории",""))="инженер",IF(AND(ISNUMBER(SEARCH("техническ",E230)),ISNUMBER(SEARCH("контрол",E230))),"инженер отк",IF(ISNUMBER(SEARCH("диспетч",E230)),"инженер пдо",TRIM(SUBSTITUTE(SUBSTITUTE(SUBSTITUTE(SUBSTITUTE(SUBSTITUTE(SUBSTITUTE(SUBSTITUTE(SUBSTITUTE(SUBSTITUTE(SUBSTITUTE(SUBSTITUTE(LOWER(TRIM(D230)),"ё","е"),"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категории","")))),IF(TRIM(SUBSTITUTE(SUBSTITUTE(SUBSTITUTE(SUBSTITUTE(SUBSTITUTE(SUBSTITUTE(SUBSTITUTE(SUBSTITUTE(SUBSTITUTE(SUBSTITUTE(SUBSTITUTE(LOWER(TRIM(D230)),"ё","е")," -","-"),"- ","-")," 2 разряда","")," 3 разряда","")," 4 разряда","")," 5 разряда","")," 6 разряда","")," 1 категории","")," 2 категории","")," 3 категории",""))="ведущий инженер",IF(ISNUMBER(SEARCH("диспетч",E230)),"ведущий инженер пдо",TRIM(SUBSTITUTE(SUBSTITUTE(SUBSTITUTE(SUBSTITUTE(SUBSTITUTE(SUBSTITUTE(SUBSTITUTE(SUBSTITUTE(SUBSTITUTE(SUBSTITUTE(SUBSTITUTE(LOWER(TRIM(D230)),"ё","е"),"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отк",TRIM(SUBSTITUTE(SUBSTITUTE(SUBSTITUTE(SUBSTITUTE(SUBSTITUTE(SUBSTITUTE(SUBSTITUTE(SUBSTITUTE(SUBSTITUTE(SUBSTITUTE(SUBSTITUTE(LOWER(TRIM(D230)),"ё","е")," -","-"),"- ","-")," 2 разряда","")," 3 разряда","")," 4 разряда","")," 5 разряда","")," 6 разряда","")," 1 категории","")," 2 категории","")," 3 категории","")))))</f>
        <v>старший кладовщик</v>
      </c>
      <c r="H230" s="11" t="n">
        <f aca="false">IFERROR(INDEX(Соответствие!$B$2:$B$76,MATCH(G230,Соответствие!$A$2:$A$76,0)),"?")</f>
        <v>14</v>
      </c>
      <c r="I230" s="8" t="str">
        <f aca="false">IFERROR(INDEX('Перечень должностей'!$C$2:$C$46,MATCH(H230,'Перечень должностей'!$A$2:$A$46,0)),"")</f>
        <v>п.4.4, п.5.1, п.6.2</v>
      </c>
      <c r="J230" s="11" t="n">
        <f aca="false">IFERROR(INDEX('Перечень должностей'!$D$2:$D$46,MATCH(H230,'Перечень должностей'!$A$2:$A$46,0)),12)</f>
        <v>12</v>
      </c>
      <c r="K230" s="16"/>
      <c r="L230" s="16"/>
      <c r="M230" s="15" t="str">
        <f aca="false">IF(K230="","",EDATE(IF(L230&lt;&gt;"",L230,K230),J230))</f>
        <v/>
      </c>
      <c r="N230" s="11" t="str">
        <f aca="false">IFERROR(INDEX('Перечень должностей'!$F$2:$F$46,MATCH(H230,'Перечень должностей'!$A$2:$A$46,0)),"")</f>
        <v>-</v>
      </c>
      <c r="O230" s="16"/>
      <c r="P230" s="15" t="str">
        <f aca="false">IF(O230="","",EDATE(O230,60))</f>
        <v/>
      </c>
      <c r="Q230" s="11" t="str">
        <f aca="false">IF(AND(K230&lt;&gt;"",F230&lt;&gt;"",K230&gt;F230),"ДА","")</f>
        <v/>
      </c>
      <c r="R230" s="8"/>
    </row>
    <row r="231" customFormat="false" ht="14.25" hidden="false" customHeight="false" outlineLevel="0" collapsed="false">
      <c r="A231" s="14" t="n">
        <v>230</v>
      </c>
      <c r="B231" s="11" t="s">
        <v>50</v>
      </c>
      <c r="C231" s="14" t="s">
        <v>647</v>
      </c>
      <c r="D231" s="14" t="s">
        <v>645</v>
      </c>
      <c r="E231" s="14" t="s">
        <v>194</v>
      </c>
      <c r="F231" s="15" t="n">
        <v>44802</v>
      </c>
      <c r="G231" s="4" t="str">
        <f aca="false">IF(TRIM(SUBSTITUTE(SUBSTITUTE(SUBSTITUTE(SUBSTITUTE(SUBSTITUTE(SUBSTITUTE(SUBSTITUTE(SUBSTITUTE(SUBSTITUTE(SUBSTITUTE(SUBSTITUTE(LOWER(TRIM(D231)),"ё","е")," -","-"),"- ","-")," 2 разряда","")," 3 разряда","")," 4 разряда","")," 5 разряда","")," 6 разряда","")," 1 категории","")," 2 категории","")," 3 категории",""))="инженер",IF(AND(ISNUMBER(SEARCH("техническ",E231)),ISNUMBER(SEARCH("контрол",E231))),"инженер отк",IF(ISNUMBER(SEARCH("диспетч",E231)),"инженер пдо",TRIM(SUBSTITUTE(SUBSTITUTE(SUBSTITUTE(SUBSTITUTE(SUBSTITUTE(SUBSTITUTE(SUBSTITUTE(SUBSTITUTE(SUBSTITUTE(SUBSTITUTE(SUBSTITUTE(LOWER(TRIM(D231)),"ё","е"),"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категории","")))),IF(TRIM(SUBSTITUTE(SUBSTITUTE(SUBSTITUTE(SUBSTITUTE(SUBSTITUTE(SUBSTITUTE(SUBSTITUTE(SUBSTITUTE(SUBSTITUTE(SUBSTITUTE(SUBSTITUTE(LOWER(TRIM(D231)),"ё","е")," -","-"),"- ","-")," 2 разряда","")," 3 разряда","")," 4 разряда","")," 5 разряда","")," 6 разряда","")," 1 категории","")," 2 категории","")," 3 категории",""))="ведущий инженер",IF(ISNUMBER(SEARCH("диспетч",E231)),"ведущий инженер пдо",TRIM(SUBSTITUTE(SUBSTITUTE(SUBSTITUTE(SUBSTITUTE(SUBSTITUTE(SUBSTITUTE(SUBSTITUTE(SUBSTITUTE(SUBSTITUTE(SUBSTITUTE(SUBSTITUTE(LOWER(TRIM(D231)),"ё","е"),"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отк",TRIM(SUBSTITUTE(SUBSTITUTE(SUBSTITUTE(SUBSTITUTE(SUBSTITUTE(SUBSTITUTE(SUBSTITUTE(SUBSTITUTE(SUBSTITUTE(SUBSTITUTE(SUBSTITUTE(LOWER(TRIM(D231)),"ё","е")," -","-"),"- ","-")," 2 разряда","")," 3 разряда","")," 4 разряда","")," 5 разряда","")," 6 разряда","")," 1 категории","")," 2 категории","")," 3 категории","")))))</f>
        <v>старший кладовщик</v>
      </c>
      <c r="H231" s="11" t="n">
        <f aca="false">IFERROR(INDEX(Соответствие!$B$2:$B$76,MATCH(G231,Соответствие!$A$2:$A$76,0)),"?")</f>
        <v>14</v>
      </c>
      <c r="I231" s="8" t="str">
        <f aca="false">IFERROR(INDEX('Перечень должностей'!$C$2:$C$46,MATCH(H231,'Перечень должностей'!$A$2:$A$46,0)),"")</f>
        <v>п.4.4, п.5.1, п.6.2</v>
      </c>
      <c r="J231" s="11" t="n">
        <f aca="false">IFERROR(INDEX('Перечень должностей'!$D$2:$D$46,MATCH(H231,'Перечень должностей'!$A$2:$A$46,0)),12)</f>
        <v>12</v>
      </c>
      <c r="K231" s="16"/>
      <c r="L231" s="16"/>
      <c r="M231" s="15" t="str">
        <f aca="false">IF(K231="","",EDATE(IF(L231&lt;&gt;"",L231,K231),J231))</f>
        <v/>
      </c>
      <c r="N231" s="11" t="str">
        <f aca="false">IFERROR(INDEX('Перечень должностей'!$F$2:$F$46,MATCH(H231,'Перечень должностей'!$A$2:$A$46,0)),"")</f>
        <v>-</v>
      </c>
      <c r="O231" s="16"/>
      <c r="P231" s="15" t="str">
        <f aca="false">IF(O231="","",EDATE(O231,60))</f>
        <v/>
      </c>
      <c r="Q231" s="11" t="str">
        <f aca="false">IF(AND(K231&lt;&gt;"",F231&lt;&gt;"",K231&gt;F231),"ДА","")</f>
        <v/>
      </c>
      <c r="R231" s="8"/>
    </row>
    <row r="232" customFormat="false" ht="14.25" hidden="false" customHeight="false" outlineLevel="0" collapsed="false">
      <c r="A232" s="14" t="n">
        <v>231</v>
      </c>
      <c r="B232" s="11" t="s">
        <v>50</v>
      </c>
      <c r="C232" s="14" t="s">
        <v>648</v>
      </c>
      <c r="D232" s="14" t="s">
        <v>75</v>
      </c>
      <c r="E232" s="14" t="s">
        <v>194</v>
      </c>
      <c r="F232" s="15" t="n">
        <v>45771</v>
      </c>
      <c r="G232" s="4" t="str">
        <f aca="false">IF(TRIM(SUBSTITUTE(SUBSTITUTE(SUBSTITUTE(SUBSTITUTE(SUBSTITUTE(SUBSTITUTE(SUBSTITUTE(SUBSTITUTE(SUBSTITUTE(SUBSTITUTE(SUBSTITUTE(LOWER(TRIM(D232)),"ё","е")," -","-"),"- ","-")," 2 разряда","")," 3 разряда","")," 4 разряда","")," 5 разряда","")," 6 разряда","")," 1 категории","")," 2 категории","")," 3 категории",""))="инженер",IF(AND(ISNUMBER(SEARCH("техническ",E232)),ISNUMBER(SEARCH("контрол",E232))),"инженер отк",IF(ISNUMBER(SEARCH("диспетч",E232)),"инженер пдо",TRIM(SUBSTITUTE(SUBSTITUTE(SUBSTITUTE(SUBSTITUTE(SUBSTITUTE(SUBSTITUTE(SUBSTITUTE(SUBSTITUTE(SUBSTITUTE(SUBSTITUTE(SUBSTITUTE(LOWER(TRIM(D232)),"ё","е"),"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категории","")))),IF(TRIM(SUBSTITUTE(SUBSTITUTE(SUBSTITUTE(SUBSTITUTE(SUBSTITUTE(SUBSTITUTE(SUBSTITUTE(SUBSTITUTE(SUBSTITUTE(SUBSTITUTE(SUBSTITUTE(LOWER(TRIM(D232)),"ё","е")," -","-"),"- ","-")," 2 разряда","")," 3 разряда","")," 4 разряда","")," 5 разряда","")," 6 разряда","")," 1 категории","")," 2 категории","")," 3 категории",""))="ведущий инженер",IF(ISNUMBER(SEARCH("диспетч",E232)),"ведущий инженер пдо",TRIM(SUBSTITUTE(SUBSTITUTE(SUBSTITUTE(SUBSTITUTE(SUBSTITUTE(SUBSTITUTE(SUBSTITUTE(SUBSTITUTE(SUBSTITUTE(SUBSTITUTE(SUBSTITUTE(LOWER(TRIM(D232)),"ё","е"),"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отк",TRIM(SUBSTITUTE(SUBSTITUTE(SUBSTITUTE(SUBSTITUTE(SUBSTITUTE(SUBSTITUTE(SUBSTITUTE(SUBSTITUTE(SUBSTITUTE(SUBSTITUTE(SUBSTITUTE(LOWER(TRIM(D232)),"ё","е")," -","-"),"- ","-")," 2 разряда","")," 3 разряда","")," 4 разряда","")," 5 разряда","")," 6 разряда","")," 1 категории","")," 2 категории","")," 3 категории","")))))</f>
        <v>кладовщик</v>
      </c>
      <c r="H232" s="11" t="n">
        <f aca="false">IFERROR(INDEX(Соответствие!$B$2:$B$76,MATCH(G232,Соответствие!$A$2:$A$76,0)),"?")</f>
        <v>14</v>
      </c>
      <c r="I232" s="8" t="str">
        <f aca="false">IFERROR(INDEX('Перечень должностей'!$C$2:$C$46,MATCH(H232,'Перечень должностей'!$A$2:$A$46,0)),"")</f>
        <v>п.4.4, п.5.1, п.6.2</v>
      </c>
      <c r="J232" s="11" t="n">
        <f aca="false">IFERROR(INDEX('Перечень должностей'!$D$2:$D$46,MATCH(H232,'Перечень должностей'!$A$2:$A$46,0)),12)</f>
        <v>12</v>
      </c>
      <c r="K232" s="16"/>
      <c r="L232" s="16"/>
      <c r="M232" s="15" t="str">
        <f aca="false">IF(K232="","",EDATE(IF(L232&lt;&gt;"",L232,K232),J232))</f>
        <v/>
      </c>
      <c r="N232" s="11" t="str">
        <f aca="false">IFERROR(INDEX('Перечень должностей'!$F$2:$F$46,MATCH(H232,'Перечень должностей'!$A$2:$A$46,0)),"")</f>
        <v>-</v>
      </c>
      <c r="O232" s="16"/>
      <c r="P232" s="15" t="str">
        <f aca="false">IF(O232="","",EDATE(O232,60))</f>
        <v/>
      </c>
      <c r="Q232" s="11" t="str">
        <f aca="false">IF(AND(K232&lt;&gt;"",F232&lt;&gt;"",K232&gt;F232),"ДА","")</f>
        <v/>
      </c>
      <c r="R232" s="8"/>
    </row>
    <row r="233" customFormat="false" ht="14.25" hidden="false" customHeight="false" outlineLevel="0" collapsed="false">
      <c r="A233" s="14" t="n">
        <v>232</v>
      </c>
      <c r="B233" s="11" t="s">
        <v>50</v>
      </c>
      <c r="C233" s="14" t="s">
        <v>649</v>
      </c>
      <c r="D233" s="14" t="s">
        <v>75</v>
      </c>
      <c r="E233" s="14" t="s">
        <v>194</v>
      </c>
      <c r="F233" s="15" t="n">
        <v>46083</v>
      </c>
      <c r="G233" s="4" t="str">
        <f aca="false">IF(TRIM(SUBSTITUTE(SUBSTITUTE(SUBSTITUTE(SUBSTITUTE(SUBSTITUTE(SUBSTITUTE(SUBSTITUTE(SUBSTITUTE(SUBSTITUTE(SUBSTITUTE(SUBSTITUTE(LOWER(TRIM(D233)),"ё","е")," -","-"),"- ","-")," 2 разряда","")," 3 разряда","")," 4 разряда","")," 5 разряда","")," 6 разряда","")," 1 категории","")," 2 категории","")," 3 категории",""))="инженер",IF(AND(ISNUMBER(SEARCH("техническ",E233)),ISNUMBER(SEARCH("контрол",E233))),"инженер отк",IF(ISNUMBER(SEARCH("диспетч",E233)),"инженер пдо",TRIM(SUBSTITUTE(SUBSTITUTE(SUBSTITUTE(SUBSTITUTE(SUBSTITUTE(SUBSTITUTE(SUBSTITUTE(SUBSTITUTE(SUBSTITUTE(SUBSTITUTE(SUBSTITUTE(LOWER(TRIM(D233)),"ё","е"),"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категории","")))),IF(TRIM(SUBSTITUTE(SUBSTITUTE(SUBSTITUTE(SUBSTITUTE(SUBSTITUTE(SUBSTITUTE(SUBSTITUTE(SUBSTITUTE(SUBSTITUTE(SUBSTITUTE(SUBSTITUTE(LOWER(TRIM(D233)),"ё","е")," -","-"),"- ","-")," 2 разряда","")," 3 разряда","")," 4 разряда","")," 5 разряда","")," 6 разряда","")," 1 категории","")," 2 категории","")," 3 категории",""))="ведущий инженер",IF(ISNUMBER(SEARCH("диспетч",E233)),"ведущий инженер пдо",TRIM(SUBSTITUTE(SUBSTITUTE(SUBSTITUTE(SUBSTITUTE(SUBSTITUTE(SUBSTITUTE(SUBSTITUTE(SUBSTITUTE(SUBSTITUTE(SUBSTITUTE(SUBSTITUTE(LOWER(TRIM(D233)),"ё","е"),"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отк",TRIM(SUBSTITUTE(SUBSTITUTE(SUBSTITUTE(SUBSTITUTE(SUBSTITUTE(SUBSTITUTE(SUBSTITUTE(SUBSTITUTE(SUBSTITUTE(SUBSTITUTE(SUBSTITUTE(LOWER(TRIM(D233)),"ё","е")," -","-"),"- ","-")," 2 разряда","")," 3 разряда","")," 4 разряда","")," 5 разряда","")," 6 разряда","")," 1 категории","")," 2 категории","")," 3 категории","")))))</f>
        <v>кладовщик</v>
      </c>
      <c r="H233" s="11" t="n">
        <f aca="false">IFERROR(INDEX(Соответствие!$B$2:$B$76,MATCH(G233,Соответствие!$A$2:$A$76,0)),"?")</f>
        <v>14</v>
      </c>
      <c r="I233" s="8" t="str">
        <f aca="false">IFERROR(INDEX('Перечень должностей'!$C$2:$C$46,MATCH(H233,'Перечень должностей'!$A$2:$A$46,0)),"")</f>
        <v>п.4.4, п.5.1, п.6.2</v>
      </c>
      <c r="J233" s="11" t="n">
        <f aca="false">IFERROR(INDEX('Перечень должностей'!$D$2:$D$46,MATCH(H233,'Перечень должностей'!$A$2:$A$46,0)),12)</f>
        <v>12</v>
      </c>
      <c r="K233" s="16"/>
      <c r="L233" s="16"/>
      <c r="M233" s="15" t="str">
        <f aca="false">IF(K233="","",EDATE(IF(L233&lt;&gt;"",L233,K233),J233))</f>
        <v/>
      </c>
      <c r="N233" s="11" t="str">
        <f aca="false">IFERROR(INDEX('Перечень должностей'!$F$2:$F$46,MATCH(H233,'Перечень должностей'!$A$2:$A$46,0)),"")</f>
        <v>-</v>
      </c>
      <c r="O233" s="16"/>
      <c r="P233" s="15" t="str">
        <f aca="false">IF(O233="","",EDATE(O233,60))</f>
        <v/>
      </c>
      <c r="Q233" s="11" t="str">
        <f aca="false">IF(AND(K233&lt;&gt;"",F233&lt;&gt;"",K233&gt;F233),"ДА","")</f>
        <v/>
      </c>
      <c r="R233" s="8"/>
    </row>
    <row r="234" customFormat="false" ht="14.25" hidden="false" customHeight="false" outlineLevel="0" collapsed="false">
      <c r="A234" s="14" t="n">
        <v>233</v>
      </c>
      <c r="B234" s="11" t="s">
        <v>50</v>
      </c>
      <c r="C234" s="14" t="s">
        <v>650</v>
      </c>
      <c r="D234" s="14" t="s">
        <v>75</v>
      </c>
      <c r="E234" s="14" t="s">
        <v>194</v>
      </c>
      <c r="F234" s="15" t="n">
        <v>46265</v>
      </c>
      <c r="G234" s="4" t="str">
        <f aca="false">IF(TRIM(SUBSTITUTE(SUBSTITUTE(SUBSTITUTE(SUBSTITUTE(SUBSTITUTE(SUBSTITUTE(SUBSTITUTE(SUBSTITUTE(SUBSTITUTE(SUBSTITUTE(SUBSTITUTE(LOWER(TRIM(D234)),"ё","е")," -","-"),"- ","-")," 2 разряда","")," 3 разряда","")," 4 разряда","")," 5 разряда","")," 6 разряда","")," 1 категории","")," 2 категории","")," 3 категории",""))="инженер",IF(AND(ISNUMBER(SEARCH("техническ",E234)),ISNUMBER(SEARCH("контрол",E234))),"инженер отк",IF(ISNUMBER(SEARCH("диспетч",E234)),"инженер пдо",TRIM(SUBSTITUTE(SUBSTITUTE(SUBSTITUTE(SUBSTITUTE(SUBSTITUTE(SUBSTITUTE(SUBSTITUTE(SUBSTITUTE(SUBSTITUTE(SUBSTITUTE(SUBSTITUTE(LOWER(TRIM(D234)),"ё","е"),"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категории","")))),IF(TRIM(SUBSTITUTE(SUBSTITUTE(SUBSTITUTE(SUBSTITUTE(SUBSTITUTE(SUBSTITUTE(SUBSTITUTE(SUBSTITUTE(SUBSTITUTE(SUBSTITUTE(SUBSTITUTE(LOWER(TRIM(D234)),"ё","е")," -","-"),"- ","-")," 2 разряда","")," 3 разряда","")," 4 разряда","")," 5 разряда","")," 6 разряда","")," 1 категории","")," 2 категории","")," 3 категории",""))="ведущий инженер",IF(ISNUMBER(SEARCH("диспетч",E234)),"ведущий инженер пдо",TRIM(SUBSTITUTE(SUBSTITUTE(SUBSTITUTE(SUBSTITUTE(SUBSTITUTE(SUBSTITUTE(SUBSTITUTE(SUBSTITUTE(SUBSTITUTE(SUBSTITUTE(SUBSTITUTE(LOWER(TRIM(D234)),"ё","е"),"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отк",TRIM(SUBSTITUTE(SUBSTITUTE(SUBSTITUTE(SUBSTITUTE(SUBSTITUTE(SUBSTITUTE(SUBSTITUTE(SUBSTITUTE(SUBSTITUTE(SUBSTITUTE(SUBSTITUTE(LOWER(TRIM(D234)),"ё","е")," -","-"),"- ","-")," 2 разряда","")," 3 разряда","")," 4 разряда","")," 5 разряда","")," 6 разряда","")," 1 категории","")," 2 категории","")," 3 категории","")))))</f>
        <v>кладовщик</v>
      </c>
      <c r="H234" s="11" t="n">
        <f aca="false">IFERROR(INDEX(Соответствие!$B$2:$B$76,MATCH(G234,Соответствие!$A$2:$A$76,0)),"?")</f>
        <v>14</v>
      </c>
      <c r="I234" s="8" t="str">
        <f aca="false">IFERROR(INDEX('Перечень должностей'!$C$2:$C$46,MATCH(H234,'Перечень должностей'!$A$2:$A$46,0)),"")</f>
        <v>п.4.4, п.5.1, п.6.2</v>
      </c>
      <c r="J234" s="11" t="n">
        <f aca="false">IFERROR(INDEX('Перечень должностей'!$D$2:$D$46,MATCH(H234,'Перечень должностей'!$A$2:$A$46,0)),12)</f>
        <v>12</v>
      </c>
      <c r="K234" s="16"/>
      <c r="L234" s="16"/>
      <c r="M234" s="15" t="str">
        <f aca="false">IF(K234="","",EDATE(IF(L234&lt;&gt;"",L234,K234),J234))</f>
        <v/>
      </c>
      <c r="N234" s="11" t="str">
        <f aca="false">IFERROR(INDEX('Перечень должностей'!$F$2:$F$46,MATCH(H234,'Перечень должностей'!$A$2:$A$46,0)),"")</f>
        <v>-</v>
      </c>
      <c r="O234" s="16"/>
      <c r="P234" s="15" t="str">
        <f aca="false">IF(O234="","",EDATE(O234,60))</f>
        <v/>
      </c>
      <c r="Q234" s="11" t="str">
        <f aca="false">IF(AND(K234&lt;&gt;"",F234&lt;&gt;"",K234&gt;F234),"ДА","")</f>
        <v/>
      </c>
      <c r="R234" s="8"/>
    </row>
    <row r="235" customFormat="false" ht="14.25" hidden="false" customHeight="false" outlineLevel="0" collapsed="false">
      <c r="A235" s="14" t="n">
        <v>234</v>
      </c>
      <c r="B235" s="11" t="s">
        <v>50</v>
      </c>
      <c r="C235" s="14" t="s">
        <v>651</v>
      </c>
      <c r="D235" s="14" t="s">
        <v>75</v>
      </c>
      <c r="E235" s="14" t="s">
        <v>194</v>
      </c>
      <c r="F235" s="15" t="n">
        <v>45791</v>
      </c>
      <c r="G235" s="4" t="str">
        <f aca="false">IF(TRIM(SUBSTITUTE(SUBSTITUTE(SUBSTITUTE(SUBSTITUTE(SUBSTITUTE(SUBSTITUTE(SUBSTITUTE(SUBSTITUTE(SUBSTITUTE(SUBSTITUTE(SUBSTITUTE(LOWER(TRIM(D235)),"ё","е")," -","-"),"- ","-")," 2 разряда","")," 3 разряда","")," 4 разряда","")," 5 разряда","")," 6 разряда","")," 1 категории","")," 2 категории","")," 3 категории",""))="инженер",IF(AND(ISNUMBER(SEARCH("техническ",E235)),ISNUMBER(SEARCH("контрол",E235))),"инженер отк",IF(ISNUMBER(SEARCH("диспетч",E235)),"инженер пдо",TRIM(SUBSTITUTE(SUBSTITUTE(SUBSTITUTE(SUBSTITUTE(SUBSTITUTE(SUBSTITUTE(SUBSTITUTE(SUBSTITUTE(SUBSTITUTE(SUBSTITUTE(SUBSTITUTE(LOWER(TRIM(D235)),"ё","е"),"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категории","")))),IF(TRIM(SUBSTITUTE(SUBSTITUTE(SUBSTITUTE(SUBSTITUTE(SUBSTITUTE(SUBSTITUTE(SUBSTITUTE(SUBSTITUTE(SUBSTITUTE(SUBSTITUTE(SUBSTITUTE(LOWER(TRIM(D235)),"ё","е")," -","-"),"- ","-")," 2 разряда","")," 3 разряда","")," 4 разряда","")," 5 разряда","")," 6 разряда","")," 1 категории","")," 2 категории","")," 3 категории",""))="ведущий инженер",IF(ISNUMBER(SEARCH("диспетч",E235)),"ведущий инженер пдо",TRIM(SUBSTITUTE(SUBSTITUTE(SUBSTITUTE(SUBSTITUTE(SUBSTITUTE(SUBSTITUTE(SUBSTITUTE(SUBSTITUTE(SUBSTITUTE(SUBSTITUTE(SUBSTITUTE(LOWER(TRIM(D235)),"ё","е"),"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отк",TRIM(SUBSTITUTE(SUBSTITUTE(SUBSTITUTE(SUBSTITUTE(SUBSTITUTE(SUBSTITUTE(SUBSTITUTE(SUBSTITUTE(SUBSTITUTE(SUBSTITUTE(SUBSTITUTE(LOWER(TRIM(D235)),"ё","е")," -","-"),"- ","-")," 2 разряда","")," 3 разряда","")," 4 разряда","")," 5 разряда","")," 6 разряда","")," 1 категории","")," 2 категории","")," 3 категории","")))))</f>
        <v>кладовщик</v>
      </c>
      <c r="H235" s="11" t="n">
        <f aca="false">IFERROR(INDEX(Соответствие!$B$2:$B$76,MATCH(G235,Соответствие!$A$2:$A$76,0)),"?")</f>
        <v>14</v>
      </c>
      <c r="I235" s="8" t="str">
        <f aca="false">IFERROR(INDEX('Перечень должностей'!$C$2:$C$46,MATCH(H235,'Перечень должностей'!$A$2:$A$46,0)),"")</f>
        <v>п.4.4, п.5.1, п.6.2</v>
      </c>
      <c r="J235" s="11" t="n">
        <f aca="false">IFERROR(INDEX('Перечень должностей'!$D$2:$D$46,MATCH(H235,'Перечень должностей'!$A$2:$A$46,0)),12)</f>
        <v>12</v>
      </c>
      <c r="K235" s="16"/>
      <c r="L235" s="16"/>
      <c r="M235" s="15" t="str">
        <f aca="false">IF(K235="","",EDATE(IF(L235&lt;&gt;"",L235,K235),J235))</f>
        <v/>
      </c>
      <c r="N235" s="11" t="str">
        <f aca="false">IFERROR(INDEX('Перечень должностей'!$F$2:$F$46,MATCH(H235,'Перечень должностей'!$A$2:$A$46,0)),"")</f>
        <v>-</v>
      </c>
      <c r="O235" s="16"/>
      <c r="P235" s="15" t="str">
        <f aca="false">IF(O235="","",EDATE(O235,60))</f>
        <v/>
      </c>
      <c r="Q235" s="11" t="str">
        <f aca="false">IF(AND(K235&lt;&gt;"",F235&lt;&gt;"",K235&gt;F235),"ДА","")</f>
        <v/>
      </c>
      <c r="R235" s="8"/>
    </row>
    <row r="236" customFormat="false" ht="14.25" hidden="false" customHeight="false" outlineLevel="0" collapsed="false">
      <c r="A236" s="14" t="n">
        <v>235</v>
      </c>
      <c r="B236" s="11" t="s">
        <v>50</v>
      </c>
      <c r="C236" s="14" t="s">
        <v>652</v>
      </c>
      <c r="D236" s="14" t="s">
        <v>75</v>
      </c>
      <c r="E236" s="14" t="s">
        <v>194</v>
      </c>
      <c r="F236" s="15" t="n">
        <v>42248</v>
      </c>
      <c r="G236" s="4" t="str">
        <f aca="false">IF(TRIM(SUBSTITUTE(SUBSTITUTE(SUBSTITUTE(SUBSTITUTE(SUBSTITUTE(SUBSTITUTE(SUBSTITUTE(SUBSTITUTE(SUBSTITUTE(SUBSTITUTE(SUBSTITUTE(LOWER(TRIM(D236)),"ё","е")," -","-"),"- ","-")," 2 разряда","")," 3 разряда","")," 4 разряда","")," 5 разряда","")," 6 разряда","")," 1 категории","")," 2 категории","")," 3 категории",""))="инженер",IF(AND(ISNUMBER(SEARCH("техническ",E236)),ISNUMBER(SEARCH("контрол",E236))),"инженер отк",IF(ISNUMBER(SEARCH("диспетч",E236)),"инженер пдо",TRIM(SUBSTITUTE(SUBSTITUTE(SUBSTITUTE(SUBSTITUTE(SUBSTITUTE(SUBSTITUTE(SUBSTITUTE(SUBSTITUTE(SUBSTITUTE(SUBSTITUTE(SUBSTITUTE(LOWER(TRIM(D236)),"ё","е"),"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категории","")))),IF(TRIM(SUBSTITUTE(SUBSTITUTE(SUBSTITUTE(SUBSTITUTE(SUBSTITUTE(SUBSTITUTE(SUBSTITUTE(SUBSTITUTE(SUBSTITUTE(SUBSTITUTE(SUBSTITUTE(LOWER(TRIM(D236)),"ё","е")," -","-"),"- ","-")," 2 разряда","")," 3 разряда","")," 4 разряда","")," 5 разряда","")," 6 разряда","")," 1 категории","")," 2 категории","")," 3 категории",""))="ведущий инженер",IF(ISNUMBER(SEARCH("диспетч",E236)),"ведущий инженер пдо",TRIM(SUBSTITUTE(SUBSTITUTE(SUBSTITUTE(SUBSTITUTE(SUBSTITUTE(SUBSTITUTE(SUBSTITUTE(SUBSTITUTE(SUBSTITUTE(SUBSTITUTE(SUBSTITUTE(LOWER(TRIM(D236)),"ё","е"),"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отк",TRIM(SUBSTITUTE(SUBSTITUTE(SUBSTITUTE(SUBSTITUTE(SUBSTITUTE(SUBSTITUTE(SUBSTITUTE(SUBSTITUTE(SUBSTITUTE(SUBSTITUTE(SUBSTITUTE(LOWER(TRIM(D236)),"ё","е")," -","-"),"- ","-")," 2 разряда","")," 3 разряда","")," 4 разряда","")," 5 разряда","")," 6 разряда","")," 1 категории","")," 2 категории","")," 3 категории","")))))</f>
        <v>кладовщик</v>
      </c>
      <c r="H236" s="11" t="n">
        <f aca="false">IFERROR(INDEX(Соответствие!$B$2:$B$76,MATCH(G236,Соответствие!$A$2:$A$76,0)),"?")</f>
        <v>14</v>
      </c>
      <c r="I236" s="8" t="str">
        <f aca="false">IFERROR(INDEX('Перечень должностей'!$C$2:$C$46,MATCH(H236,'Перечень должностей'!$A$2:$A$46,0)),"")</f>
        <v>п.4.4, п.5.1, п.6.2</v>
      </c>
      <c r="J236" s="11" t="n">
        <f aca="false">IFERROR(INDEX('Перечень должностей'!$D$2:$D$46,MATCH(H236,'Перечень должностей'!$A$2:$A$46,0)),12)</f>
        <v>12</v>
      </c>
      <c r="K236" s="16"/>
      <c r="L236" s="16"/>
      <c r="M236" s="15" t="str">
        <f aca="false">IF(K236="","",EDATE(IF(L236&lt;&gt;"",L236,K236),J236))</f>
        <v/>
      </c>
      <c r="N236" s="11" t="str">
        <f aca="false">IFERROR(INDEX('Перечень должностей'!$F$2:$F$46,MATCH(H236,'Перечень должностей'!$A$2:$A$46,0)),"")</f>
        <v>-</v>
      </c>
      <c r="O236" s="16"/>
      <c r="P236" s="15" t="str">
        <f aca="false">IF(O236="","",EDATE(O236,60))</f>
        <v/>
      </c>
      <c r="Q236" s="11" t="str">
        <f aca="false">IF(AND(K236&lt;&gt;"",F236&lt;&gt;"",K236&gt;F236),"ДА","")</f>
        <v/>
      </c>
      <c r="R236" s="8"/>
    </row>
    <row r="237" customFormat="false" ht="14.25" hidden="false" customHeight="false" outlineLevel="0" collapsed="false">
      <c r="A237" s="14" t="n">
        <v>236</v>
      </c>
      <c r="B237" s="11" t="s">
        <v>50</v>
      </c>
      <c r="C237" s="14" t="s">
        <v>653</v>
      </c>
      <c r="D237" s="14" t="s">
        <v>75</v>
      </c>
      <c r="E237" s="14" t="s">
        <v>194</v>
      </c>
      <c r="F237" s="15" t="n">
        <v>45950</v>
      </c>
      <c r="G237" s="4" t="str">
        <f aca="false">IF(TRIM(SUBSTITUTE(SUBSTITUTE(SUBSTITUTE(SUBSTITUTE(SUBSTITUTE(SUBSTITUTE(SUBSTITUTE(SUBSTITUTE(SUBSTITUTE(SUBSTITUTE(SUBSTITUTE(LOWER(TRIM(D237)),"ё","е")," -","-"),"- ","-")," 2 разряда","")," 3 разряда","")," 4 разряда","")," 5 разряда","")," 6 разряда","")," 1 категории","")," 2 категории","")," 3 категории",""))="инженер",IF(AND(ISNUMBER(SEARCH("техническ",E237)),ISNUMBER(SEARCH("контрол",E237))),"инженер отк",IF(ISNUMBER(SEARCH("диспетч",E237)),"инженер пдо",TRIM(SUBSTITUTE(SUBSTITUTE(SUBSTITUTE(SUBSTITUTE(SUBSTITUTE(SUBSTITUTE(SUBSTITUTE(SUBSTITUTE(SUBSTITUTE(SUBSTITUTE(SUBSTITUTE(LOWER(TRIM(D237)),"ё","е"),"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категории","")))),IF(TRIM(SUBSTITUTE(SUBSTITUTE(SUBSTITUTE(SUBSTITUTE(SUBSTITUTE(SUBSTITUTE(SUBSTITUTE(SUBSTITUTE(SUBSTITUTE(SUBSTITUTE(SUBSTITUTE(LOWER(TRIM(D237)),"ё","е")," -","-"),"- ","-")," 2 разряда","")," 3 разряда","")," 4 разряда","")," 5 разряда","")," 6 разряда","")," 1 категории","")," 2 категории","")," 3 категории",""))="ведущий инженер",IF(ISNUMBER(SEARCH("диспетч",E237)),"ведущий инженер пдо",TRIM(SUBSTITUTE(SUBSTITUTE(SUBSTITUTE(SUBSTITUTE(SUBSTITUTE(SUBSTITUTE(SUBSTITUTE(SUBSTITUTE(SUBSTITUTE(SUBSTITUTE(SUBSTITUTE(LOWER(TRIM(D237)),"ё","е"),"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отк",TRIM(SUBSTITUTE(SUBSTITUTE(SUBSTITUTE(SUBSTITUTE(SUBSTITUTE(SUBSTITUTE(SUBSTITUTE(SUBSTITUTE(SUBSTITUTE(SUBSTITUTE(SUBSTITUTE(LOWER(TRIM(D237)),"ё","е")," -","-"),"- ","-")," 2 разряда","")," 3 разряда","")," 4 разряда","")," 5 разряда","")," 6 разряда","")," 1 категории","")," 2 категории","")," 3 категории","")))))</f>
        <v>кладовщик</v>
      </c>
      <c r="H237" s="11" t="n">
        <f aca="false">IFERROR(INDEX(Соответствие!$B$2:$B$76,MATCH(G237,Соответствие!$A$2:$A$76,0)),"?")</f>
        <v>14</v>
      </c>
      <c r="I237" s="8" t="str">
        <f aca="false">IFERROR(INDEX('Перечень должностей'!$C$2:$C$46,MATCH(H237,'Перечень должностей'!$A$2:$A$46,0)),"")</f>
        <v>п.4.4, п.5.1, п.6.2</v>
      </c>
      <c r="J237" s="11" t="n">
        <f aca="false">IFERROR(INDEX('Перечень должностей'!$D$2:$D$46,MATCH(H237,'Перечень должностей'!$A$2:$A$46,0)),12)</f>
        <v>12</v>
      </c>
      <c r="K237" s="16"/>
      <c r="L237" s="16"/>
      <c r="M237" s="15" t="str">
        <f aca="false">IF(K237="","",EDATE(IF(L237&lt;&gt;"",L237,K237),J237))</f>
        <v/>
      </c>
      <c r="N237" s="11" t="str">
        <f aca="false">IFERROR(INDEX('Перечень должностей'!$F$2:$F$46,MATCH(H237,'Перечень должностей'!$A$2:$A$46,0)),"")</f>
        <v>-</v>
      </c>
      <c r="O237" s="16"/>
      <c r="P237" s="15" t="str">
        <f aca="false">IF(O237="","",EDATE(O237,60))</f>
        <v/>
      </c>
      <c r="Q237" s="11" t="str">
        <f aca="false">IF(AND(K237&lt;&gt;"",F237&lt;&gt;"",K237&gt;F237),"ДА","")</f>
        <v/>
      </c>
      <c r="R237" s="8"/>
    </row>
    <row r="238" customFormat="false" ht="23.85" hidden="false" customHeight="false" outlineLevel="0" collapsed="false">
      <c r="A238" s="14" t="n">
        <v>237</v>
      </c>
      <c r="B238" s="11" t="s">
        <v>50</v>
      </c>
      <c r="C238" s="14" t="s">
        <v>654</v>
      </c>
      <c r="D238" s="14" t="s">
        <v>298</v>
      </c>
      <c r="E238" s="14" t="s">
        <v>194</v>
      </c>
      <c r="F238" s="15" t="n">
        <v>42461</v>
      </c>
      <c r="G238" s="4" t="str">
        <f aca="false">IF(TRIM(SUBSTITUTE(SUBSTITUTE(SUBSTITUTE(SUBSTITUTE(SUBSTITUTE(SUBSTITUTE(SUBSTITUTE(SUBSTITUTE(SUBSTITUTE(SUBSTITUTE(SUBSTITUTE(LOWER(TRIM(D238)),"ё","е")," -","-"),"- ","-")," 2 разряда","")," 3 разряда","")," 4 разряда","")," 5 разряда","")," 6 разряда","")," 1 категории","")," 2 категории","")," 3 категории",""))="инженер",IF(AND(ISNUMBER(SEARCH("техническ",E238)),ISNUMBER(SEARCH("контрол",E238))),"инженер отк",IF(ISNUMBER(SEARCH("диспетч",E238)),"инженер пдо",TRIM(SUBSTITUTE(SUBSTITUTE(SUBSTITUTE(SUBSTITUTE(SUBSTITUTE(SUBSTITUTE(SUBSTITUTE(SUBSTITUTE(SUBSTITUTE(SUBSTITUTE(SUBSTITUTE(LOWER(TRIM(D238)),"ё","е"),"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категории","")))),IF(TRIM(SUBSTITUTE(SUBSTITUTE(SUBSTITUTE(SUBSTITUTE(SUBSTITUTE(SUBSTITUTE(SUBSTITUTE(SUBSTITUTE(SUBSTITUTE(SUBSTITUTE(SUBSTITUTE(LOWER(TRIM(D238)),"ё","е")," -","-"),"- ","-")," 2 разряда","")," 3 разряда","")," 4 разряда","")," 5 разряда","")," 6 разряда","")," 1 категории","")," 2 категории","")," 3 категории",""))="ведущий инженер",IF(ISNUMBER(SEARCH("диспетч",E238)),"ведущий инженер пдо",TRIM(SUBSTITUTE(SUBSTITUTE(SUBSTITUTE(SUBSTITUTE(SUBSTITUTE(SUBSTITUTE(SUBSTITUTE(SUBSTITUTE(SUBSTITUTE(SUBSTITUTE(SUBSTITUTE(LOWER(TRIM(D238)),"ё","е"),"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отк",TRIM(SUBSTITUTE(SUBSTITUTE(SUBSTITUTE(SUBSTITUTE(SUBSTITUTE(SUBSTITUTE(SUBSTITUTE(SUBSTITUTE(SUBSTITUTE(SUBSTITUTE(SUBSTITUTE(LOWER(TRIM(D238)),"ё","е")," -","-"),"- ","-")," 2 разряда","")," 3 разряда","")," 4 разряда","")," 5 разряда","")," 6 разряда","")," 1 категории","")," 2 категории","")," 3 категории","")))))</f>
        <v>лаборант</v>
      </c>
      <c r="H238" s="11" t="n">
        <f aca="false">IFERROR(INDEX(Соответствие!$B$2:$B$76,MATCH(G238,Соответствие!$A$2:$A$76,0)),"?")</f>
        <v>15</v>
      </c>
      <c r="I238" s="8" t="str">
        <f aca="false">IFERROR(INDEX('Перечень должностей'!$C$2:$C$46,MATCH(H238,'Перечень должностей'!$A$2:$A$46,0)),"")</f>
        <v>п.1.49.2, п.1.49.14, п.1.50, п.4.3.1, п.4.4, п.6.2</v>
      </c>
      <c r="J238" s="11" t="n">
        <f aca="false">IFERROR(INDEX('Перечень должностей'!$D$2:$D$46,MATCH(H238,'Перечень должностей'!$A$2:$A$46,0)),12)</f>
        <v>12</v>
      </c>
      <c r="K238" s="16"/>
      <c r="L238" s="16"/>
      <c r="M238" s="15" t="str">
        <f aca="false">IF(K238="","",EDATE(IF(L238&lt;&gt;"",L238,K238),J238))</f>
        <v/>
      </c>
      <c r="N238" s="11" t="str">
        <f aca="false">IFERROR(INDEX('Перечень должностей'!$F$2:$F$46,MATCH(H238,'Перечень должностей'!$A$2:$A$46,0)),"")</f>
        <v>-</v>
      </c>
      <c r="O238" s="16"/>
      <c r="P238" s="15" t="str">
        <f aca="false">IF(O238="","",EDATE(O238,60))</f>
        <v/>
      </c>
      <c r="Q238" s="11" t="str">
        <f aca="false">IF(AND(K238&lt;&gt;"",F238&lt;&gt;"",K238&gt;F238),"ДА","")</f>
        <v/>
      </c>
      <c r="R238" s="8"/>
    </row>
    <row r="239" customFormat="false" ht="14.25" hidden="false" customHeight="false" outlineLevel="0" collapsed="false">
      <c r="A239" s="14" t="n">
        <v>238</v>
      </c>
      <c r="B239" s="11" t="s">
        <v>50</v>
      </c>
      <c r="C239" s="14" t="s">
        <v>655</v>
      </c>
      <c r="D239" s="14" t="s">
        <v>656</v>
      </c>
      <c r="E239" s="14" t="s">
        <v>194</v>
      </c>
      <c r="F239" s="15" t="n">
        <v>45782</v>
      </c>
      <c r="G239" s="4" t="str">
        <f aca="false">IF(TRIM(SUBSTITUTE(SUBSTITUTE(SUBSTITUTE(SUBSTITUTE(SUBSTITUTE(SUBSTITUTE(SUBSTITUTE(SUBSTITUTE(SUBSTITUTE(SUBSTITUTE(SUBSTITUTE(LOWER(TRIM(D239)),"ё","е")," -","-"),"- ","-")," 2 разряда","")," 3 разряда","")," 4 разряда","")," 5 разряда","")," 6 разряда","")," 1 категории","")," 2 категории","")," 3 категории",""))="инженер",IF(AND(ISNUMBER(SEARCH("техническ",E239)),ISNUMBER(SEARCH("контрол",E239))),"инженер отк",IF(ISNUMBER(SEARCH("диспетч",E239)),"инженер пдо",TRIM(SUBSTITUTE(SUBSTITUTE(SUBSTITUTE(SUBSTITUTE(SUBSTITUTE(SUBSTITUTE(SUBSTITUTE(SUBSTITUTE(SUBSTITUTE(SUBSTITUTE(SUBSTITUTE(LOWER(TRIM(D239)),"ё","е"),"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категории","")))),IF(TRIM(SUBSTITUTE(SUBSTITUTE(SUBSTITUTE(SUBSTITUTE(SUBSTITUTE(SUBSTITUTE(SUBSTITUTE(SUBSTITUTE(SUBSTITUTE(SUBSTITUTE(SUBSTITUTE(LOWER(TRIM(D239)),"ё","е")," -","-"),"- ","-")," 2 разряда","")," 3 разряда","")," 4 разряда","")," 5 разряда","")," 6 разряда","")," 1 категории","")," 2 категории","")," 3 категории",""))="ведущий инженер",IF(ISNUMBER(SEARCH("диспетч",E239)),"ведущий инженер пдо",TRIM(SUBSTITUTE(SUBSTITUTE(SUBSTITUTE(SUBSTITUTE(SUBSTITUTE(SUBSTITUTE(SUBSTITUTE(SUBSTITUTE(SUBSTITUTE(SUBSTITUTE(SUBSTITUTE(LOWER(TRIM(D239)),"ё","е"),"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категории",""))),IF(TRIM(SUBSTITUTE(SUBSTITUTE(SUBSTITUTE(SUBSTITUTE(SUBSTITUTE(SUBSTITUTE(SUBSTITUTE(SUBSTITUTE(SUBSTITUTE(SUBSTITUTE(SUBSTITUTE(LOWER(TRIM(D239)),"ё","е"),"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отк",TRIM(SUBSTITUTE(SUBSTITUTE(SUBSTITUTE(SUBSTITUTE(SUBSTITUTE(SUBSTITUTE(SUBSTITUTE(SUBSTITUTE(SUBSTITUTE(SUBSTITUTE(SUBSTITUTE(LOWER(TRIM(D239)),"ё","е")," -","-"),"- ","-")," 2 разряда","")," 3 разряда","")," 4 разряда","")," 5 разряда","")," 6 разряда","")," 1 категории","")," 2 категории","")," 3 категории","")))))</f>
        <v>кладовщик-комплектовщик</v>
      </c>
      <c r="H239" s="11" t="n">
        <f aca="false">IFERROR(INDEX(Соответствие!$B$2:$B$76,MATCH(G239,Соответствие!$A$2:$A$76,0)),"?")</f>
        <v>14</v>
      </c>
      <c r="I239" s="8" t="str">
        <f aca="false">IFERROR(INDEX('Перечень должностей'!$C$2:$C$46,MATCH(H239,'Перечень должностей'!$A$2:$A$46,0)),"")</f>
        <v>п.4.4, п.5.1, п.6.2</v>
      </c>
      <c r="J239" s="11" t="n">
        <f aca="false">IFERROR(INDEX('Перечень должностей'!$D$2:$D$46,MATCH(H239,'Перечень должностей'!$A$2:$A$46,0)),12)</f>
        <v>12</v>
      </c>
      <c r="K239" s="16"/>
      <c r="L239" s="16"/>
      <c r="M239" s="15" t="str">
        <f aca="false">IF(K239="","",EDATE(IF(L239&lt;&gt;"",L239,K239),J239))</f>
        <v/>
      </c>
      <c r="N239" s="11" t="str">
        <f aca="false">IFERROR(INDEX('Перечень должностей'!$F$2:$F$46,MATCH(H239,'Перечень должностей'!$A$2:$A$46,0)),"")</f>
        <v>-</v>
      </c>
      <c r="O239" s="16"/>
      <c r="P239" s="15" t="str">
        <f aca="false">IF(O239="","",EDATE(O239,60))</f>
        <v/>
      </c>
      <c r="Q239" s="11" t="str">
        <f aca="false">IF(AND(K239&lt;&gt;"",F239&lt;&gt;"",K239&gt;F239),"ДА","")</f>
        <v/>
      </c>
      <c r="R239" s="8"/>
    </row>
    <row r="240" customFormat="false" ht="26.25" hidden="false" customHeight="true" outlineLevel="0" collapsed="false">
      <c r="A240" s="14" t="n">
        <v>239</v>
      </c>
      <c r="B240" s="11" t="s">
        <v>50</v>
      </c>
      <c r="C240" s="14" t="s">
        <v>657</v>
      </c>
      <c r="D240" s="14" t="s">
        <v>656</v>
      </c>
      <c r="E240" s="14" t="s">
        <v>194</v>
      </c>
      <c r="F240" s="15" t="n">
        <v>45805</v>
      </c>
      <c r="G240" s="4" t="str">
        <f aca="false">IF(TRIM(SUBSTITUTE(SUBSTITUTE(SUBSTITUTE(SUBSTITUTE(SUBSTITUTE(SUBSTITUTE(SUBSTITUTE(SUBSTITUTE(SUBSTITUTE(SUBSTITUTE(SUBSTITUTE(LOWER(TRIM(D240)),"ё","е")," -","-"),"- ","-")," 2 разряда","")," 3 разряда","")," 4 разряда","")," 5 разряда","")," 6 разряда","")," 1 категории","")," 2 категории","")," 3 категории",""))="инженер",IF(AND(ISNUMBER(SEARCH("техническ",E240)),ISNUMBER(SEARCH("контрол",E240))),"инженер отк",IF(ISNUMBER(SEARCH("диспетч",E240)),"инженер пдо",TRIM(SUBSTITUTE(SUBSTITUTE(SUBSTITUTE(SUBSTITUTE(SUBSTITUTE(SUBSTITUTE(SUBSTITUTE(SUBSTITUTE(SUBSTITUTE(SUBSTITUTE(SUBSTITUTE(LOWER(TRIM(D240)),"ё","е"),"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категории","")))),IF(TRIM(SUBSTITUTE(SUBSTITUTE(SUBSTITUTE(SUBSTITUTE(SUBSTITUTE(SUBSTITUTE(SUBSTITUTE(SUBSTITUTE(SUBSTITUTE(SUBSTITUTE(SUBSTITUTE(LOWER(TRIM(D240)),"ё","е")," -","-"),"- ","-")," 2 разряда","")," 3 разряда","")," 4 разряда","")," 5 разряда","")," 6 разряда","")," 1 категории","")," 2 категории","")," 3 категории",""))="ведущий инженер",IF(ISNUMBER(SEARCH("диспетч",E240)),"ведущий инженер пдо",TRIM(SUBSTITUTE(SUBSTITUTE(SUBSTITUTE(SUBSTITUTE(SUBSTITUTE(SUBSTITUTE(SUBSTITUTE(SUBSTITUTE(SUBSTITUTE(SUBSTITUTE(SUBSTITUTE(LOWER(TRIM(D240)),"ё","е"),"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отк",TRIM(SUBSTITUTE(SUBSTITUTE(SUBSTITUTE(SUBSTITUTE(SUBSTITUTE(SUBSTITUTE(SUBSTITUTE(SUBSTITUTE(SUBSTITUTE(SUBSTITUTE(SUBSTITUTE(LOWER(TRIM(D240)),"ё","е")," -","-"),"- ","-")," 2 разряда","")," 3 разряда","")," 4 разряда","")," 5 разряда","")," 6 разряда","")," 1 категории","")," 2 категории","")," 3 категории","")))))</f>
        <v>кладовщик-комплектовщик</v>
      </c>
      <c r="H240" s="11" t="n">
        <f aca="false">IFERROR(INDEX(Соответствие!$B$2:$B$76,MATCH(G240,Соответствие!$A$2:$A$76,0)),"?")</f>
        <v>14</v>
      </c>
      <c r="I240" s="8" t="str">
        <f aca="false">IFERROR(INDEX('Перечень должностей'!$C$2:$C$46,MATCH(H240,'Перечень должностей'!$A$2:$A$46,0)),"")</f>
        <v>п.4.4, п.5.1, п.6.2</v>
      </c>
      <c r="J240" s="11" t="n">
        <f aca="false">IFERROR(INDEX('Перечень должностей'!$D$2:$D$46,MATCH(H240,'Перечень должностей'!$A$2:$A$46,0)),12)</f>
        <v>12</v>
      </c>
      <c r="K240" s="16"/>
      <c r="L240" s="16"/>
      <c r="M240" s="15" t="str">
        <f aca="false">IF(K240="","",EDATE(IF(L240&lt;&gt;"",L240,K240),J240))</f>
        <v/>
      </c>
      <c r="N240" s="11" t="str">
        <f aca="false">IFERROR(INDEX('Перечень должностей'!$F$2:$F$46,MATCH(H240,'Перечень должностей'!$A$2:$A$46,0)),"")</f>
        <v>-</v>
      </c>
      <c r="O240" s="16"/>
      <c r="P240" s="15" t="str">
        <f aca="false">IF(O240="","",EDATE(O240,60))</f>
        <v/>
      </c>
      <c r="Q240" s="11" t="str">
        <f aca="false">IF(AND(K240&lt;&gt;"",F240&lt;&gt;"",K240&gt;F240),"ДА","")</f>
        <v/>
      </c>
      <c r="R240" s="8"/>
    </row>
    <row r="241" customFormat="false" ht="14.25" hidden="false" customHeight="false" outlineLevel="0" collapsed="false">
      <c r="A241" s="14" t="n">
        <v>240</v>
      </c>
      <c r="B241" s="11" t="s">
        <v>50</v>
      </c>
      <c r="C241" s="14" t="s">
        <v>658</v>
      </c>
      <c r="D241" s="14" t="s">
        <v>656</v>
      </c>
      <c r="E241" s="14" t="s">
        <v>194</v>
      </c>
      <c r="F241" s="15" t="n">
        <v>42016</v>
      </c>
      <c r="G241" s="4" t="str">
        <f aca="false">IF(TRIM(SUBSTITUTE(SUBSTITUTE(SUBSTITUTE(SUBSTITUTE(SUBSTITUTE(SUBSTITUTE(SUBSTITUTE(SUBSTITUTE(SUBSTITUTE(SUBSTITUTE(SUBSTITUTE(LOWER(TRIM(D241)),"ё","е")," -","-"),"- ","-")," 2 разряда","")," 3 разряда","")," 4 разряда","")," 5 разряда","")," 6 разряда","")," 1 категории","")," 2 категории","")," 3 категории",""))="инженер",IF(AND(ISNUMBER(SEARCH("техническ",E241)),ISNUMBER(SEARCH("контрол",E241))),"инженер отк",IF(ISNUMBER(SEARCH("диспетч",E241)),"инженер пдо",TRIM(SUBSTITUTE(SUBSTITUTE(SUBSTITUTE(SUBSTITUTE(SUBSTITUTE(SUBSTITUTE(SUBSTITUTE(SUBSTITUTE(SUBSTITUTE(SUBSTITUTE(SUBSTITUTE(LOWER(TRIM(D241)),"ё","е"),"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категории","")))),IF(TRIM(SUBSTITUTE(SUBSTITUTE(SUBSTITUTE(SUBSTITUTE(SUBSTITUTE(SUBSTITUTE(SUBSTITUTE(SUBSTITUTE(SUBSTITUTE(SUBSTITUTE(SUBSTITUTE(LOWER(TRIM(D241)),"ё","е")," -","-"),"- ","-")," 2 разряда","")," 3 разряда","")," 4 разряда","")," 5 разряда","")," 6 разряда","")," 1 категории","")," 2 категории","")," 3 категории",""))="ведущий инженер",IF(ISNUMBER(SEARCH("диспетч",E241)),"ведущий инженер пдо",TRIM(SUBSTITUTE(SUBSTITUTE(SUBSTITUTE(SUBSTITUTE(SUBSTITUTE(SUBSTITUTE(SUBSTITUTE(SUBSTITUTE(SUBSTITUTE(SUBSTITUTE(SUBSTITUTE(LOWER(TRIM(D241)),"ё","е"),"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отк",TRIM(SUBSTITUTE(SUBSTITUTE(SUBSTITUTE(SUBSTITUTE(SUBSTITUTE(SUBSTITUTE(SUBSTITUTE(SUBSTITUTE(SUBSTITUTE(SUBSTITUTE(SUBSTITUTE(LOWER(TRIM(D241)),"ё","е")," -","-"),"- ","-")," 2 разряда","")," 3 разряда","")," 4 разряда","")," 5 разряда","")," 6 разряда","")," 1 категории","")," 2 категории","")," 3 категории","")))))</f>
        <v>кладовщик-комплектовщик</v>
      </c>
      <c r="H241" s="11" t="n">
        <f aca="false">IFERROR(INDEX(Соответствие!$B$2:$B$76,MATCH(G241,Соответствие!$A$2:$A$76,0)),"?")</f>
        <v>14</v>
      </c>
      <c r="I241" s="8" t="str">
        <f aca="false">IFERROR(INDEX('Перечень должностей'!$C$2:$C$46,MATCH(H241,'Перечень должностей'!$A$2:$A$46,0)),"")</f>
        <v>п.4.4, п.5.1, п.6.2</v>
      </c>
      <c r="J241" s="11" t="n">
        <f aca="false">IFERROR(INDEX('Перечень должностей'!$D$2:$D$46,MATCH(H241,'Перечень должностей'!$A$2:$A$46,0)),12)</f>
        <v>12</v>
      </c>
      <c r="K241" s="16"/>
      <c r="L241" s="16"/>
      <c r="M241" s="15" t="str">
        <f aca="false">IF(K241="","",EDATE(IF(L241&lt;&gt;"",L241,K241),J241))</f>
        <v/>
      </c>
      <c r="N241" s="11" t="str">
        <f aca="false">IFERROR(INDEX('Перечень должностей'!$F$2:$F$46,MATCH(H241,'Перечень должностей'!$A$2:$A$46,0)),"")</f>
        <v>-</v>
      </c>
      <c r="O241" s="16"/>
      <c r="P241" s="15" t="str">
        <f aca="false">IF(O241="","",EDATE(O241,60))</f>
        <v/>
      </c>
      <c r="Q241" s="11" t="str">
        <f aca="false">IF(AND(K241&lt;&gt;"",F241&lt;&gt;"",K241&gt;F241),"ДА","")</f>
        <v/>
      </c>
      <c r="R241" s="8"/>
    </row>
    <row r="242" customFormat="false" ht="14.25" hidden="false" customHeight="false" outlineLevel="0" collapsed="false">
      <c r="A242" s="14" t="n">
        <v>241</v>
      </c>
      <c r="B242" s="11" t="s">
        <v>50</v>
      </c>
      <c r="C242" s="14" t="s">
        <v>659</v>
      </c>
      <c r="D242" s="14" t="s">
        <v>656</v>
      </c>
      <c r="E242" s="14" t="s">
        <v>194</v>
      </c>
      <c r="F242" s="15" t="n">
        <v>45775</v>
      </c>
      <c r="G242" s="4" t="str">
        <f aca="false">IF(TRIM(SUBSTITUTE(SUBSTITUTE(SUBSTITUTE(SUBSTITUTE(SUBSTITUTE(SUBSTITUTE(SUBSTITUTE(SUBSTITUTE(SUBSTITUTE(SUBSTITUTE(SUBSTITUTE(LOWER(TRIM(D242)),"ё","е")," -","-"),"- ","-")," 2 разряда","")," 3 разряда","")," 4 разряда","")," 5 разряда","")," 6 разряда","")," 1 категории","")," 2 категории","")," 3 категории",""))="инженер",IF(AND(ISNUMBER(SEARCH("техническ",E242)),ISNUMBER(SEARCH("контрол",E242))),"инженер отк",IF(ISNUMBER(SEARCH("диспетч",E242)),"инженер пдо",TRIM(SUBSTITUTE(SUBSTITUTE(SUBSTITUTE(SUBSTITUTE(SUBSTITUTE(SUBSTITUTE(SUBSTITUTE(SUBSTITUTE(SUBSTITUTE(SUBSTITUTE(SUBSTITUTE(LOWER(TRIM(D242)),"ё","е"),"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категории","")))),IF(TRIM(SUBSTITUTE(SUBSTITUTE(SUBSTITUTE(SUBSTITUTE(SUBSTITUTE(SUBSTITUTE(SUBSTITUTE(SUBSTITUTE(SUBSTITUTE(SUBSTITUTE(SUBSTITUTE(LOWER(TRIM(D242)),"ё","е")," -","-"),"- ","-")," 2 разряда","")," 3 разряда","")," 4 разряда","")," 5 разряда","")," 6 разряда","")," 1 категории","")," 2 категории","")," 3 категории",""))="ведущий инженер",IF(ISNUMBER(SEARCH("диспетч",E242)),"ведущий инженер пдо",TRIM(SUBSTITUTE(SUBSTITUTE(SUBSTITUTE(SUBSTITUTE(SUBSTITUTE(SUBSTITUTE(SUBSTITUTE(SUBSTITUTE(SUBSTITUTE(SUBSTITUTE(SUBSTITUTE(LOWER(TRIM(D242)),"ё","е"),"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отк",TRIM(SUBSTITUTE(SUBSTITUTE(SUBSTITUTE(SUBSTITUTE(SUBSTITUTE(SUBSTITUTE(SUBSTITUTE(SUBSTITUTE(SUBSTITUTE(SUBSTITUTE(SUBSTITUTE(LOWER(TRIM(D242)),"ё","е")," -","-"),"- ","-")," 2 разряда","")," 3 разряда","")," 4 разряда","")," 5 разряда","")," 6 разряда","")," 1 категории","")," 2 категории","")," 3 категории","")))))</f>
        <v>кладовщик-комплектовщик</v>
      </c>
      <c r="H242" s="11" t="n">
        <f aca="false">IFERROR(INDEX(Соответствие!$B$2:$B$76,MATCH(G242,Соответствие!$A$2:$A$76,0)),"?")</f>
        <v>14</v>
      </c>
      <c r="I242" s="8" t="str">
        <f aca="false">IFERROR(INDEX('Перечень должностей'!$C$2:$C$46,MATCH(H242,'Перечень должностей'!$A$2:$A$46,0)),"")</f>
        <v>п.4.4, п.5.1, п.6.2</v>
      </c>
      <c r="J242" s="11" t="n">
        <f aca="false">IFERROR(INDEX('Перечень должностей'!$D$2:$D$46,MATCH(H242,'Перечень должностей'!$A$2:$A$46,0)),12)</f>
        <v>12</v>
      </c>
      <c r="K242" s="16"/>
      <c r="L242" s="16"/>
      <c r="M242" s="15" t="str">
        <f aca="false">IF(K242="","",EDATE(IF(L242&lt;&gt;"",L242,K242),J242))</f>
        <v/>
      </c>
      <c r="N242" s="11" t="str">
        <f aca="false">IFERROR(INDEX('Перечень должностей'!$F$2:$F$46,MATCH(H242,'Перечень должностей'!$A$2:$A$46,0)),"")</f>
        <v>-</v>
      </c>
      <c r="O242" s="16"/>
      <c r="P242" s="15" t="str">
        <f aca="false">IF(O242="","",EDATE(O242,60))</f>
        <v/>
      </c>
      <c r="Q242" s="11" t="str">
        <f aca="false">IF(AND(K242&lt;&gt;"",F242&lt;&gt;"",K242&gt;F242),"ДА","")</f>
        <v/>
      </c>
      <c r="R242" s="8"/>
    </row>
    <row r="243" customFormat="false" ht="14.25" hidden="false" customHeight="false" outlineLevel="0" collapsed="false">
      <c r="A243" s="14" t="n">
        <v>242</v>
      </c>
      <c r="B243" s="11" t="s">
        <v>50</v>
      </c>
      <c r="C243" s="14" t="s">
        <v>660</v>
      </c>
      <c r="D243" s="14" t="s">
        <v>656</v>
      </c>
      <c r="E243" s="14" t="s">
        <v>194</v>
      </c>
      <c r="F243" s="15" t="n">
        <v>45789</v>
      </c>
      <c r="G243" s="4" t="str">
        <f aca="false">IF(TRIM(SUBSTITUTE(SUBSTITUTE(SUBSTITUTE(SUBSTITUTE(SUBSTITUTE(SUBSTITUTE(SUBSTITUTE(SUBSTITUTE(SUBSTITUTE(SUBSTITUTE(SUBSTITUTE(LOWER(TRIM(D243)),"ё","е")," -","-"),"- ","-")," 2 разряда","")," 3 разряда","")," 4 разряда","")," 5 разряда","")," 6 разряда","")," 1 категории","")," 2 категории","")," 3 категории",""))="инженер",IF(AND(ISNUMBER(SEARCH("техническ",E243)),ISNUMBER(SEARCH("контрол",E243))),"инженер отк",IF(ISNUMBER(SEARCH("диспетч",E243)),"инженер пдо",TRIM(SUBSTITUTE(SUBSTITUTE(SUBSTITUTE(SUBSTITUTE(SUBSTITUTE(SUBSTITUTE(SUBSTITUTE(SUBSTITUTE(SUBSTITUTE(SUBSTITUTE(SUBSTITUTE(LOWER(TRIM(D243)),"ё","е"),"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категории","")))),IF(TRIM(SUBSTITUTE(SUBSTITUTE(SUBSTITUTE(SUBSTITUTE(SUBSTITUTE(SUBSTITUTE(SUBSTITUTE(SUBSTITUTE(SUBSTITUTE(SUBSTITUTE(SUBSTITUTE(LOWER(TRIM(D243)),"ё","е")," -","-"),"- ","-")," 2 разряда","")," 3 разряда","")," 4 разряда","")," 5 разряда","")," 6 разряда","")," 1 категории","")," 2 категории","")," 3 категории",""))="ведущий инженер",IF(ISNUMBER(SEARCH("диспетч",E243)),"ведущий инженер пдо",TRIM(SUBSTITUTE(SUBSTITUTE(SUBSTITUTE(SUBSTITUTE(SUBSTITUTE(SUBSTITUTE(SUBSTITUTE(SUBSTITUTE(SUBSTITUTE(SUBSTITUTE(SUBSTITUTE(LOWER(TRIM(D243)),"ё","е"),"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отк",TRIM(SUBSTITUTE(SUBSTITUTE(SUBSTITUTE(SUBSTITUTE(SUBSTITUTE(SUBSTITUTE(SUBSTITUTE(SUBSTITUTE(SUBSTITUTE(SUBSTITUTE(SUBSTITUTE(LOWER(TRIM(D243)),"ё","е")," -","-"),"- ","-")," 2 разряда","")," 3 разряда","")," 4 разряда","")," 5 разряда","")," 6 разряда","")," 1 категории","")," 2 категории","")," 3 категории","")))))</f>
        <v>кладовщик-комплектовщик</v>
      </c>
      <c r="H243" s="11" t="n">
        <f aca="false">IFERROR(INDEX(Соответствие!$B$2:$B$76,MATCH(G243,Соответствие!$A$2:$A$76,0)),"?")</f>
        <v>14</v>
      </c>
      <c r="I243" s="8" t="str">
        <f aca="false">IFERROR(INDEX('Перечень должностей'!$C$2:$C$46,MATCH(H243,'Перечень должностей'!$A$2:$A$46,0)),"")</f>
        <v>п.4.4, п.5.1, п.6.2</v>
      </c>
      <c r="J243" s="11" t="n">
        <f aca="false">IFERROR(INDEX('Перечень должностей'!$D$2:$D$46,MATCH(H243,'Перечень должностей'!$A$2:$A$46,0)),12)</f>
        <v>12</v>
      </c>
      <c r="K243" s="16"/>
      <c r="L243" s="16"/>
      <c r="M243" s="15" t="str">
        <f aca="false">IF(K243="","",EDATE(IF(L243&lt;&gt;"",L243,K243),J243))</f>
        <v/>
      </c>
      <c r="N243" s="11" t="str">
        <f aca="false">IFERROR(INDEX('Перечень должностей'!$F$2:$F$46,MATCH(H243,'Перечень должностей'!$A$2:$A$46,0)),"")</f>
        <v>-</v>
      </c>
      <c r="O243" s="16"/>
      <c r="P243" s="15" t="str">
        <f aca="false">IF(O243="","",EDATE(O243,60))</f>
        <v/>
      </c>
      <c r="Q243" s="11" t="str">
        <f aca="false">IF(AND(K243&lt;&gt;"",F243&lt;&gt;"",K243&gt;F243),"ДА","")</f>
        <v/>
      </c>
      <c r="R243" s="8"/>
    </row>
    <row r="244" customFormat="false" ht="23.85" hidden="false" customHeight="false" outlineLevel="0" collapsed="false">
      <c r="A244" s="14" t="n">
        <v>243</v>
      </c>
      <c r="B244" s="11" t="s">
        <v>50</v>
      </c>
      <c r="C244" s="14" t="s">
        <v>661</v>
      </c>
      <c r="D244" s="14" t="s">
        <v>300</v>
      </c>
      <c r="E244" s="14" t="s">
        <v>194</v>
      </c>
      <c r="F244" s="15" t="n">
        <v>45828</v>
      </c>
      <c r="G244" s="4" t="str">
        <f aca="false">IF(TRIM(SUBSTITUTE(SUBSTITUTE(SUBSTITUTE(SUBSTITUTE(SUBSTITUTE(SUBSTITUTE(SUBSTITUTE(SUBSTITUTE(SUBSTITUTE(SUBSTITUTE(SUBSTITUTE(LOWER(TRIM(D244)),"ё","е")," -","-"),"- ","-")," 2 разряда","")," 3 разряда","")," 4 разряда","")," 5 разряда","")," 6 разряда","")," 1 категории","")," 2 категории","")," 3 категории",""))="инженер",IF(AND(ISNUMBER(SEARCH("техническ",E244)),ISNUMBER(SEARCH("контрол",E244))),"инженер отк",IF(ISNUMBER(SEARCH("диспетч",E244)),"инженер пдо",TRIM(SUBSTITUTE(SUBSTITUTE(SUBSTITUTE(SUBSTITUTE(SUBSTITUTE(SUBSTITUTE(SUBSTITUTE(SUBSTITUTE(SUBSTITUTE(SUBSTITUTE(SUBSTITUTE(LOWER(TRIM(D244)),"ё","е"),"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категории","")))),IF(TRIM(SUBSTITUTE(SUBSTITUTE(SUBSTITUTE(SUBSTITUTE(SUBSTITUTE(SUBSTITUTE(SUBSTITUTE(SUBSTITUTE(SUBSTITUTE(SUBSTITUTE(SUBSTITUTE(LOWER(TRIM(D244)),"ё","е")," -","-"),"- ","-")," 2 разряда","")," 3 разряда","")," 4 разряда","")," 5 разряда","")," 6 разряда","")," 1 категории","")," 2 категории","")," 3 категории",""))="ведущий инженер",IF(ISNUMBER(SEARCH("диспетч",E244)),"ведущий инженер пдо",TRIM(SUBSTITUTE(SUBSTITUTE(SUBSTITUTE(SUBSTITUTE(SUBSTITUTE(SUBSTITUTE(SUBSTITUTE(SUBSTITUTE(SUBSTITUTE(SUBSTITUTE(SUBSTITUTE(LOWER(TRIM(D244)),"ё","е"),"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отк",TRIM(SUBSTITUTE(SUBSTITUTE(SUBSTITUTE(SUBSTITUTE(SUBSTITUTE(SUBSTITUTE(SUBSTITUTE(SUBSTITUTE(SUBSTITUTE(SUBSTITUTE(SUBSTITUTE(LOWER(TRIM(D244)),"ё","е")," -","-"),"- ","-")," 2 разряда","")," 3 разряда","")," 4 разряда","")," 5 разряда","")," 6 разряда","")," 1 категории","")," 2 категории","")," 3 категории","")))))</f>
        <v>оператор склада</v>
      </c>
      <c r="H244" s="11" t="n">
        <f aca="false">IFERROR(INDEX(Соответствие!$B$2:$B$76,MATCH(G244,Соответствие!$A$2:$A$76,0)),"?")</f>
        <v>16</v>
      </c>
      <c r="I244" s="8" t="str">
        <f aca="false">IFERROR(INDEX('Перечень должностей'!$C$2:$C$46,MATCH(H244,'Перечень должностей'!$A$2:$A$46,0)),"")</f>
        <v>п.4.3.1, п.4.3.2, п.4.4, п.5.1, п.6.2, п.18.1</v>
      </c>
      <c r="J244" s="11" t="n">
        <f aca="false">IFERROR(INDEX('Перечень должностей'!$D$2:$D$46,MATCH(H244,'Перечень должностей'!$A$2:$A$46,0)),12)</f>
        <v>12</v>
      </c>
      <c r="K244" s="16"/>
      <c r="L244" s="16"/>
      <c r="M244" s="15" t="str">
        <f aca="false">IF(K244="","",EDATE(IF(L244&lt;&gt;"",L244,K244),J244))</f>
        <v/>
      </c>
      <c r="N244" s="11" t="str">
        <f aca="false">IFERROR(INDEX('Перечень должностей'!$F$2:$F$46,MATCH(H244,'Перечень должностей'!$A$2:$A$46,0)),"")</f>
        <v>-</v>
      </c>
      <c r="O244" s="16"/>
      <c r="P244" s="15" t="str">
        <f aca="false">IF(O244="","",EDATE(O244,60))</f>
        <v/>
      </c>
      <c r="Q244" s="11" t="str">
        <f aca="false">IF(AND(K244&lt;&gt;"",F244&lt;&gt;"",K244&gt;F244),"ДА","")</f>
        <v/>
      </c>
      <c r="R244" s="8"/>
    </row>
    <row r="245" customFormat="false" ht="23.85" hidden="false" customHeight="false" outlineLevel="0" collapsed="false">
      <c r="A245" s="14" t="n">
        <v>244</v>
      </c>
      <c r="B245" s="11" t="s">
        <v>50</v>
      </c>
      <c r="C245" s="14" t="s">
        <v>662</v>
      </c>
      <c r="D245" s="14" t="s">
        <v>300</v>
      </c>
      <c r="E245" s="14" t="s">
        <v>194</v>
      </c>
      <c r="F245" s="15" t="n">
        <v>45971</v>
      </c>
      <c r="G245" s="4" t="str">
        <f aca="false">IF(TRIM(SUBSTITUTE(SUBSTITUTE(SUBSTITUTE(SUBSTITUTE(SUBSTITUTE(SUBSTITUTE(SUBSTITUTE(SUBSTITUTE(SUBSTITUTE(SUBSTITUTE(SUBSTITUTE(LOWER(TRIM(D245)),"ё","е")," -","-"),"- ","-")," 2 разряда","")," 3 разряда","")," 4 разряда","")," 5 разряда","")," 6 разряда","")," 1 категории","")," 2 категории","")," 3 категории",""))="инженер",IF(AND(ISNUMBER(SEARCH("техническ",E245)),ISNUMBER(SEARCH("контрол",E245))),"инженер отк",IF(ISNUMBER(SEARCH("диспетч",E245)),"инженер пдо",TRIM(SUBSTITUTE(SUBSTITUTE(SUBSTITUTE(SUBSTITUTE(SUBSTITUTE(SUBSTITUTE(SUBSTITUTE(SUBSTITUTE(SUBSTITUTE(SUBSTITUTE(SUBSTITUTE(LOWER(TRIM(D245)),"ё","е"),"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категории","")))),IF(TRIM(SUBSTITUTE(SUBSTITUTE(SUBSTITUTE(SUBSTITUTE(SUBSTITUTE(SUBSTITUTE(SUBSTITUTE(SUBSTITUTE(SUBSTITUTE(SUBSTITUTE(SUBSTITUTE(LOWER(TRIM(D245)),"ё","е")," -","-"),"- ","-")," 2 разряда","")," 3 разряда","")," 4 разряда","")," 5 разряда","")," 6 разряда","")," 1 категории","")," 2 категории","")," 3 категории",""))="ведущий инженер",IF(ISNUMBER(SEARCH("диспетч",E245)),"ведущий инженер пдо",TRIM(SUBSTITUTE(SUBSTITUTE(SUBSTITUTE(SUBSTITUTE(SUBSTITUTE(SUBSTITUTE(SUBSTITUTE(SUBSTITUTE(SUBSTITUTE(SUBSTITUTE(SUBSTITUTE(LOWER(TRIM(D245)),"ё","е"),"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отк",TRIM(SUBSTITUTE(SUBSTITUTE(SUBSTITUTE(SUBSTITUTE(SUBSTITUTE(SUBSTITUTE(SUBSTITUTE(SUBSTITUTE(SUBSTITUTE(SUBSTITUTE(SUBSTITUTE(LOWER(TRIM(D245)),"ё","е")," -","-"),"- ","-")," 2 разряда","")," 3 разряда","")," 4 разряда","")," 5 разряда","")," 6 разряда","")," 1 категории","")," 2 категории","")," 3 категории","")))))</f>
        <v>оператор склада</v>
      </c>
      <c r="H245" s="11" t="n">
        <f aca="false">IFERROR(INDEX(Соответствие!$B$2:$B$76,MATCH(G245,Соответствие!$A$2:$A$76,0)),"?")</f>
        <v>16</v>
      </c>
      <c r="I245" s="8" t="str">
        <f aca="false">IFERROR(INDEX('Перечень должностей'!$C$2:$C$46,MATCH(H245,'Перечень должностей'!$A$2:$A$46,0)),"")</f>
        <v>п.4.3.1, п.4.3.2, п.4.4, п.5.1, п.6.2, п.18.1</v>
      </c>
      <c r="J245" s="11" t="n">
        <f aca="false">IFERROR(INDEX('Перечень должностей'!$D$2:$D$46,MATCH(H245,'Перечень должностей'!$A$2:$A$46,0)),12)</f>
        <v>12</v>
      </c>
      <c r="K245" s="16"/>
      <c r="L245" s="16"/>
      <c r="M245" s="15" t="str">
        <f aca="false">IF(K245="","",EDATE(IF(L245&lt;&gt;"",L245,K245),J245))</f>
        <v/>
      </c>
      <c r="N245" s="11" t="str">
        <f aca="false">IFERROR(INDEX('Перечень должностей'!$F$2:$F$46,MATCH(H245,'Перечень должностей'!$A$2:$A$46,0)),"")</f>
        <v>-</v>
      </c>
      <c r="O245" s="16"/>
      <c r="P245" s="15" t="str">
        <f aca="false">IF(O245="","",EDATE(O245,60))</f>
        <v/>
      </c>
      <c r="Q245" s="11" t="str">
        <f aca="false">IF(AND(K245&lt;&gt;"",F245&lt;&gt;"",K245&gt;F245),"ДА","")</f>
        <v/>
      </c>
      <c r="R245" s="8"/>
    </row>
    <row r="246" customFormat="false" ht="26.25" hidden="false" customHeight="true" outlineLevel="0" collapsed="false">
      <c r="A246" s="14" t="n">
        <v>245</v>
      </c>
      <c r="B246" s="11" t="s">
        <v>50</v>
      </c>
      <c r="C246" s="14" t="s">
        <v>663</v>
      </c>
      <c r="D246" s="14" t="s">
        <v>338</v>
      </c>
      <c r="E246" s="14" t="s">
        <v>664</v>
      </c>
      <c r="F246" s="15" t="n">
        <v>43024</v>
      </c>
      <c r="G246" s="4" t="str">
        <f aca="false">IF(TRIM(SUBSTITUTE(SUBSTITUTE(SUBSTITUTE(SUBSTITUTE(SUBSTITUTE(SUBSTITUTE(SUBSTITUTE(SUBSTITUTE(SUBSTITUTE(SUBSTITUTE(SUBSTITUTE(LOWER(TRIM(D246)),"ё","е")," -","-"),"- ","-")," 2 разряда","")," 3 разряда","")," 4 разряда","")," 5 разряда","")," 6 разряда","")," 1 категории","")," 2 категории","")," 3 категории",""))="инженер",IF(AND(ISNUMBER(SEARCH("техническ",E246)),ISNUMBER(SEARCH("контрол",E246))),"инженер отк",IF(ISNUMBER(SEARCH("диспетч",E246)),"инженер пдо",TRIM(SUBSTITUTE(SUBSTITUTE(SUBSTITUTE(SUBSTITUTE(SUBSTITUTE(SUBSTITUTE(SUBSTITUTE(SUBSTITUTE(SUBSTITUTE(SUBSTITUTE(SUBSTITUTE(LOWER(TRIM(D246)),"ё","е"),"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категории","")))),IF(TRIM(SUBSTITUTE(SUBSTITUTE(SUBSTITUTE(SUBSTITUTE(SUBSTITUTE(SUBSTITUTE(SUBSTITUTE(SUBSTITUTE(SUBSTITUTE(SUBSTITUTE(SUBSTITUTE(LOWER(TRIM(D246)),"ё","е")," -","-"),"- ","-")," 2 разряда","")," 3 разряда","")," 4 разряда","")," 5 разряда","")," 6 разряда","")," 1 категории","")," 2 категории","")," 3 категории",""))="ведущий инженер",IF(ISNUMBER(SEARCH("диспетч",E246)),"ведущий инженер пдо",TRIM(SUBSTITUTE(SUBSTITUTE(SUBSTITUTE(SUBSTITUTE(SUBSTITUTE(SUBSTITUTE(SUBSTITUTE(SUBSTITUTE(SUBSTITUTE(SUBSTITUTE(SUBSTITUTE(LOWER(TRIM(D246)),"ё","е"),"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отк",TRIM(SUBSTITUTE(SUBSTITUTE(SUBSTITUTE(SUBSTITUTE(SUBSTITUTE(SUBSTITUTE(SUBSTITUTE(SUBSTITUTE(SUBSTITUTE(SUBSTITUTE(SUBSTITUTE(LOWER(TRIM(D246)),"ё","е")," -","-"),"- ","-")," 2 разряда","")," 3 разряда","")," 4 разряда","")," 5 разряда","")," 6 разряда","")," 1 категории","")," 2 категории","")," 3 категории","")))))</f>
        <v>водитель автомобиля-экспедитор</v>
      </c>
      <c r="H246" s="11" t="n">
        <f aca="false">IFERROR(INDEX(Соответствие!$B$2:$B$76,MATCH(G246,Соответствие!$A$2:$A$76,0)),"?")</f>
        <v>38</v>
      </c>
      <c r="I246" s="8" t="str">
        <f aca="false">IFERROR(INDEX('Перечень должностей'!$C$2:$C$46,MATCH(H246,'Перечень должностей'!$A$2:$A$46,0)),"")</f>
        <v>п.4.3.1, п.4.3.2, п.4.4, п.5.1, п.5.2, п.18</v>
      </c>
      <c r="J246" s="11" t="n">
        <f aca="false">IFERROR(INDEX('Перечень должностей'!$D$2:$D$46,MATCH(H246,'Перечень должностей'!$A$2:$A$46,0)),12)</f>
        <v>12</v>
      </c>
      <c r="K246" s="16"/>
      <c r="L246" s="16"/>
      <c r="M246" s="15" t="str">
        <f aca="false">IF(K246="","",EDATE(IF(L246&lt;&gt;"",L246,K246),J246))</f>
        <v/>
      </c>
      <c r="N246" s="11" t="str">
        <f aca="false">IFERROR(INDEX('Перечень должностей'!$F$2:$F$46,MATCH(H246,'Перечень должностей'!$A$2:$A$46,0)),"")</f>
        <v>Да</v>
      </c>
      <c r="O246" s="16"/>
      <c r="P246" s="15" t="str">
        <f aca="false">IF(O246="","",EDATE(O246,60))</f>
        <v/>
      </c>
      <c r="Q246" s="11" t="str">
        <f aca="false">IF(AND(K246&lt;&gt;"",F246&lt;&gt;"",K246&gt;F246),"ДА","")</f>
        <v/>
      </c>
      <c r="R246" s="8"/>
    </row>
    <row r="247" customFormat="false" ht="26.25" hidden="false" customHeight="true" outlineLevel="0" collapsed="false">
      <c r="A247" s="14" t="n">
        <v>246</v>
      </c>
      <c r="B247" s="11" t="s">
        <v>50</v>
      </c>
      <c r="C247" s="14" t="s">
        <v>665</v>
      </c>
      <c r="D247" s="14" t="s">
        <v>338</v>
      </c>
      <c r="E247" s="14" t="s">
        <v>664</v>
      </c>
      <c r="F247" s="15" t="n">
        <v>41219</v>
      </c>
      <c r="G247" s="4" t="str">
        <f aca="false">IF(TRIM(SUBSTITUTE(SUBSTITUTE(SUBSTITUTE(SUBSTITUTE(SUBSTITUTE(SUBSTITUTE(SUBSTITUTE(SUBSTITUTE(SUBSTITUTE(SUBSTITUTE(SUBSTITUTE(LOWER(TRIM(D247)),"ё","е")," -","-"),"- ","-")," 2 разряда","")," 3 разряда","")," 4 разряда","")," 5 разряда","")," 6 разряда","")," 1 категории","")," 2 категории","")," 3 категории",""))="инженер",IF(AND(ISNUMBER(SEARCH("техническ",E247)),ISNUMBER(SEARCH("контрол",E247))),"инженер отк",IF(ISNUMBER(SEARCH("диспетч",E247)),"инженер пдо",TRIM(SUBSTITUTE(SUBSTITUTE(SUBSTITUTE(SUBSTITUTE(SUBSTITUTE(SUBSTITUTE(SUBSTITUTE(SUBSTITUTE(SUBSTITUTE(SUBSTITUTE(SUBSTITUTE(LOWER(TRIM(D247)),"ё","е"),"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категории","")))),IF(TRIM(SUBSTITUTE(SUBSTITUTE(SUBSTITUTE(SUBSTITUTE(SUBSTITUTE(SUBSTITUTE(SUBSTITUTE(SUBSTITUTE(SUBSTITUTE(SUBSTITUTE(SUBSTITUTE(LOWER(TRIM(D247)),"ё","е")," -","-"),"- ","-")," 2 разряда","")," 3 разряда","")," 4 разряда","")," 5 разряда","")," 6 разряда","")," 1 категории","")," 2 категории","")," 3 категории",""))="ведущий инженер",IF(ISNUMBER(SEARCH("диспетч",E247)),"ведущий инженер пдо",TRIM(SUBSTITUTE(SUBSTITUTE(SUBSTITUTE(SUBSTITUTE(SUBSTITUTE(SUBSTITUTE(SUBSTITUTE(SUBSTITUTE(SUBSTITUTE(SUBSTITUTE(SUBSTITUTE(LOWER(TRIM(D247)),"ё","е"),"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отк",TRIM(SUBSTITUTE(SUBSTITUTE(SUBSTITUTE(SUBSTITUTE(SUBSTITUTE(SUBSTITUTE(SUBSTITUTE(SUBSTITUTE(SUBSTITUTE(SUBSTITUTE(SUBSTITUTE(LOWER(TRIM(D247)),"ё","е")," -","-"),"- ","-")," 2 разряда","")," 3 разряда","")," 4 разряда","")," 5 разряда","")," 6 разряда","")," 1 категории","")," 2 категории","")," 3 категории","")))))</f>
        <v>водитель автомобиля-экспедитор</v>
      </c>
      <c r="H247" s="11" t="n">
        <f aca="false">IFERROR(INDEX(Соответствие!$B$2:$B$76,MATCH(G247,Соответствие!$A$2:$A$76,0)),"?")</f>
        <v>38</v>
      </c>
      <c r="I247" s="8" t="str">
        <f aca="false">IFERROR(INDEX('Перечень должностей'!$C$2:$C$46,MATCH(H247,'Перечень должностей'!$A$2:$A$46,0)),"")</f>
        <v>п.4.3.1, п.4.3.2, п.4.4, п.5.1, п.5.2, п.18</v>
      </c>
      <c r="J247" s="11" t="n">
        <f aca="false">IFERROR(INDEX('Перечень должностей'!$D$2:$D$46,MATCH(H247,'Перечень должностей'!$A$2:$A$46,0)),12)</f>
        <v>12</v>
      </c>
      <c r="K247" s="16"/>
      <c r="L247" s="16"/>
      <c r="M247" s="15" t="str">
        <f aca="false">IF(K247="","",EDATE(IF(L247&lt;&gt;"",L247,K247),J247))</f>
        <v/>
      </c>
      <c r="N247" s="11" t="str">
        <f aca="false">IFERROR(INDEX('Перечень должностей'!$F$2:$F$46,MATCH(H247,'Перечень должностей'!$A$2:$A$46,0)),"")</f>
        <v>Да</v>
      </c>
      <c r="O247" s="16"/>
      <c r="P247" s="15" t="str">
        <f aca="false">IF(O247="","",EDATE(O247,60))</f>
        <v/>
      </c>
      <c r="Q247" s="11" t="str">
        <f aca="false">IF(AND(K247&lt;&gt;"",F247&lt;&gt;"",K247&gt;F247),"ДА","")</f>
        <v/>
      </c>
      <c r="R247" s="8"/>
    </row>
    <row r="248" customFormat="false" ht="26.25" hidden="false" customHeight="true" outlineLevel="0" collapsed="false">
      <c r="A248" s="14" t="n">
        <v>247</v>
      </c>
      <c r="B248" s="11" t="s">
        <v>50</v>
      </c>
      <c r="C248" s="14" t="s">
        <v>666</v>
      </c>
      <c r="D248" s="14" t="s">
        <v>338</v>
      </c>
      <c r="E248" s="14" t="s">
        <v>664</v>
      </c>
      <c r="F248" s="15" t="n">
        <v>43557</v>
      </c>
      <c r="G248" s="4" t="str">
        <f aca="false">IF(TRIM(SUBSTITUTE(SUBSTITUTE(SUBSTITUTE(SUBSTITUTE(SUBSTITUTE(SUBSTITUTE(SUBSTITUTE(SUBSTITUTE(SUBSTITUTE(SUBSTITUTE(SUBSTITUTE(LOWER(TRIM(D248)),"ё","е")," -","-"),"- ","-")," 2 разряда","")," 3 разряда","")," 4 разряда","")," 5 разряда","")," 6 разряда","")," 1 категории","")," 2 категории","")," 3 категории",""))="инженер",IF(AND(ISNUMBER(SEARCH("техническ",E248)),ISNUMBER(SEARCH("контрол",E248))),"инженер отк",IF(ISNUMBER(SEARCH("диспетч",E248)),"инженер пдо",TRIM(SUBSTITUTE(SUBSTITUTE(SUBSTITUTE(SUBSTITUTE(SUBSTITUTE(SUBSTITUTE(SUBSTITUTE(SUBSTITUTE(SUBSTITUTE(SUBSTITUTE(SUBSTITUTE(LOWER(TRIM(D248)),"ё","е"),"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категории","")))),IF(TRIM(SUBSTITUTE(SUBSTITUTE(SUBSTITUTE(SUBSTITUTE(SUBSTITUTE(SUBSTITUTE(SUBSTITUTE(SUBSTITUTE(SUBSTITUTE(SUBSTITUTE(SUBSTITUTE(LOWER(TRIM(D248)),"ё","е")," -","-"),"- ","-")," 2 разряда","")," 3 разряда","")," 4 разряда","")," 5 разряда","")," 6 разряда","")," 1 категории","")," 2 категории","")," 3 категории",""))="ведущий инженер",IF(ISNUMBER(SEARCH("диспетч",E248)),"ведущий инженер пдо",TRIM(SUBSTITUTE(SUBSTITUTE(SUBSTITUTE(SUBSTITUTE(SUBSTITUTE(SUBSTITUTE(SUBSTITUTE(SUBSTITUTE(SUBSTITUTE(SUBSTITUTE(SUBSTITUTE(LOWER(TRIM(D248)),"ё","е"),"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отк",TRIM(SUBSTITUTE(SUBSTITUTE(SUBSTITUTE(SUBSTITUTE(SUBSTITUTE(SUBSTITUTE(SUBSTITUTE(SUBSTITUTE(SUBSTITUTE(SUBSTITUTE(SUBSTITUTE(LOWER(TRIM(D248)),"ё","е")," -","-"),"- ","-")," 2 разряда","")," 3 разряда","")," 4 разряда","")," 5 разряда","")," 6 разряда","")," 1 категории","")," 2 категории","")," 3 категории","")))))</f>
        <v>водитель автомобиля-экспедитор</v>
      </c>
      <c r="H248" s="11" t="n">
        <f aca="false">IFERROR(INDEX(Соответствие!$B$2:$B$76,MATCH(G248,Соответствие!$A$2:$A$76,0)),"?")</f>
        <v>38</v>
      </c>
      <c r="I248" s="8" t="str">
        <f aca="false">IFERROR(INDEX('Перечень должностей'!$C$2:$C$46,MATCH(H248,'Перечень должностей'!$A$2:$A$46,0)),"")</f>
        <v>п.4.3.1, п.4.3.2, п.4.4, п.5.1, п.5.2, п.18</v>
      </c>
      <c r="J248" s="11" t="n">
        <f aca="false">IFERROR(INDEX('Перечень должностей'!$D$2:$D$46,MATCH(H248,'Перечень должностей'!$A$2:$A$46,0)),12)</f>
        <v>12</v>
      </c>
      <c r="K248" s="16"/>
      <c r="L248" s="16"/>
      <c r="M248" s="15" t="str">
        <f aca="false">IF(K248="","",EDATE(IF(L248&lt;&gt;"",L248,K248),J248))</f>
        <v/>
      </c>
      <c r="N248" s="11" t="str">
        <f aca="false">IFERROR(INDEX('Перечень должностей'!$F$2:$F$46,MATCH(H248,'Перечень должностей'!$A$2:$A$46,0)),"")</f>
        <v>Да</v>
      </c>
      <c r="O248" s="16"/>
      <c r="P248" s="15" t="str">
        <f aca="false">IF(O248="","",EDATE(O248,60))</f>
        <v/>
      </c>
      <c r="Q248" s="11" t="str">
        <f aca="false">IF(AND(K248&lt;&gt;"",F248&lt;&gt;"",K248&gt;F248),"ДА","")</f>
        <v/>
      </c>
      <c r="R248" s="8"/>
    </row>
    <row r="249" customFormat="false" ht="26.25" hidden="false" customHeight="true" outlineLevel="0" collapsed="false">
      <c r="A249" s="14" t="n">
        <v>248</v>
      </c>
      <c r="B249" s="11" t="s">
        <v>50</v>
      </c>
      <c r="C249" s="14" t="s">
        <v>667</v>
      </c>
      <c r="D249" s="14" t="s">
        <v>338</v>
      </c>
      <c r="E249" s="14" t="s">
        <v>664</v>
      </c>
      <c r="F249" s="15" t="n">
        <v>41183</v>
      </c>
      <c r="G249" s="4" t="str">
        <f aca="false">IF(TRIM(SUBSTITUTE(SUBSTITUTE(SUBSTITUTE(SUBSTITUTE(SUBSTITUTE(SUBSTITUTE(SUBSTITUTE(SUBSTITUTE(SUBSTITUTE(SUBSTITUTE(SUBSTITUTE(LOWER(TRIM(D249)),"ё","е")," -","-"),"- ","-")," 2 разряда","")," 3 разряда","")," 4 разряда","")," 5 разряда","")," 6 разряда","")," 1 категории","")," 2 категории","")," 3 категории",""))="инженер",IF(AND(ISNUMBER(SEARCH("техническ",E249)),ISNUMBER(SEARCH("контрол",E249))),"инженер отк",IF(ISNUMBER(SEARCH("диспетч",E249)),"инженер пдо",TRIM(SUBSTITUTE(SUBSTITUTE(SUBSTITUTE(SUBSTITUTE(SUBSTITUTE(SUBSTITUTE(SUBSTITUTE(SUBSTITUTE(SUBSTITUTE(SUBSTITUTE(SUBSTITUTE(LOWER(TRIM(D249)),"ё","е"),"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категории","")))),IF(TRIM(SUBSTITUTE(SUBSTITUTE(SUBSTITUTE(SUBSTITUTE(SUBSTITUTE(SUBSTITUTE(SUBSTITUTE(SUBSTITUTE(SUBSTITUTE(SUBSTITUTE(SUBSTITUTE(LOWER(TRIM(D249)),"ё","е")," -","-"),"- ","-")," 2 разряда","")," 3 разряда","")," 4 разряда","")," 5 разряда","")," 6 разряда","")," 1 категории","")," 2 категории","")," 3 категории",""))="ведущий инженер",IF(ISNUMBER(SEARCH("диспетч",E249)),"ведущий инженер пдо",TRIM(SUBSTITUTE(SUBSTITUTE(SUBSTITUTE(SUBSTITUTE(SUBSTITUTE(SUBSTITUTE(SUBSTITUTE(SUBSTITUTE(SUBSTITUTE(SUBSTITUTE(SUBSTITUTE(LOWER(TRIM(D249)),"ё","е"),"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категории",""))),IF(TRIM(SUBSTITUTE(SUBSTITUTE(SUBSTITUTE(SUBSTITUTE(SUBSTITUTE(SUBSTITUTE(SUBSTITUTE(SUBSTITUTE(SUBSTITUTE(SUBSTITUTE(SUBSTITUTE(LOWER(TRIM(D249)),"ё","е"),"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отк",TRIM(SUBSTITUTE(SUBSTITUTE(SUBSTITUTE(SUBSTITUTE(SUBSTITUTE(SUBSTITUTE(SUBSTITUTE(SUBSTITUTE(SUBSTITUTE(SUBSTITUTE(SUBSTITUTE(LOWER(TRIM(D249)),"ё","е")," -","-"),"- ","-")," 2 разряда","")," 3 разряда","")," 4 разряда","")," 5 разряда","")," 6 разряда","")," 1 категории","")," 2 категории","")," 3 категории","")))))</f>
        <v>водитель автомобиля-экспедитор</v>
      </c>
      <c r="H249" s="11" t="n">
        <f aca="false">IFERROR(INDEX(Соответствие!$B$2:$B$76,MATCH(G249,Соответствие!$A$2:$A$76,0)),"?")</f>
        <v>38</v>
      </c>
      <c r="I249" s="8" t="str">
        <f aca="false">IFERROR(INDEX('Перечень должностей'!$C$2:$C$46,MATCH(H249,'Перечень должностей'!$A$2:$A$46,0)),"")</f>
        <v>п.4.3.1, п.4.3.2, п.4.4, п.5.1, п.5.2, п.18</v>
      </c>
      <c r="J249" s="11" t="n">
        <f aca="false">IFERROR(INDEX('Перечень должностей'!$D$2:$D$46,MATCH(H249,'Перечень должностей'!$A$2:$A$46,0)),12)</f>
        <v>12</v>
      </c>
      <c r="K249" s="16"/>
      <c r="L249" s="16"/>
      <c r="M249" s="15" t="str">
        <f aca="false">IF(K249="","",EDATE(IF(L249&lt;&gt;"",L249,K249),J249))</f>
        <v/>
      </c>
      <c r="N249" s="11" t="str">
        <f aca="false">IFERROR(INDEX('Перечень должностей'!$F$2:$F$46,MATCH(H249,'Перечень должностей'!$A$2:$A$46,0)),"")</f>
        <v>Да</v>
      </c>
      <c r="O249" s="16"/>
      <c r="P249" s="15" t="str">
        <f aca="false">IF(O249="","",EDATE(O249,60))</f>
        <v/>
      </c>
      <c r="Q249" s="11" t="str">
        <f aca="false">IF(AND(K249&lt;&gt;"",F249&lt;&gt;"",K249&gt;F249),"ДА","")</f>
        <v/>
      </c>
      <c r="R249" s="8"/>
    </row>
    <row r="250" customFormat="false" ht="26.25" hidden="false" customHeight="true" outlineLevel="0" collapsed="false">
      <c r="A250" s="14" t="n">
        <v>249</v>
      </c>
      <c r="B250" s="11" t="s">
        <v>50</v>
      </c>
      <c r="C250" s="14" t="s">
        <v>668</v>
      </c>
      <c r="D250" s="14" t="s">
        <v>338</v>
      </c>
      <c r="E250" s="14" t="s">
        <v>664</v>
      </c>
      <c r="F250" s="15" t="n">
        <v>40035</v>
      </c>
      <c r="G250" s="4" t="str">
        <f aca="false">IF(TRIM(SUBSTITUTE(SUBSTITUTE(SUBSTITUTE(SUBSTITUTE(SUBSTITUTE(SUBSTITUTE(SUBSTITUTE(SUBSTITUTE(SUBSTITUTE(SUBSTITUTE(SUBSTITUTE(LOWER(TRIM(D250)),"ё","е")," -","-"),"- ","-")," 2 разряда","")," 3 разряда","")," 4 разряда","")," 5 разряда","")," 6 разряда","")," 1 категории","")," 2 категории","")," 3 категории",""))="инженер",IF(AND(ISNUMBER(SEARCH("техническ",E250)),ISNUMBER(SEARCH("контрол",E250))),"инженер отк",IF(ISNUMBER(SEARCH("диспетч",E250)),"инженер пдо",TRIM(SUBSTITUTE(SUBSTITUTE(SUBSTITUTE(SUBSTITUTE(SUBSTITUTE(SUBSTITUTE(SUBSTITUTE(SUBSTITUTE(SUBSTITUTE(SUBSTITUTE(SUBSTITUTE(LOWER(TRIM(D250)),"ё","е"),"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категории","")))),IF(TRIM(SUBSTITUTE(SUBSTITUTE(SUBSTITUTE(SUBSTITUTE(SUBSTITUTE(SUBSTITUTE(SUBSTITUTE(SUBSTITUTE(SUBSTITUTE(SUBSTITUTE(SUBSTITUTE(LOWER(TRIM(D250)),"ё","е")," -","-"),"- ","-")," 2 разряда","")," 3 разряда","")," 4 разряда","")," 5 разряда","")," 6 разряда","")," 1 категории","")," 2 категории","")," 3 категории",""))="ведущий инженер",IF(ISNUMBER(SEARCH("диспетч",E250)),"ведущий инженер пдо",TRIM(SUBSTITUTE(SUBSTITUTE(SUBSTITUTE(SUBSTITUTE(SUBSTITUTE(SUBSTITUTE(SUBSTITUTE(SUBSTITUTE(SUBSTITUTE(SUBSTITUTE(SUBSTITUTE(LOWER(TRIM(D250)),"ё","е"),"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отк",TRIM(SUBSTITUTE(SUBSTITUTE(SUBSTITUTE(SUBSTITUTE(SUBSTITUTE(SUBSTITUTE(SUBSTITUTE(SUBSTITUTE(SUBSTITUTE(SUBSTITUTE(SUBSTITUTE(LOWER(TRIM(D250)),"ё","е")," -","-"),"- ","-")," 2 разряда","")," 3 разряда","")," 4 разряда","")," 5 разряда","")," 6 разряда","")," 1 категории","")," 2 категории","")," 3 категории","")))))</f>
        <v>водитель автомобиля-экспедитор</v>
      </c>
      <c r="H250" s="11" t="n">
        <f aca="false">IFERROR(INDEX(Соответствие!$B$2:$B$76,MATCH(G250,Соответствие!$A$2:$A$76,0)),"?")</f>
        <v>38</v>
      </c>
      <c r="I250" s="8" t="str">
        <f aca="false">IFERROR(INDEX('Перечень должностей'!$C$2:$C$46,MATCH(H250,'Перечень должностей'!$A$2:$A$46,0)),"")</f>
        <v>п.4.3.1, п.4.3.2, п.4.4, п.5.1, п.5.2, п.18</v>
      </c>
      <c r="J250" s="11" t="n">
        <f aca="false">IFERROR(INDEX('Перечень должностей'!$D$2:$D$46,MATCH(H250,'Перечень должностей'!$A$2:$A$46,0)),12)</f>
        <v>12</v>
      </c>
      <c r="K250" s="16"/>
      <c r="L250" s="16"/>
      <c r="M250" s="15" t="str">
        <f aca="false">IF(K250="","",EDATE(IF(L250&lt;&gt;"",L250,K250),J250))</f>
        <v/>
      </c>
      <c r="N250" s="11" t="str">
        <f aca="false">IFERROR(INDEX('Перечень должностей'!$F$2:$F$46,MATCH(H250,'Перечень должностей'!$A$2:$A$46,0)),"")</f>
        <v>Да</v>
      </c>
      <c r="O250" s="16"/>
      <c r="P250" s="15" t="str">
        <f aca="false">IF(O250="","",EDATE(O250,60))</f>
        <v/>
      </c>
      <c r="Q250" s="11" t="str">
        <f aca="false">IF(AND(K250&lt;&gt;"",F250&lt;&gt;"",K250&gt;F250),"ДА","")</f>
        <v/>
      </c>
      <c r="R250" s="8"/>
    </row>
    <row r="251" customFormat="false" ht="26.25" hidden="false" customHeight="true" outlineLevel="0" collapsed="false">
      <c r="A251" s="14" t="n">
        <v>250</v>
      </c>
      <c r="B251" s="11" t="s">
        <v>50</v>
      </c>
      <c r="C251" s="14" t="s">
        <v>669</v>
      </c>
      <c r="D251" s="14" t="s">
        <v>338</v>
      </c>
      <c r="E251" s="14" t="s">
        <v>664</v>
      </c>
      <c r="F251" s="15" t="n">
        <v>44879</v>
      </c>
      <c r="G251" s="4" t="str">
        <f aca="false">IF(TRIM(SUBSTITUTE(SUBSTITUTE(SUBSTITUTE(SUBSTITUTE(SUBSTITUTE(SUBSTITUTE(SUBSTITUTE(SUBSTITUTE(SUBSTITUTE(SUBSTITUTE(SUBSTITUTE(LOWER(TRIM(D251)),"ё","е")," -","-"),"- ","-")," 2 разряда","")," 3 разряда","")," 4 разряда","")," 5 разряда","")," 6 разряда","")," 1 категории","")," 2 категории","")," 3 категории",""))="инженер",IF(AND(ISNUMBER(SEARCH("техническ",E251)),ISNUMBER(SEARCH("контрол",E251))),"инженер отк",IF(ISNUMBER(SEARCH("диспетч",E251)),"инженер пдо",TRIM(SUBSTITUTE(SUBSTITUTE(SUBSTITUTE(SUBSTITUTE(SUBSTITUTE(SUBSTITUTE(SUBSTITUTE(SUBSTITUTE(SUBSTITUTE(SUBSTITUTE(SUBSTITUTE(LOWER(TRIM(D251)),"ё","е"),"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категории","")))),IF(TRIM(SUBSTITUTE(SUBSTITUTE(SUBSTITUTE(SUBSTITUTE(SUBSTITUTE(SUBSTITUTE(SUBSTITUTE(SUBSTITUTE(SUBSTITUTE(SUBSTITUTE(SUBSTITUTE(LOWER(TRIM(D251)),"ё","е")," -","-"),"- ","-")," 2 разряда","")," 3 разряда","")," 4 разряда","")," 5 разряда","")," 6 разряда","")," 1 категории","")," 2 категории","")," 3 категории",""))="ведущий инженер",IF(ISNUMBER(SEARCH("диспетч",E251)),"ведущий инженер пдо",TRIM(SUBSTITUTE(SUBSTITUTE(SUBSTITUTE(SUBSTITUTE(SUBSTITUTE(SUBSTITUTE(SUBSTITUTE(SUBSTITUTE(SUBSTITUTE(SUBSTITUTE(SUBSTITUTE(LOWER(TRIM(D251)),"ё","е"),"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отк",TRIM(SUBSTITUTE(SUBSTITUTE(SUBSTITUTE(SUBSTITUTE(SUBSTITUTE(SUBSTITUTE(SUBSTITUTE(SUBSTITUTE(SUBSTITUTE(SUBSTITUTE(SUBSTITUTE(LOWER(TRIM(D251)),"ё","е")," -","-"),"- ","-")," 2 разряда","")," 3 разряда","")," 4 разряда","")," 5 разряда","")," 6 разряда","")," 1 категории","")," 2 категории","")," 3 категории","")))))</f>
        <v>водитель автомобиля-экспедитор</v>
      </c>
      <c r="H251" s="11" t="n">
        <f aca="false">IFERROR(INDEX(Соответствие!$B$2:$B$76,MATCH(G251,Соответствие!$A$2:$A$76,0)),"?")</f>
        <v>38</v>
      </c>
      <c r="I251" s="8" t="str">
        <f aca="false">IFERROR(INDEX('Перечень должностей'!$C$2:$C$46,MATCH(H251,'Перечень должностей'!$A$2:$A$46,0)),"")</f>
        <v>п.4.3.1, п.4.3.2, п.4.4, п.5.1, п.5.2, п.18</v>
      </c>
      <c r="J251" s="11" t="n">
        <f aca="false">IFERROR(INDEX('Перечень должностей'!$D$2:$D$46,MATCH(H251,'Перечень должностей'!$A$2:$A$46,0)),12)</f>
        <v>12</v>
      </c>
      <c r="K251" s="16"/>
      <c r="L251" s="16"/>
      <c r="M251" s="15" t="str">
        <f aca="false">IF(K251="","",EDATE(IF(L251&lt;&gt;"",L251,K251),J251))</f>
        <v/>
      </c>
      <c r="N251" s="11" t="str">
        <f aca="false">IFERROR(INDEX('Перечень должностей'!$F$2:$F$46,MATCH(H251,'Перечень должностей'!$A$2:$A$46,0)),"")</f>
        <v>Да</v>
      </c>
      <c r="O251" s="16"/>
      <c r="P251" s="15" t="str">
        <f aca="false">IF(O251="","",EDATE(O251,60))</f>
        <v/>
      </c>
      <c r="Q251" s="11" t="str">
        <f aca="false">IF(AND(K251&lt;&gt;"",F251&lt;&gt;"",K251&gt;F251),"ДА","")</f>
        <v/>
      </c>
      <c r="R251" s="8"/>
    </row>
    <row r="252" customFormat="false" ht="26.25" hidden="false" customHeight="true" outlineLevel="0" collapsed="false">
      <c r="A252" s="14" t="n">
        <v>251</v>
      </c>
      <c r="B252" s="11" t="s">
        <v>50</v>
      </c>
      <c r="C252" s="14" t="s">
        <v>670</v>
      </c>
      <c r="D252" s="14" t="s">
        <v>338</v>
      </c>
      <c r="E252" s="14" t="s">
        <v>664</v>
      </c>
      <c r="F252" s="15" t="n">
        <v>41375</v>
      </c>
      <c r="G252" s="4" t="str">
        <f aca="false">IF(TRIM(SUBSTITUTE(SUBSTITUTE(SUBSTITUTE(SUBSTITUTE(SUBSTITUTE(SUBSTITUTE(SUBSTITUTE(SUBSTITUTE(SUBSTITUTE(SUBSTITUTE(SUBSTITUTE(LOWER(TRIM(D252)),"ё","е")," -","-"),"- ","-")," 2 разряда","")," 3 разряда","")," 4 разряда","")," 5 разряда","")," 6 разряда","")," 1 категории","")," 2 категории","")," 3 категории",""))="инженер",IF(AND(ISNUMBER(SEARCH("техническ",E252)),ISNUMBER(SEARCH("контрол",E252))),"инженер отк",IF(ISNUMBER(SEARCH("диспетч",E252)),"инженер пдо",TRIM(SUBSTITUTE(SUBSTITUTE(SUBSTITUTE(SUBSTITUTE(SUBSTITUTE(SUBSTITUTE(SUBSTITUTE(SUBSTITUTE(SUBSTITUTE(SUBSTITUTE(SUBSTITUTE(LOWER(TRIM(D252)),"ё","е"),"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категории","")))),IF(TRIM(SUBSTITUTE(SUBSTITUTE(SUBSTITUTE(SUBSTITUTE(SUBSTITUTE(SUBSTITUTE(SUBSTITUTE(SUBSTITUTE(SUBSTITUTE(SUBSTITUTE(SUBSTITUTE(LOWER(TRIM(D252)),"ё","е")," -","-"),"- ","-")," 2 разряда","")," 3 разряда","")," 4 разряда","")," 5 разряда","")," 6 разряда","")," 1 категории","")," 2 категории","")," 3 категории",""))="ведущий инженер",IF(ISNUMBER(SEARCH("диспетч",E252)),"ведущий инженер пдо",TRIM(SUBSTITUTE(SUBSTITUTE(SUBSTITUTE(SUBSTITUTE(SUBSTITUTE(SUBSTITUTE(SUBSTITUTE(SUBSTITUTE(SUBSTITUTE(SUBSTITUTE(SUBSTITUTE(LOWER(TRIM(D252)),"ё","е"),"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отк",TRIM(SUBSTITUTE(SUBSTITUTE(SUBSTITUTE(SUBSTITUTE(SUBSTITUTE(SUBSTITUTE(SUBSTITUTE(SUBSTITUTE(SUBSTITUTE(SUBSTITUTE(SUBSTITUTE(LOWER(TRIM(D252)),"ё","е")," -","-"),"- ","-")," 2 разряда","")," 3 разряда","")," 4 разряда","")," 5 разряда","")," 6 разряда","")," 1 категории","")," 2 категории","")," 3 категории","")))))</f>
        <v>водитель автомобиля-экспедитор</v>
      </c>
      <c r="H252" s="11" t="n">
        <f aca="false">IFERROR(INDEX(Соответствие!$B$2:$B$76,MATCH(G252,Соответствие!$A$2:$A$76,0)),"?")</f>
        <v>38</v>
      </c>
      <c r="I252" s="8" t="str">
        <f aca="false">IFERROR(INDEX('Перечень должностей'!$C$2:$C$46,MATCH(H252,'Перечень должностей'!$A$2:$A$46,0)),"")</f>
        <v>п.4.3.1, п.4.3.2, п.4.4, п.5.1, п.5.2, п.18</v>
      </c>
      <c r="J252" s="11" t="n">
        <f aca="false">IFERROR(INDEX('Перечень должностей'!$D$2:$D$46,MATCH(H252,'Перечень должностей'!$A$2:$A$46,0)),12)</f>
        <v>12</v>
      </c>
      <c r="K252" s="16"/>
      <c r="L252" s="16"/>
      <c r="M252" s="15" t="str">
        <f aca="false">IF(K252="","",EDATE(IF(L252&lt;&gt;"",L252,K252),J252))</f>
        <v/>
      </c>
      <c r="N252" s="11" t="str">
        <f aca="false">IFERROR(INDEX('Перечень должностей'!$F$2:$F$46,MATCH(H252,'Перечень должностей'!$A$2:$A$46,0)),"")</f>
        <v>Да</v>
      </c>
      <c r="O252" s="16"/>
      <c r="P252" s="15" t="str">
        <f aca="false">IF(O252="","",EDATE(O252,60))</f>
        <v/>
      </c>
      <c r="Q252" s="11" t="str">
        <f aca="false">IF(AND(K252&lt;&gt;"",F252&lt;&gt;"",K252&gt;F252),"ДА","")</f>
        <v/>
      </c>
      <c r="R252" s="8"/>
    </row>
    <row r="253" customFormat="false" ht="26.25" hidden="false" customHeight="true" outlineLevel="0" collapsed="false">
      <c r="A253" s="14" t="n">
        <v>252</v>
      </c>
      <c r="B253" s="11" t="s">
        <v>50</v>
      </c>
      <c r="C253" s="14" t="s">
        <v>671</v>
      </c>
      <c r="D253" s="14" t="s">
        <v>338</v>
      </c>
      <c r="E253" s="14" t="s">
        <v>664</v>
      </c>
      <c r="F253" s="15" t="n">
        <v>43557</v>
      </c>
      <c r="G253" s="4" t="str">
        <f aca="false">IF(TRIM(SUBSTITUTE(SUBSTITUTE(SUBSTITUTE(SUBSTITUTE(SUBSTITUTE(SUBSTITUTE(SUBSTITUTE(SUBSTITUTE(SUBSTITUTE(SUBSTITUTE(SUBSTITUTE(LOWER(TRIM(D253)),"ё","е")," -","-"),"- ","-")," 2 разряда","")," 3 разряда","")," 4 разряда","")," 5 разряда","")," 6 разряда","")," 1 категории","")," 2 категории","")," 3 категории",""))="инженер",IF(AND(ISNUMBER(SEARCH("техническ",E253)),ISNUMBER(SEARCH("контрол",E253))),"инженер отк",IF(ISNUMBER(SEARCH("диспетч",E253)),"инженер пдо",TRIM(SUBSTITUTE(SUBSTITUTE(SUBSTITUTE(SUBSTITUTE(SUBSTITUTE(SUBSTITUTE(SUBSTITUTE(SUBSTITUTE(SUBSTITUTE(SUBSTITUTE(SUBSTITUTE(LOWER(TRIM(D253)),"ё","е"),"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категории","")))),IF(TRIM(SUBSTITUTE(SUBSTITUTE(SUBSTITUTE(SUBSTITUTE(SUBSTITUTE(SUBSTITUTE(SUBSTITUTE(SUBSTITUTE(SUBSTITUTE(SUBSTITUTE(SUBSTITUTE(LOWER(TRIM(D253)),"ё","е")," -","-"),"- ","-")," 2 разряда","")," 3 разряда","")," 4 разряда","")," 5 разряда","")," 6 разряда","")," 1 категории","")," 2 категории","")," 3 категории",""))="ведущий инженер",IF(ISNUMBER(SEARCH("диспетч",E253)),"ведущий инженер пдо",TRIM(SUBSTITUTE(SUBSTITUTE(SUBSTITUTE(SUBSTITUTE(SUBSTITUTE(SUBSTITUTE(SUBSTITUTE(SUBSTITUTE(SUBSTITUTE(SUBSTITUTE(SUBSTITUTE(LOWER(TRIM(D253)),"ё","е"),"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отк",TRIM(SUBSTITUTE(SUBSTITUTE(SUBSTITUTE(SUBSTITUTE(SUBSTITUTE(SUBSTITUTE(SUBSTITUTE(SUBSTITUTE(SUBSTITUTE(SUBSTITUTE(SUBSTITUTE(LOWER(TRIM(D253)),"ё","е")," -","-"),"- ","-")," 2 разряда","")," 3 разряда","")," 4 разряда","")," 5 разряда","")," 6 разряда","")," 1 категории","")," 2 категории","")," 3 категории","")))))</f>
        <v>водитель автомобиля-экспедитор</v>
      </c>
      <c r="H253" s="11" t="n">
        <f aca="false">IFERROR(INDEX(Соответствие!$B$2:$B$76,MATCH(G253,Соответствие!$A$2:$A$76,0)),"?")</f>
        <v>38</v>
      </c>
      <c r="I253" s="8" t="str">
        <f aca="false">IFERROR(INDEX('Перечень должностей'!$C$2:$C$46,MATCH(H253,'Перечень должностей'!$A$2:$A$46,0)),"")</f>
        <v>п.4.3.1, п.4.3.2, п.4.4, п.5.1, п.5.2, п.18</v>
      </c>
      <c r="J253" s="11" t="n">
        <f aca="false">IFERROR(INDEX('Перечень должностей'!$D$2:$D$46,MATCH(H253,'Перечень должностей'!$A$2:$A$46,0)),12)</f>
        <v>12</v>
      </c>
      <c r="K253" s="16"/>
      <c r="L253" s="16"/>
      <c r="M253" s="15" t="str">
        <f aca="false">IF(K253="","",EDATE(IF(L253&lt;&gt;"",L253,K253),J253))</f>
        <v/>
      </c>
      <c r="N253" s="11" t="str">
        <f aca="false">IFERROR(INDEX('Перечень должностей'!$F$2:$F$46,MATCH(H253,'Перечень должностей'!$A$2:$A$46,0)),"")</f>
        <v>Да</v>
      </c>
      <c r="O253" s="16"/>
      <c r="P253" s="15" t="str">
        <f aca="false">IF(O253="","",EDATE(O253,60))</f>
        <v/>
      </c>
      <c r="Q253" s="11" t="str">
        <f aca="false">IF(AND(K253&lt;&gt;"",F253&lt;&gt;"",K253&gt;F253),"ДА","")</f>
        <v/>
      </c>
      <c r="R253" s="8"/>
    </row>
    <row r="254" customFormat="false" ht="26.25" hidden="false" customHeight="true" outlineLevel="0" collapsed="false">
      <c r="A254" s="14" t="n">
        <v>253</v>
      </c>
      <c r="B254" s="11" t="s">
        <v>50</v>
      </c>
      <c r="C254" s="14" t="s">
        <v>672</v>
      </c>
      <c r="D254" s="14" t="s">
        <v>338</v>
      </c>
      <c r="E254" s="14" t="s">
        <v>664</v>
      </c>
      <c r="F254" s="15" t="n">
        <v>39875</v>
      </c>
      <c r="G254" s="4" t="str">
        <f aca="false">IF(TRIM(SUBSTITUTE(SUBSTITUTE(SUBSTITUTE(SUBSTITUTE(SUBSTITUTE(SUBSTITUTE(SUBSTITUTE(SUBSTITUTE(SUBSTITUTE(SUBSTITUTE(SUBSTITUTE(LOWER(TRIM(D254)),"ё","е")," -","-"),"- ","-")," 2 разряда","")," 3 разряда","")," 4 разряда","")," 5 разряда","")," 6 разряда","")," 1 категории","")," 2 категории","")," 3 категории",""))="инженер",IF(AND(ISNUMBER(SEARCH("техническ",E254)),ISNUMBER(SEARCH("контрол",E254))),"инженер отк",IF(ISNUMBER(SEARCH("диспетч",E254)),"инженер пдо",TRIM(SUBSTITUTE(SUBSTITUTE(SUBSTITUTE(SUBSTITUTE(SUBSTITUTE(SUBSTITUTE(SUBSTITUTE(SUBSTITUTE(SUBSTITUTE(SUBSTITUTE(SUBSTITUTE(LOWER(TRIM(D254)),"ё","е"),"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категории","")))),IF(TRIM(SUBSTITUTE(SUBSTITUTE(SUBSTITUTE(SUBSTITUTE(SUBSTITUTE(SUBSTITUTE(SUBSTITUTE(SUBSTITUTE(SUBSTITUTE(SUBSTITUTE(SUBSTITUTE(LOWER(TRIM(D254)),"ё","е")," -","-"),"- ","-")," 2 разряда","")," 3 разряда","")," 4 разряда","")," 5 разряда","")," 6 разряда","")," 1 категории","")," 2 категории","")," 3 категории",""))="ведущий инженер",IF(ISNUMBER(SEARCH("диспетч",E254)),"ведущий инженер пдо",TRIM(SUBSTITUTE(SUBSTITUTE(SUBSTITUTE(SUBSTITUTE(SUBSTITUTE(SUBSTITUTE(SUBSTITUTE(SUBSTITUTE(SUBSTITUTE(SUBSTITUTE(SUBSTITUTE(LOWER(TRIM(D254)),"ё","е"),"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отк",TRIM(SUBSTITUTE(SUBSTITUTE(SUBSTITUTE(SUBSTITUTE(SUBSTITUTE(SUBSTITUTE(SUBSTITUTE(SUBSTITUTE(SUBSTITUTE(SUBSTITUTE(SUBSTITUTE(LOWER(TRIM(D254)),"ё","е")," -","-"),"- ","-")," 2 разряда","")," 3 разряда","")," 4 разряда","")," 5 разряда","")," 6 разряда","")," 1 категории","")," 2 категории","")," 3 категории","")))))</f>
        <v>водитель автомобиля-экспедитор</v>
      </c>
      <c r="H254" s="11" t="n">
        <f aca="false">IFERROR(INDEX(Соответствие!$B$2:$B$76,MATCH(G254,Соответствие!$A$2:$A$76,0)),"?")</f>
        <v>38</v>
      </c>
      <c r="I254" s="8" t="str">
        <f aca="false">IFERROR(INDEX('Перечень должностей'!$C$2:$C$46,MATCH(H254,'Перечень должностей'!$A$2:$A$46,0)),"")</f>
        <v>п.4.3.1, п.4.3.2, п.4.4, п.5.1, п.5.2, п.18</v>
      </c>
      <c r="J254" s="11" t="n">
        <f aca="false">IFERROR(INDEX('Перечень должностей'!$D$2:$D$46,MATCH(H254,'Перечень должностей'!$A$2:$A$46,0)),12)</f>
        <v>12</v>
      </c>
      <c r="K254" s="16"/>
      <c r="L254" s="16"/>
      <c r="M254" s="15" t="str">
        <f aca="false">IF(K254="","",EDATE(IF(L254&lt;&gt;"",L254,K254),J254))</f>
        <v/>
      </c>
      <c r="N254" s="11" t="str">
        <f aca="false">IFERROR(INDEX('Перечень должностей'!$F$2:$F$46,MATCH(H254,'Перечень должностей'!$A$2:$A$46,0)),"")</f>
        <v>Да</v>
      </c>
      <c r="O254" s="16"/>
      <c r="P254" s="15" t="str">
        <f aca="false">IF(O254="","",EDATE(O254,60))</f>
        <v/>
      </c>
      <c r="Q254" s="11" t="str">
        <f aca="false">IF(AND(K254&lt;&gt;"",F254&lt;&gt;"",K254&gt;F254),"ДА","")</f>
        <v/>
      </c>
      <c r="R254" s="8"/>
    </row>
    <row r="255" customFormat="false" ht="26.25" hidden="false" customHeight="true" outlineLevel="0" collapsed="false">
      <c r="A255" s="14" t="n">
        <v>254</v>
      </c>
      <c r="B255" s="11" t="s">
        <v>373</v>
      </c>
      <c r="C255" s="14" t="s">
        <v>673</v>
      </c>
      <c r="D255" s="14" t="s">
        <v>427</v>
      </c>
      <c r="E255" s="14" t="s">
        <v>674</v>
      </c>
      <c r="F255" s="15" t="n">
        <v>45722</v>
      </c>
      <c r="G255" s="4" t="str">
        <f aca="false">IF(TRIM(SUBSTITUTE(SUBSTITUTE(SUBSTITUTE(SUBSTITUTE(SUBSTITUTE(SUBSTITUTE(SUBSTITUTE(SUBSTITUTE(SUBSTITUTE(SUBSTITUTE(SUBSTITUTE(LOWER(TRIM(D255)),"ё","е")," -","-"),"- ","-")," 2 разряда","")," 3 разряда","")," 4 разряда","")," 5 разряда","")," 6 разряда","")," 1 категории","")," 2 категории","")," 3 категории",""))="инженер",IF(AND(ISNUMBER(SEARCH("техническ",E255)),ISNUMBER(SEARCH("контрол",E255))),"инженер отк",IF(ISNUMBER(SEARCH("диспетч",E255)),"инженер пдо",TRIM(SUBSTITUTE(SUBSTITUTE(SUBSTITUTE(SUBSTITUTE(SUBSTITUTE(SUBSTITUTE(SUBSTITUTE(SUBSTITUTE(SUBSTITUTE(SUBSTITUTE(SUBSTITUTE(LOWER(TRIM(D255)),"ё","е"),"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категории","")))),IF(TRIM(SUBSTITUTE(SUBSTITUTE(SUBSTITUTE(SUBSTITUTE(SUBSTITUTE(SUBSTITUTE(SUBSTITUTE(SUBSTITUTE(SUBSTITUTE(SUBSTITUTE(SUBSTITUTE(LOWER(TRIM(D255)),"ё","е")," -","-"),"- ","-")," 2 разряда","")," 3 разряда","")," 4 разряда","")," 5 разряда","")," 6 разряда","")," 1 категории","")," 2 категории","")," 3 категории",""))="ведущий инженер",IF(ISNUMBER(SEARCH("диспетч",E255)),"ведущий инженер пдо",TRIM(SUBSTITUTE(SUBSTITUTE(SUBSTITUTE(SUBSTITUTE(SUBSTITUTE(SUBSTITUTE(SUBSTITUTE(SUBSTITUTE(SUBSTITUTE(SUBSTITUTE(SUBSTITUTE(LOWER(TRIM(D255)),"ё","е"),"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отк",TRIM(SUBSTITUTE(SUBSTITUTE(SUBSTITUTE(SUBSTITUTE(SUBSTITUTE(SUBSTITUTE(SUBSTITUTE(SUBSTITUTE(SUBSTITUTE(SUBSTITUTE(SUBSTITUTE(LOWER(TRIM(D255)),"ё","е")," -","-"),"- ","-")," 2 разряда","")," 3 разряда","")," 4 разряда","")," 5 разряда","")," 6 разряда","")," 1 категории","")," 2 категории","")," 3 категории","")))))</f>
        <v>слесарь-сборщик</v>
      </c>
      <c r="H255" s="11" t="n">
        <f aca="false">IFERROR(INDEX(Соответствие!$B$2:$B$76,MATCH(G255,Соответствие!$A$2:$A$76,0)),"?")</f>
        <v>19</v>
      </c>
      <c r="I255" s="8" t="str">
        <f aca="false">IFERROR(INDEX('Перечень должностей'!$C$2:$C$46,MATCH(H255,'Перечень должностей'!$A$2:$A$46,0)),"")</f>
        <v>п.4.3.1, п.4.3.2, п.4.4, п.5.1, п.6.2, п.15</v>
      </c>
      <c r="J255" s="11" t="n">
        <f aca="false">IFERROR(INDEX('Перечень должностей'!$D$2:$D$46,MATCH(H255,'Перечень должностей'!$A$2:$A$46,0)),12)</f>
        <v>12</v>
      </c>
      <c r="K255" s="16" t="n">
        <v>45721</v>
      </c>
      <c r="L255" s="16"/>
      <c r="M255" s="15" t="n">
        <f aca="false">IF(K255="","",EDATE(IF(L255&lt;&gt;"",L255,K255),J255))</f>
        <v>46086</v>
      </c>
      <c r="N255" s="11" t="str">
        <f aca="false">IFERROR(INDEX('Перечень должностей'!$F$2:$F$46,MATCH(H255,'Перечень должностей'!$A$2:$A$46,0)),"")</f>
        <v>-</v>
      </c>
      <c r="O255" s="16"/>
      <c r="P255" s="15" t="str">
        <f aca="false">IF(O255="","",EDATE(O255,60))</f>
        <v/>
      </c>
      <c r="Q255" s="11" t="str">
        <f aca="false">IF(AND(K255&lt;&gt;"",F255&lt;&gt;"",K255&gt;F255),"ДА","")</f>
        <v/>
      </c>
      <c r="R255" s="8"/>
    </row>
    <row r="256" customFormat="false" ht="26.25" hidden="false" customHeight="true" outlineLevel="0" collapsed="false">
      <c r="A256" s="14" t="n">
        <v>255</v>
      </c>
      <c r="B256" s="11" t="s">
        <v>373</v>
      </c>
      <c r="C256" s="14" t="s">
        <v>675</v>
      </c>
      <c r="D256" s="14" t="s">
        <v>427</v>
      </c>
      <c r="E256" s="14" t="s">
        <v>674</v>
      </c>
      <c r="F256" s="15" t="n">
        <v>45797</v>
      </c>
      <c r="G256" s="4" t="str">
        <f aca="false">IF(TRIM(SUBSTITUTE(SUBSTITUTE(SUBSTITUTE(SUBSTITUTE(SUBSTITUTE(SUBSTITUTE(SUBSTITUTE(SUBSTITUTE(SUBSTITUTE(SUBSTITUTE(SUBSTITUTE(LOWER(TRIM(D256)),"ё","е")," -","-"),"- ","-")," 2 разряда","")," 3 разряда","")," 4 разряда","")," 5 разряда","")," 6 разряда","")," 1 категории","")," 2 категории","")," 3 категории",""))="инженер",IF(AND(ISNUMBER(SEARCH("техническ",E256)),ISNUMBER(SEARCH("контрол",E256))),"инженер отк",IF(ISNUMBER(SEARCH("диспетч",E256)),"инженер пдо",TRIM(SUBSTITUTE(SUBSTITUTE(SUBSTITUTE(SUBSTITUTE(SUBSTITUTE(SUBSTITUTE(SUBSTITUTE(SUBSTITUTE(SUBSTITUTE(SUBSTITUTE(SUBSTITUTE(LOWER(TRIM(D256)),"ё","е"),"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категории","")))),IF(TRIM(SUBSTITUTE(SUBSTITUTE(SUBSTITUTE(SUBSTITUTE(SUBSTITUTE(SUBSTITUTE(SUBSTITUTE(SUBSTITUTE(SUBSTITUTE(SUBSTITUTE(SUBSTITUTE(LOWER(TRIM(D256)),"ё","е")," -","-"),"- ","-")," 2 разряда","")," 3 разряда","")," 4 разряда","")," 5 разряда","")," 6 разряда","")," 1 категории","")," 2 категории","")," 3 категории",""))="ведущий инженер",IF(ISNUMBER(SEARCH("диспетч",E256)),"ведущий инженер пдо",TRIM(SUBSTITUTE(SUBSTITUTE(SUBSTITUTE(SUBSTITUTE(SUBSTITUTE(SUBSTITUTE(SUBSTITUTE(SUBSTITUTE(SUBSTITUTE(SUBSTITUTE(SUBSTITUTE(LOWER(TRIM(D256)),"ё","е"),"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отк",TRIM(SUBSTITUTE(SUBSTITUTE(SUBSTITUTE(SUBSTITUTE(SUBSTITUTE(SUBSTITUTE(SUBSTITUTE(SUBSTITUTE(SUBSTITUTE(SUBSTITUTE(SUBSTITUTE(LOWER(TRIM(D256)),"ё","е")," -","-"),"- ","-")," 2 разряда","")," 3 разряда","")," 4 разряда","")," 5 разряда","")," 6 разряда","")," 1 категории","")," 2 категории","")," 3 категории","")))))</f>
        <v>слесарь-сборщик</v>
      </c>
      <c r="H256" s="11" t="n">
        <f aca="false">IFERROR(INDEX(Соответствие!$B$2:$B$76,MATCH(G256,Соответствие!$A$2:$A$76,0)),"?")</f>
        <v>19</v>
      </c>
      <c r="I256" s="8" t="str">
        <f aca="false">IFERROR(INDEX('Перечень должностей'!$C$2:$C$46,MATCH(H256,'Перечень должностей'!$A$2:$A$46,0)),"")</f>
        <v>п.4.3.1, п.4.3.2, п.4.4, п.5.1, п.6.2, п.15</v>
      </c>
      <c r="J256" s="11" t="n">
        <f aca="false">IFERROR(INDEX('Перечень должностей'!$D$2:$D$46,MATCH(H256,'Перечень должностей'!$A$2:$A$46,0)),12)</f>
        <v>12</v>
      </c>
      <c r="K256" s="16"/>
      <c r="L256" s="16"/>
      <c r="M256" s="15" t="str">
        <f aca="false">IF(K256="","",EDATE(IF(L256&lt;&gt;"",L256,K256),J256))</f>
        <v/>
      </c>
      <c r="N256" s="11" t="str">
        <f aca="false">IFERROR(INDEX('Перечень должностей'!$F$2:$F$46,MATCH(H256,'Перечень должностей'!$A$2:$A$46,0)),"")</f>
        <v>-</v>
      </c>
      <c r="O256" s="16"/>
      <c r="P256" s="15" t="str">
        <f aca="false">IF(O256="","",EDATE(O256,60))</f>
        <v/>
      </c>
      <c r="Q256" s="11" t="str">
        <f aca="false">IF(AND(K256&lt;&gt;"",F256&lt;&gt;"",K256&gt;F256),"ДА","")</f>
        <v/>
      </c>
      <c r="R256" s="8"/>
    </row>
    <row r="257" customFormat="false" ht="26.25" hidden="false" customHeight="true" outlineLevel="0" collapsed="false">
      <c r="A257" s="14" t="n">
        <v>256</v>
      </c>
      <c r="B257" s="11" t="s">
        <v>373</v>
      </c>
      <c r="C257" s="14" t="s">
        <v>676</v>
      </c>
      <c r="D257" s="14" t="s">
        <v>427</v>
      </c>
      <c r="E257" s="14" t="s">
        <v>674</v>
      </c>
      <c r="F257" s="15" t="n">
        <v>46083</v>
      </c>
      <c r="G257" s="4" t="str">
        <f aca="false">IF(TRIM(SUBSTITUTE(SUBSTITUTE(SUBSTITUTE(SUBSTITUTE(SUBSTITUTE(SUBSTITUTE(SUBSTITUTE(SUBSTITUTE(SUBSTITUTE(SUBSTITUTE(SUBSTITUTE(LOWER(TRIM(D257)),"ё","е")," -","-"),"- ","-")," 2 разряда","")," 3 разряда","")," 4 разряда","")," 5 разряда","")," 6 разряда","")," 1 категории","")," 2 категории","")," 3 категории",""))="инженер",IF(AND(ISNUMBER(SEARCH("техническ",E257)),ISNUMBER(SEARCH("контрол",E257))),"инженер отк",IF(ISNUMBER(SEARCH("диспетч",E257)),"инженер пдо",TRIM(SUBSTITUTE(SUBSTITUTE(SUBSTITUTE(SUBSTITUTE(SUBSTITUTE(SUBSTITUTE(SUBSTITUTE(SUBSTITUTE(SUBSTITUTE(SUBSTITUTE(SUBSTITUTE(LOWER(TRIM(D257)),"ё","е"),"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категории","")))),IF(TRIM(SUBSTITUTE(SUBSTITUTE(SUBSTITUTE(SUBSTITUTE(SUBSTITUTE(SUBSTITUTE(SUBSTITUTE(SUBSTITUTE(SUBSTITUTE(SUBSTITUTE(SUBSTITUTE(LOWER(TRIM(D257)),"ё","е")," -","-"),"- ","-")," 2 разряда","")," 3 разряда","")," 4 разряда","")," 5 разряда","")," 6 разряда","")," 1 категории","")," 2 категории","")," 3 категории",""))="ведущий инженер",IF(ISNUMBER(SEARCH("диспетч",E257)),"ведущий инженер пдо",TRIM(SUBSTITUTE(SUBSTITUTE(SUBSTITUTE(SUBSTITUTE(SUBSTITUTE(SUBSTITUTE(SUBSTITUTE(SUBSTITUTE(SUBSTITUTE(SUBSTITUTE(SUBSTITUTE(LOWER(TRIM(D257)),"ё","е"),"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отк",TRIM(SUBSTITUTE(SUBSTITUTE(SUBSTITUTE(SUBSTITUTE(SUBSTITUTE(SUBSTITUTE(SUBSTITUTE(SUBSTITUTE(SUBSTITUTE(SUBSTITUTE(SUBSTITUTE(LOWER(TRIM(D257)),"ё","е")," -","-"),"- ","-")," 2 разряда","")," 3 разряда","")," 4 разряда","")," 5 разряда","")," 6 разряда","")," 1 категории","")," 2 категории","")," 3 категории","")))))</f>
        <v>слесарь-сборщик</v>
      </c>
      <c r="H257" s="11" t="n">
        <f aca="false">IFERROR(INDEX(Соответствие!$B$2:$B$76,MATCH(G257,Соответствие!$A$2:$A$76,0)),"?")</f>
        <v>19</v>
      </c>
      <c r="I257" s="8" t="str">
        <f aca="false">IFERROR(INDEX('Перечень должностей'!$C$2:$C$46,MATCH(H257,'Перечень должностей'!$A$2:$A$46,0)),"")</f>
        <v>п.4.3.1, п.4.3.2, п.4.4, п.5.1, п.6.2, п.15</v>
      </c>
      <c r="J257" s="11" t="n">
        <f aca="false">IFERROR(INDEX('Перечень должностей'!$D$2:$D$46,MATCH(H257,'Перечень должностей'!$A$2:$A$46,0)),12)</f>
        <v>12</v>
      </c>
      <c r="K257" s="16" t="n">
        <v>46066</v>
      </c>
      <c r="L257" s="16"/>
      <c r="M257" s="15" t="n">
        <f aca="false">IF(K257="","",EDATE(IF(L257&lt;&gt;"",L257,K257),J257))</f>
        <v>46431</v>
      </c>
      <c r="N257" s="11" t="str">
        <f aca="false">IFERROR(INDEX('Перечень должностей'!$F$2:$F$46,MATCH(H257,'Перечень должностей'!$A$2:$A$46,0)),"")</f>
        <v>-</v>
      </c>
      <c r="O257" s="16"/>
      <c r="P257" s="15" t="str">
        <f aca="false">IF(O257="","",EDATE(O257,60))</f>
        <v/>
      </c>
      <c r="Q257" s="11" t="str">
        <f aca="false">IF(AND(K257&lt;&gt;"",F257&lt;&gt;"",K257&gt;F257),"ДА","")</f>
        <v/>
      </c>
      <c r="R257" s="8"/>
    </row>
    <row r="258" customFormat="false" ht="26.25" hidden="false" customHeight="true" outlineLevel="0" collapsed="false">
      <c r="A258" s="14" t="n">
        <v>257</v>
      </c>
      <c r="B258" s="11" t="s">
        <v>373</v>
      </c>
      <c r="C258" s="14" t="s">
        <v>677</v>
      </c>
      <c r="D258" s="14" t="s">
        <v>75</v>
      </c>
      <c r="E258" s="14" t="s">
        <v>674</v>
      </c>
      <c r="F258" s="15" t="n">
        <v>46091</v>
      </c>
      <c r="G258" s="4" t="str">
        <f aca="false">IF(TRIM(SUBSTITUTE(SUBSTITUTE(SUBSTITUTE(SUBSTITUTE(SUBSTITUTE(SUBSTITUTE(SUBSTITUTE(SUBSTITUTE(SUBSTITUTE(SUBSTITUTE(SUBSTITUTE(LOWER(TRIM(D258)),"ё","е")," -","-"),"- ","-")," 2 разряда","")," 3 разряда","")," 4 разряда","")," 5 разряда","")," 6 разряда","")," 1 категории","")," 2 категории","")," 3 категории",""))="инженер",IF(AND(ISNUMBER(SEARCH("техническ",E258)),ISNUMBER(SEARCH("контрол",E258))),"инженер отк",IF(ISNUMBER(SEARCH("диспетч",E258)),"инженер пдо",TRIM(SUBSTITUTE(SUBSTITUTE(SUBSTITUTE(SUBSTITUTE(SUBSTITUTE(SUBSTITUTE(SUBSTITUTE(SUBSTITUTE(SUBSTITUTE(SUBSTITUTE(SUBSTITUTE(LOWER(TRIM(D258)),"ё","е"),"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категории","")))),IF(TRIM(SUBSTITUTE(SUBSTITUTE(SUBSTITUTE(SUBSTITUTE(SUBSTITUTE(SUBSTITUTE(SUBSTITUTE(SUBSTITUTE(SUBSTITUTE(SUBSTITUTE(SUBSTITUTE(LOWER(TRIM(D258)),"ё","е")," -","-"),"- ","-")," 2 разряда","")," 3 разряда","")," 4 разряда","")," 5 разряда","")," 6 разряда","")," 1 категории","")," 2 категории","")," 3 категории",""))="ведущий инженер",IF(ISNUMBER(SEARCH("диспетч",E258)),"ведущий инженер пдо",TRIM(SUBSTITUTE(SUBSTITUTE(SUBSTITUTE(SUBSTITUTE(SUBSTITUTE(SUBSTITUTE(SUBSTITUTE(SUBSTITUTE(SUBSTITUTE(SUBSTITUTE(SUBSTITUTE(LOWER(TRIM(D258)),"ё","е"),"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отк",TRIM(SUBSTITUTE(SUBSTITUTE(SUBSTITUTE(SUBSTITUTE(SUBSTITUTE(SUBSTITUTE(SUBSTITUTE(SUBSTITUTE(SUBSTITUTE(SUBSTITUTE(SUBSTITUTE(LOWER(TRIM(D258)),"ё","е")," -","-"),"- ","-")," 2 разряда","")," 3 разряда","")," 4 разряда","")," 5 разряда","")," 6 разряда","")," 1 категории","")," 2 категории","")," 3 категории","")))))</f>
        <v>кладовщик</v>
      </c>
      <c r="H258" s="11" t="n">
        <f aca="false">IFERROR(INDEX(Соответствие!$B$2:$B$76,MATCH(G258,Соответствие!$A$2:$A$76,0)),"?")</f>
        <v>14</v>
      </c>
      <c r="I258" s="8" t="str">
        <f aca="false">IFERROR(INDEX('Перечень должностей'!$C$2:$C$46,MATCH(H258,'Перечень должностей'!$A$2:$A$46,0)),"")</f>
        <v>п.4.4, п.5.1, п.6.2</v>
      </c>
      <c r="J258" s="11" t="n">
        <f aca="false">IFERROR(INDEX('Перечень должностей'!$D$2:$D$46,MATCH(H258,'Перечень должностей'!$A$2:$A$46,0)),12)</f>
        <v>12</v>
      </c>
      <c r="K258" s="16"/>
      <c r="L258" s="16"/>
      <c r="M258" s="15" t="str">
        <f aca="false">IF(K258="","",EDATE(IF(L258&lt;&gt;"",L258,K258),J258))</f>
        <v/>
      </c>
      <c r="N258" s="11" t="str">
        <f aca="false">IFERROR(INDEX('Перечень должностей'!$F$2:$F$46,MATCH(H258,'Перечень должностей'!$A$2:$A$46,0)),"")</f>
        <v>-</v>
      </c>
      <c r="O258" s="16"/>
      <c r="P258" s="15" t="str">
        <f aca="false">IF(O258="","",EDATE(O258,60))</f>
        <v/>
      </c>
      <c r="Q258" s="11" t="str">
        <f aca="false">IF(AND(K258&lt;&gt;"",F258&lt;&gt;"",K258&gt;F258),"ДА","")</f>
        <v/>
      </c>
      <c r="R258" s="8"/>
    </row>
    <row r="259" customFormat="false" ht="26.25" hidden="false" customHeight="true" outlineLevel="0" collapsed="false">
      <c r="A259" s="14" t="n">
        <v>258</v>
      </c>
      <c r="B259" s="11" t="s">
        <v>373</v>
      </c>
      <c r="C259" s="14" t="s">
        <v>678</v>
      </c>
      <c r="D259" s="14" t="s">
        <v>75</v>
      </c>
      <c r="E259" s="14" t="s">
        <v>674</v>
      </c>
      <c r="F259" s="15" t="n">
        <v>45867</v>
      </c>
      <c r="G259" s="4" t="str">
        <f aca="false">IF(TRIM(SUBSTITUTE(SUBSTITUTE(SUBSTITUTE(SUBSTITUTE(SUBSTITUTE(SUBSTITUTE(SUBSTITUTE(SUBSTITUTE(SUBSTITUTE(SUBSTITUTE(SUBSTITUTE(LOWER(TRIM(D259)),"ё","е")," -","-"),"- ","-")," 2 разряда","")," 3 разряда","")," 4 разряда","")," 5 разряда","")," 6 разряда","")," 1 категории","")," 2 категории","")," 3 категории",""))="инженер",IF(AND(ISNUMBER(SEARCH("техническ",E259)),ISNUMBER(SEARCH("контрол",E259))),"инженер отк",IF(ISNUMBER(SEARCH("диспетч",E259)),"инженер пдо",TRIM(SUBSTITUTE(SUBSTITUTE(SUBSTITUTE(SUBSTITUTE(SUBSTITUTE(SUBSTITUTE(SUBSTITUTE(SUBSTITUTE(SUBSTITUTE(SUBSTITUTE(SUBSTITUTE(LOWER(TRIM(D259)),"ё","е"),"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категории","")))),IF(TRIM(SUBSTITUTE(SUBSTITUTE(SUBSTITUTE(SUBSTITUTE(SUBSTITUTE(SUBSTITUTE(SUBSTITUTE(SUBSTITUTE(SUBSTITUTE(SUBSTITUTE(SUBSTITUTE(LOWER(TRIM(D259)),"ё","е")," -","-"),"- ","-")," 2 разряда","")," 3 разряда","")," 4 разряда","")," 5 разряда","")," 6 разряда","")," 1 категории","")," 2 категории","")," 3 категории",""))="ведущий инженер",IF(ISNUMBER(SEARCH("диспетч",E259)),"ведущий инженер пдо",TRIM(SUBSTITUTE(SUBSTITUTE(SUBSTITUTE(SUBSTITUTE(SUBSTITUTE(SUBSTITUTE(SUBSTITUTE(SUBSTITUTE(SUBSTITUTE(SUBSTITUTE(SUBSTITUTE(LOWER(TRIM(D259)),"ё","е"),"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категории",""))),IF(TRIM(SUBSTITUTE(SUBSTITUTE(SUBSTITUTE(SUBSTITUTE(SUBSTITUTE(SUBSTITUTE(SUBSTITUTE(SUBSTITUTE(SUBSTITUTE(SUBSTITUTE(SUBSTITUTE(LOWER(TRIM(D259)),"ё","е"),"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отк",TRIM(SUBSTITUTE(SUBSTITUTE(SUBSTITUTE(SUBSTITUTE(SUBSTITUTE(SUBSTITUTE(SUBSTITUTE(SUBSTITUTE(SUBSTITUTE(SUBSTITUTE(SUBSTITUTE(LOWER(TRIM(D259)),"ё","е")," -","-"),"- ","-")," 2 разряда","")," 3 разряда","")," 4 разряда","")," 5 разряда","")," 6 разряда","")," 1 категории","")," 2 категории","")," 3 категории","")))))</f>
        <v>кладовщик</v>
      </c>
      <c r="H259" s="11" t="n">
        <f aca="false">IFERROR(INDEX(Соответствие!$B$2:$B$76,MATCH(G259,Соответствие!$A$2:$A$76,0)),"?")</f>
        <v>14</v>
      </c>
      <c r="I259" s="8" t="str">
        <f aca="false">IFERROR(INDEX('Перечень должностей'!$C$2:$C$46,MATCH(H259,'Перечень должностей'!$A$2:$A$46,0)),"")</f>
        <v>п.4.4, п.5.1, п.6.2</v>
      </c>
      <c r="J259" s="11" t="n">
        <f aca="false">IFERROR(INDEX('Перечень должностей'!$D$2:$D$46,MATCH(H259,'Перечень должностей'!$A$2:$A$46,0)),12)</f>
        <v>12</v>
      </c>
      <c r="K259" s="16"/>
      <c r="L259" s="16"/>
      <c r="M259" s="15" t="str">
        <f aca="false">IF(K259="","",EDATE(IF(L259&lt;&gt;"",L259,K259),J259))</f>
        <v/>
      </c>
      <c r="N259" s="11" t="str">
        <f aca="false">IFERROR(INDEX('Перечень должностей'!$F$2:$F$46,MATCH(H259,'Перечень должностей'!$A$2:$A$46,0)),"")</f>
        <v>-</v>
      </c>
      <c r="O259" s="16"/>
      <c r="P259" s="15" t="str">
        <f aca="false">IF(O259="","",EDATE(O259,60))</f>
        <v/>
      </c>
      <c r="Q259" s="11" t="str">
        <f aca="false">IF(AND(K259&lt;&gt;"",F259&lt;&gt;"",K259&gt;F259),"ДА","")</f>
        <v/>
      </c>
      <c r="R259" s="8"/>
    </row>
    <row r="260" customFormat="false" ht="14.25" hidden="false" customHeight="false" outlineLevel="0" collapsed="false">
      <c r="A260" s="14" t="n">
        <v>259</v>
      </c>
      <c r="B260" s="11" t="s">
        <v>373</v>
      </c>
      <c r="C260" s="14" t="s">
        <v>679</v>
      </c>
      <c r="D260" s="14" t="s">
        <v>502</v>
      </c>
      <c r="E260" s="14" t="s">
        <v>674</v>
      </c>
      <c r="F260" s="15" t="n">
        <v>45497</v>
      </c>
      <c r="G260" s="4" t="str">
        <f aca="false">IF(TRIM(SUBSTITUTE(SUBSTITUTE(SUBSTITUTE(SUBSTITUTE(SUBSTITUTE(SUBSTITUTE(SUBSTITUTE(SUBSTITUTE(SUBSTITUTE(SUBSTITUTE(SUBSTITUTE(LOWER(TRIM(D260)),"ё","е")," -","-"),"- ","-")," 2 разряда","")," 3 разряда","")," 4 разряда","")," 5 разряда","")," 6 разряда","")," 1 категории","")," 2 категории","")," 3 категории",""))="инженер",IF(AND(ISNUMBER(SEARCH("техническ",E260)),ISNUMBER(SEARCH("контрол",E260))),"инженер отк",IF(ISNUMBER(SEARCH("диспетч",E260)),"инженер пдо",TRIM(SUBSTITUTE(SUBSTITUTE(SUBSTITUTE(SUBSTITUTE(SUBSTITUTE(SUBSTITUTE(SUBSTITUTE(SUBSTITUTE(SUBSTITUTE(SUBSTITUTE(SUBSTITUTE(LOWER(TRIM(D260)),"ё","е"),"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категории","")))),IF(TRIM(SUBSTITUTE(SUBSTITUTE(SUBSTITUTE(SUBSTITUTE(SUBSTITUTE(SUBSTITUTE(SUBSTITUTE(SUBSTITUTE(SUBSTITUTE(SUBSTITUTE(SUBSTITUTE(LOWER(TRIM(D260)),"ё","е")," -","-"),"- ","-")," 2 разряда","")," 3 разряда","")," 4 разряда","")," 5 разряда","")," 6 разряда","")," 1 категории","")," 2 категории","")," 3 категории",""))="ведущий инженер",IF(ISNUMBER(SEARCH("диспетч",E260)),"ведущий инженер пдо",TRIM(SUBSTITUTE(SUBSTITUTE(SUBSTITUTE(SUBSTITUTE(SUBSTITUTE(SUBSTITUTE(SUBSTITUTE(SUBSTITUTE(SUBSTITUTE(SUBSTITUTE(SUBSTITUTE(LOWER(TRIM(D260)),"ё","е"),"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отк",TRIM(SUBSTITUTE(SUBSTITUTE(SUBSTITUTE(SUBSTITUTE(SUBSTITUTE(SUBSTITUTE(SUBSTITUTE(SUBSTITUTE(SUBSTITUTE(SUBSTITUTE(SUBSTITUTE(LOWER(TRIM(D260)),"ё","е")," -","-"),"- ","-")," 2 разряда","")," 3 разряда","")," 4 разряда","")," 5 разряда","")," 6 разряда","")," 1 категории","")," 2 категории","")," 3 категории","")))))</f>
        <v>диспетчер</v>
      </c>
      <c r="H260" s="11" t="n">
        <f aca="false">IFERROR(INDEX(Соответствие!$B$2:$B$76,MATCH(G260,Соответствие!$A$2:$A$76,0)),"?")</f>
        <v>28</v>
      </c>
      <c r="I260" s="8" t="str">
        <f aca="false">IFERROR(INDEX('Перечень должностей'!$C$2:$C$46,MATCH(H260,'Перечень должностей'!$A$2:$A$46,0)),"")</f>
        <v>п.4.4, п.5.1, п.5.2</v>
      </c>
      <c r="J260" s="11" t="n">
        <f aca="false">IFERROR(INDEX('Перечень должностей'!$D$2:$D$46,MATCH(H260,'Перечень должностей'!$A$2:$A$46,0)),12)</f>
        <v>12</v>
      </c>
      <c r="K260" s="16"/>
      <c r="L260" s="16"/>
      <c r="M260" s="15" t="str">
        <f aca="false">IF(K260="","",EDATE(IF(L260&lt;&gt;"",L260,K260),J260))</f>
        <v/>
      </c>
      <c r="N260" s="11" t="str">
        <f aca="false">IFERROR(INDEX('Перечень должностей'!$F$2:$F$46,MATCH(H260,'Перечень должностей'!$A$2:$A$46,0)),"")</f>
        <v>-</v>
      </c>
      <c r="O260" s="16"/>
      <c r="P260" s="15" t="str">
        <f aca="false">IF(O260="","",EDATE(O260,60))</f>
        <v/>
      </c>
      <c r="Q260" s="11" t="str">
        <f aca="false">IF(AND(K260&lt;&gt;"",F260&lt;&gt;"",K260&gt;F260),"ДА","")</f>
        <v/>
      </c>
      <c r="R260" s="8"/>
    </row>
    <row r="261" customFormat="false" ht="14.25" hidden="false" customHeight="false" outlineLevel="0" collapsed="false">
      <c r="A261" s="14" t="n">
        <v>260</v>
      </c>
      <c r="B261" s="11" t="s">
        <v>373</v>
      </c>
      <c r="C261" s="14" t="s">
        <v>680</v>
      </c>
      <c r="D261" s="14" t="s">
        <v>502</v>
      </c>
      <c r="E261" s="14" t="s">
        <v>674</v>
      </c>
      <c r="F261" s="15" t="n">
        <v>46181</v>
      </c>
      <c r="G261" s="4" t="str">
        <f aca="false">IF(TRIM(SUBSTITUTE(SUBSTITUTE(SUBSTITUTE(SUBSTITUTE(SUBSTITUTE(SUBSTITUTE(SUBSTITUTE(SUBSTITUTE(SUBSTITUTE(SUBSTITUTE(SUBSTITUTE(LOWER(TRIM(D261)),"ё","е")," -","-"),"- ","-")," 2 разряда","")," 3 разряда","")," 4 разряда","")," 5 разряда","")," 6 разряда","")," 1 категории","")," 2 категории","")," 3 категории",""))="инженер",IF(AND(ISNUMBER(SEARCH("техническ",E261)),ISNUMBER(SEARCH("контрол",E261))),"инженер отк",IF(ISNUMBER(SEARCH("диспетч",E261)),"инженер пдо",TRIM(SUBSTITUTE(SUBSTITUTE(SUBSTITUTE(SUBSTITUTE(SUBSTITUTE(SUBSTITUTE(SUBSTITUTE(SUBSTITUTE(SUBSTITUTE(SUBSTITUTE(SUBSTITUTE(LOWER(TRIM(D261)),"ё","е"),"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категории","")))),IF(TRIM(SUBSTITUTE(SUBSTITUTE(SUBSTITUTE(SUBSTITUTE(SUBSTITUTE(SUBSTITUTE(SUBSTITUTE(SUBSTITUTE(SUBSTITUTE(SUBSTITUTE(SUBSTITUTE(LOWER(TRIM(D261)),"ё","е")," -","-"),"- ","-")," 2 разряда","")," 3 разряда","")," 4 разряда","")," 5 разряда","")," 6 разряда","")," 1 категории","")," 2 категории","")," 3 категории",""))="ведущий инженер",IF(ISNUMBER(SEARCH("диспетч",E261)),"ведущий инженер пдо",TRIM(SUBSTITUTE(SUBSTITUTE(SUBSTITUTE(SUBSTITUTE(SUBSTITUTE(SUBSTITUTE(SUBSTITUTE(SUBSTITUTE(SUBSTITUTE(SUBSTITUTE(SUBSTITUTE(LOWER(TRIM(D261)),"ё","е"),"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отк",TRIM(SUBSTITUTE(SUBSTITUTE(SUBSTITUTE(SUBSTITUTE(SUBSTITUTE(SUBSTITUTE(SUBSTITUTE(SUBSTITUTE(SUBSTITUTE(SUBSTITUTE(SUBSTITUTE(LOWER(TRIM(D261)),"ё","е")," -","-"),"- ","-")," 2 разряда","")," 3 разряда","")," 4 разряда","")," 5 разряда","")," 6 разряда","")," 1 категории","")," 2 категории","")," 3 категории","")))))</f>
        <v>диспетчер</v>
      </c>
      <c r="H261" s="11" t="n">
        <f aca="false">IFERROR(INDEX(Соответствие!$B$2:$B$76,MATCH(G261,Соответствие!$A$2:$A$76,0)),"?")</f>
        <v>28</v>
      </c>
      <c r="I261" s="8" t="str">
        <f aca="false">IFERROR(INDEX('Перечень должностей'!$C$2:$C$46,MATCH(H261,'Перечень должностей'!$A$2:$A$46,0)),"")</f>
        <v>п.4.4, п.5.1, п.5.2</v>
      </c>
      <c r="J261" s="11" t="n">
        <f aca="false">IFERROR(INDEX('Перечень должностей'!$D$2:$D$46,MATCH(H261,'Перечень должностей'!$A$2:$A$46,0)),12)</f>
        <v>12</v>
      </c>
      <c r="K261" s="16" t="n">
        <v>46174</v>
      </c>
      <c r="L261" s="16"/>
      <c r="M261" s="15" t="n">
        <f aca="false">IF(K261="","",EDATE(IF(L261&lt;&gt;"",L261,K261),J261))</f>
        <v>46539</v>
      </c>
      <c r="N261" s="11" t="str">
        <f aca="false">IFERROR(INDEX('Перечень должностей'!$F$2:$F$46,MATCH(H261,'Перечень должностей'!$A$2:$A$46,0)),"")</f>
        <v>-</v>
      </c>
      <c r="O261" s="16"/>
      <c r="P261" s="15" t="str">
        <f aca="false">IF(O261="","",EDATE(O261,60))</f>
        <v/>
      </c>
      <c r="Q261" s="11" t="str">
        <f aca="false">IF(AND(K261&lt;&gt;"",F261&lt;&gt;"",K261&gt;F261),"ДА","")</f>
        <v/>
      </c>
      <c r="R261" s="8"/>
    </row>
    <row r="262" customFormat="false" ht="23.85" hidden="false" customHeight="false" outlineLevel="0" collapsed="false">
      <c r="A262" s="14" t="n">
        <v>261</v>
      </c>
      <c r="B262" s="11" t="s">
        <v>373</v>
      </c>
      <c r="C262" s="14" t="s">
        <v>681</v>
      </c>
      <c r="D262" s="14" t="s">
        <v>405</v>
      </c>
      <c r="E262" s="14" t="s">
        <v>674</v>
      </c>
      <c r="F262" s="15" t="n">
        <v>45968</v>
      </c>
      <c r="G262" s="4" t="str">
        <f aca="false">IF(TRIM(SUBSTITUTE(SUBSTITUTE(SUBSTITUTE(SUBSTITUTE(SUBSTITUTE(SUBSTITUTE(SUBSTITUTE(SUBSTITUTE(SUBSTITUTE(SUBSTITUTE(SUBSTITUTE(LOWER(TRIM(D262)),"ё","е")," -","-"),"- ","-")," 2 разряда","")," 3 разряда","")," 4 разряда","")," 5 разряда","")," 6 разряда","")," 1 категории","")," 2 категории","")," 3 категории",""))="инженер",IF(AND(ISNUMBER(SEARCH("техническ",E262)),ISNUMBER(SEARCH("контрол",E262))),"инженер отк",IF(ISNUMBER(SEARCH("диспетч",E262)),"инженер пдо",TRIM(SUBSTITUTE(SUBSTITUTE(SUBSTITUTE(SUBSTITUTE(SUBSTITUTE(SUBSTITUTE(SUBSTITUTE(SUBSTITUTE(SUBSTITUTE(SUBSTITUTE(SUBSTITUTE(LOWER(TRIM(D262)),"ё","е"),"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категории","")))),IF(TRIM(SUBSTITUTE(SUBSTITUTE(SUBSTITUTE(SUBSTITUTE(SUBSTITUTE(SUBSTITUTE(SUBSTITUTE(SUBSTITUTE(SUBSTITUTE(SUBSTITUTE(SUBSTITUTE(LOWER(TRIM(D262)),"ё","е")," -","-"),"- ","-")," 2 разряда","")," 3 разряда","")," 4 разряда","")," 5 разряда","")," 6 разряда","")," 1 категории","")," 2 категории","")," 3 категории",""))="ведущий инженер",IF(ISNUMBER(SEARCH("диспетч",E262)),"ведущий инженер пдо",TRIM(SUBSTITUTE(SUBSTITUTE(SUBSTITUTE(SUBSTITUTE(SUBSTITUTE(SUBSTITUTE(SUBSTITUTE(SUBSTITUTE(SUBSTITUTE(SUBSTITUTE(SUBSTITUTE(LOWER(TRIM(D262)),"ё","е"),"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отк",TRIM(SUBSTITUTE(SUBSTITUTE(SUBSTITUTE(SUBSTITUTE(SUBSTITUTE(SUBSTITUTE(SUBSTITUTE(SUBSTITUTE(SUBSTITUTE(SUBSTITUTE(SUBSTITUTE(LOWER(TRIM(D262)),"ё","е")," -","-"),"- ","-")," 2 разряда","")," 3 разряда","")," 4 разряда","")," 5 разряда","")," 6 разряда","")," 1 категории","")," 2 категории","")," 3 категории","")))))</f>
        <v>электромонтажник</v>
      </c>
      <c r="H262" s="11" t="n">
        <f aca="false">IFERROR(INDEX(Соответствие!$B$2:$B$76,MATCH(G262,Соответствие!$A$2:$A$76,0)),"?")</f>
        <v>20</v>
      </c>
      <c r="I262" s="8" t="str">
        <f aca="false">IFERROR(INDEX('Перечень должностей'!$C$2:$C$46,MATCH(H262,'Перечень должностей'!$A$2:$A$46,0)),"")</f>
        <v>п.4.3.1, п.4.3.2, п.4.4, п.4.9, п.5.1, п.5.2, п.6.2, п.9</v>
      </c>
      <c r="J262" s="11" t="n">
        <f aca="false">IFERROR(INDEX('Перечень должностей'!$D$2:$D$46,MATCH(H262,'Перечень должностей'!$A$2:$A$46,0)),12)</f>
        <v>12</v>
      </c>
      <c r="K262" s="16" t="n">
        <v>45951</v>
      </c>
      <c r="L262" s="16"/>
      <c r="M262" s="15" t="n">
        <f aca="false">IF(K262="","",EDATE(IF(L262&lt;&gt;"",L262,K262),J262))</f>
        <v>46316</v>
      </c>
      <c r="N262" s="11" t="str">
        <f aca="false">IFERROR(INDEX('Перечень должностей'!$F$2:$F$46,MATCH(H262,'Перечень должностей'!$A$2:$A$46,0)),"")</f>
        <v>Да</v>
      </c>
      <c r="O262" s="16"/>
      <c r="P262" s="15" t="str">
        <f aca="false">IF(O262="","",EDATE(O262,60))</f>
        <v/>
      </c>
      <c r="Q262" s="11" t="str">
        <f aca="false">IF(AND(K262&lt;&gt;"",F262&lt;&gt;"",K262&gt;F262),"ДА","")</f>
        <v/>
      </c>
      <c r="R262" s="8"/>
    </row>
    <row r="263" customFormat="false" ht="23.85" hidden="false" customHeight="false" outlineLevel="0" collapsed="false">
      <c r="A263" s="14" t="n">
        <v>262</v>
      </c>
      <c r="B263" s="11" t="s">
        <v>373</v>
      </c>
      <c r="C263" s="14" t="s">
        <v>682</v>
      </c>
      <c r="D263" s="14" t="s">
        <v>407</v>
      </c>
      <c r="E263" s="14" t="s">
        <v>674</v>
      </c>
      <c r="F263" s="15" t="n">
        <v>45509</v>
      </c>
      <c r="G263" s="4" t="str">
        <f aca="false">IF(TRIM(SUBSTITUTE(SUBSTITUTE(SUBSTITUTE(SUBSTITUTE(SUBSTITUTE(SUBSTITUTE(SUBSTITUTE(SUBSTITUTE(SUBSTITUTE(SUBSTITUTE(SUBSTITUTE(LOWER(TRIM(D263)),"ё","е")," -","-"),"- ","-")," 2 разряда","")," 3 разряда","")," 4 разряда","")," 5 разряда","")," 6 разряда","")," 1 категории","")," 2 категории","")," 3 категории",""))="инженер",IF(AND(ISNUMBER(SEARCH("техническ",E263)),ISNUMBER(SEARCH("контрол",E263))),"инженер отк",IF(ISNUMBER(SEARCH("диспетч",E263)),"инженер пдо",TRIM(SUBSTITUTE(SUBSTITUTE(SUBSTITUTE(SUBSTITUTE(SUBSTITUTE(SUBSTITUTE(SUBSTITUTE(SUBSTITUTE(SUBSTITUTE(SUBSTITUTE(SUBSTITUTE(LOWER(TRIM(D263)),"ё","е"),"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категории","")))),IF(TRIM(SUBSTITUTE(SUBSTITUTE(SUBSTITUTE(SUBSTITUTE(SUBSTITUTE(SUBSTITUTE(SUBSTITUTE(SUBSTITUTE(SUBSTITUTE(SUBSTITUTE(SUBSTITUTE(LOWER(TRIM(D263)),"ё","е")," -","-"),"- ","-")," 2 разряда","")," 3 разряда","")," 4 разряда","")," 5 разряда","")," 6 разряда","")," 1 категории","")," 2 категории","")," 3 категории",""))="ведущий инженер",IF(ISNUMBER(SEARCH("диспетч",E263)),"ведущий инженер пдо",TRIM(SUBSTITUTE(SUBSTITUTE(SUBSTITUTE(SUBSTITUTE(SUBSTITUTE(SUBSTITUTE(SUBSTITUTE(SUBSTITUTE(SUBSTITUTE(SUBSTITUTE(SUBSTITUTE(LOWER(TRIM(D263)),"ё","е"),"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отк",TRIM(SUBSTITUTE(SUBSTITUTE(SUBSTITUTE(SUBSTITUTE(SUBSTITUTE(SUBSTITUTE(SUBSTITUTE(SUBSTITUTE(SUBSTITUTE(SUBSTITUTE(SUBSTITUTE(LOWER(TRIM(D263)),"ё","е")," -","-"),"- ","-")," 2 разряда","")," 3 разряда","")," 4 разряда","")," 5 разряда","")," 6 разряда","")," 1 категории","")," 2 категории","")," 3 категории","")))))</f>
        <v>электромонтажник</v>
      </c>
      <c r="H263" s="11" t="n">
        <f aca="false">IFERROR(INDEX(Соответствие!$B$2:$B$76,MATCH(G263,Соответствие!$A$2:$A$76,0)),"?")</f>
        <v>20</v>
      </c>
      <c r="I263" s="8" t="str">
        <f aca="false">IFERROR(INDEX('Перечень должностей'!$C$2:$C$46,MATCH(H263,'Перечень должностей'!$A$2:$A$46,0)),"")</f>
        <v>п.4.3.1, п.4.3.2, п.4.4, п.4.9, п.5.1, п.5.2, п.6.2, п.9</v>
      </c>
      <c r="J263" s="11" t="n">
        <f aca="false">IFERROR(INDEX('Перечень должностей'!$D$2:$D$46,MATCH(H263,'Перечень должностей'!$A$2:$A$46,0)),12)</f>
        <v>12</v>
      </c>
      <c r="K263" s="16" t="n">
        <v>45496</v>
      </c>
      <c r="L263" s="16"/>
      <c r="M263" s="15" t="n">
        <f aca="false">IF(K263="","",EDATE(IF(L263&lt;&gt;"",L263,K263),J263))</f>
        <v>45861</v>
      </c>
      <c r="N263" s="11" t="str">
        <f aca="false">IFERROR(INDEX('Перечень должностей'!$F$2:$F$46,MATCH(H263,'Перечень должностей'!$A$2:$A$46,0)),"")</f>
        <v>Да</v>
      </c>
      <c r="O263" s="16"/>
      <c r="P263" s="15" t="str">
        <f aca="false">IF(O263="","",EDATE(O263,60))</f>
        <v/>
      </c>
      <c r="Q263" s="11" t="str">
        <f aca="false">IF(AND(K263&lt;&gt;"",F263&lt;&gt;"",K263&gt;F263),"ДА","")</f>
        <v/>
      </c>
      <c r="R263" s="8"/>
    </row>
    <row r="264" customFormat="false" ht="26.25" hidden="false" customHeight="true" outlineLevel="0" collapsed="false">
      <c r="A264" s="14" t="n">
        <v>263</v>
      </c>
      <c r="B264" s="11" t="s">
        <v>373</v>
      </c>
      <c r="C264" s="14" t="s">
        <v>683</v>
      </c>
      <c r="D264" s="14" t="s">
        <v>407</v>
      </c>
      <c r="E264" s="14" t="s">
        <v>674</v>
      </c>
      <c r="F264" s="15" t="n">
        <v>45506</v>
      </c>
      <c r="G264" s="4" t="str">
        <f aca="false">IF(TRIM(SUBSTITUTE(SUBSTITUTE(SUBSTITUTE(SUBSTITUTE(SUBSTITUTE(SUBSTITUTE(SUBSTITUTE(SUBSTITUTE(SUBSTITUTE(SUBSTITUTE(SUBSTITUTE(LOWER(TRIM(D264)),"ё","е")," -","-"),"- ","-")," 2 разряда","")," 3 разряда","")," 4 разряда","")," 5 разряда","")," 6 разряда","")," 1 категории","")," 2 категории","")," 3 категории",""))="инженер",IF(AND(ISNUMBER(SEARCH("техническ",E264)),ISNUMBER(SEARCH("контрол",E264))),"инженер отк",IF(ISNUMBER(SEARCH("диспетч",E264)),"инженер пдо",TRIM(SUBSTITUTE(SUBSTITUTE(SUBSTITUTE(SUBSTITUTE(SUBSTITUTE(SUBSTITUTE(SUBSTITUTE(SUBSTITUTE(SUBSTITUTE(SUBSTITUTE(SUBSTITUTE(LOWER(TRIM(D264)),"ё","е"),"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категории","")))),IF(TRIM(SUBSTITUTE(SUBSTITUTE(SUBSTITUTE(SUBSTITUTE(SUBSTITUTE(SUBSTITUTE(SUBSTITUTE(SUBSTITUTE(SUBSTITUTE(SUBSTITUTE(SUBSTITUTE(LOWER(TRIM(D264)),"ё","е")," -","-"),"- ","-")," 2 разряда","")," 3 разряда","")," 4 разряда","")," 5 разряда","")," 6 разряда","")," 1 категории","")," 2 категории","")," 3 категории",""))="ведущий инженер",IF(ISNUMBER(SEARCH("диспетч",E264)),"ведущий инженер пдо",TRIM(SUBSTITUTE(SUBSTITUTE(SUBSTITUTE(SUBSTITUTE(SUBSTITUTE(SUBSTITUTE(SUBSTITUTE(SUBSTITUTE(SUBSTITUTE(SUBSTITUTE(SUBSTITUTE(LOWER(TRIM(D264)),"ё","е"),"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отк",TRIM(SUBSTITUTE(SUBSTITUTE(SUBSTITUTE(SUBSTITUTE(SUBSTITUTE(SUBSTITUTE(SUBSTITUTE(SUBSTITUTE(SUBSTITUTE(SUBSTITUTE(SUBSTITUTE(LOWER(TRIM(D264)),"ё","е")," -","-"),"- ","-")," 2 разряда","")," 3 разряда","")," 4 разряда","")," 5 разряда","")," 6 разряда","")," 1 категории","")," 2 категории","")," 3 категории","")))))</f>
        <v>электромонтажник</v>
      </c>
      <c r="H264" s="11" t="n">
        <f aca="false">IFERROR(INDEX(Соответствие!$B$2:$B$76,MATCH(G264,Соответствие!$A$2:$A$76,0)),"?")</f>
        <v>20</v>
      </c>
      <c r="I264" s="8" t="str">
        <f aca="false">IFERROR(INDEX('Перечень должностей'!$C$2:$C$46,MATCH(H264,'Перечень должностей'!$A$2:$A$46,0)),"")</f>
        <v>п.4.3.1, п.4.3.2, п.4.4, п.4.9, п.5.1, п.5.2, п.6.2, п.9</v>
      </c>
      <c r="J264" s="11" t="n">
        <f aca="false">IFERROR(INDEX('Перечень должностей'!$D$2:$D$46,MATCH(H264,'Перечень должностей'!$A$2:$A$46,0)),12)</f>
        <v>12</v>
      </c>
      <c r="K264" s="16" t="n">
        <v>45503</v>
      </c>
      <c r="L264" s="16"/>
      <c r="M264" s="15" t="n">
        <f aca="false">IF(K264="","",EDATE(IF(L264&lt;&gt;"",L264,K264),J264))</f>
        <v>45868</v>
      </c>
      <c r="N264" s="11" t="str">
        <f aca="false">IFERROR(INDEX('Перечень должностей'!$F$2:$F$46,MATCH(H264,'Перечень должностей'!$A$2:$A$46,0)),"")</f>
        <v>Да</v>
      </c>
      <c r="O264" s="16"/>
      <c r="P264" s="15" t="str">
        <f aca="false">IF(O264="","",EDATE(O264,60))</f>
        <v/>
      </c>
      <c r="Q264" s="11" t="str">
        <f aca="false">IF(AND(K264&lt;&gt;"",F264&lt;&gt;"",K264&gt;F264),"ДА","")</f>
        <v/>
      </c>
      <c r="R264" s="8"/>
    </row>
    <row r="265" customFormat="false" ht="26.25" hidden="false" customHeight="true" outlineLevel="0" collapsed="false">
      <c r="A265" s="14" t="n">
        <v>264</v>
      </c>
      <c r="B265" s="11" t="s">
        <v>373</v>
      </c>
      <c r="C265" s="14" t="s">
        <v>684</v>
      </c>
      <c r="D265" s="14" t="s">
        <v>409</v>
      </c>
      <c r="E265" s="14" t="s">
        <v>674</v>
      </c>
      <c r="F265" s="15" t="n">
        <v>39730</v>
      </c>
      <c r="G265" s="4" t="str">
        <f aca="false">IF(TRIM(SUBSTITUTE(SUBSTITUTE(SUBSTITUTE(SUBSTITUTE(SUBSTITUTE(SUBSTITUTE(SUBSTITUTE(SUBSTITUTE(SUBSTITUTE(SUBSTITUTE(SUBSTITUTE(LOWER(TRIM(D265)),"ё","е")," -","-"),"- ","-")," 2 разряда","")," 3 разряда","")," 4 разряда","")," 5 разряда","")," 6 разряда","")," 1 категории","")," 2 категории","")," 3 категории",""))="инженер",IF(AND(ISNUMBER(SEARCH("техническ",E265)),ISNUMBER(SEARCH("контрол",E265))),"инженер отк",IF(ISNUMBER(SEARCH("диспетч",E265)),"инженер пдо",TRIM(SUBSTITUTE(SUBSTITUTE(SUBSTITUTE(SUBSTITUTE(SUBSTITUTE(SUBSTITUTE(SUBSTITUTE(SUBSTITUTE(SUBSTITUTE(SUBSTITUTE(SUBSTITUTE(LOWER(TRIM(D265)),"ё","е"),"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категории","")))),IF(TRIM(SUBSTITUTE(SUBSTITUTE(SUBSTITUTE(SUBSTITUTE(SUBSTITUTE(SUBSTITUTE(SUBSTITUTE(SUBSTITUTE(SUBSTITUTE(SUBSTITUTE(SUBSTITUTE(LOWER(TRIM(D265)),"ё","е")," -","-"),"- ","-")," 2 разряда","")," 3 разряда","")," 4 разряда","")," 5 разряда","")," 6 разряда","")," 1 категории","")," 2 категории","")," 3 категории",""))="ведущий инженер",IF(ISNUMBER(SEARCH("диспетч",E265)),"ведущий инженер пдо",TRIM(SUBSTITUTE(SUBSTITUTE(SUBSTITUTE(SUBSTITUTE(SUBSTITUTE(SUBSTITUTE(SUBSTITUTE(SUBSTITUTE(SUBSTITUTE(SUBSTITUTE(SUBSTITUTE(LOWER(TRIM(D265)),"ё","е"),"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отк",TRIM(SUBSTITUTE(SUBSTITUTE(SUBSTITUTE(SUBSTITUTE(SUBSTITUTE(SUBSTITUTE(SUBSTITUTE(SUBSTITUTE(SUBSTITUTE(SUBSTITUTE(SUBSTITUTE(LOWER(TRIM(D265)),"ё","е")," -","-"),"- ","-")," 2 разряда","")," 3 разряда","")," 4 разряда","")," 5 разряда","")," 6 разряда","")," 1 категории","")," 2 категории","")," 3 категории","")))))</f>
        <v>слесарь-сборщик</v>
      </c>
      <c r="H265" s="11" t="n">
        <f aca="false">IFERROR(INDEX(Соответствие!$B$2:$B$76,MATCH(G265,Соответствие!$A$2:$A$76,0)),"?")</f>
        <v>19</v>
      </c>
      <c r="I265" s="8" t="str">
        <f aca="false">IFERROR(INDEX('Перечень должностей'!$C$2:$C$46,MATCH(H265,'Перечень должностей'!$A$2:$A$46,0)),"")</f>
        <v>п.4.3.1, п.4.3.2, п.4.4, п.5.1, п.6.2, п.15</v>
      </c>
      <c r="J265" s="11" t="n">
        <f aca="false">IFERROR(INDEX('Перечень должностей'!$D$2:$D$46,MATCH(H265,'Перечень должностей'!$A$2:$A$46,0)),12)</f>
        <v>12</v>
      </c>
      <c r="K265" s="16"/>
      <c r="L265" s="16"/>
      <c r="M265" s="15" t="str">
        <f aca="false">IF(K265="","",EDATE(IF(L265&lt;&gt;"",L265,K265),J265))</f>
        <v/>
      </c>
      <c r="N265" s="11" t="str">
        <f aca="false">IFERROR(INDEX('Перечень должностей'!$F$2:$F$46,MATCH(H265,'Перечень должностей'!$A$2:$A$46,0)),"")</f>
        <v>-</v>
      </c>
      <c r="O265" s="16"/>
      <c r="P265" s="15" t="str">
        <f aca="false">IF(O265="","",EDATE(O265,60))</f>
        <v/>
      </c>
      <c r="Q265" s="11" t="str">
        <f aca="false">IF(AND(K265&lt;&gt;"",F265&lt;&gt;"",K265&gt;F265),"ДА","")</f>
        <v/>
      </c>
      <c r="R265" s="8"/>
    </row>
    <row r="266" customFormat="false" ht="26.25" hidden="false" customHeight="true" outlineLevel="0" collapsed="false">
      <c r="A266" s="14" t="n">
        <v>265</v>
      </c>
      <c r="B266" s="11" t="s">
        <v>373</v>
      </c>
      <c r="C266" s="14" t="s">
        <v>685</v>
      </c>
      <c r="D266" s="14" t="s">
        <v>686</v>
      </c>
      <c r="E266" s="14" t="s">
        <v>674</v>
      </c>
      <c r="F266" s="15" t="n">
        <v>45853</v>
      </c>
      <c r="G266" s="4" t="str">
        <f aca="false">IF(TRIM(SUBSTITUTE(SUBSTITUTE(SUBSTITUTE(SUBSTITUTE(SUBSTITUTE(SUBSTITUTE(SUBSTITUTE(SUBSTITUTE(SUBSTITUTE(SUBSTITUTE(SUBSTITUTE(LOWER(TRIM(D266)),"ё","е")," -","-"),"- ","-")," 2 разряда","")," 3 разряда","")," 4 разряда","")," 5 разряда","")," 6 разряда","")," 1 категории","")," 2 категории","")," 3 категории",""))="инженер",IF(AND(ISNUMBER(SEARCH("техническ",E266)),ISNUMBER(SEARCH("контрол",E266))),"инженер отк",IF(ISNUMBER(SEARCH("диспетч",E266)),"инженер пдо",TRIM(SUBSTITUTE(SUBSTITUTE(SUBSTITUTE(SUBSTITUTE(SUBSTITUTE(SUBSTITUTE(SUBSTITUTE(SUBSTITUTE(SUBSTITUTE(SUBSTITUTE(SUBSTITUTE(LOWER(TRIM(D266)),"ё","е"),"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категории","")))),IF(TRIM(SUBSTITUTE(SUBSTITUTE(SUBSTITUTE(SUBSTITUTE(SUBSTITUTE(SUBSTITUTE(SUBSTITUTE(SUBSTITUTE(SUBSTITUTE(SUBSTITUTE(SUBSTITUTE(LOWER(TRIM(D266)),"ё","е")," -","-"),"- ","-")," 2 разряда","")," 3 разряда","")," 4 разряда","")," 5 разряда","")," 6 разряда","")," 1 категории","")," 2 категории","")," 3 категории",""))="ведущий инженер",IF(ISNUMBER(SEARCH("диспетч",E266)),"ведущий инженер пдо",TRIM(SUBSTITUTE(SUBSTITUTE(SUBSTITUTE(SUBSTITUTE(SUBSTITUTE(SUBSTITUTE(SUBSTITUTE(SUBSTITUTE(SUBSTITUTE(SUBSTITUTE(SUBSTITUTE(LOWER(TRIM(D266)),"ё","е"),"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отк",TRIM(SUBSTITUTE(SUBSTITUTE(SUBSTITUTE(SUBSTITUTE(SUBSTITUTE(SUBSTITUTE(SUBSTITUTE(SUBSTITUTE(SUBSTITUTE(SUBSTITUTE(SUBSTITUTE(LOWER(TRIM(D266)),"ё","е")," -","-"),"- ","-")," 2 разряда","")," 3 разряда","")," 4 разряда","")," 5 разряда","")," 6 разряда","")," 1 категории","")," 2 категории","")," 3 категории","")))))</f>
        <v>мастер электромонтажного участка</v>
      </c>
      <c r="H266" s="11" t="n">
        <f aca="false">IFERROR(INDEX(Соответствие!$B$2:$B$76,MATCH(G266,Соответствие!$A$2:$A$76,0)),"?")</f>
        <v>29</v>
      </c>
      <c r="I266" s="8" t="str">
        <f aca="false">IFERROR(INDEX('Перечень должностей'!$C$2:$C$46,MATCH(H266,'Перечень должностей'!$A$2:$A$46,0)),"")</f>
        <v>п.4.3.1, п.4.3.2, п.4.4, п.4.9, п.5.1, п.5.2, п.6.2, п.9</v>
      </c>
      <c r="J266" s="11" t="n">
        <f aca="false">IFERROR(INDEX('Перечень должностей'!$D$2:$D$46,MATCH(H266,'Перечень должностей'!$A$2:$A$46,0)),12)</f>
        <v>12</v>
      </c>
      <c r="K266" s="16"/>
      <c r="L266" s="16"/>
      <c r="M266" s="15" t="str">
        <f aca="false">IF(K266="","",EDATE(IF(L266&lt;&gt;"",L266,K266),J266))</f>
        <v/>
      </c>
      <c r="N266" s="11" t="str">
        <f aca="false">IFERROR(INDEX('Перечень должностей'!$F$2:$F$46,MATCH(H266,'Перечень должностей'!$A$2:$A$46,0)),"")</f>
        <v>Да</v>
      </c>
      <c r="O266" s="16"/>
      <c r="P266" s="15" t="str">
        <f aca="false">IF(O266="","",EDATE(O266,60))</f>
        <v/>
      </c>
      <c r="Q266" s="11" t="str">
        <f aca="false">IF(AND(K266&lt;&gt;"",F266&lt;&gt;"",K266&gt;F266),"ДА","")</f>
        <v/>
      </c>
      <c r="R266" s="8"/>
    </row>
    <row r="267" customFormat="false" ht="26.25" hidden="false" customHeight="true" outlineLevel="0" collapsed="false">
      <c r="A267" s="14" t="n">
        <v>266</v>
      </c>
      <c r="B267" s="11" t="s">
        <v>373</v>
      </c>
      <c r="C267" s="14" t="s">
        <v>687</v>
      </c>
      <c r="D267" s="14" t="s">
        <v>79</v>
      </c>
      <c r="E267" s="14" t="s">
        <v>674</v>
      </c>
      <c r="F267" s="15" t="n">
        <v>46125</v>
      </c>
      <c r="G267" s="4" t="str">
        <f aca="false">IF(TRIM(SUBSTITUTE(SUBSTITUTE(SUBSTITUTE(SUBSTITUTE(SUBSTITUTE(SUBSTITUTE(SUBSTITUTE(SUBSTITUTE(SUBSTITUTE(SUBSTITUTE(SUBSTITUTE(LOWER(TRIM(D267)),"ё","е")," -","-"),"- ","-")," 2 разряда","")," 3 разряда","")," 4 разряда","")," 5 разряда","")," 6 разряда","")," 1 категории","")," 2 категории","")," 3 категории",""))="инженер",IF(AND(ISNUMBER(SEARCH("техническ",E267)),ISNUMBER(SEARCH("контрол",E267))),"инженер отк",IF(ISNUMBER(SEARCH("диспетч",E267)),"инженер пдо",TRIM(SUBSTITUTE(SUBSTITUTE(SUBSTITUTE(SUBSTITUTE(SUBSTITUTE(SUBSTITUTE(SUBSTITUTE(SUBSTITUTE(SUBSTITUTE(SUBSTITUTE(SUBSTITUTE(LOWER(TRIM(D267)),"ё","е"),"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категории","")))),IF(TRIM(SUBSTITUTE(SUBSTITUTE(SUBSTITUTE(SUBSTITUTE(SUBSTITUTE(SUBSTITUTE(SUBSTITUTE(SUBSTITUTE(SUBSTITUTE(SUBSTITUTE(SUBSTITUTE(LOWER(TRIM(D267)),"ё","е")," -","-"),"- ","-")," 2 разряда","")," 3 разряда","")," 4 разряда","")," 5 разряда","")," 6 разряда","")," 1 категории","")," 2 категории","")," 3 категории",""))="ведущий инженер",IF(ISNUMBER(SEARCH("диспетч",E267)),"ведущий инженер пдо",TRIM(SUBSTITUTE(SUBSTITUTE(SUBSTITUTE(SUBSTITUTE(SUBSTITUTE(SUBSTITUTE(SUBSTITUTE(SUBSTITUTE(SUBSTITUTE(SUBSTITUTE(SUBSTITUTE(LOWER(TRIM(D267)),"ё","е"),"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отк",TRIM(SUBSTITUTE(SUBSTITUTE(SUBSTITUTE(SUBSTITUTE(SUBSTITUTE(SUBSTITUTE(SUBSTITUTE(SUBSTITUTE(SUBSTITUTE(SUBSTITUTE(SUBSTITUTE(LOWER(TRIM(D267)),"ё","е")," -","-"),"- ","-")," 2 разряда","")," 3 разряда","")," 4 разряда","")," 5 разряда","")," 6 разряда","")," 1 категории","")," 2 категории","")," 3 категории","")))))</f>
        <v>электромонтажник</v>
      </c>
      <c r="H267" s="11" t="n">
        <f aca="false">IFERROR(INDEX(Соответствие!$B$2:$B$76,MATCH(G267,Соответствие!$A$2:$A$76,0)),"?")</f>
        <v>20</v>
      </c>
      <c r="I267" s="8" t="str">
        <f aca="false">IFERROR(INDEX('Перечень должностей'!$C$2:$C$46,MATCH(H267,'Перечень должностей'!$A$2:$A$46,0)),"")</f>
        <v>п.4.3.1, п.4.3.2, п.4.4, п.4.9, п.5.1, п.5.2, п.6.2, п.9</v>
      </c>
      <c r="J267" s="11" t="n">
        <f aca="false">IFERROR(INDEX('Перечень должностей'!$D$2:$D$46,MATCH(H267,'Перечень должностей'!$A$2:$A$46,0)),12)</f>
        <v>12</v>
      </c>
      <c r="K267" s="16"/>
      <c r="L267" s="16"/>
      <c r="M267" s="15" t="str">
        <f aca="false">IF(K267="","",EDATE(IF(L267&lt;&gt;"",L267,K267),J267))</f>
        <v/>
      </c>
      <c r="N267" s="11" t="str">
        <f aca="false">IFERROR(INDEX('Перечень должностей'!$F$2:$F$46,MATCH(H267,'Перечень должностей'!$A$2:$A$46,0)),"")</f>
        <v>Да</v>
      </c>
      <c r="O267" s="16"/>
      <c r="P267" s="15" t="str">
        <f aca="false">IF(O267="","",EDATE(O267,60))</f>
        <v/>
      </c>
      <c r="Q267" s="11" t="str">
        <f aca="false">IF(AND(K267&lt;&gt;"",F267&lt;&gt;"",K267&gt;F267),"ДА","")</f>
        <v/>
      </c>
      <c r="R267" s="8"/>
    </row>
    <row r="268" customFormat="false" ht="26.25" hidden="false" customHeight="true" outlineLevel="0" collapsed="false">
      <c r="A268" s="14" t="n">
        <v>267</v>
      </c>
      <c r="B268" s="11" t="s">
        <v>373</v>
      </c>
      <c r="C268" s="14" t="s">
        <v>688</v>
      </c>
      <c r="D268" s="14" t="s">
        <v>79</v>
      </c>
      <c r="E268" s="14" t="s">
        <v>674</v>
      </c>
      <c r="F268" s="15" t="n">
        <v>45968</v>
      </c>
      <c r="G268" s="4" t="str">
        <f aca="false">IF(TRIM(SUBSTITUTE(SUBSTITUTE(SUBSTITUTE(SUBSTITUTE(SUBSTITUTE(SUBSTITUTE(SUBSTITUTE(SUBSTITUTE(SUBSTITUTE(SUBSTITUTE(SUBSTITUTE(LOWER(TRIM(D268)),"ё","е")," -","-"),"- ","-")," 2 разряда","")," 3 разряда","")," 4 разряда","")," 5 разряда","")," 6 разряда","")," 1 категории","")," 2 категории","")," 3 категории",""))="инженер",IF(AND(ISNUMBER(SEARCH("техническ",E268)),ISNUMBER(SEARCH("контрол",E268))),"инженер отк",IF(ISNUMBER(SEARCH("диспетч",E268)),"инженер пдо",TRIM(SUBSTITUTE(SUBSTITUTE(SUBSTITUTE(SUBSTITUTE(SUBSTITUTE(SUBSTITUTE(SUBSTITUTE(SUBSTITUTE(SUBSTITUTE(SUBSTITUTE(SUBSTITUTE(LOWER(TRIM(D268)),"ё","е"),"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категории","")))),IF(TRIM(SUBSTITUTE(SUBSTITUTE(SUBSTITUTE(SUBSTITUTE(SUBSTITUTE(SUBSTITUTE(SUBSTITUTE(SUBSTITUTE(SUBSTITUTE(SUBSTITUTE(SUBSTITUTE(LOWER(TRIM(D268)),"ё","е")," -","-"),"- ","-")," 2 разряда","")," 3 разряда","")," 4 разряда","")," 5 разряда","")," 6 разряда","")," 1 категории","")," 2 категории","")," 3 категории",""))="ведущий инженер",IF(ISNUMBER(SEARCH("диспетч",E268)),"ведущий инженер пдо",TRIM(SUBSTITUTE(SUBSTITUTE(SUBSTITUTE(SUBSTITUTE(SUBSTITUTE(SUBSTITUTE(SUBSTITUTE(SUBSTITUTE(SUBSTITUTE(SUBSTITUTE(SUBSTITUTE(LOWER(TRIM(D268)),"ё","е"),"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отк",TRIM(SUBSTITUTE(SUBSTITUTE(SUBSTITUTE(SUBSTITUTE(SUBSTITUTE(SUBSTITUTE(SUBSTITUTE(SUBSTITUTE(SUBSTITUTE(SUBSTITUTE(SUBSTITUTE(LOWER(TRIM(D268)),"ё","е")," -","-"),"- ","-")," 2 разряда","")," 3 разряда","")," 4 разряда","")," 5 разряда","")," 6 разряда","")," 1 категории","")," 2 категории","")," 3 категории","")))))</f>
        <v>электромонтажник</v>
      </c>
      <c r="H268" s="11" t="n">
        <f aca="false">IFERROR(INDEX(Соответствие!$B$2:$B$76,MATCH(G268,Соответствие!$A$2:$A$76,0)),"?")</f>
        <v>20</v>
      </c>
      <c r="I268" s="8" t="str">
        <f aca="false">IFERROR(INDEX('Перечень должностей'!$C$2:$C$46,MATCH(H268,'Перечень должностей'!$A$2:$A$46,0)),"")</f>
        <v>п.4.3.1, п.4.3.2, п.4.4, п.4.9, п.5.1, п.5.2, п.6.2, п.9</v>
      </c>
      <c r="J268" s="11" t="n">
        <f aca="false">IFERROR(INDEX('Перечень должностей'!$D$2:$D$46,MATCH(H268,'Перечень должностей'!$A$2:$A$46,0)),12)</f>
        <v>12</v>
      </c>
      <c r="K268" s="16" t="n">
        <v>45966</v>
      </c>
      <c r="L268" s="16"/>
      <c r="M268" s="15" t="n">
        <f aca="false">IF(K268="","",EDATE(IF(L268&lt;&gt;"",L268,K268),J268))</f>
        <v>46331</v>
      </c>
      <c r="N268" s="11" t="str">
        <f aca="false">IFERROR(INDEX('Перечень должностей'!$F$2:$F$46,MATCH(H268,'Перечень должностей'!$A$2:$A$46,0)),"")</f>
        <v>Да</v>
      </c>
      <c r="O268" s="16"/>
      <c r="P268" s="15" t="str">
        <f aca="false">IF(O268="","",EDATE(O268,60))</f>
        <v/>
      </c>
      <c r="Q268" s="11" t="str">
        <f aca="false">IF(AND(K268&lt;&gt;"",F268&lt;&gt;"",K268&gt;F268),"ДА","")</f>
        <v/>
      </c>
      <c r="R268" s="8"/>
    </row>
    <row r="269" customFormat="false" ht="26.25" hidden="false" customHeight="true" outlineLevel="0" collapsed="false">
      <c r="A269" s="14" t="n">
        <v>268</v>
      </c>
      <c r="B269" s="11" t="s">
        <v>373</v>
      </c>
      <c r="C269" s="14" t="s">
        <v>689</v>
      </c>
      <c r="D269" s="14" t="s">
        <v>690</v>
      </c>
      <c r="E269" s="14" t="s">
        <v>674</v>
      </c>
      <c r="F269" s="15" t="n">
        <v>45460</v>
      </c>
      <c r="G269" s="4" t="str">
        <f aca="false">IF(TRIM(SUBSTITUTE(SUBSTITUTE(SUBSTITUTE(SUBSTITUTE(SUBSTITUTE(SUBSTITUTE(SUBSTITUTE(SUBSTITUTE(SUBSTITUTE(SUBSTITUTE(SUBSTITUTE(LOWER(TRIM(D269)),"ё","е")," -","-"),"- ","-")," 2 разряда","")," 3 разряда","")," 4 разряда","")," 5 разряда","")," 6 разряда","")," 1 категории","")," 2 категории","")," 3 категории",""))="инженер",IF(AND(ISNUMBER(SEARCH("техническ",E269)),ISNUMBER(SEARCH("контрол",E269))),"инженер отк",IF(ISNUMBER(SEARCH("диспетч",E269)),"инженер пдо",TRIM(SUBSTITUTE(SUBSTITUTE(SUBSTITUTE(SUBSTITUTE(SUBSTITUTE(SUBSTITUTE(SUBSTITUTE(SUBSTITUTE(SUBSTITUTE(SUBSTITUTE(SUBSTITUTE(LOWER(TRIM(D269)),"ё","е"),"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категории","")))),IF(TRIM(SUBSTITUTE(SUBSTITUTE(SUBSTITUTE(SUBSTITUTE(SUBSTITUTE(SUBSTITUTE(SUBSTITUTE(SUBSTITUTE(SUBSTITUTE(SUBSTITUTE(SUBSTITUTE(LOWER(TRIM(D269)),"ё","е")," -","-"),"- ","-")," 2 разряда","")," 3 разряда","")," 4 разряда","")," 5 разряда","")," 6 разряда","")," 1 категории","")," 2 категории","")," 3 категории",""))="ведущий инженер",IF(ISNUMBER(SEARCH("диспетч",E269)),"ведущий инженер пдо",TRIM(SUBSTITUTE(SUBSTITUTE(SUBSTITUTE(SUBSTITUTE(SUBSTITUTE(SUBSTITUTE(SUBSTITUTE(SUBSTITUTE(SUBSTITUTE(SUBSTITUTE(SUBSTITUTE(LOWER(TRIM(D269)),"ё","е"),"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категории",""))),IF(TRIM(SUBSTITUTE(SUBSTITUTE(SUBSTITUTE(SUBSTITUTE(SUBSTITUTE(SUBSTITUTE(SUBSTITUTE(SUBSTITUTE(SUBSTITUTE(SUBSTITUTE(SUBSTITUTE(LOWER(TRIM(D269)),"ё","е"),"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отк",TRIM(SUBSTITUTE(SUBSTITUTE(SUBSTITUTE(SUBSTITUTE(SUBSTITUTE(SUBSTITUTE(SUBSTITUTE(SUBSTITUTE(SUBSTITUTE(SUBSTITUTE(SUBSTITUTE(LOWER(TRIM(D269)),"ё","е")," -","-"),"- ","-")," 2 разряда","")," 3 разряда","")," 4 разряда","")," 5 разряда","")," 6 разряда","")," 1 категории","")," 2 категории","")," 3 категории","")))))</f>
        <v>слесарь-клепальщик</v>
      </c>
      <c r="H269" s="11" t="n">
        <f aca="false">IFERROR(INDEX(Соответствие!$B$2:$B$76,MATCH(G269,Соответствие!$A$2:$A$76,0)),"?")</f>
        <v>41</v>
      </c>
      <c r="I269" s="8" t="str">
        <f aca="false">IFERROR(INDEX('Перечень должностей'!$C$2:$C$46,MATCH(H269,'Перечень должностей'!$A$2:$A$46,0)),"")</f>
        <v>п.4.3.1, п.4.3.2, п.4.4, п.5.1, п.5.2, п.15</v>
      </c>
      <c r="J269" s="11" t="n">
        <f aca="false">IFERROR(INDEX('Перечень должностей'!$D$2:$D$46,MATCH(H269,'Перечень должностей'!$A$2:$A$46,0)),12)</f>
        <v>12</v>
      </c>
      <c r="K269" s="16" t="n">
        <v>45454</v>
      </c>
      <c r="L269" s="16"/>
      <c r="M269" s="15" t="n">
        <f aca="false">IF(K269="","",EDATE(IF(L269&lt;&gt;"",L269,K269),J269))</f>
        <v>45819</v>
      </c>
      <c r="N269" s="11" t="str">
        <f aca="false">IFERROR(INDEX('Перечень должностей'!$F$2:$F$46,MATCH(H269,'Перечень должностей'!$A$2:$A$46,0)),"")</f>
        <v>-</v>
      </c>
      <c r="O269" s="16"/>
      <c r="P269" s="15" t="str">
        <f aca="false">IF(O269="","",EDATE(O269,60))</f>
        <v/>
      </c>
      <c r="Q269" s="11" t="str">
        <f aca="false">IF(AND(K269&lt;&gt;"",F269&lt;&gt;"",K269&gt;F269),"ДА","")</f>
        <v/>
      </c>
      <c r="R269" s="8"/>
    </row>
    <row r="270" customFormat="false" ht="26.25" hidden="false" customHeight="true" outlineLevel="0" collapsed="false">
      <c r="A270" s="14" t="n">
        <v>269</v>
      </c>
      <c r="B270" s="11" t="s">
        <v>369</v>
      </c>
      <c r="C270" s="14" t="s">
        <v>691</v>
      </c>
      <c r="D270" s="14" t="s">
        <v>502</v>
      </c>
      <c r="E270" s="14" t="s">
        <v>692</v>
      </c>
      <c r="F270" s="15" t="n">
        <v>45817</v>
      </c>
      <c r="G270" s="4" t="str">
        <f aca="false">IF(TRIM(SUBSTITUTE(SUBSTITUTE(SUBSTITUTE(SUBSTITUTE(SUBSTITUTE(SUBSTITUTE(SUBSTITUTE(SUBSTITUTE(SUBSTITUTE(SUBSTITUTE(SUBSTITUTE(LOWER(TRIM(D270)),"ё","е")," -","-"),"- ","-")," 2 разряда","")," 3 разряда","")," 4 разряда","")," 5 разряда","")," 6 разряда","")," 1 категории","")," 2 категории","")," 3 категории",""))="инженер",IF(AND(ISNUMBER(SEARCH("техническ",E270)),ISNUMBER(SEARCH("контрол",E270))),"инженер отк",IF(ISNUMBER(SEARCH("диспетч",E270)),"инженер пдо",TRIM(SUBSTITUTE(SUBSTITUTE(SUBSTITUTE(SUBSTITUTE(SUBSTITUTE(SUBSTITUTE(SUBSTITUTE(SUBSTITUTE(SUBSTITUTE(SUBSTITUTE(SUBSTITUTE(LOWER(TRIM(D270)),"ё","е"),"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категории","")))),IF(TRIM(SUBSTITUTE(SUBSTITUTE(SUBSTITUTE(SUBSTITUTE(SUBSTITUTE(SUBSTITUTE(SUBSTITUTE(SUBSTITUTE(SUBSTITUTE(SUBSTITUTE(SUBSTITUTE(LOWER(TRIM(D270)),"ё","е")," -","-"),"- ","-")," 2 разряда","")," 3 разряда","")," 4 разряда","")," 5 разряда","")," 6 разряда","")," 1 категории","")," 2 категории","")," 3 категории",""))="ведущий инженер",IF(ISNUMBER(SEARCH("диспетч",E270)),"ведущий инженер пдо",TRIM(SUBSTITUTE(SUBSTITUTE(SUBSTITUTE(SUBSTITUTE(SUBSTITUTE(SUBSTITUTE(SUBSTITUTE(SUBSTITUTE(SUBSTITUTE(SUBSTITUTE(SUBSTITUTE(LOWER(TRIM(D270)),"ё","е"),"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отк",TRIM(SUBSTITUTE(SUBSTITUTE(SUBSTITUTE(SUBSTITUTE(SUBSTITUTE(SUBSTITUTE(SUBSTITUTE(SUBSTITUTE(SUBSTITUTE(SUBSTITUTE(SUBSTITUTE(LOWER(TRIM(D270)),"ё","е")," -","-"),"- ","-")," 2 разряда","")," 3 разряда","")," 4 разряда","")," 5 разряда","")," 6 разряда","")," 1 категории","")," 2 категории","")," 3 категории","")))))</f>
        <v>диспетчер</v>
      </c>
      <c r="H270" s="11" t="n">
        <f aca="false">IFERROR(INDEX(Соответствие!$B$2:$B$76,MATCH(G270,Соответствие!$A$2:$A$76,0)),"?")</f>
        <v>28</v>
      </c>
      <c r="I270" s="8" t="str">
        <f aca="false">IFERROR(INDEX('Перечень должностей'!$C$2:$C$46,MATCH(H270,'Перечень должностей'!$A$2:$A$46,0)),"")</f>
        <v>п.4.4, п.5.1, п.5.2</v>
      </c>
      <c r="J270" s="11" t="n">
        <f aca="false">IFERROR(INDEX('Перечень должностей'!$D$2:$D$46,MATCH(H270,'Перечень должностей'!$A$2:$A$46,0)),12)</f>
        <v>12</v>
      </c>
      <c r="K270" s="16"/>
      <c r="L270" s="16"/>
      <c r="M270" s="15" t="str">
        <f aca="false">IF(K270="","",EDATE(IF(L270&lt;&gt;"",L270,K270),J270))</f>
        <v/>
      </c>
      <c r="N270" s="11" t="str">
        <f aca="false">IFERROR(INDEX('Перечень должностей'!$F$2:$F$46,MATCH(H270,'Перечень должностей'!$A$2:$A$46,0)),"")</f>
        <v>-</v>
      </c>
      <c r="O270" s="16"/>
      <c r="P270" s="15" t="str">
        <f aca="false">IF(O270="","",EDATE(O270,60))</f>
        <v/>
      </c>
      <c r="Q270" s="11" t="str">
        <f aca="false">IF(AND(K270&lt;&gt;"",F270&lt;&gt;"",K270&gt;F270),"ДА","")</f>
        <v/>
      </c>
      <c r="R270" s="8"/>
    </row>
    <row r="271" customFormat="false" ht="26.25" hidden="false" customHeight="true" outlineLevel="0" collapsed="false">
      <c r="A271" s="14" t="n">
        <v>270</v>
      </c>
      <c r="B271" s="11" t="s">
        <v>369</v>
      </c>
      <c r="C271" s="14" t="s">
        <v>693</v>
      </c>
      <c r="D271" s="14" t="s">
        <v>469</v>
      </c>
      <c r="E271" s="14" t="s">
        <v>694</v>
      </c>
      <c r="F271" s="15" t="n">
        <v>45967</v>
      </c>
      <c r="G271" s="4" t="str">
        <f aca="false">IF(TRIM(SUBSTITUTE(SUBSTITUTE(SUBSTITUTE(SUBSTITUTE(SUBSTITUTE(SUBSTITUTE(SUBSTITUTE(SUBSTITUTE(SUBSTITUTE(SUBSTITUTE(SUBSTITUTE(LOWER(TRIM(D271)),"ё","е")," -","-"),"- ","-")," 2 разряда","")," 3 разряда","")," 4 разряда","")," 5 разряда","")," 6 разряда","")," 1 категории","")," 2 категории","")," 3 категории",""))="инженер",IF(AND(ISNUMBER(SEARCH("техническ",E271)),ISNUMBER(SEARCH("контрол",E271))),"инженер отк",IF(ISNUMBER(SEARCH("диспетч",E271)),"инженер пдо",TRIM(SUBSTITUTE(SUBSTITUTE(SUBSTITUTE(SUBSTITUTE(SUBSTITUTE(SUBSTITUTE(SUBSTITUTE(SUBSTITUTE(SUBSTITUTE(SUBSTITUTE(SUBSTITUTE(LOWER(TRIM(D271)),"ё","е"),"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категории","")))),IF(TRIM(SUBSTITUTE(SUBSTITUTE(SUBSTITUTE(SUBSTITUTE(SUBSTITUTE(SUBSTITUTE(SUBSTITUTE(SUBSTITUTE(SUBSTITUTE(SUBSTITUTE(SUBSTITUTE(LOWER(TRIM(D271)),"ё","е")," -","-"),"- ","-")," 2 разряда","")," 3 разряда","")," 4 разряда","")," 5 разряда","")," 6 разряда","")," 1 категории","")," 2 категории","")," 3 категории",""))="ведущий инженер",IF(ISNUMBER(SEARCH("диспетч",E271)),"ведущий инженер пдо",TRIM(SUBSTITUTE(SUBSTITUTE(SUBSTITUTE(SUBSTITUTE(SUBSTITUTE(SUBSTITUTE(SUBSTITUTE(SUBSTITUTE(SUBSTITUTE(SUBSTITUTE(SUBSTITUTE(LOWER(TRIM(D271)),"ё","е"),"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отк",TRIM(SUBSTITUTE(SUBSTITUTE(SUBSTITUTE(SUBSTITUTE(SUBSTITUTE(SUBSTITUTE(SUBSTITUTE(SUBSTITUTE(SUBSTITUTE(SUBSTITUTE(SUBSTITUTE(LOWER(TRIM(D271)),"ё","е")," -","-"),"- ","-")," 2 разряда","")," 3 разряда","")," 4 разряда","")," 5 разряда","")," 6 разряда","")," 1 категории","")," 2 категории","")," 3 категории","")))))</f>
        <v>слесарь-сборщик</v>
      </c>
      <c r="H271" s="11" t="n">
        <f aca="false">IFERROR(INDEX(Соответствие!$B$2:$B$76,MATCH(G271,Соответствие!$A$2:$A$76,0)),"?")</f>
        <v>19</v>
      </c>
      <c r="I271" s="8" t="str">
        <f aca="false">IFERROR(INDEX('Перечень должностей'!$C$2:$C$46,MATCH(H271,'Перечень должностей'!$A$2:$A$46,0)),"")</f>
        <v>п.4.3.1, п.4.3.2, п.4.4, п.5.1, п.6.2, п.15</v>
      </c>
      <c r="J271" s="11" t="n">
        <f aca="false">IFERROR(INDEX('Перечень должностей'!$D$2:$D$46,MATCH(H271,'Перечень должностей'!$A$2:$A$46,0)),12)</f>
        <v>12</v>
      </c>
      <c r="K271" s="16" t="n">
        <v>45959</v>
      </c>
      <c r="L271" s="16"/>
      <c r="M271" s="15" t="n">
        <f aca="false">IF(K271="","",EDATE(IF(L271&lt;&gt;"",L271,K271),J271))</f>
        <v>46324</v>
      </c>
      <c r="N271" s="11" t="str">
        <f aca="false">IFERROR(INDEX('Перечень должностей'!$F$2:$F$46,MATCH(H271,'Перечень должностей'!$A$2:$A$46,0)),"")</f>
        <v>-</v>
      </c>
      <c r="O271" s="16"/>
      <c r="P271" s="15" t="str">
        <f aca="false">IF(O271="","",EDATE(O271,60))</f>
        <v/>
      </c>
      <c r="Q271" s="11" t="str">
        <f aca="false">IF(AND(K271&lt;&gt;"",F271&lt;&gt;"",K271&gt;F271),"ДА","")</f>
        <v/>
      </c>
      <c r="R271" s="8"/>
    </row>
    <row r="272" customFormat="false" ht="23.85" hidden="false" customHeight="false" outlineLevel="0" collapsed="false">
      <c r="A272" s="14" t="n">
        <v>271</v>
      </c>
      <c r="B272" s="11" t="s">
        <v>369</v>
      </c>
      <c r="C272" s="14" t="s">
        <v>695</v>
      </c>
      <c r="D272" s="14" t="s">
        <v>469</v>
      </c>
      <c r="E272" s="14" t="s">
        <v>694</v>
      </c>
      <c r="F272" s="15" t="n">
        <v>45999</v>
      </c>
      <c r="G272" s="4" t="str">
        <f aca="false">IF(TRIM(SUBSTITUTE(SUBSTITUTE(SUBSTITUTE(SUBSTITUTE(SUBSTITUTE(SUBSTITUTE(SUBSTITUTE(SUBSTITUTE(SUBSTITUTE(SUBSTITUTE(SUBSTITUTE(LOWER(TRIM(D272)),"ё","е")," -","-"),"- ","-")," 2 разряда","")," 3 разряда","")," 4 разряда","")," 5 разряда","")," 6 разряда","")," 1 категории","")," 2 категории","")," 3 категории",""))="инженер",IF(AND(ISNUMBER(SEARCH("техническ",E272)),ISNUMBER(SEARCH("контрол",E272))),"инженер отк",IF(ISNUMBER(SEARCH("диспетч",E272)),"инженер пдо",TRIM(SUBSTITUTE(SUBSTITUTE(SUBSTITUTE(SUBSTITUTE(SUBSTITUTE(SUBSTITUTE(SUBSTITUTE(SUBSTITUTE(SUBSTITUTE(SUBSTITUTE(SUBSTITUTE(LOWER(TRIM(D272)),"ё","е"),"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категории","")))),IF(TRIM(SUBSTITUTE(SUBSTITUTE(SUBSTITUTE(SUBSTITUTE(SUBSTITUTE(SUBSTITUTE(SUBSTITUTE(SUBSTITUTE(SUBSTITUTE(SUBSTITUTE(SUBSTITUTE(LOWER(TRIM(D272)),"ё","е")," -","-"),"- ","-")," 2 разряда","")," 3 разряда","")," 4 разряда","")," 5 разряда","")," 6 разряда","")," 1 категории","")," 2 категории","")," 3 категории",""))="ведущий инженер",IF(ISNUMBER(SEARCH("диспетч",E272)),"ведущий инженер пдо",TRIM(SUBSTITUTE(SUBSTITUTE(SUBSTITUTE(SUBSTITUTE(SUBSTITUTE(SUBSTITUTE(SUBSTITUTE(SUBSTITUTE(SUBSTITUTE(SUBSTITUTE(SUBSTITUTE(LOWER(TRIM(D272)),"ё","е"),"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отк",TRIM(SUBSTITUTE(SUBSTITUTE(SUBSTITUTE(SUBSTITUTE(SUBSTITUTE(SUBSTITUTE(SUBSTITUTE(SUBSTITUTE(SUBSTITUTE(SUBSTITUTE(SUBSTITUTE(LOWER(TRIM(D272)),"ё","е")," -","-"),"- ","-")," 2 разряда","")," 3 разряда","")," 4 разряда","")," 5 разряда","")," 6 разряда","")," 1 категории","")," 2 категории","")," 3 категории","")))))</f>
        <v>слесарь-сборщик</v>
      </c>
      <c r="H272" s="11" t="n">
        <f aca="false">IFERROR(INDEX(Соответствие!$B$2:$B$76,MATCH(G272,Соответствие!$A$2:$A$76,0)),"?")</f>
        <v>19</v>
      </c>
      <c r="I272" s="8" t="str">
        <f aca="false">IFERROR(INDEX('Перечень должностей'!$C$2:$C$46,MATCH(H272,'Перечень должностей'!$A$2:$A$46,0)),"")</f>
        <v>п.4.3.1, п.4.3.2, п.4.4, п.5.1, п.6.2, п.15</v>
      </c>
      <c r="J272" s="11" t="n">
        <f aca="false">IFERROR(INDEX('Перечень должностей'!$D$2:$D$46,MATCH(H272,'Перечень должностей'!$A$2:$A$46,0)),12)</f>
        <v>12</v>
      </c>
      <c r="K272" s="16" t="n">
        <v>45989</v>
      </c>
      <c r="L272" s="16"/>
      <c r="M272" s="15" t="n">
        <f aca="false">IF(K272="","",EDATE(IF(L272&lt;&gt;"",L272,K272),J272))</f>
        <v>46354</v>
      </c>
      <c r="N272" s="11" t="str">
        <f aca="false">IFERROR(INDEX('Перечень должностей'!$F$2:$F$46,MATCH(H272,'Перечень должностей'!$A$2:$A$46,0)),"")</f>
        <v>-</v>
      </c>
      <c r="O272" s="16"/>
      <c r="P272" s="15" t="str">
        <f aca="false">IF(O272="","",EDATE(O272,60))</f>
        <v/>
      </c>
      <c r="Q272" s="11" t="str">
        <f aca="false">IF(AND(K272&lt;&gt;"",F272&lt;&gt;"",K272&gt;F272),"ДА","")</f>
        <v/>
      </c>
      <c r="R272" s="8"/>
    </row>
    <row r="273" customFormat="false" ht="26.25" hidden="false" customHeight="true" outlineLevel="0" collapsed="false">
      <c r="A273" s="14" t="n">
        <v>272</v>
      </c>
      <c r="B273" s="11" t="s">
        <v>369</v>
      </c>
      <c r="C273" s="14" t="s">
        <v>696</v>
      </c>
      <c r="D273" s="14" t="s">
        <v>469</v>
      </c>
      <c r="E273" s="14" t="s">
        <v>694</v>
      </c>
      <c r="F273" s="15" t="n">
        <v>45882</v>
      </c>
      <c r="G273" s="4" t="str">
        <f aca="false">IF(TRIM(SUBSTITUTE(SUBSTITUTE(SUBSTITUTE(SUBSTITUTE(SUBSTITUTE(SUBSTITUTE(SUBSTITUTE(SUBSTITUTE(SUBSTITUTE(SUBSTITUTE(SUBSTITUTE(LOWER(TRIM(D273)),"ё","е")," -","-"),"- ","-")," 2 разряда","")," 3 разряда","")," 4 разряда","")," 5 разряда","")," 6 разряда","")," 1 категории","")," 2 категории","")," 3 категории",""))="инженер",IF(AND(ISNUMBER(SEARCH("техническ",E273)),ISNUMBER(SEARCH("контрол",E273))),"инженер отк",IF(ISNUMBER(SEARCH("диспетч",E273)),"инженер пдо",TRIM(SUBSTITUTE(SUBSTITUTE(SUBSTITUTE(SUBSTITUTE(SUBSTITUTE(SUBSTITUTE(SUBSTITUTE(SUBSTITUTE(SUBSTITUTE(SUBSTITUTE(SUBSTITUTE(LOWER(TRIM(D273)),"ё","е"),"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категории","")))),IF(TRIM(SUBSTITUTE(SUBSTITUTE(SUBSTITUTE(SUBSTITUTE(SUBSTITUTE(SUBSTITUTE(SUBSTITUTE(SUBSTITUTE(SUBSTITUTE(SUBSTITUTE(SUBSTITUTE(LOWER(TRIM(D273)),"ё","е")," -","-"),"- ","-")," 2 разряда","")," 3 разряда","")," 4 разряда","")," 5 разряда","")," 6 разряда","")," 1 категории","")," 2 категории","")," 3 категории",""))="ведущий инженер",IF(ISNUMBER(SEARCH("диспетч",E273)),"ведущий инженер пдо",TRIM(SUBSTITUTE(SUBSTITUTE(SUBSTITUTE(SUBSTITUTE(SUBSTITUTE(SUBSTITUTE(SUBSTITUTE(SUBSTITUTE(SUBSTITUTE(SUBSTITUTE(SUBSTITUTE(LOWER(TRIM(D273)),"ё","е"),"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отк",TRIM(SUBSTITUTE(SUBSTITUTE(SUBSTITUTE(SUBSTITUTE(SUBSTITUTE(SUBSTITUTE(SUBSTITUTE(SUBSTITUTE(SUBSTITUTE(SUBSTITUTE(SUBSTITUTE(LOWER(TRIM(D273)),"ё","е")," -","-"),"- ","-")," 2 разряда","")," 3 разряда","")," 4 разряда","")," 5 разряда","")," 6 разряда","")," 1 категории","")," 2 категории","")," 3 категории","")))))</f>
        <v>слесарь-сборщик</v>
      </c>
      <c r="H273" s="11" t="n">
        <f aca="false">IFERROR(INDEX(Соответствие!$B$2:$B$76,MATCH(G273,Соответствие!$A$2:$A$76,0)),"?")</f>
        <v>19</v>
      </c>
      <c r="I273" s="8" t="str">
        <f aca="false">IFERROR(INDEX('Перечень должностей'!$C$2:$C$46,MATCH(H273,'Перечень должностей'!$A$2:$A$46,0)),"")</f>
        <v>п.4.3.1, п.4.3.2, п.4.4, п.5.1, п.6.2, п.15</v>
      </c>
      <c r="J273" s="11" t="n">
        <f aca="false">IFERROR(INDEX('Перечень должностей'!$D$2:$D$46,MATCH(H273,'Перечень должностей'!$A$2:$A$46,0)),12)</f>
        <v>12</v>
      </c>
      <c r="K273" s="16" t="n">
        <v>45873</v>
      </c>
      <c r="L273" s="16"/>
      <c r="M273" s="15" t="n">
        <f aca="false">IF(K273="","",EDATE(IF(L273&lt;&gt;"",L273,K273),J273))</f>
        <v>46238</v>
      </c>
      <c r="N273" s="11" t="str">
        <f aca="false">IFERROR(INDEX('Перечень должностей'!$F$2:$F$46,MATCH(H273,'Перечень должностей'!$A$2:$A$46,0)),"")</f>
        <v>-</v>
      </c>
      <c r="O273" s="16"/>
      <c r="P273" s="15" t="str">
        <f aca="false">IF(O273="","",EDATE(O273,60))</f>
        <v/>
      </c>
      <c r="Q273" s="11" t="str">
        <f aca="false">IF(AND(K273&lt;&gt;"",F273&lt;&gt;"",K273&gt;F273),"ДА","")</f>
        <v/>
      </c>
      <c r="R273" s="8"/>
    </row>
    <row r="274" customFormat="false" ht="26.25" hidden="false" customHeight="true" outlineLevel="0" collapsed="false">
      <c r="A274" s="14" t="n">
        <v>273</v>
      </c>
      <c r="B274" s="11" t="s">
        <v>369</v>
      </c>
      <c r="C274" s="14" t="s">
        <v>697</v>
      </c>
      <c r="D274" s="14" t="s">
        <v>469</v>
      </c>
      <c r="E274" s="14" t="s">
        <v>694</v>
      </c>
      <c r="F274" s="15" t="n">
        <v>45847</v>
      </c>
      <c r="G274" s="4" t="str">
        <f aca="false">IF(TRIM(SUBSTITUTE(SUBSTITUTE(SUBSTITUTE(SUBSTITUTE(SUBSTITUTE(SUBSTITUTE(SUBSTITUTE(SUBSTITUTE(SUBSTITUTE(SUBSTITUTE(SUBSTITUTE(LOWER(TRIM(D274)),"ё","е")," -","-"),"- ","-")," 2 разряда","")," 3 разряда","")," 4 разряда","")," 5 разряда","")," 6 разряда","")," 1 категории","")," 2 категории","")," 3 категории",""))="инженер",IF(AND(ISNUMBER(SEARCH("техническ",E274)),ISNUMBER(SEARCH("контрол",E274))),"инженер отк",IF(ISNUMBER(SEARCH("диспетч",E274)),"инженер пдо",TRIM(SUBSTITUTE(SUBSTITUTE(SUBSTITUTE(SUBSTITUTE(SUBSTITUTE(SUBSTITUTE(SUBSTITUTE(SUBSTITUTE(SUBSTITUTE(SUBSTITUTE(SUBSTITUTE(LOWER(TRIM(D274)),"ё","е"),"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категории","")))),IF(TRIM(SUBSTITUTE(SUBSTITUTE(SUBSTITUTE(SUBSTITUTE(SUBSTITUTE(SUBSTITUTE(SUBSTITUTE(SUBSTITUTE(SUBSTITUTE(SUBSTITUTE(SUBSTITUTE(LOWER(TRIM(D274)),"ё","е")," -","-"),"- ","-")," 2 разряда","")," 3 разряда","")," 4 разряда","")," 5 разряда","")," 6 разряда","")," 1 категории","")," 2 категории","")," 3 категории",""))="ведущий инженер",IF(ISNUMBER(SEARCH("диспетч",E274)),"ведущий инженер пдо",TRIM(SUBSTITUTE(SUBSTITUTE(SUBSTITUTE(SUBSTITUTE(SUBSTITUTE(SUBSTITUTE(SUBSTITUTE(SUBSTITUTE(SUBSTITUTE(SUBSTITUTE(SUBSTITUTE(LOWER(TRIM(D274)),"ё","е"),"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отк",TRIM(SUBSTITUTE(SUBSTITUTE(SUBSTITUTE(SUBSTITUTE(SUBSTITUTE(SUBSTITUTE(SUBSTITUTE(SUBSTITUTE(SUBSTITUTE(SUBSTITUTE(SUBSTITUTE(LOWER(TRIM(D274)),"ё","е")," -","-"),"- ","-")," 2 разряда","")," 3 разряда","")," 4 разряда","")," 5 разряда","")," 6 разряда","")," 1 категории","")," 2 категории","")," 3 категории","")))))</f>
        <v>слесарь-сборщик</v>
      </c>
      <c r="H274" s="11" t="n">
        <f aca="false">IFERROR(INDEX(Соответствие!$B$2:$B$76,MATCH(G274,Соответствие!$A$2:$A$76,0)),"?")</f>
        <v>19</v>
      </c>
      <c r="I274" s="8" t="str">
        <f aca="false">IFERROR(INDEX('Перечень должностей'!$C$2:$C$46,MATCH(H274,'Перечень должностей'!$A$2:$A$46,0)),"")</f>
        <v>п.4.3.1, п.4.3.2, п.4.4, п.5.1, п.6.2, п.15</v>
      </c>
      <c r="J274" s="11" t="n">
        <f aca="false">IFERROR(INDEX('Перечень должностей'!$D$2:$D$46,MATCH(H274,'Перечень должностей'!$A$2:$A$46,0)),12)</f>
        <v>12</v>
      </c>
      <c r="K274" s="16" t="n">
        <v>45843</v>
      </c>
      <c r="L274" s="16"/>
      <c r="M274" s="15" t="n">
        <f aca="false">IF(K274="","",EDATE(IF(L274&lt;&gt;"",L274,K274),J274))</f>
        <v>46208</v>
      </c>
      <c r="N274" s="11" t="str">
        <f aca="false">IFERROR(INDEX('Перечень должностей'!$F$2:$F$46,MATCH(H274,'Перечень должностей'!$A$2:$A$46,0)),"")</f>
        <v>-</v>
      </c>
      <c r="O274" s="16"/>
      <c r="P274" s="15" t="str">
        <f aca="false">IF(O274="","",EDATE(O274,60))</f>
        <v/>
      </c>
      <c r="Q274" s="11" t="str">
        <f aca="false">IF(AND(K274&lt;&gt;"",F274&lt;&gt;"",K274&gt;F274),"ДА","")</f>
        <v/>
      </c>
      <c r="R274" s="8"/>
    </row>
    <row r="275" customFormat="false" ht="26.25" hidden="false" customHeight="true" outlineLevel="0" collapsed="false">
      <c r="A275" s="14" t="n">
        <v>274</v>
      </c>
      <c r="B275" s="11" t="s">
        <v>369</v>
      </c>
      <c r="C275" s="14" t="s">
        <v>698</v>
      </c>
      <c r="D275" s="14" t="s">
        <v>469</v>
      </c>
      <c r="E275" s="14" t="s">
        <v>694</v>
      </c>
      <c r="F275" s="15" t="n">
        <v>45908</v>
      </c>
      <c r="G275" s="4" t="str">
        <f aca="false">IF(TRIM(SUBSTITUTE(SUBSTITUTE(SUBSTITUTE(SUBSTITUTE(SUBSTITUTE(SUBSTITUTE(SUBSTITUTE(SUBSTITUTE(SUBSTITUTE(SUBSTITUTE(SUBSTITUTE(LOWER(TRIM(D275)),"ё","е")," -","-"),"- ","-")," 2 разряда","")," 3 разряда","")," 4 разряда","")," 5 разряда","")," 6 разряда","")," 1 категории","")," 2 категории","")," 3 категории",""))="инженер",IF(AND(ISNUMBER(SEARCH("техническ",E275)),ISNUMBER(SEARCH("контрол",E275))),"инженер отк",IF(ISNUMBER(SEARCH("диспетч",E275)),"инженер пдо",TRIM(SUBSTITUTE(SUBSTITUTE(SUBSTITUTE(SUBSTITUTE(SUBSTITUTE(SUBSTITUTE(SUBSTITUTE(SUBSTITUTE(SUBSTITUTE(SUBSTITUTE(SUBSTITUTE(LOWER(TRIM(D275)),"ё","е"),"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категории","")))),IF(TRIM(SUBSTITUTE(SUBSTITUTE(SUBSTITUTE(SUBSTITUTE(SUBSTITUTE(SUBSTITUTE(SUBSTITUTE(SUBSTITUTE(SUBSTITUTE(SUBSTITUTE(SUBSTITUTE(LOWER(TRIM(D275)),"ё","е")," -","-"),"- ","-")," 2 разряда","")," 3 разряда","")," 4 разряда","")," 5 разряда","")," 6 разряда","")," 1 категории","")," 2 категории","")," 3 категории",""))="ведущий инженер",IF(ISNUMBER(SEARCH("диспетч",E275)),"ведущий инженер пдо",TRIM(SUBSTITUTE(SUBSTITUTE(SUBSTITUTE(SUBSTITUTE(SUBSTITUTE(SUBSTITUTE(SUBSTITUTE(SUBSTITUTE(SUBSTITUTE(SUBSTITUTE(SUBSTITUTE(LOWER(TRIM(D275)),"ё","е"),"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отк",TRIM(SUBSTITUTE(SUBSTITUTE(SUBSTITUTE(SUBSTITUTE(SUBSTITUTE(SUBSTITUTE(SUBSTITUTE(SUBSTITUTE(SUBSTITUTE(SUBSTITUTE(SUBSTITUTE(LOWER(TRIM(D275)),"ё","е")," -","-"),"- ","-")," 2 разряда","")," 3 разряда","")," 4 разряда","")," 5 разряда","")," 6 разряда","")," 1 категории","")," 2 категории","")," 3 категории","")))))</f>
        <v>слесарь-сборщик</v>
      </c>
      <c r="H275" s="11" t="n">
        <f aca="false">IFERROR(INDEX(Соответствие!$B$2:$B$76,MATCH(G275,Соответствие!$A$2:$A$76,0)),"?")</f>
        <v>19</v>
      </c>
      <c r="I275" s="8" t="str">
        <f aca="false">IFERROR(INDEX('Перечень должностей'!$C$2:$C$46,MATCH(H275,'Перечень должностей'!$A$2:$A$46,0)),"")</f>
        <v>п.4.3.1, п.4.3.2, п.4.4, п.5.1, п.6.2, п.15</v>
      </c>
      <c r="J275" s="11" t="n">
        <f aca="false">IFERROR(INDEX('Перечень должностей'!$D$2:$D$46,MATCH(H275,'Перечень должностей'!$A$2:$A$46,0)),12)</f>
        <v>12</v>
      </c>
      <c r="K275" s="16"/>
      <c r="L275" s="16"/>
      <c r="M275" s="15" t="str">
        <f aca="false">IF(K275="","",EDATE(IF(L275&lt;&gt;"",L275,K275),J275))</f>
        <v/>
      </c>
      <c r="N275" s="11" t="str">
        <f aca="false">IFERROR(INDEX('Перечень должностей'!$F$2:$F$46,MATCH(H275,'Перечень должностей'!$A$2:$A$46,0)),"")</f>
        <v>-</v>
      </c>
      <c r="O275" s="16"/>
      <c r="P275" s="15" t="str">
        <f aca="false">IF(O275="","",EDATE(O275,60))</f>
        <v/>
      </c>
      <c r="Q275" s="11" t="str">
        <f aca="false">IF(AND(K275&lt;&gt;"",F275&lt;&gt;"",K275&gt;F275),"ДА","")</f>
        <v/>
      </c>
      <c r="R275" s="8"/>
    </row>
    <row r="276" customFormat="false" ht="26.25" hidden="false" customHeight="true" outlineLevel="0" collapsed="false">
      <c r="A276" s="14" t="n">
        <v>275</v>
      </c>
      <c r="B276" s="11" t="s">
        <v>369</v>
      </c>
      <c r="C276" s="14" t="s">
        <v>699</v>
      </c>
      <c r="D276" s="14" t="s">
        <v>469</v>
      </c>
      <c r="E276" s="14" t="s">
        <v>694</v>
      </c>
      <c r="F276" s="15" t="n">
        <v>46007</v>
      </c>
      <c r="G276" s="4" t="str">
        <f aca="false">IF(TRIM(SUBSTITUTE(SUBSTITUTE(SUBSTITUTE(SUBSTITUTE(SUBSTITUTE(SUBSTITUTE(SUBSTITUTE(SUBSTITUTE(SUBSTITUTE(SUBSTITUTE(SUBSTITUTE(LOWER(TRIM(D276)),"ё","е")," -","-"),"- ","-")," 2 разряда","")," 3 разряда","")," 4 разряда","")," 5 разряда","")," 6 разряда","")," 1 категории","")," 2 категории","")," 3 категории",""))="инженер",IF(AND(ISNUMBER(SEARCH("техническ",E276)),ISNUMBER(SEARCH("контрол",E276))),"инженер отк",IF(ISNUMBER(SEARCH("диспетч",E276)),"инженер пдо",TRIM(SUBSTITUTE(SUBSTITUTE(SUBSTITUTE(SUBSTITUTE(SUBSTITUTE(SUBSTITUTE(SUBSTITUTE(SUBSTITUTE(SUBSTITUTE(SUBSTITUTE(SUBSTITUTE(LOWER(TRIM(D276)),"ё","е"),"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категории","")))),IF(TRIM(SUBSTITUTE(SUBSTITUTE(SUBSTITUTE(SUBSTITUTE(SUBSTITUTE(SUBSTITUTE(SUBSTITUTE(SUBSTITUTE(SUBSTITUTE(SUBSTITUTE(SUBSTITUTE(LOWER(TRIM(D276)),"ё","е")," -","-"),"- ","-")," 2 разряда","")," 3 разряда","")," 4 разряда","")," 5 разряда","")," 6 разряда","")," 1 категории","")," 2 категории","")," 3 категории",""))="ведущий инженер",IF(ISNUMBER(SEARCH("диспетч",E276)),"ведущий инженер пдо",TRIM(SUBSTITUTE(SUBSTITUTE(SUBSTITUTE(SUBSTITUTE(SUBSTITUTE(SUBSTITUTE(SUBSTITUTE(SUBSTITUTE(SUBSTITUTE(SUBSTITUTE(SUBSTITUTE(LOWER(TRIM(D276)),"ё","е"),"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отк",TRIM(SUBSTITUTE(SUBSTITUTE(SUBSTITUTE(SUBSTITUTE(SUBSTITUTE(SUBSTITUTE(SUBSTITUTE(SUBSTITUTE(SUBSTITUTE(SUBSTITUTE(SUBSTITUTE(LOWER(TRIM(D276)),"ё","е")," -","-"),"- ","-")," 2 разряда","")," 3 разряда","")," 4 разряда","")," 5 разряда","")," 6 разряда","")," 1 категории","")," 2 категории","")," 3 категории","")))))</f>
        <v>слесарь-сборщик</v>
      </c>
      <c r="H276" s="11" t="n">
        <f aca="false">IFERROR(INDEX(Соответствие!$B$2:$B$76,MATCH(G276,Соответствие!$A$2:$A$76,0)),"?")</f>
        <v>19</v>
      </c>
      <c r="I276" s="8" t="str">
        <f aca="false">IFERROR(INDEX('Перечень должностей'!$C$2:$C$46,MATCH(H276,'Перечень должностей'!$A$2:$A$46,0)),"")</f>
        <v>п.4.3.1, п.4.3.2, п.4.4, п.5.1, п.6.2, п.15</v>
      </c>
      <c r="J276" s="11" t="n">
        <f aca="false">IFERROR(INDEX('Перечень должностей'!$D$2:$D$46,MATCH(H276,'Перечень должностей'!$A$2:$A$46,0)),12)</f>
        <v>12</v>
      </c>
      <c r="K276" s="16" t="n">
        <v>46001</v>
      </c>
      <c r="L276" s="16"/>
      <c r="M276" s="15" t="n">
        <f aca="false">IF(K276="","",EDATE(IF(L276&lt;&gt;"",L276,K276),J276))</f>
        <v>46366</v>
      </c>
      <c r="N276" s="11" t="str">
        <f aca="false">IFERROR(INDEX('Перечень должностей'!$F$2:$F$46,MATCH(H276,'Перечень должностей'!$A$2:$A$46,0)),"")</f>
        <v>-</v>
      </c>
      <c r="O276" s="16"/>
      <c r="P276" s="15" t="str">
        <f aca="false">IF(O276="","",EDATE(O276,60))</f>
        <v/>
      </c>
      <c r="Q276" s="11" t="str">
        <f aca="false">IF(AND(K276&lt;&gt;"",F276&lt;&gt;"",K276&gt;F276),"ДА","")</f>
        <v/>
      </c>
      <c r="R276" s="8"/>
    </row>
    <row r="277" customFormat="false" ht="26.25" hidden="false" customHeight="true" outlineLevel="0" collapsed="false">
      <c r="A277" s="14" t="n">
        <v>276</v>
      </c>
      <c r="B277" s="11" t="s">
        <v>369</v>
      </c>
      <c r="C277" s="14" t="s">
        <v>700</v>
      </c>
      <c r="D277" s="14" t="s">
        <v>469</v>
      </c>
      <c r="E277" s="14" t="s">
        <v>694</v>
      </c>
      <c r="F277" s="15" t="n">
        <v>45958</v>
      </c>
      <c r="G277" s="4" t="str">
        <f aca="false">IF(TRIM(SUBSTITUTE(SUBSTITUTE(SUBSTITUTE(SUBSTITUTE(SUBSTITUTE(SUBSTITUTE(SUBSTITUTE(SUBSTITUTE(SUBSTITUTE(SUBSTITUTE(SUBSTITUTE(LOWER(TRIM(D277)),"ё","е")," -","-"),"- ","-")," 2 разряда","")," 3 разряда","")," 4 разряда","")," 5 разряда","")," 6 разряда","")," 1 категории","")," 2 категории","")," 3 категории",""))="инженер",IF(AND(ISNUMBER(SEARCH("техническ",E277)),ISNUMBER(SEARCH("контрол",E277))),"инженер отк",IF(ISNUMBER(SEARCH("диспетч",E277)),"инженер пдо",TRIM(SUBSTITUTE(SUBSTITUTE(SUBSTITUTE(SUBSTITUTE(SUBSTITUTE(SUBSTITUTE(SUBSTITUTE(SUBSTITUTE(SUBSTITUTE(SUBSTITUTE(SUBSTITUTE(LOWER(TRIM(D277)),"ё","е"),"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категории","")))),IF(TRIM(SUBSTITUTE(SUBSTITUTE(SUBSTITUTE(SUBSTITUTE(SUBSTITUTE(SUBSTITUTE(SUBSTITUTE(SUBSTITUTE(SUBSTITUTE(SUBSTITUTE(SUBSTITUTE(LOWER(TRIM(D277)),"ё","е")," -","-"),"- ","-")," 2 разряда","")," 3 разряда","")," 4 разряда","")," 5 разряда","")," 6 разряда","")," 1 категории","")," 2 категории","")," 3 категории",""))="ведущий инженер",IF(ISNUMBER(SEARCH("диспетч",E277)),"ведущий инженер пдо",TRIM(SUBSTITUTE(SUBSTITUTE(SUBSTITUTE(SUBSTITUTE(SUBSTITUTE(SUBSTITUTE(SUBSTITUTE(SUBSTITUTE(SUBSTITUTE(SUBSTITUTE(SUBSTITUTE(LOWER(TRIM(D277)),"ё","е"),"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отк",TRIM(SUBSTITUTE(SUBSTITUTE(SUBSTITUTE(SUBSTITUTE(SUBSTITUTE(SUBSTITUTE(SUBSTITUTE(SUBSTITUTE(SUBSTITUTE(SUBSTITUTE(SUBSTITUTE(LOWER(TRIM(D277)),"ё","е")," -","-"),"- ","-")," 2 разряда","")," 3 разряда","")," 4 разряда","")," 5 разряда","")," 6 разряда","")," 1 категории","")," 2 категории","")," 3 категории","")))))</f>
        <v>слесарь-сборщик</v>
      </c>
      <c r="H277" s="11" t="n">
        <f aca="false">IFERROR(INDEX(Соответствие!$B$2:$B$76,MATCH(G277,Соответствие!$A$2:$A$76,0)),"?")</f>
        <v>19</v>
      </c>
      <c r="I277" s="8" t="str">
        <f aca="false">IFERROR(INDEX('Перечень должностей'!$C$2:$C$46,MATCH(H277,'Перечень должностей'!$A$2:$A$46,0)),"")</f>
        <v>п.4.3.1, п.4.3.2, п.4.4, п.5.1, п.6.2, п.15</v>
      </c>
      <c r="J277" s="11" t="n">
        <f aca="false">IFERROR(INDEX('Перечень должностей'!$D$2:$D$46,MATCH(H277,'Перечень должностей'!$A$2:$A$46,0)),12)</f>
        <v>12</v>
      </c>
      <c r="K277" s="16"/>
      <c r="L277" s="16"/>
      <c r="M277" s="15" t="str">
        <f aca="false">IF(K277="","",EDATE(IF(L277&lt;&gt;"",L277,K277),J277))</f>
        <v/>
      </c>
      <c r="N277" s="11" t="str">
        <f aca="false">IFERROR(INDEX('Перечень должностей'!$F$2:$F$46,MATCH(H277,'Перечень должностей'!$A$2:$A$46,0)),"")</f>
        <v>-</v>
      </c>
      <c r="O277" s="16"/>
      <c r="P277" s="15" t="str">
        <f aca="false">IF(O277="","",EDATE(O277,60))</f>
        <v/>
      </c>
      <c r="Q277" s="11" t="str">
        <f aca="false">IF(AND(K277&lt;&gt;"",F277&lt;&gt;"",K277&gt;F277),"ДА","")</f>
        <v/>
      </c>
      <c r="R277" s="8"/>
    </row>
    <row r="278" customFormat="false" ht="26.25" hidden="false" customHeight="true" outlineLevel="0" collapsed="false">
      <c r="A278" s="14" t="n">
        <v>277</v>
      </c>
      <c r="B278" s="11" t="s">
        <v>369</v>
      </c>
      <c r="C278" s="14" t="s">
        <v>701</v>
      </c>
      <c r="D278" s="14" t="s">
        <v>469</v>
      </c>
      <c r="E278" s="14" t="s">
        <v>694</v>
      </c>
      <c r="F278" s="15" t="n">
        <v>46056</v>
      </c>
      <c r="G278" s="4" t="str">
        <f aca="false">IF(TRIM(SUBSTITUTE(SUBSTITUTE(SUBSTITUTE(SUBSTITUTE(SUBSTITUTE(SUBSTITUTE(SUBSTITUTE(SUBSTITUTE(SUBSTITUTE(SUBSTITUTE(SUBSTITUTE(LOWER(TRIM(D278)),"ё","е")," -","-"),"- ","-")," 2 разряда","")," 3 разряда","")," 4 разряда","")," 5 разряда","")," 6 разряда","")," 1 категории","")," 2 категории","")," 3 категории",""))="инженер",IF(AND(ISNUMBER(SEARCH("техническ",E278)),ISNUMBER(SEARCH("контрол",E278))),"инженер отк",IF(ISNUMBER(SEARCH("диспетч",E278)),"инженер пдо",TRIM(SUBSTITUTE(SUBSTITUTE(SUBSTITUTE(SUBSTITUTE(SUBSTITUTE(SUBSTITUTE(SUBSTITUTE(SUBSTITUTE(SUBSTITUTE(SUBSTITUTE(SUBSTITUTE(LOWER(TRIM(D278)),"ё","е"),"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категории","")))),IF(TRIM(SUBSTITUTE(SUBSTITUTE(SUBSTITUTE(SUBSTITUTE(SUBSTITUTE(SUBSTITUTE(SUBSTITUTE(SUBSTITUTE(SUBSTITUTE(SUBSTITUTE(SUBSTITUTE(LOWER(TRIM(D278)),"ё","е")," -","-"),"- ","-")," 2 разряда","")," 3 разряда","")," 4 разряда","")," 5 разряда","")," 6 разряда","")," 1 категории","")," 2 категории","")," 3 категории",""))="ведущий инженер",IF(ISNUMBER(SEARCH("диспетч",E278)),"ведущий инженер пдо",TRIM(SUBSTITUTE(SUBSTITUTE(SUBSTITUTE(SUBSTITUTE(SUBSTITUTE(SUBSTITUTE(SUBSTITUTE(SUBSTITUTE(SUBSTITUTE(SUBSTITUTE(SUBSTITUTE(LOWER(TRIM(D278)),"ё","е"),"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отк",TRIM(SUBSTITUTE(SUBSTITUTE(SUBSTITUTE(SUBSTITUTE(SUBSTITUTE(SUBSTITUTE(SUBSTITUTE(SUBSTITUTE(SUBSTITUTE(SUBSTITUTE(SUBSTITUTE(LOWER(TRIM(D278)),"ё","е")," -","-"),"- ","-")," 2 разряда","")," 3 разряда","")," 4 разряда","")," 5 разряда","")," 6 разряда","")," 1 категории","")," 2 категории","")," 3 категории","")))))</f>
        <v>слесарь-сборщик</v>
      </c>
      <c r="H278" s="11" t="n">
        <f aca="false">IFERROR(INDEX(Соответствие!$B$2:$B$76,MATCH(G278,Соответствие!$A$2:$A$76,0)),"?")</f>
        <v>19</v>
      </c>
      <c r="I278" s="8" t="str">
        <f aca="false">IFERROR(INDEX('Перечень должностей'!$C$2:$C$46,MATCH(H278,'Перечень должностей'!$A$2:$A$46,0)),"")</f>
        <v>п.4.3.1, п.4.3.2, п.4.4, п.5.1, п.6.2, п.15</v>
      </c>
      <c r="J278" s="11" t="n">
        <f aca="false">IFERROR(INDEX('Перечень должностей'!$D$2:$D$46,MATCH(H278,'Перечень должностей'!$A$2:$A$46,0)),12)</f>
        <v>12</v>
      </c>
      <c r="K278" s="16" t="n">
        <v>46051</v>
      </c>
      <c r="L278" s="16"/>
      <c r="M278" s="15" t="n">
        <f aca="false">IF(K278="","",EDATE(IF(L278&lt;&gt;"",L278,K278),J278))</f>
        <v>46416</v>
      </c>
      <c r="N278" s="11" t="str">
        <f aca="false">IFERROR(INDEX('Перечень должностей'!$F$2:$F$46,MATCH(H278,'Перечень должностей'!$A$2:$A$46,0)),"")</f>
        <v>-</v>
      </c>
      <c r="O278" s="16"/>
      <c r="P278" s="15" t="str">
        <f aca="false">IF(O278="","",EDATE(O278,60))</f>
        <v/>
      </c>
      <c r="Q278" s="11" t="str">
        <f aca="false">IF(AND(K278&lt;&gt;"",F278&lt;&gt;"",K278&gt;F278),"ДА","")</f>
        <v/>
      </c>
      <c r="R278" s="8"/>
    </row>
    <row r="279" customFormat="false" ht="26.25" hidden="false" customHeight="true" outlineLevel="0" collapsed="false">
      <c r="A279" s="14" t="n">
        <v>278</v>
      </c>
      <c r="B279" s="11" t="s">
        <v>369</v>
      </c>
      <c r="C279" s="14" t="s">
        <v>702</v>
      </c>
      <c r="D279" s="14" t="s">
        <v>703</v>
      </c>
      <c r="E279" s="14" t="s">
        <v>694</v>
      </c>
      <c r="F279" s="15" t="n">
        <v>45966</v>
      </c>
      <c r="G279" s="4" t="str">
        <f aca="false">IF(TRIM(SUBSTITUTE(SUBSTITUTE(SUBSTITUTE(SUBSTITUTE(SUBSTITUTE(SUBSTITUTE(SUBSTITUTE(SUBSTITUTE(SUBSTITUTE(SUBSTITUTE(SUBSTITUTE(LOWER(TRIM(D279)),"ё","е")," -","-"),"- ","-")," 2 разряда","")," 3 разряда","")," 4 разряда","")," 5 разряда","")," 6 разряда","")," 1 категории","")," 2 категории","")," 3 категории",""))="инженер",IF(AND(ISNUMBER(SEARCH("техническ",E279)),ISNUMBER(SEARCH("контрол",E279))),"инженер отк",IF(ISNUMBER(SEARCH("диспетч",E279)),"инженер пдо",TRIM(SUBSTITUTE(SUBSTITUTE(SUBSTITUTE(SUBSTITUTE(SUBSTITUTE(SUBSTITUTE(SUBSTITUTE(SUBSTITUTE(SUBSTITUTE(SUBSTITUTE(SUBSTITUTE(LOWER(TRIM(D279)),"ё","е"),"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категории","")))),IF(TRIM(SUBSTITUTE(SUBSTITUTE(SUBSTITUTE(SUBSTITUTE(SUBSTITUTE(SUBSTITUTE(SUBSTITUTE(SUBSTITUTE(SUBSTITUTE(SUBSTITUTE(SUBSTITUTE(LOWER(TRIM(D279)),"ё","е")," -","-"),"- ","-")," 2 разряда","")," 3 разряда","")," 4 разряда","")," 5 разряда","")," 6 разряда","")," 1 категории","")," 2 категории","")," 3 категории",""))="ведущий инженер",IF(ISNUMBER(SEARCH("диспетч",E279)),"ведущий инженер пдо",TRIM(SUBSTITUTE(SUBSTITUTE(SUBSTITUTE(SUBSTITUTE(SUBSTITUTE(SUBSTITUTE(SUBSTITUTE(SUBSTITUTE(SUBSTITUTE(SUBSTITUTE(SUBSTITUTE(LOWER(TRIM(D279)),"ё","е"),"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категории",""))),IF(TRIM(SUBSTITUTE(SUBSTITUTE(SUBSTITUTE(SUBSTITUTE(SUBSTITUTE(SUBSTITUTE(SUBSTITUTE(SUBSTITUTE(SUBSTITUTE(SUBSTITUTE(SUBSTITUTE(LOWER(TRIM(D279)),"ё","е"),"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отк",TRIM(SUBSTITUTE(SUBSTITUTE(SUBSTITUTE(SUBSTITUTE(SUBSTITUTE(SUBSTITUTE(SUBSTITUTE(SUBSTITUTE(SUBSTITUTE(SUBSTITUTE(SUBSTITUTE(LOWER(TRIM(D279)),"ё","е")," -","-"),"- ","-")," 2 разряда","")," 3 разряда","")," 4 разряда","")," 5 разряда","")," 6 разряда","")," 1 категории","")," 2 категории","")," 3 категории","")))))</f>
        <v>слесарь-сборщик</v>
      </c>
      <c r="H279" s="11" t="n">
        <f aca="false">IFERROR(INDEX(Соответствие!$B$2:$B$76,MATCH(G279,Соответствие!$A$2:$A$76,0)),"?")</f>
        <v>19</v>
      </c>
      <c r="I279" s="8" t="str">
        <f aca="false">IFERROR(INDEX('Перечень должностей'!$C$2:$C$46,MATCH(H279,'Перечень должностей'!$A$2:$A$46,0)),"")</f>
        <v>п.4.3.1, п.4.3.2, п.4.4, п.5.1, п.6.2, п.15</v>
      </c>
      <c r="J279" s="11" t="n">
        <f aca="false">IFERROR(INDEX('Перечень должностей'!$D$2:$D$46,MATCH(H279,'Перечень должностей'!$A$2:$A$46,0)),12)</f>
        <v>12</v>
      </c>
      <c r="K279" s="16"/>
      <c r="L279" s="16"/>
      <c r="M279" s="15" t="str">
        <f aca="false">IF(K279="","",EDATE(IF(L279&lt;&gt;"",L279,K279),J279))</f>
        <v/>
      </c>
      <c r="N279" s="11" t="str">
        <f aca="false">IFERROR(INDEX('Перечень должностей'!$F$2:$F$46,MATCH(H279,'Перечень должностей'!$A$2:$A$46,0)),"")</f>
        <v>-</v>
      </c>
      <c r="O279" s="16"/>
      <c r="P279" s="15" t="str">
        <f aca="false">IF(O279="","",EDATE(O279,60))</f>
        <v/>
      </c>
      <c r="Q279" s="11" t="str">
        <f aca="false">IF(AND(K279&lt;&gt;"",F279&lt;&gt;"",K279&gt;F279),"ДА","")</f>
        <v/>
      </c>
      <c r="R279" s="8"/>
    </row>
    <row r="280" customFormat="false" ht="26.25" hidden="false" customHeight="true" outlineLevel="0" collapsed="false">
      <c r="A280" s="14" t="n">
        <v>279</v>
      </c>
      <c r="B280" s="11" t="s">
        <v>369</v>
      </c>
      <c r="C280" s="14" t="s">
        <v>704</v>
      </c>
      <c r="D280" s="14" t="s">
        <v>703</v>
      </c>
      <c r="E280" s="14" t="s">
        <v>694</v>
      </c>
      <c r="F280" s="15" t="n">
        <v>46055</v>
      </c>
      <c r="G280" s="4" t="str">
        <f aca="false">IF(TRIM(SUBSTITUTE(SUBSTITUTE(SUBSTITUTE(SUBSTITUTE(SUBSTITUTE(SUBSTITUTE(SUBSTITUTE(SUBSTITUTE(SUBSTITUTE(SUBSTITUTE(SUBSTITUTE(LOWER(TRIM(D280)),"ё","е")," -","-"),"- ","-")," 2 разряда","")," 3 разряда","")," 4 разряда","")," 5 разряда","")," 6 разряда","")," 1 категории","")," 2 категории","")," 3 категории",""))="инженер",IF(AND(ISNUMBER(SEARCH("техническ",E280)),ISNUMBER(SEARCH("контрол",E280))),"инженер отк",IF(ISNUMBER(SEARCH("диспетч",E280)),"инженер пдо",TRIM(SUBSTITUTE(SUBSTITUTE(SUBSTITUTE(SUBSTITUTE(SUBSTITUTE(SUBSTITUTE(SUBSTITUTE(SUBSTITUTE(SUBSTITUTE(SUBSTITUTE(SUBSTITUTE(LOWER(TRIM(D280)),"ё","е"),"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категории","")))),IF(TRIM(SUBSTITUTE(SUBSTITUTE(SUBSTITUTE(SUBSTITUTE(SUBSTITUTE(SUBSTITUTE(SUBSTITUTE(SUBSTITUTE(SUBSTITUTE(SUBSTITUTE(SUBSTITUTE(LOWER(TRIM(D280)),"ё","е")," -","-"),"- ","-")," 2 разряда","")," 3 разряда","")," 4 разряда","")," 5 разряда","")," 6 разряда","")," 1 категории","")," 2 категории","")," 3 категории",""))="ведущий инженер",IF(ISNUMBER(SEARCH("диспетч",E280)),"ведущий инженер пдо",TRIM(SUBSTITUTE(SUBSTITUTE(SUBSTITUTE(SUBSTITUTE(SUBSTITUTE(SUBSTITUTE(SUBSTITUTE(SUBSTITUTE(SUBSTITUTE(SUBSTITUTE(SUBSTITUTE(LOWER(TRIM(D280)),"ё","е"),"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отк",TRIM(SUBSTITUTE(SUBSTITUTE(SUBSTITUTE(SUBSTITUTE(SUBSTITUTE(SUBSTITUTE(SUBSTITUTE(SUBSTITUTE(SUBSTITUTE(SUBSTITUTE(SUBSTITUTE(LOWER(TRIM(D280)),"ё","е")," -","-"),"- ","-")," 2 разряда","")," 3 разряда","")," 4 разряда","")," 5 разряда","")," 6 разряда","")," 1 категории","")," 2 категории","")," 3 категории","")))))</f>
        <v>слесарь-сборщик</v>
      </c>
      <c r="H280" s="11" t="n">
        <f aca="false">IFERROR(INDEX(Соответствие!$B$2:$B$76,MATCH(G280,Соответствие!$A$2:$A$76,0)),"?")</f>
        <v>19</v>
      </c>
      <c r="I280" s="8" t="str">
        <f aca="false">IFERROR(INDEX('Перечень должностей'!$C$2:$C$46,MATCH(H280,'Перечень должностей'!$A$2:$A$46,0)),"")</f>
        <v>п.4.3.1, п.4.3.2, п.4.4, п.5.1, п.6.2, п.15</v>
      </c>
      <c r="J280" s="11" t="n">
        <f aca="false">IFERROR(INDEX('Перечень должностей'!$D$2:$D$46,MATCH(H280,'Перечень должностей'!$A$2:$A$46,0)),12)</f>
        <v>12</v>
      </c>
      <c r="K280" s="16" t="n">
        <v>46050</v>
      </c>
      <c r="L280" s="16"/>
      <c r="M280" s="15" t="n">
        <f aca="false">IF(K280="","",EDATE(IF(L280&lt;&gt;"",L280,K280),J280))</f>
        <v>46415</v>
      </c>
      <c r="N280" s="11" t="str">
        <f aca="false">IFERROR(INDEX('Перечень должностей'!$F$2:$F$46,MATCH(H280,'Перечень должностей'!$A$2:$A$46,0)),"")</f>
        <v>-</v>
      </c>
      <c r="O280" s="16"/>
      <c r="P280" s="15" t="str">
        <f aca="false">IF(O280="","",EDATE(O280,60))</f>
        <v/>
      </c>
      <c r="Q280" s="11" t="str">
        <f aca="false">IF(AND(K280&lt;&gt;"",F280&lt;&gt;"",K280&gt;F280),"ДА","")</f>
        <v/>
      </c>
      <c r="R280" s="8"/>
    </row>
    <row r="281" customFormat="false" ht="26.25" hidden="false" customHeight="true" outlineLevel="0" collapsed="false">
      <c r="A281" s="14" t="n">
        <v>280</v>
      </c>
      <c r="B281" s="11" t="s">
        <v>369</v>
      </c>
      <c r="C281" s="14" t="s">
        <v>705</v>
      </c>
      <c r="D281" s="14" t="s">
        <v>703</v>
      </c>
      <c r="E281" s="14" t="s">
        <v>694</v>
      </c>
      <c r="F281" s="15" t="n">
        <v>45932</v>
      </c>
      <c r="G281" s="4" t="str">
        <f aca="false">IF(TRIM(SUBSTITUTE(SUBSTITUTE(SUBSTITUTE(SUBSTITUTE(SUBSTITUTE(SUBSTITUTE(SUBSTITUTE(SUBSTITUTE(SUBSTITUTE(SUBSTITUTE(SUBSTITUTE(LOWER(TRIM(D281)),"ё","е")," -","-"),"- ","-")," 2 разряда","")," 3 разряда","")," 4 разряда","")," 5 разряда","")," 6 разряда","")," 1 категории","")," 2 категории","")," 3 категории",""))="инженер",IF(AND(ISNUMBER(SEARCH("техническ",E281)),ISNUMBER(SEARCH("контрол",E281))),"инженер отк",IF(ISNUMBER(SEARCH("диспетч",E281)),"инженер пдо",TRIM(SUBSTITUTE(SUBSTITUTE(SUBSTITUTE(SUBSTITUTE(SUBSTITUTE(SUBSTITUTE(SUBSTITUTE(SUBSTITUTE(SUBSTITUTE(SUBSTITUTE(SUBSTITUTE(LOWER(TRIM(D281)),"ё","е"),"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категории","")))),IF(TRIM(SUBSTITUTE(SUBSTITUTE(SUBSTITUTE(SUBSTITUTE(SUBSTITUTE(SUBSTITUTE(SUBSTITUTE(SUBSTITUTE(SUBSTITUTE(SUBSTITUTE(SUBSTITUTE(LOWER(TRIM(D281)),"ё","е")," -","-"),"- ","-")," 2 разряда","")," 3 разряда","")," 4 разряда","")," 5 разряда","")," 6 разряда","")," 1 категории","")," 2 категории","")," 3 категории",""))="ведущий инженер",IF(ISNUMBER(SEARCH("диспетч",E281)),"ведущий инженер пдо",TRIM(SUBSTITUTE(SUBSTITUTE(SUBSTITUTE(SUBSTITUTE(SUBSTITUTE(SUBSTITUTE(SUBSTITUTE(SUBSTITUTE(SUBSTITUTE(SUBSTITUTE(SUBSTITUTE(LOWER(TRIM(D281)),"ё","е"),"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отк",TRIM(SUBSTITUTE(SUBSTITUTE(SUBSTITUTE(SUBSTITUTE(SUBSTITUTE(SUBSTITUTE(SUBSTITUTE(SUBSTITUTE(SUBSTITUTE(SUBSTITUTE(SUBSTITUTE(LOWER(TRIM(D281)),"ё","е")," -","-"),"- ","-")," 2 разряда","")," 3 разряда","")," 4 разряда","")," 5 разряда","")," 6 разряда","")," 1 категории","")," 2 категории","")," 3 категории","")))))</f>
        <v>слесарь-сборщик</v>
      </c>
      <c r="H281" s="11" t="n">
        <f aca="false">IFERROR(INDEX(Соответствие!$B$2:$B$76,MATCH(G281,Соответствие!$A$2:$A$76,0)),"?")</f>
        <v>19</v>
      </c>
      <c r="I281" s="8" t="str">
        <f aca="false">IFERROR(INDEX('Перечень должностей'!$C$2:$C$46,MATCH(H281,'Перечень должностей'!$A$2:$A$46,0)),"")</f>
        <v>п.4.3.1, п.4.3.2, п.4.4, п.5.1, п.6.2, п.15</v>
      </c>
      <c r="J281" s="11" t="n">
        <f aca="false">IFERROR(INDEX('Перечень должностей'!$D$2:$D$46,MATCH(H281,'Перечень должностей'!$A$2:$A$46,0)),12)</f>
        <v>12</v>
      </c>
      <c r="K281" s="16"/>
      <c r="L281" s="16"/>
      <c r="M281" s="15" t="str">
        <f aca="false">IF(K281="","",EDATE(IF(L281&lt;&gt;"",L281,K281),J281))</f>
        <v/>
      </c>
      <c r="N281" s="11" t="str">
        <f aca="false">IFERROR(INDEX('Перечень должностей'!$F$2:$F$46,MATCH(H281,'Перечень должностей'!$A$2:$A$46,0)),"")</f>
        <v>-</v>
      </c>
      <c r="O281" s="16"/>
      <c r="P281" s="15" t="str">
        <f aca="false">IF(O281="","",EDATE(O281,60))</f>
        <v/>
      </c>
      <c r="Q281" s="11" t="str">
        <f aca="false">IF(AND(K281&lt;&gt;"",F281&lt;&gt;"",K281&gt;F281),"ДА","")</f>
        <v/>
      </c>
      <c r="R281" s="8"/>
    </row>
    <row r="282" customFormat="false" ht="26.25" hidden="false" customHeight="true" outlineLevel="0" collapsed="false">
      <c r="A282" s="14" t="n">
        <v>281</v>
      </c>
      <c r="B282" s="11" t="s">
        <v>369</v>
      </c>
      <c r="C282" s="14" t="s">
        <v>706</v>
      </c>
      <c r="D282" s="14" t="s">
        <v>407</v>
      </c>
      <c r="E282" s="14" t="s">
        <v>707</v>
      </c>
      <c r="F282" s="15" t="n">
        <v>45918</v>
      </c>
      <c r="G282" s="4" t="str">
        <f aca="false">IF(TRIM(SUBSTITUTE(SUBSTITUTE(SUBSTITUTE(SUBSTITUTE(SUBSTITUTE(SUBSTITUTE(SUBSTITUTE(SUBSTITUTE(SUBSTITUTE(SUBSTITUTE(SUBSTITUTE(LOWER(TRIM(D282)),"ё","е")," -","-"),"- ","-")," 2 разряда","")," 3 разряда","")," 4 разряда","")," 5 разряда","")," 6 разряда","")," 1 категории","")," 2 категории","")," 3 категории",""))="инженер",IF(AND(ISNUMBER(SEARCH("техническ",E282)),ISNUMBER(SEARCH("контрол",E282))),"инженер отк",IF(ISNUMBER(SEARCH("диспетч",E282)),"инженер пдо",TRIM(SUBSTITUTE(SUBSTITUTE(SUBSTITUTE(SUBSTITUTE(SUBSTITUTE(SUBSTITUTE(SUBSTITUTE(SUBSTITUTE(SUBSTITUTE(SUBSTITUTE(SUBSTITUTE(LOWER(TRIM(D282)),"ё","е"),"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категории","")))),IF(TRIM(SUBSTITUTE(SUBSTITUTE(SUBSTITUTE(SUBSTITUTE(SUBSTITUTE(SUBSTITUTE(SUBSTITUTE(SUBSTITUTE(SUBSTITUTE(SUBSTITUTE(SUBSTITUTE(LOWER(TRIM(D282)),"ё","е")," -","-"),"- ","-")," 2 разряда","")," 3 разряда","")," 4 разряда","")," 5 разряда","")," 6 разряда","")," 1 категории","")," 2 категории","")," 3 категории",""))="ведущий инженер",IF(ISNUMBER(SEARCH("диспетч",E282)),"ведущий инженер пдо",TRIM(SUBSTITUTE(SUBSTITUTE(SUBSTITUTE(SUBSTITUTE(SUBSTITUTE(SUBSTITUTE(SUBSTITUTE(SUBSTITUTE(SUBSTITUTE(SUBSTITUTE(SUBSTITUTE(LOWER(TRIM(D282)),"ё","е"),"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отк",TRIM(SUBSTITUTE(SUBSTITUTE(SUBSTITUTE(SUBSTITUTE(SUBSTITUTE(SUBSTITUTE(SUBSTITUTE(SUBSTITUTE(SUBSTITUTE(SUBSTITUTE(SUBSTITUTE(LOWER(TRIM(D282)),"ё","е")," -","-"),"- ","-")," 2 разряда","")," 3 разряда","")," 4 разряда","")," 5 разряда","")," 6 разряда","")," 1 категории","")," 2 категории","")," 3 категории","")))))</f>
        <v>электромонтажник</v>
      </c>
      <c r="H282" s="11" t="n">
        <f aca="false">IFERROR(INDEX(Соответствие!$B$2:$B$76,MATCH(G282,Соответствие!$A$2:$A$76,0)),"?")</f>
        <v>20</v>
      </c>
      <c r="I282" s="8" t="str">
        <f aca="false">IFERROR(INDEX('Перечень должностей'!$C$2:$C$46,MATCH(H282,'Перечень должностей'!$A$2:$A$46,0)),"")</f>
        <v>п.4.3.1, п.4.3.2, п.4.4, п.4.9, п.5.1, п.5.2, п.6.2, п.9</v>
      </c>
      <c r="J282" s="11" t="n">
        <f aca="false">IFERROR(INDEX('Перечень должностей'!$D$2:$D$46,MATCH(H282,'Перечень должностей'!$A$2:$A$46,0)),12)</f>
        <v>12</v>
      </c>
      <c r="K282" s="16"/>
      <c r="L282" s="16"/>
      <c r="M282" s="15" t="str">
        <f aca="false">IF(K282="","",EDATE(IF(L282&lt;&gt;"",L282,K282),J282))</f>
        <v/>
      </c>
      <c r="N282" s="11" t="str">
        <f aca="false">IFERROR(INDEX('Перечень должностей'!$F$2:$F$46,MATCH(H282,'Перечень должностей'!$A$2:$A$46,0)),"")</f>
        <v>Да</v>
      </c>
      <c r="O282" s="16"/>
      <c r="P282" s="15" t="str">
        <f aca="false">IF(O282="","",EDATE(O282,60))</f>
        <v/>
      </c>
      <c r="Q282" s="11" t="str">
        <f aca="false">IF(AND(K282&lt;&gt;"",F282&lt;&gt;"",K282&gt;F282),"ДА","")</f>
        <v/>
      </c>
      <c r="R282" s="8"/>
    </row>
    <row r="283" customFormat="false" ht="26.25" hidden="false" customHeight="true" outlineLevel="0" collapsed="false">
      <c r="A283" s="14" t="n">
        <v>282</v>
      </c>
      <c r="B283" s="11" t="s">
        <v>369</v>
      </c>
      <c r="C283" s="14" t="s">
        <v>708</v>
      </c>
      <c r="D283" s="14" t="s">
        <v>79</v>
      </c>
      <c r="E283" s="14" t="s">
        <v>707</v>
      </c>
      <c r="F283" s="15" t="n">
        <v>45845</v>
      </c>
      <c r="G283" s="4" t="str">
        <f aca="false">IF(TRIM(SUBSTITUTE(SUBSTITUTE(SUBSTITUTE(SUBSTITUTE(SUBSTITUTE(SUBSTITUTE(SUBSTITUTE(SUBSTITUTE(SUBSTITUTE(SUBSTITUTE(SUBSTITUTE(LOWER(TRIM(D283)),"ё","е")," -","-"),"- ","-")," 2 разряда","")," 3 разряда","")," 4 разряда","")," 5 разряда","")," 6 разряда","")," 1 категории","")," 2 категории","")," 3 категории",""))="инженер",IF(AND(ISNUMBER(SEARCH("техническ",E283)),ISNUMBER(SEARCH("контрол",E283))),"инженер отк",IF(ISNUMBER(SEARCH("диспетч",E283)),"инженер пдо",TRIM(SUBSTITUTE(SUBSTITUTE(SUBSTITUTE(SUBSTITUTE(SUBSTITUTE(SUBSTITUTE(SUBSTITUTE(SUBSTITUTE(SUBSTITUTE(SUBSTITUTE(SUBSTITUTE(LOWER(TRIM(D283)),"ё","е"),"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категории","")))),IF(TRIM(SUBSTITUTE(SUBSTITUTE(SUBSTITUTE(SUBSTITUTE(SUBSTITUTE(SUBSTITUTE(SUBSTITUTE(SUBSTITUTE(SUBSTITUTE(SUBSTITUTE(SUBSTITUTE(LOWER(TRIM(D283)),"ё","е")," -","-"),"- ","-")," 2 разряда","")," 3 разряда","")," 4 разряда","")," 5 разряда","")," 6 разряда","")," 1 категории","")," 2 категории","")," 3 категории",""))="ведущий инженер",IF(ISNUMBER(SEARCH("диспетч",E283)),"ведущий инженер пдо",TRIM(SUBSTITUTE(SUBSTITUTE(SUBSTITUTE(SUBSTITUTE(SUBSTITUTE(SUBSTITUTE(SUBSTITUTE(SUBSTITUTE(SUBSTITUTE(SUBSTITUTE(SUBSTITUTE(LOWER(TRIM(D283)),"ё","е"),"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отк",TRIM(SUBSTITUTE(SUBSTITUTE(SUBSTITUTE(SUBSTITUTE(SUBSTITUTE(SUBSTITUTE(SUBSTITUTE(SUBSTITUTE(SUBSTITUTE(SUBSTITUTE(SUBSTITUTE(LOWER(TRIM(D283)),"ё","е")," -","-"),"- ","-")," 2 разряда","")," 3 разряда","")," 4 разряда","")," 5 разряда","")," 6 разряда","")," 1 категории","")," 2 категории","")," 3 категории","")))))</f>
        <v>электромонтажник</v>
      </c>
      <c r="H283" s="11" t="n">
        <f aca="false">IFERROR(INDEX(Соответствие!$B$2:$B$76,MATCH(G283,Соответствие!$A$2:$A$76,0)),"?")</f>
        <v>20</v>
      </c>
      <c r="I283" s="8" t="str">
        <f aca="false">IFERROR(INDEX('Перечень должностей'!$C$2:$C$46,MATCH(H283,'Перечень должностей'!$A$2:$A$46,0)),"")</f>
        <v>п.4.3.1, п.4.3.2, п.4.4, п.4.9, п.5.1, п.5.2, п.6.2, п.9</v>
      </c>
      <c r="J283" s="11" t="n">
        <f aca="false">IFERROR(INDEX('Перечень должностей'!$D$2:$D$46,MATCH(H283,'Перечень должностей'!$A$2:$A$46,0)),12)</f>
        <v>12</v>
      </c>
      <c r="K283" s="16"/>
      <c r="L283" s="16"/>
      <c r="M283" s="15" t="str">
        <f aca="false">IF(K283="","",EDATE(IF(L283&lt;&gt;"",L283,K283),J283))</f>
        <v/>
      </c>
      <c r="N283" s="11" t="str">
        <f aca="false">IFERROR(INDEX('Перечень должностей'!$F$2:$F$46,MATCH(H283,'Перечень должностей'!$A$2:$A$46,0)),"")</f>
        <v>Да</v>
      </c>
      <c r="O283" s="16"/>
      <c r="P283" s="15" t="str">
        <f aca="false">IF(O283="","",EDATE(O283,60))</f>
        <v/>
      </c>
      <c r="Q283" s="11" t="str">
        <f aca="false">IF(AND(K283&lt;&gt;"",F283&lt;&gt;"",K283&gt;F283),"ДА","")</f>
        <v/>
      </c>
      <c r="R283" s="8"/>
    </row>
    <row r="284" customFormat="false" ht="26.25" hidden="false" customHeight="true" outlineLevel="0" collapsed="false">
      <c r="A284" s="14" t="n">
        <v>283</v>
      </c>
      <c r="B284" s="11" t="s">
        <v>369</v>
      </c>
      <c r="C284" s="14" t="s">
        <v>709</v>
      </c>
      <c r="D284" s="14" t="s">
        <v>79</v>
      </c>
      <c r="E284" s="14" t="s">
        <v>707</v>
      </c>
      <c r="F284" s="15" t="n">
        <v>45875</v>
      </c>
      <c r="G284" s="4" t="str">
        <f aca="false">IF(TRIM(SUBSTITUTE(SUBSTITUTE(SUBSTITUTE(SUBSTITUTE(SUBSTITUTE(SUBSTITUTE(SUBSTITUTE(SUBSTITUTE(SUBSTITUTE(SUBSTITUTE(SUBSTITUTE(LOWER(TRIM(D284)),"ё","е")," -","-"),"- ","-")," 2 разряда","")," 3 разряда","")," 4 разряда","")," 5 разряда","")," 6 разряда","")," 1 категории","")," 2 категории","")," 3 категории",""))="инженер",IF(AND(ISNUMBER(SEARCH("техническ",E284)),ISNUMBER(SEARCH("контрол",E284))),"инженер отк",IF(ISNUMBER(SEARCH("диспетч",E284)),"инженер пдо",TRIM(SUBSTITUTE(SUBSTITUTE(SUBSTITUTE(SUBSTITUTE(SUBSTITUTE(SUBSTITUTE(SUBSTITUTE(SUBSTITUTE(SUBSTITUTE(SUBSTITUTE(SUBSTITUTE(LOWER(TRIM(D284)),"ё","е"),"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категории","")))),IF(TRIM(SUBSTITUTE(SUBSTITUTE(SUBSTITUTE(SUBSTITUTE(SUBSTITUTE(SUBSTITUTE(SUBSTITUTE(SUBSTITUTE(SUBSTITUTE(SUBSTITUTE(SUBSTITUTE(LOWER(TRIM(D284)),"ё","е")," -","-"),"- ","-")," 2 разряда","")," 3 разряда","")," 4 разряда","")," 5 разряда","")," 6 разряда","")," 1 категории","")," 2 категории","")," 3 категории",""))="ведущий инженер",IF(ISNUMBER(SEARCH("диспетч",E284)),"ведущий инженер пдо",TRIM(SUBSTITUTE(SUBSTITUTE(SUBSTITUTE(SUBSTITUTE(SUBSTITUTE(SUBSTITUTE(SUBSTITUTE(SUBSTITUTE(SUBSTITUTE(SUBSTITUTE(SUBSTITUTE(LOWER(TRIM(D284)),"ё","е"),"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отк",TRIM(SUBSTITUTE(SUBSTITUTE(SUBSTITUTE(SUBSTITUTE(SUBSTITUTE(SUBSTITUTE(SUBSTITUTE(SUBSTITUTE(SUBSTITUTE(SUBSTITUTE(SUBSTITUTE(LOWER(TRIM(D284)),"ё","е")," -","-"),"- ","-")," 2 разряда","")," 3 разряда","")," 4 разряда","")," 5 разряда","")," 6 разряда","")," 1 категории","")," 2 категории","")," 3 категории","")))))</f>
        <v>электромонтажник</v>
      </c>
      <c r="H284" s="11" t="n">
        <f aca="false">IFERROR(INDEX(Соответствие!$B$2:$B$76,MATCH(G284,Соответствие!$A$2:$A$76,0)),"?")</f>
        <v>20</v>
      </c>
      <c r="I284" s="8" t="str">
        <f aca="false">IFERROR(INDEX('Перечень должностей'!$C$2:$C$46,MATCH(H284,'Перечень должностей'!$A$2:$A$46,0)),"")</f>
        <v>п.4.3.1, п.4.3.2, п.4.4, п.4.9, п.5.1, п.5.2, п.6.2, п.9</v>
      </c>
      <c r="J284" s="11" t="n">
        <f aca="false">IFERROR(INDEX('Перечень должностей'!$D$2:$D$46,MATCH(H284,'Перечень должностей'!$A$2:$A$46,0)),12)</f>
        <v>12</v>
      </c>
      <c r="K284" s="16" t="n">
        <v>45874</v>
      </c>
      <c r="L284" s="16"/>
      <c r="M284" s="15" t="n">
        <f aca="false">IF(K284="","",EDATE(IF(L284&lt;&gt;"",L284,K284),J284))</f>
        <v>46239</v>
      </c>
      <c r="N284" s="11" t="str">
        <f aca="false">IFERROR(INDEX('Перечень должностей'!$F$2:$F$46,MATCH(H284,'Перечень должностей'!$A$2:$A$46,0)),"")</f>
        <v>Да</v>
      </c>
      <c r="O284" s="16"/>
      <c r="P284" s="15" t="str">
        <f aca="false">IF(O284="","",EDATE(O284,60))</f>
        <v/>
      </c>
      <c r="Q284" s="11" t="str">
        <f aca="false">IF(AND(K284&lt;&gt;"",F284&lt;&gt;"",K284&gt;F284),"ДА","")</f>
        <v/>
      </c>
      <c r="R284" s="8"/>
    </row>
    <row r="285" customFormat="false" ht="26.25" hidden="false" customHeight="true" outlineLevel="0" collapsed="false">
      <c r="A285" s="14" t="n">
        <v>284</v>
      </c>
      <c r="B285" s="11" t="s">
        <v>369</v>
      </c>
      <c r="C285" s="14" t="s">
        <v>710</v>
      </c>
      <c r="D285" s="14" t="s">
        <v>79</v>
      </c>
      <c r="E285" s="14" t="s">
        <v>707</v>
      </c>
      <c r="F285" s="15" t="n">
        <v>45838</v>
      </c>
      <c r="G285" s="4" t="str">
        <f aca="false">IF(TRIM(SUBSTITUTE(SUBSTITUTE(SUBSTITUTE(SUBSTITUTE(SUBSTITUTE(SUBSTITUTE(SUBSTITUTE(SUBSTITUTE(SUBSTITUTE(SUBSTITUTE(SUBSTITUTE(LOWER(TRIM(D285)),"ё","е")," -","-"),"- ","-")," 2 разряда","")," 3 разряда","")," 4 разряда","")," 5 разряда","")," 6 разряда","")," 1 категории","")," 2 категории","")," 3 категории",""))="инженер",IF(AND(ISNUMBER(SEARCH("техническ",E285)),ISNUMBER(SEARCH("контрол",E285))),"инженер отк",IF(ISNUMBER(SEARCH("диспетч",E285)),"инженер пдо",TRIM(SUBSTITUTE(SUBSTITUTE(SUBSTITUTE(SUBSTITUTE(SUBSTITUTE(SUBSTITUTE(SUBSTITUTE(SUBSTITUTE(SUBSTITUTE(SUBSTITUTE(SUBSTITUTE(LOWER(TRIM(D285)),"ё","е"),"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категории","")))),IF(TRIM(SUBSTITUTE(SUBSTITUTE(SUBSTITUTE(SUBSTITUTE(SUBSTITUTE(SUBSTITUTE(SUBSTITUTE(SUBSTITUTE(SUBSTITUTE(SUBSTITUTE(SUBSTITUTE(LOWER(TRIM(D285)),"ё","е")," -","-"),"- ","-")," 2 разряда","")," 3 разряда","")," 4 разряда","")," 5 разряда","")," 6 разряда","")," 1 категории","")," 2 категории","")," 3 категории",""))="ведущий инженер",IF(ISNUMBER(SEARCH("диспетч",E285)),"ведущий инженер пдо",TRIM(SUBSTITUTE(SUBSTITUTE(SUBSTITUTE(SUBSTITUTE(SUBSTITUTE(SUBSTITUTE(SUBSTITUTE(SUBSTITUTE(SUBSTITUTE(SUBSTITUTE(SUBSTITUTE(LOWER(TRIM(D285)),"ё","е"),"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отк",TRIM(SUBSTITUTE(SUBSTITUTE(SUBSTITUTE(SUBSTITUTE(SUBSTITUTE(SUBSTITUTE(SUBSTITUTE(SUBSTITUTE(SUBSTITUTE(SUBSTITUTE(SUBSTITUTE(LOWER(TRIM(D285)),"ё","е")," -","-"),"- ","-")," 2 разряда","")," 3 разряда","")," 4 разряда","")," 5 разряда","")," 6 разряда","")," 1 категории","")," 2 категории","")," 3 категории","")))))</f>
        <v>электромонтажник</v>
      </c>
      <c r="H285" s="11" t="n">
        <f aca="false">IFERROR(INDEX(Соответствие!$B$2:$B$76,MATCH(G285,Соответствие!$A$2:$A$76,0)),"?")</f>
        <v>20</v>
      </c>
      <c r="I285" s="8" t="str">
        <f aca="false">IFERROR(INDEX('Перечень должностей'!$C$2:$C$46,MATCH(H285,'Перечень должностей'!$A$2:$A$46,0)),"")</f>
        <v>п.4.3.1, п.4.3.2, п.4.4, п.4.9, п.5.1, п.5.2, п.6.2, п.9</v>
      </c>
      <c r="J285" s="11" t="n">
        <f aca="false">IFERROR(INDEX('Перечень должностей'!$D$2:$D$46,MATCH(H285,'Перечень должностей'!$A$2:$A$46,0)),12)</f>
        <v>12</v>
      </c>
      <c r="K285" s="16" t="n">
        <v>45832</v>
      </c>
      <c r="L285" s="16"/>
      <c r="M285" s="15" t="n">
        <f aca="false">IF(K285="","",EDATE(IF(L285&lt;&gt;"",L285,K285),J285))</f>
        <v>46197</v>
      </c>
      <c r="N285" s="11" t="str">
        <f aca="false">IFERROR(INDEX('Перечень должностей'!$F$2:$F$46,MATCH(H285,'Перечень должностей'!$A$2:$A$46,0)),"")</f>
        <v>Да</v>
      </c>
      <c r="O285" s="16"/>
      <c r="P285" s="15" t="str">
        <f aca="false">IF(O285="","",EDATE(O285,60))</f>
        <v/>
      </c>
      <c r="Q285" s="11" t="str">
        <f aca="false">IF(AND(K285&lt;&gt;"",F285&lt;&gt;"",K285&gt;F285),"ДА","")</f>
        <v/>
      </c>
      <c r="R285" s="8"/>
    </row>
    <row r="286" customFormat="false" ht="26.25" hidden="false" customHeight="true" outlineLevel="0" collapsed="false">
      <c r="A286" s="14" t="n">
        <v>285</v>
      </c>
      <c r="B286" s="11" t="s">
        <v>369</v>
      </c>
      <c r="C286" s="14" t="s">
        <v>711</v>
      </c>
      <c r="D286" s="14" t="s">
        <v>79</v>
      </c>
      <c r="E286" s="14" t="s">
        <v>707</v>
      </c>
      <c r="F286" s="15" t="n">
        <v>45992</v>
      </c>
      <c r="G286" s="4" t="str">
        <f aca="false">IF(TRIM(SUBSTITUTE(SUBSTITUTE(SUBSTITUTE(SUBSTITUTE(SUBSTITUTE(SUBSTITUTE(SUBSTITUTE(SUBSTITUTE(SUBSTITUTE(SUBSTITUTE(SUBSTITUTE(LOWER(TRIM(D286)),"ё","е")," -","-"),"- ","-")," 2 разряда","")," 3 разряда","")," 4 разряда","")," 5 разряда","")," 6 разряда","")," 1 категории","")," 2 категории","")," 3 категории",""))="инженер",IF(AND(ISNUMBER(SEARCH("техническ",E286)),ISNUMBER(SEARCH("контрол",E286))),"инженер отк",IF(ISNUMBER(SEARCH("диспетч",E286)),"инженер пдо",TRIM(SUBSTITUTE(SUBSTITUTE(SUBSTITUTE(SUBSTITUTE(SUBSTITUTE(SUBSTITUTE(SUBSTITUTE(SUBSTITUTE(SUBSTITUTE(SUBSTITUTE(SUBSTITUTE(LOWER(TRIM(D286)),"ё","е"),"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категории","")))),IF(TRIM(SUBSTITUTE(SUBSTITUTE(SUBSTITUTE(SUBSTITUTE(SUBSTITUTE(SUBSTITUTE(SUBSTITUTE(SUBSTITUTE(SUBSTITUTE(SUBSTITUTE(SUBSTITUTE(LOWER(TRIM(D286)),"ё","е")," -","-"),"- ","-")," 2 разряда","")," 3 разряда","")," 4 разряда","")," 5 разряда","")," 6 разряда","")," 1 категории","")," 2 категории","")," 3 категории",""))="ведущий инженер",IF(ISNUMBER(SEARCH("диспетч",E286)),"ведущий инженер пдо",TRIM(SUBSTITUTE(SUBSTITUTE(SUBSTITUTE(SUBSTITUTE(SUBSTITUTE(SUBSTITUTE(SUBSTITUTE(SUBSTITUTE(SUBSTITUTE(SUBSTITUTE(SUBSTITUTE(LOWER(TRIM(D286)),"ё","е"),"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отк",TRIM(SUBSTITUTE(SUBSTITUTE(SUBSTITUTE(SUBSTITUTE(SUBSTITUTE(SUBSTITUTE(SUBSTITUTE(SUBSTITUTE(SUBSTITUTE(SUBSTITUTE(SUBSTITUTE(LOWER(TRIM(D286)),"ё","е")," -","-"),"- ","-")," 2 разряда","")," 3 разряда","")," 4 разряда","")," 5 разряда","")," 6 разряда","")," 1 категории","")," 2 категории","")," 3 категории","")))))</f>
        <v>электромонтажник</v>
      </c>
      <c r="H286" s="11" t="n">
        <f aca="false">IFERROR(INDEX(Соответствие!$B$2:$B$76,MATCH(G286,Соответствие!$A$2:$A$76,0)),"?")</f>
        <v>20</v>
      </c>
      <c r="I286" s="8" t="str">
        <f aca="false">IFERROR(INDEX('Перечень должностей'!$C$2:$C$46,MATCH(H286,'Перечень должностей'!$A$2:$A$46,0)),"")</f>
        <v>п.4.3.1, п.4.3.2, п.4.4, п.4.9, п.5.1, п.5.2, п.6.2, п.9</v>
      </c>
      <c r="J286" s="11" t="n">
        <f aca="false">IFERROR(INDEX('Перечень должностей'!$D$2:$D$46,MATCH(H286,'Перечень должностей'!$A$2:$A$46,0)),12)</f>
        <v>12</v>
      </c>
      <c r="K286" s="16" t="n">
        <v>45967</v>
      </c>
      <c r="L286" s="16"/>
      <c r="M286" s="15" t="n">
        <f aca="false">IF(K286="","",EDATE(IF(L286&lt;&gt;"",L286,K286),J286))</f>
        <v>46332</v>
      </c>
      <c r="N286" s="11" t="str">
        <f aca="false">IFERROR(INDEX('Перечень должностей'!$F$2:$F$46,MATCH(H286,'Перечень должностей'!$A$2:$A$46,0)),"")</f>
        <v>Да</v>
      </c>
      <c r="O286" s="16"/>
      <c r="P286" s="15" t="str">
        <f aca="false">IF(O286="","",EDATE(O286,60))</f>
        <v/>
      </c>
      <c r="Q286" s="11" t="str">
        <f aca="false">IF(AND(K286&lt;&gt;"",F286&lt;&gt;"",K286&gt;F286),"ДА","")</f>
        <v/>
      </c>
      <c r="R286" s="8"/>
    </row>
    <row r="287" customFormat="false" ht="26.25" hidden="false" customHeight="true" outlineLevel="0" collapsed="false">
      <c r="A287" s="14" t="n">
        <v>286</v>
      </c>
      <c r="B287" s="11" t="s">
        <v>369</v>
      </c>
      <c r="C287" s="14" t="s">
        <v>712</v>
      </c>
      <c r="D287" s="14" t="s">
        <v>75</v>
      </c>
      <c r="E287" s="14" t="s">
        <v>713</v>
      </c>
      <c r="F287" s="15" t="n">
        <v>45989</v>
      </c>
      <c r="G287" s="4" t="str">
        <f aca="false">IF(TRIM(SUBSTITUTE(SUBSTITUTE(SUBSTITUTE(SUBSTITUTE(SUBSTITUTE(SUBSTITUTE(SUBSTITUTE(SUBSTITUTE(SUBSTITUTE(SUBSTITUTE(SUBSTITUTE(LOWER(TRIM(D287)),"ё","е")," -","-"),"- ","-")," 2 разряда","")," 3 разряда","")," 4 разряда","")," 5 разряда","")," 6 разряда","")," 1 категории","")," 2 категории","")," 3 категории",""))="инженер",IF(AND(ISNUMBER(SEARCH("техническ",E287)),ISNUMBER(SEARCH("контрол",E287))),"инженер отк",IF(ISNUMBER(SEARCH("диспетч",E287)),"инженер пдо",TRIM(SUBSTITUTE(SUBSTITUTE(SUBSTITUTE(SUBSTITUTE(SUBSTITUTE(SUBSTITUTE(SUBSTITUTE(SUBSTITUTE(SUBSTITUTE(SUBSTITUTE(SUBSTITUTE(LOWER(TRIM(D287)),"ё","е"),"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категории","")))),IF(TRIM(SUBSTITUTE(SUBSTITUTE(SUBSTITUTE(SUBSTITUTE(SUBSTITUTE(SUBSTITUTE(SUBSTITUTE(SUBSTITUTE(SUBSTITUTE(SUBSTITUTE(SUBSTITUTE(LOWER(TRIM(D287)),"ё","е")," -","-"),"- ","-")," 2 разряда","")," 3 разряда","")," 4 разряда","")," 5 разряда","")," 6 разряда","")," 1 категории","")," 2 категории","")," 3 категории",""))="ведущий инженер",IF(ISNUMBER(SEARCH("диспетч",E287)),"ведущий инженер пдо",TRIM(SUBSTITUTE(SUBSTITUTE(SUBSTITUTE(SUBSTITUTE(SUBSTITUTE(SUBSTITUTE(SUBSTITUTE(SUBSTITUTE(SUBSTITUTE(SUBSTITUTE(SUBSTITUTE(LOWER(TRIM(D287)),"ё","е"),"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отк",TRIM(SUBSTITUTE(SUBSTITUTE(SUBSTITUTE(SUBSTITUTE(SUBSTITUTE(SUBSTITUTE(SUBSTITUTE(SUBSTITUTE(SUBSTITUTE(SUBSTITUTE(SUBSTITUTE(LOWER(TRIM(D287)),"ё","е")," -","-"),"- ","-")," 2 разряда","")," 3 разряда","")," 4 разряда","")," 5 разряда","")," 6 разряда","")," 1 категории","")," 2 категории","")," 3 категории","")))))</f>
        <v>кладовщик</v>
      </c>
      <c r="H287" s="11" t="n">
        <f aca="false">IFERROR(INDEX(Соответствие!$B$2:$B$76,MATCH(G287,Соответствие!$A$2:$A$76,0)),"?")</f>
        <v>14</v>
      </c>
      <c r="I287" s="8" t="str">
        <f aca="false">IFERROR(INDEX('Перечень должностей'!$C$2:$C$46,MATCH(H287,'Перечень должностей'!$A$2:$A$46,0)),"")</f>
        <v>п.4.4, п.5.1, п.6.2</v>
      </c>
      <c r="J287" s="11" t="n">
        <f aca="false">IFERROR(INDEX('Перечень должностей'!$D$2:$D$46,MATCH(H287,'Перечень должностей'!$A$2:$A$46,0)),12)</f>
        <v>12</v>
      </c>
      <c r="K287" s="16" t="n">
        <v>45987</v>
      </c>
      <c r="L287" s="16"/>
      <c r="M287" s="15" t="n">
        <f aca="false">IF(K287="","",EDATE(IF(L287&lt;&gt;"",L287,K287),J287))</f>
        <v>46352</v>
      </c>
      <c r="N287" s="11" t="str">
        <f aca="false">IFERROR(INDEX('Перечень должностей'!$F$2:$F$46,MATCH(H287,'Перечень должностей'!$A$2:$A$46,0)),"")</f>
        <v>-</v>
      </c>
      <c r="O287" s="16"/>
      <c r="P287" s="15" t="str">
        <f aca="false">IF(O287="","",EDATE(O287,60))</f>
        <v/>
      </c>
      <c r="Q287" s="11" t="str">
        <f aca="false">IF(AND(K287&lt;&gt;"",F287&lt;&gt;"",K287&gt;F287),"ДА","")</f>
        <v/>
      </c>
      <c r="R287" s="8"/>
    </row>
    <row r="288" customFormat="false" ht="26.25" hidden="false" customHeight="true" outlineLevel="0" collapsed="false">
      <c r="A288" s="14" t="n">
        <v>287</v>
      </c>
      <c r="B288" s="11" t="s">
        <v>369</v>
      </c>
      <c r="C288" s="14" t="s">
        <v>714</v>
      </c>
      <c r="D288" s="14" t="s">
        <v>715</v>
      </c>
      <c r="E288" s="14" t="s">
        <v>716</v>
      </c>
      <c r="F288" s="15" t="n">
        <v>46223</v>
      </c>
      <c r="G288" s="4" t="str">
        <f aca="false">IF(TRIM(SUBSTITUTE(SUBSTITUTE(SUBSTITUTE(SUBSTITUTE(SUBSTITUTE(SUBSTITUTE(SUBSTITUTE(SUBSTITUTE(SUBSTITUTE(SUBSTITUTE(SUBSTITUTE(LOWER(TRIM(D288)),"ё","е")," -","-"),"- ","-")," 2 разряда","")," 3 разряда","")," 4 разряда","")," 5 разряда","")," 6 разряда","")," 1 категории","")," 2 категории","")," 3 категории",""))="инженер",IF(AND(ISNUMBER(SEARCH("техническ",E288)),ISNUMBER(SEARCH("контрол",E288))),"инженер отк",IF(ISNUMBER(SEARCH("диспетч",E288)),"инженер пдо",TRIM(SUBSTITUTE(SUBSTITUTE(SUBSTITUTE(SUBSTITUTE(SUBSTITUTE(SUBSTITUTE(SUBSTITUTE(SUBSTITUTE(SUBSTITUTE(SUBSTITUTE(SUBSTITUTE(LOWER(TRIM(D288)),"ё","е"),"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категории","")))),IF(TRIM(SUBSTITUTE(SUBSTITUTE(SUBSTITUTE(SUBSTITUTE(SUBSTITUTE(SUBSTITUTE(SUBSTITUTE(SUBSTITUTE(SUBSTITUTE(SUBSTITUTE(SUBSTITUTE(LOWER(TRIM(D288)),"ё","е")," -","-"),"- ","-")," 2 разряда","")," 3 разряда","")," 4 разряда","")," 5 разряда","")," 6 разряда","")," 1 категории","")," 2 категории","")," 3 категории",""))="ведущий инженер",IF(ISNUMBER(SEARCH("диспетч",E288)),"ведущий инженер пдо",TRIM(SUBSTITUTE(SUBSTITUTE(SUBSTITUTE(SUBSTITUTE(SUBSTITUTE(SUBSTITUTE(SUBSTITUTE(SUBSTITUTE(SUBSTITUTE(SUBSTITUTE(SUBSTITUTE(LOWER(TRIM(D288)),"ё","е"),"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отк",TRIM(SUBSTITUTE(SUBSTITUTE(SUBSTITUTE(SUBSTITUTE(SUBSTITUTE(SUBSTITUTE(SUBSTITUTE(SUBSTITUTE(SUBSTITUTE(SUBSTITUTE(SUBSTITUTE(LOWER(TRIM(D288)),"ё","е")," -","-"),"- ","-")," 2 разряда","")," 3 разряда","")," 4 разряда","")," 5 разряда","")," 6 разряда","")," 1 категории","")," 2 категории","")," 3 категории","")))))</f>
        <v>технический работник</v>
      </c>
      <c r="H288" s="11" t="n">
        <f aca="false">IFERROR(INDEX(Соответствие!$B$2:$B$76,MATCH(G288,Соответствие!$A$2:$A$76,0)),"?")</f>
        <v>10</v>
      </c>
      <c r="I288" s="8" t="str">
        <f aca="false">IFERROR(INDEX('Перечень должностей'!$C$2:$C$46,MATCH(H288,'Перечень должностей'!$A$2:$A$46,0)),"")</f>
        <v>п.1.48, п.4.3.1, п.4.4, п.5.1</v>
      </c>
      <c r="J288" s="11" t="n">
        <f aca="false">IFERROR(INDEX('Перечень должностей'!$D$2:$D$46,MATCH(H288,'Перечень должностей'!$A$2:$A$46,0)),12)</f>
        <v>12</v>
      </c>
      <c r="K288" s="16" t="n">
        <v>46212</v>
      </c>
      <c r="L288" s="16"/>
      <c r="M288" s="15" t="n">
        <f aca="false">IF(K288="","",EDATE(IF(L288&lt;&gt;"",L288,K288),J288))</f>
        <v>46577</v>
      </c>
      <c r="N288" s="11" t="str">
        <f aca="false">IFERROR(INDEX('Перечень должностей'!$F$2:$F$46,MATCH(H288,'Перечень должностей'!$A$2:$A$46,0)),"")</f>
        <v>-</v>
      </c>
      <c r="O288" s="16"/>
      <c r="P288" s="15" t="str">
        <f aca="false">IF(O288="","",EDATE(O288,60))</f>
        <v/>
      </c>
      <c r="Q288" s="11" t="str">
        <f aca="false">IF(AND(K288&lt;&gt;"",F288&lt;&gt;"",K288&gt;F288),"ДА","")</f>
        <v/>
      </c>
      <c r="R288" s="8"/>
    </row>
    <row r="289" customFormat="false" ht="14.25" hidden="false" customHeight="false" outlineLevel="0" collapsed="false">
      <c r="A289" s="14" t="n">
        <v>288</v>
      </c>
      <c r="B289" s="11" t="s">
        <v>717</v>
      </c>
      <c r="C289" s="14" t="s">
        <v>718</v>
      </c>
      <c r="D289" s="14" t="s">
        <v>715</v>
      </c>
      <c r="E289" s="14" t="s">
        <v>719</v>
      </c>
      <c r="F289" s="15" t="n">
        <v>46002</v>
      </c>
      <c r="G289" s="4" t="str">
        <f aca="false">IF(TRIM(SUBSTITUTE(SUBSTITUTE(SUBSTITUTE(SUBSTITUTE(SUBSTITUTE(SUBSTITUTE(SUBSTITUTE(SUBSTITUTE(SUBSTITUTE(SUBSTITUTE(SUBSTITUTE(LOWER(TRIM(D289)),"ё","е")," -","-"),"- ","-")," 2 разряда","")," 3 разряда","")," 4 разряда","")," 5 разряда","")," 6 разряда","")," 1 категории","")," 2 категории","")," 3 категории",""))="инженер",IF(AND(ISNUMBER(SEARCH("техническ",E289)),ISNUMBER(SEARCH("контрол",E289))),"инженер отк",IF(ISNUMBER(SEARCH("диспетч",E289)),"инженер пдо",TRIM(SUBSTITUTE(SUBSTITUTE(SUBSTITUTE(SUBSTITUTE(SUBSTITUTE(SUBSTITUTE(SUBSTITUTE(SUBSTITUTE(SUBSTITUTE(SUBSTITUTE(SUBSTITUTE(LOWER(TRIM(D289)),"ё","е"),"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категории","")))),IF(TRIM(SUBSTITUTE(SUBSTITUTE(SUBSTITUTE(SUBSTITUTE(SUBSTITUTE(SUBSTITUTE(SUBSTITUTE(SUBSTITUTE(SUBSTITUTE(SUBSTITUTE(SUBSTITUTE(LOWER(TRIM(D289)),"ё","е")," -","-"),"- ","-")," 2 разряда","")," 3 разряда","")," 4 разряда","")," 5 разряда","")," 6 разряда","")," 1 категории","")," 2 категории","")," 3 категории",""))="ведущий инженер",IF(ISNUMBER(SEARCH("диспетч",E289)),"ведущий инженер пдо",TRIM(SUBSTITUTE(SUBSTITUTE(SUBSTITUTE(SUBSTITUTE(SUBSTITUTE(SUBSTITUTE(SUBSTITUTE(SUBSTITUTE(SUBSTITUTE(SUBSTITUTE(SUBSTITUTE(LOWER(TRIM(D289)),"ё","е"),"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категории",""))),IF(TRIM(SUBSTITUTE(SUBSTITUTE(SUBSTITUTE(SUBSTITUTE(SUBSTITUTE(SUBSTITUTE(SUBSTITUTE(SUBSTITUTE(SUBSTITUTE(SUBSTITUTE(SUBSTITUTE(LOWER(TRIM(D289)),"ё","е"),"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отк",TRIM(SUBSTITUTE(SUBSTITUTE(SUBSTITUTE(SUBSTITUTE(SUBSTITUTE(SUBSTITUTE(SUBSTITUTE(SUBSTITUTE(SUBSTITUTE(SUBSTITUTE(SUBSTITUTE(LOWER(TRIM(D289)),"ё","е")," -","-"),"- ","-")," 2 разряда","")," 3 разряда","")," 4 разряда","")," 5 разряда","")," 6 разряда","")," 1 категории","")," 2 категории","")," 3 категории","")))))</f>
        <v>технический работник</v>
      </c>
      <c r="H289" s="11" t="n">
        <f aca="false">IFERROR(INDEX(Соответствие!$B$2:$B$76,MATCH(G289,Соответствие!$A$2:$A$76,0)),"?")</f>
        <v>10</v>
      </c>
      <c r="I289" s="8" t="str">
        <f aca="false">IFERROR(INDEX('Перечень должностей'!$C$2:$C$46,MATCH(H289,'Перечень должностей'!$A$2:$A$46,0)),"")</f>
        <v>п.1.48, п.4.3.1, п.4.4, п.5.1</v>
      </c>
      <c r="J289" s="11" t="n">
        <f aca="false">IFERROR(INDEX('Перечень должностей'!$D$2:$D$46,MATCH(H289,'Перечень должностей'!$A$2:$A$46,0)),12)</f>
        <v>12</v>
      </c>
      <c r="K289" s="16"/>
      <c r="L289" s="16"/>
      <c r="M289" s="15" t="str">
        <f aca="false">IF(K289="","",EDATE(IF(L289&lt;&gt;"",L289,K289),J289))</f>
        <v/>
      </c>
      <c r="N289" s="11" t="str">
        <f aca="false">IFERROR(INDEX('Перечень должностей'!$F$2:$F$46,MATCH(H289,'Перечень должностей'!$A$2:$A$46,0)),"")</f>
        <v>-</v>
      </c>
      <c r="O289" s="16"/>
      <c r="P289" s="15" t="str">
        <f aca="false">IF(O289="","",EDATE(O289,60))</f>
        <v/>
      </c>
      <c r="Q289" s="11" t="str">
        <f aca="false">IF(AND(K289&lt;&gt;"",F289&lt;&gt;"",K289&gt;F289),"ДА","")</f>
        <v/>
      </c>
      <c r="R289" s="8"/>
    </row>
    <row r="290" customFormat="false" ht="14.25" hidden="false" customHeight="false" outlineLevel="0" collapsed="false">
      <c r="A290" s="14" t="n">
        <v>289</v>
      </c>
      <c r="B290" s="11" t="s">
        <v>72</v>
      </c>
      <c r="C290" s="14" t="s">
        <v>720</v>
      </c>
      <c r="D290" s="14" t="s">
        <v>294</v>
      </c>
      <c r="E290" s="14" t="s">
        <v>721</v>
      </c>
      <c r="F290" s="15" t="n">
        <v>46191</v>
      </c>
      <c r="G290" s="4" t="str">
        <f aca="false">IF(TRIM(SUBSTITUTE(SUBSTITUTE(SUBSTITUTE(SUBSTITUTE(SUBSTITUTE(SUBSTITUTE(SUBSTITUTE(SUBSTITUTE(SUBSTITUTE(SUBSTITUTE(SUBSTITUTE(LOWER(TRIM(D290)),"ё","е")," -","-"),"- ","-")," 2 разряда","")," 3 разряда","")," 4 разряда","")," 5 разряда","")," 6 разряда","")," 1 категории","")," 2 категории","")," 3 категории",""))="инженер",IF(AND(ISNUMBER(SEARCH("техническ",E290)),ISNUMBER(SEARCH("контрол",E290))),"инженер отк",IF(ISNUMBER(SEARCH("диспетч",E290)),"инженер пдо",TRIM(SUBSTITUTE(SUBSTITUTE(SUBSTITUTE(SUBSTITUTE(SUBSTITUTE(SUBSTITUTE(SUBSTITUTE(SUBSTITUTE(SUBSTITUTE(SUBSTITUTE(SUBSTITUTE(LOWER(TRIM(D290)),"ё","е"),"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категории","")))),IF(TRIM(SUBSTITUTE(SUBSTITUTE(SUBSTITUTE(SUBSTITUTE(SUBSTITUTE(SUBSTITUTE(SUBSTITUTE(SUBSTITUTE(SUBSTITUTE(SUBSTITUTE(SUBSTITUTE(LOWER(TRIM(D290)),"ё","е")," -","-"),"- ","-")," 2 разряда","")," 3 разряда","")," 4 разряда","")," 5 разряда","")," 6 разряда","")," 1 категории","")," 2 категории","")," 3 категории",""))="ведущий инженер",IF(ISNUMBER(SEARCH("диспетч",E290)),"ведущий инженер пдо",TRIM(SUBSTITUTE(SUBSTITUTE(SUBSTITUTE(SUBSTITUTE(SUBSTITUTE(SUBSTITUTE(SUBSTITUTE(SUBSTITUTE(SUBSTITUTE(SUBSTITUTE(SUBSTITUTE(LOWER(TRIM(D290)),"ё","е"),"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отк",TRIM(SUBSTITUTE(SUBSTITUTE(SUBSTITUTE(SUBSTITUTE(SUBSTITUTE(SUBSTITUTE(SUBSTITUTE(SUBSTITUTE(SUBSTITUTE(SUBSTITUTE(SUBSTITUTE(LOWER(TRIM(D290)),"ё","е")," -","-"),"- ","-")," 2 разряда","")," 3 разряда","")," 4 разряда","")," 5 разряда","")," 6 разряда","")," 1 категории","")," 2 категории","")," 3 категории","")))))</f>
        <v>специалист</v>
      </c>
      <c r="H290" s="11" t="n">
        <f aca="false">IFERROR(INDEX(Соответствие!$B$2:$B$76,MATCH(G290,Соответствие!$A$2:$A$76,0)),"?")</f>
        <v>12</v>
      </c>
      <c r="I290" s="8" t="str">
        <f aca="false">IFERROR(INDEX('Перечень должностей'!$C$2:$C$46,MATCH(H290,'Перечень должностей'!$A$2:$A$46,0)),"")</f>
        <v>п.4.4, п.5.1, п.5.2</v>
      </c>
      <c r="J290" s="11" t="n">
        <f aca="false">IFERROR(INDEX('Перечень должностей'!$D$2:$D$46,MATCH(H290,'Перечень должностей'!$A$2:$A$46,0)),12)</f>
        <v>12</v>
      </c>
      <c r="K290" s="16" t="n">
        <v>46189</v>
      </c>
      <c r="L290" s="16"/>
      <c r="M290" s="15" t="n">
        <f aca="false">IF(K290="","",EDATE(IF(L290&lt;&gt;"",L290,K290),J290))</f>
        <v>46554</v>
      </c>
      <c r="N290" s="11" t="str">
        <f aca="false">IFERROR(INDEX('Перечень должностей'!$F$2:$F$46,MATCH(H290,'Перечень должностей'!$A$2:$A$46,0)),"")</f>
        <v>-</v>
      </c>
      <c r="O290" s="16"/>
      <c r="P290" s="15" t="str">
        <f aca="false">IF(O290="","",EDATE(O290,60))</f>
        <v/>
      </c>
      <c r="Q290" s="11" t="str">
        <f aca="false">IF(AND(K290&lt;&gt;"",F290&lt;&gt;"",K290&gt;F290),"ДА","")</f>
        <v/>
      </c>
      <c r="R290" s="8"/>
    </row>
    <row r="291" customFormat="false" ht="23.85" hidden="false" customHeight="false" outlineLevel="0" collapsed="false">
      <c r="A291" s="14" t="n">
        <v>290</v>
      </c>
      <c r="B291" s="11" t="s">
        <v>72</v>
      </c>
      <c r="C291" s="14" t="s">
        <v>722</v>
      </c>
      <c r="D291" s="14" t="s">
        <v>283</v>
      </c>
      <c r="E291" s="14" t="s">
        <v>721</v>
      </c>
      <c r="F291" s="15" t="n">
        <v>46245</v>
      </c>
      <c r="G291" s="4" t="str">
        <f aca="false">IF(TRIM(SUBSTITUTE(SUBSTITUTE(SUBSTITUTE(SUBSTITUTE(SUBSTITUTE(SUBSTITUTE(SUBSTITUTE(SUBSTITUTE(SUBSTITUTE(SUBSTITUTE(SUBSTITUTE(LOWER(TRIM(D291)),"ё","е")," -","-"),"- ","-")," 2 разряда","")," 3 разряда","")," 4 разряда","")," 5 разряда","")," 6 разряда","")," 1 категории","")," 2 категории","")," 3 категории",""))="инженер",IF(AND(ISNUMBER(SEARCH("техническ",E291)),ISNUMBER(SEARCH("контрол",E291))),"инженер отк",IF(ISNUMBER(SEARCH("диспетч",E291)),"инженер пдо",TRIM(SUBSTITUTE(SUBSTITUTE(SUBSTITUTE(SUBSTITUTE(SUBSTITUTE(SUBSTITUTE(SUBSTITUTE(SUBSTITUTE(SUBSTITUTE(SUBSTITUTE(SUBSTITUTE(LOWER(TRIM(D291)),"ё","е"),"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категории","")))),IF(TRIM(SUBSTITUTE(SUBSTITUTE(SUBSTITUTE(SUBSTITUTE(SUBSTITUTE(SUBSTITUTE(SUBSTITUTE(SUBSTITUTE(SUBSTITUTE(SUBSTITUTE(SUBSTITUTE(LOWER(TRIM(D291)),"ё","е")," -","-"),"- ","-")," 2 разряда","")," 3 разряда","")," 4 разряда","")," 5 разряда","")," 6 разряда","")," 1 категории","")," 2 категории","")," 3 категории",""))="ведущий инженер",IF(ISNUMBER(SEARCH("диспетч",E291)),"ведущий инженер пдо",TRIM(SUBSTITUTE(SUBSTITUTE(SUBSTITUTE(SUBSTITUTE(SUBSTITUTE(SUBSTITUTE(SUBSTITUTE(SUBSTITUTE(SUBSTITUTE(SUBSTITUTE(SUBSTITUTE(LOWER(TRIM(D291)),"ё","е"),"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отк",TRIM(SUBSTITUTE(SUBSTITUTE(SUBSTITUTE(SUBSTITUTE(SUBSTITUTE(SUBSTITUTE(SUBSTITUTE(SUBSTITUTE(SUBSTITUTE(SUBSTITUTE(SUBSTITUTE(LOWER(TRIM(D291)),"ё","е")," -","-"),"- ","-")," 2 разряда","")," 3 разряда","")," 4 разряда","")," 5 разряда","")," 6 разряда","")," 1 категории","")," 2 категории","")," 3 категории","")))))</f>
        <v>разнорабочий</v>
      </c>
      <c r="H291" s="11" t="n">
        <f aca="false">IFERROR(INDEX(Соответствие!$B$2:$B$76,MATCH(G291,Соответствие!$A$2:$A$76,0)),"?")</f>
        <v>7</v>
      </c>
      <c r="I291" s="8" t="str">
        <f aca="false">IFERROR(INDEX('Перечень должностей'!$C$2:$C$46,MATCH(H291,'Перечень должностей'!$A$2:$A$46,0)),"")</f>
        <v>п.4.3.1, п.4.4, п.4.7, п.4.8, п.5.1, п.6.1</v>
      </c>
      <c r="J291" s="11" t="n">
        <f aca="false">IFERROR(INDEX('Перечень должностей'!$D$2:$D$46,MATCH(H291,'Перечень должностей'!$A$2:$A$46,0)),12)</f>
        <v>12</v>
      </c>
      <c r="K291" s="16"/>
      <c r="L291" s="16"/>
      <c r="M291" s="15" t="str">
        <f aca="false">IF(K291="","",EDATE(IF(L291&lt;&gt;"",L291,K291),J291))</f>
        <v/>
      </c>
      <c r="N291" s="11" t="str">
        <f aca="false">IFERROR(INDEX('Перечень должностей'!$F$2:$F$46,MATCH(H291,'Перечень должностей'!$A$2:$A$46,0)),"")</f>
        <v>-</v>
      </c>
      <c r="O291" s="16"/>
      <c r="P291" s="15" t="str">
        <f aca="false">IF(O291="","",EDATE(O291,60))</f>
        <v/>
      </c>
      <c r="Q291" s="11" t="str">
        <f aca="false">IF(AND(K291&lt;&gt;"",F291&lt;&gt;"",K291&gt;F291),"ДА","")</f>
        <v/>
      </c>
      <c r="R291" s="8"/>
    </row>
    <row r="292" customFormat="false" ht="14.25" hidden="false" customHeight="false" outlineLevel="0" collapsed="false">
      <c r="A292" s="14" t="n">
        <v>291</v>
      </c>
      <c r="B292" s="11" t="s">
        <v>72</v>
      </c>
      <c r="C292" s="14" t="s">
        <v>723</v>
      </c>
      <c r="D292" s="14" t="s">
        <v>625</v>
      </c>
      <c r="E292" s="14" t="s">
        <v>721</v>
      </c>
      <c r="F292" s="15" t="n">
        <v>45944</v>
      </c>
      <c r="G292" s="4" t="str">
        <f aca="false">IF(TRIM(SUBSTITUTE(SUBSTITUTE(SUBSTITUTE(SUBSTITUTE(SUBSTITUTE(SUBSTITUTE(SUBSTITUTE(SUBSTITUTE(SUBSTITUTE(SUBSTITUTE(SUBSTITUTE(LOWER(TRIM(D292)),"ё","е")," -","-"),"- ","-")," 2 разряда","")," 3 разряда","")," 4 разряда","")," 5 разряда","")," 6 разряда","")," 1 категории","")," 2 категории","")," 3 категории",""))="инженер",IF(AND(ISNUMBER(SEARCH("техническ",E292)),ISNUMBER(SEARCH("контрол",E292))),"инженер отк",IF(ISNUMBER(SEARCH("диспетч",E292)),"инженер пдо",TRIM(SUBSTITUTE(SUBSTITUTE(SUBSTITUTE(SUBSTITUTE(SUBSTITUTE(SUBSTITUTE(SUBSTITUTE(SUBSTITUTE(SUBSTITUTE(SUBSTITUTE(SUBSTITUTE(LOWER(TRIM(D292)),"ё","е"),"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категории","")))),IF(TRIM(SUBSTITUTE(SUBSTITUTE(SUBSTITUTE(SUBSTITUTE(SUBSTITUTE(SUBSTITUTE(SUBSTITUTE(SUBSTITUTE(SUBSTITUTE(SUBSTITUTE(SUBSTITUTE(LOWER(TRIM(D292)),"ё","е")," -","-"),"- ","-")," 2 разряда","")," 3 разряда","")," 4 разряда","")," 5 разряда","")," 6 разряда","")," 1 категории","")," 2 категории","")," 3 категории",""))="ведущий инженер",IF(ISNUMBER(SEARCH("диспетч",E292)),"ведущий инженер пдо",TRIM(SUBSTITUTE(SUBSTITUTE(SUBSTITUTE(SUBSTITUTE(SUBSTITUTE(SUBSTITUTE(SUBSTITUTE(SUBSTITUTE(SUBSTITUTE(SUBSTITUTE(SUBSTITUTE(LOWER(TRIM(D292)),"ё","е"),"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отк",TRIM(SUBSTITUTE(SUBSTITUTE(SUBSTITUTE(SUBSTITUTE(SUBSTITUTE(SUBSTITUTE(SUBSTITUTE(SUBSTITUTE(SUBSTITUTE(SUBSTITUTE(SUBSTITUTE(LOWER(TRIM(D292)),"ё","е")," -","-"),"- ","-")," 2 разряда","")," 3 разряда","")," 4 разряда","")," 5 разряда","")," 6 разряда","")," 1 категории","")," 2 категории","")," 3 категории","")))))</f>
        <v>уборщик производственных и служебных помещений</v>
      </c>
      <c r="H292" s="11" t="n">
        <f aca="false">IFERROR(INDEX(Соответствие!$B$2:$B$76,MATCH(G292,Соответствие!$A$2:$A$76,0)),"?")</f>
        <v>10</v>
      </c>
      <c r="I292" s="8" t="str">
        <f aca="false">IFERROR(INDEX('Перечень должностей'!$C$2:$C$46,MATCH(H292,'Перечень должностей'!$A$2:$A$46,0)),"")</f>
        <v>п.1.48, п.4.3.1, п.4.4, п.5.1</v>
      </c>
      <c r="J292" s="11" t="n">
        <f aca="false">IFERROR(INDEX('Перечень должностей'!$D$2:$D$46,MATCH(H292,'Перечень должностей'!$A$2:$A$46,0)),12)</f>
        <v>12</v>
      </c>
      <c r="K292" s="16"/>
      <c r="L292" s="16"/>
      <c r="M292" s="15" t="str">
        <f aca="false">IF(K292="","",EDATE(IF(L292&lt;&gt;"",L292,K292),J292))</f>
        <v/>
      </c>
      <c r="N292" s="11" t="str">
        <f aca="false">IFERROR(INDEX('Перечень должностей'!$F$2:$F$46,MATCH(H292,'Перечень должностей'!$A$2:$A$46,0)),"")</f>
        <v>-</v>
      </c>
      <c r="O292" s="16"/>
      <c r="P292" s="15" t="str">
        <f aca="false">IF(O292="","",EDATE(O292,60))</f>
        <v/>
      </c>
      <c r="Q292" s="11" t="str">
        <f aca="false">IF(AND(K292&lt;&gt;"",F292&lt;&gt;"",K292&gt;F292),"ДА","")</f>
        <v/>
      </c>
      <c r="R292" s="8"/>
    </row>
    <row r="293" customFormat="false" ht="26.25" hidden="false" customHeight="true" outlineLevel="0" collapsed="false">
      <c r="A293" s="14" t="n">
        <v>292</v>
      </c>
      <c r="B293" s="11" t="s">
        <v>72</v>
      </c>
      <c r="C293" s="14" t="s">
        <v>724</v>
      </c>
      <c r="D293" s="14" t="s">
        <v>625</v>
      </c>
      <c r="E293" s="14" t="s">
        <v>721</v>
      </c>
      <c r="F293" s="15" t="n">
        <v>46261</v>
      </c>
      <c r="G293" s="4" t="str">
        <f aca="false">IF(TRIM(SUBSTITUTE(SUBSTITUTE(SUBSTITUTE(SUBSTITUTE(SUBSTITUTE(SUBSTITUTE(SUBSTITUTE(SUBSTITUTE(SUBSTITUTE(SUBSTITUTE(SUBSTITUTE(LOWER(TRIM(D293)),"ё","е")," -","-"),"- ","-")," 2 разряда","")," 3 разряда","")," 4 разряда","")," 5 разряда","")," 6 разряда","")," 1 категории","")," 2 категории","")," 3 категории",""))="инженер",IF(AND(ISNUMBER(SEARCH("техническ",E293)),ISNUMBER(SEARCH("контрол",E293))),"инженер отк",IF(ISNUMBER(SEARCH("диспетч",E293)),"инженер пдо",TRIM(SUBSTITUTE(SUBSTITUTE(SUBSTITUTE(SUBSTITUTE(SUBSTITUTE(SUBSTITUTE(SUBSTITUTE(SUBSTITUTE(SUBSTITUTE(SUBSTITUTE(SUBSTITUTE(LOWER(TRIM(D293)),"ё","е"),"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категории","")))),IF(TRIM(SUBSTITUTE(SUBSTITUTE(SUBSTITUTE(SUBSTITUTE(SUBSTITUTE(SUBSTITUTE(SUBSTITUTE(SUBSTITUTE(SUBSTITUTE(SUBSTITUTE(SUBSTITUTE(LOWER(TRIM(D293)),"ё","е")," -","-"),"- ","-")," 2 разряда","")," 3 разряда","")," 4 разряда","")," 5 разряда","")," 6 разряда","")," 1 категории","")," 2 категории","")," 3 категории",""))="ведущий инженер",IF(ISNUMBER(SEARCH("диспетч",E293)),"ведущий инженер пдо",TRIM(SUBSTITUTE(SUBSTITUTE(SUBSTITUTE(SUBSTITUTE(SUBSTITUTE(SUBSTITUTE(SUBSTITUTE(SUBSTITUTE(SUBSTITUTE(SUBSTITUTE(SUBSTITUTE(LOWER(TRIM(D293)),"ё","е"),"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отк",TRIM(SUBSTITUTE(SUBSTITUTE(SUBSTITUTE(SUBSTITUTE(SUBSTITUTE(SUBSTITUTE(SUBSTITUTE(SUBSTITUTE(SUBSTITUTE(SUBSTITUTE(SUBSTITUTE(LOWER(TRIM(D293)),"ё","е")," -","-"),"- ","-")," 2 разряда","")," 3 разряда","")," 4 разряда","")," 5 разряда","")," 6 разряда","")," 1 категории","")," 2 категории","")," 3 категории","")))))</f>
        <v>уборщик производственных и служебных помещений</v>
      </c>
      <c r="H293" s="11" t="n">
        <f aca="false">IFERROR(INDEX(Соответствие!$B$2:$B$76,MATCH(G293,Соответствие!$A$2:$A$76,0)),"?")</f>
        <v>10</v>
      </c>
      <c r="I293" s="8" t="str">
        <f aca="false">IFERROR(INDEX('Перечень должностей'!$C$2:$C$46,MATCH(H293,'Перечень должностей'!$A$2:$A$46,0)),"")</f>
        <v>п.1.48, п.4.3.1, п.4.4, п.5.1</v>
      </c>
      <c r="J293" s="11" t="n">
        <f aca="false">IFERROR(INDEX('Перечень должностей'!$D$2:$D$46,MATCH(H293,'Перечень должностей'!$A$2:$A$46,0)),12)</f>
        <v>12</v>
      </c>
      <c r="K293" s="16" t="n">
        <v>46258</v>
      </c>
      <c r="L293" s="16"/>
      <c r="M293" s="15" t="n">
        <f aca="false">IF(K293="","",EDATE(IF(L293&lt;&gt;"",L293,K293),J293))</f>
        <v>46623</v>
      </c>
      <c r="N293" s="11" t="str">
        <f aca="false">IFERROR(INDEX('Перечень должностей'!$F$2:$F$46,MATCH(H293,'Перечень должностей'!$A$2:$A$46,0)),"")</f>
        <v>-</v>
      </c>
      <c r="O293" s="16"/>
      <c r="P293" s="15" t="str">
        <f aca="false">IF(O293="","",EDATE(O293,60))</f>
        <v/>
      </c>
      <c r="Q293" s="11" t="str">
        <f aca="false">IF(AND(K293&lt;&gt;"",F293&lt;&gt;"",K293&gt;F293),"ДА","")</f>
        <v/>
      </c>
      <c r="R293" s="8"/>
    </row>
    <row r="294" customFormat="false" ht="14.25" hidden="false" customHeight="false" outlineLevel="0" collapsed="false">
      <c r="A294" s="14" t="n">
        <v>293</v>
      </c>
      <c r="B294" s="11" t="s">
        <v>72</v>
      </c>
      <c r="C294" s="14" t="s">
        <v>725</v>
      </c>
      <c r="D294" s="14" t="s">
        <v>625</v>
      </c>
      <c r="E294" s="14" t="s">
        <v>721</v>
      </c>
      <c r="F294" s="15" t="n">
        <v>46104</v>
      </c>
      <c r="G294" s="4" t="str">
        <f aca="false">IF(TRIM(SUBSTITUTE(SUBSTITUTE(SUBSTITUTE(SUBSTITUTE(SUBSTITUTE(SUBSTITUTE(SUBSTITUTE(SUBSTITUTE(SUBSTITUTE(SUBSTITUTE(SUBSTITUTE(LOWER(TRIM(D294)),"ё","е")," -","-"),"- ","-")," 2 разряда","")," 3 разряда","")," 4 разряда","")," 5 разряда","")," 6 разряда","")," 1 категории","")," 2 категории","")," 3 категории",""))="инженер",IF(AND(ISNUMBER(SEARCH("техническ",E294)),ISNUMBER(SEARCH("контрол",E294))),"инженер отк",IF(ISNUMBER(SEARCH("диспетч",E294)),"инженер пдо",TRIM(SUBSTITUTE(SUBSTITUTE(SUBSTITUTE(SUBSTITUTE(SUBSTITUTE(SUBSTITUTE(SUBSTITUTE(SUBSTITUTE(SUBSTITUTE(SUBSTITUTE(SUBSTITUTE(LOWER(TRIM(D294)),"ё","е"),"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категории","")))),IF(TRIM(SUBSTITUTE(SUBSTITUTE(SUBSTITUTE(SUBSTITUTE(SUBSTITUTE(SUBSTITUTE(SUBSTITUTE(SUBSTITUTE(SUBSTITUTE(SUBSTITUTE(SUBSTITUTE(LOWER(TRIM(D294)),"ё","е")," -","-"),"- ","-")," 2 разряда","")," 3 разряда","")," 4 разряда","")," 5 разряда","")," 6 разряда","")," 1 категории","")," 2 категории","")," 3 категории",""))="ведущий инженер",IF(ISNUMBER(SEARCH("диспетч",E294)),"ведущий инженер пдо",TRIM(SUBSTITUTE(SUBSTITUTE(SUBSTITUTE(SUBSTITUTE(SUBSTITUTE(SUBSTITUTE(SUBSTITUTE(SUBSTITUTE(SUBSTITUTE(SUBSTITUTE(SUBSTITUTE(LOWER(TRIM(D294)),"ё","е"),"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отк",TRIM(SUBSTITUTE(SUBSTITUTE(SUBSTITUTE(SUBSTITUTE(SUBSTITUTE(SUBSTITUTE(SUBSTITUTE(SUBSTITUTE(SUBSTITUTE(SUBSTITUTE(SUBSTITUTE(LOWER(TRIM(D294)),"ё","е")," -","-"),"- ","-")," 2 разряда","")," 3 разряда","")," 4 разряда","")," 5 разряда","")," 6 разряда","")," 1 категории","")," 2 категории","")," 3 категории","")))))</f>
        <v>уборщик производственных и служебных помещений</v>
      </c>
      <c r="H294" s="11" t="n">
        <f aca="false">IFERROR(INDEX(Соответствие!$B$2:$B$76,MATCH(G294,Соответствие!$A$2:$A$76,0)),"?")</f>
        <v>10</v>
      </c>
      <c r="I294" s="8" t="str">
        <f aca="false">IFERROR(INDEX('Перечень должностей'!$C$2:$C$46,MATCH(H294,'Перечень должностей'!$A$2:$A$46,0)),"")</f>
        <v>п.1.48, п.4.3.1, п.4.4, п.5.1</v>
      </c>
      <c r="J294" s="11" t="n">
        <f aca="false">IFERROR(INDEX('Перечень должностей'!$D$2:$D$46,MATCH(H294,'Перечень должностей'!$A$2:$A$46,0)),12)</f>
        <v>12</v>
      </c>
      <c r="K294" s="16"/>
      <c r="L294" s="16"/>
      <c r="M294" s="15" t="str">
        <f aca="false">IF(K294="","",EDATE(IF(L294&lt;&gt;"",L294,K294),J294))</f>
        <v/>
      </c>
      <c r="N294" s="11" t="str">
        <f aca="false">IFERROR(INDEX('Перечень должностей'!$F$2:$F$46,MATCH(H294,'Перечень должностей'!$A$2:$A$46,0)),"")</f>
        <v>-</v>
      </c>
      <c r="O294" s="16"/>
      <c r="P294" s="15" t="str">
        <f aca="false">IF(O294="","",EDATE(O294,60))</f>
        <v/>
      </c>
      <c r="Q294" s="11" t="str">
        <f aca="false">IF(AND(K294&lt;&gt;"",F294&lt;&gt;"",K294&gt;F294),"ДА","")</f>
        <v/>
      </c>
      <c r="R294" s="8"/>
    </row>
    <row r="295" customFormat="false" ht="14.25" hidden="false" customHeight="false" outlineLevel="0" collapsed="false">
      <c r="A295" s="14" t="n">
        <v>294</v>
      </c>
      <c r="B295" s="11" t="s">
        <v>72</v>
      </c>
      <c r="C295" s="14" t="s">
        <v>726</v>
      </c>
      <c r="D295" s="14" t="s">
        <v>625</v>
      </c>
      <c r="E295" s="14" t="s">
        <v>721</v>
      </c>
      <c r="F295" s="15" t="n">
        <v>46113</v>
      </c>
      <c r="G295" s="4" t="str">
        <f aca="false">IF(TRIM(SUBSTITUTE(SUBSTITUTE(SUBSTITUTE(SUBSTITUTE(SUBSTITUTE(SUBSTITUTE(SUBSTITUTE(SUBSTITUTE(SUBSTITUTE(SUBSTITUTE(SUBSTITUTE(LOWER(TRIM(D295)),"ё","е")," -","-"),"- ","-")," 2 разряда","")," 3 разряда","")," 4 разряда","")," 5 разряда","")," 6 разряда","")," 1 категории","")," 2 категории","")," 3 категории",""))="инженер",IF(AND(ISNUMBER(SEARCH("техническ",E295)),ISNUMBER(SEARCH("контрол",E295))),"инженер отк",IF(ISNUMBER(SEARCH("диспетч",E295)),"инженер пдо",TRIM(SUBSTITUTE(SUBSTITUTE(SUBSTITUTE(SUBSTITUTE(SUBSTITUTE(SUBSTITUTE(SUBSTITUTE(SUBSTITUTE(SUBSTITUTE(SUBSTITUTE(SUBSTITUTE(LOWER(TRIM(D295)),"ё","е"),"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категории","")))),IF(TRIM(SUBSTITUTE(SUBSTITUTE(SUBSTITUTE(SUBSTITUTE(SUBSTITUTE(SUBSTITUTE(SUBSTITUTE(SUBSTITUTE(SUBSTITUTE(SUBSTITUTE(SUBSTITUTE(LOWER(TRIM(D295)),"ё","е")," -","-"),"- ","-")," 2 разряда","")," 3 разряда","")," 4 разряда","")," 5 разряда","")," 6 разряда","")," 1 категории","")," 2 категории","")," 3 категории",""))="ведущий инженер",IF(ISNUMBER(SEARCH("диспетч",E295)),"ведущий инженер пдо",TRIM(SUBSTITUTE(SUBSTITUTE(SUBSTITUTE(SUBSTITUTE(SUBSTITUTE(SUBSTITUTE(SUBSTITUTE(SUBSTITUTE(SUBSTITUTE(SUBSTITUTE(SUBSTITUTE(LOWER(TRIM(D295)),"ё","е"),"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отк",TRIM(SUBSTITUTE(SUBSTITUTE(SUBSTITUTE(SUBSTITUTE(SUBSTITUTE(SUBSTITUTE(SUBSTITUTE(SUBSTITUTE(SUBSTITUTE(SUBSTITUTE(SUBSTITUTE(LOWER(TRIM(D295)),"ё","е")," -","-"),"- ","-")," 2 разряда","")," 3 разряда","")," 4 разряда","")," 5 разряда","")," 6 разряда","")," 1 категории","")," 2 категории","")," 3 категории","")))))</f>
        <v>уборщик производственных и служебных помещений</v>
      </c>
      <c r="H295" s="11" t="n">
        <f aca="false">IFERROR(INDEX(Соответствие!$B$2:$B$76,MATCH(G295,Соответствие!$A$2:$A$76,0)),"?")</f>
        <v>10</v>
      </c>
      <c r="I295" s="8" t="str">
        <f aca="false">IFERROR(INDEX('Перечень должностей'!$C$2:$C$46,MATCH(H295,'Перечень должностей'!$A$2:$A$46,0)),"")</f>
        <v>п.1.48, п.4.3.1, п.4.4, п.5.1</v>
      </c>
      <c r="J295" s="11" t="n">
        <f aca="false">IFERROR(INDEX('Перечень должностей'!$D$2:$D$46,MATCH(H295,'Перечень должностей'!$A$2:$A$46,0)),12)</f>
        <v>12</v>
      </c>
      <c r="K295" s="16"/>
      <c r="L295" s="16"/>
      <c r="M295" s="15" t="str">
        <f aca="false">IF(K295="","",EDATE(IF(L295&lt;&gt;"",L295,K295),J295))</f>
        <v/>
      </c>
      <c r="N295" s="11" t="str">
        <f aca="false">IFERROR(INDEX('Перечень должностей'!$F$2:$F$46,MATCH(H295,'Перечень должностей'!$A$2:$A$46,0)),"")</f>
        <v>-</v>
      </c>
      <c r="O295" s="16"/>
      <c r="P295" s="15" t="str">
        <f aca="false">IF(O295="","",EDATE(O295,60))</f>
        <v/>
      </c>
      <c r="Q295" s="11" t="str">
        <f aca="false">IF(AND(K295&lt;&gt;"",F295&lt;&gt;"",K295&gt;F295),"ДА","")</f>
        <v/>
      </c>
      <c r="R295" s="8"/>
    </row>
    <row r="296" customFormat="false" ht="14.25" hidden="false" customHeight="false" outlineLevel="0" collapsed="false">
      <c r="A296" s="14" t="n">
        <v>295</v>
      </c>
      <c r="B296" s="11" t="s">
        <v>72</v>
      </c>
      <c r="C296" s="14" t="s">
        <v>727</v>
      </c>
      <c r="D296" s="14" t="s">
        <v>728</v>
      </c>
      <c r="E296" s="14" t="s">
        <v>721</v>
      </c>
      <c r="F296" s="15" t="n">
        <v>45446</v>
      </c>
      <c r="G296" s="4" t="str">
        <f aca="false">IF(TRIM(SUBSTITUTE(SUBSTITUTE(SUBSTITUTE(SUBSTITUTE(SUBSTITUTE(SUBSTITUTE(SUBSTITUTE(SUBSTITUTE(SUBSTITUTE(SUBSTITUTE(SUBSTITUTE(LOWER(TRIM(D296)),"ё","е")," -","-"),"- ","-")," 2 разряда","")," 3 разряда","")," 4 разряда","")," 5 разряда","")," 6 разряда","")," 1 категории","")," 2 категории","")," 3 категории",""))="инженер",IF(AND(ISNUMBER(SEARCH("техническ",E296)),ISNUMBER(SEARCH("контрол",E296))),"инженер отк",IF(ISNUMBER(SEARCH("диспетч",E296)),"инженер пдо",TRIM(SUBSTITUTE(SUBSTITUTE(SUBSTITUTE(SUBSTITUTE(SUBSTITUTE(SUBSTITUTE(SUBSTITUTE(SUBSTITUTE(SUBSTITUTE(SUBSTITUTE(SUBSTITUTE(LOWER(TRIM(D296)),"ё","е"),"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категории","")))),IF(TRIM(SUBSTITUTE(SUBSTITUTE(SUBSTITUTE(SUBSTITUTE(SUBSTITUTE(SUBSTITUTE(SUBSTITUTE(SUBSTITUTE(SUBSTITUTE(SUBSTITUTE(SUBSTITUTE(LOWER(TRIM(D296)),"ё","е")," -","-"),"- ","-")," 2 разряда","")," 3 разряда","")," 4 разряда","")," 5 разряда","")," 6 разряда","")," 1 категории","")," 2 категории","")," 3 категории",""))="ведущий инженер",IF(ISNUMBER(SEARCH("диспетч",E296)),"ведущий инженер пдо",TRIM(SUBSTITUTE(SUBSTITUTE(SUBSTITUTE(SUBSTITUTE(SUBSTITUTE(SUBSTITUTE(SUBSTITUTE(SUBSTITUTE(SUBSTITUTE(SUBSTITUTE(SUBSTITUTE(LOWER(TRIM(D296)),"ё","е"),"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отк",TRIM(SUBSTITUTE(SUBSTITUTE(SUBSTITUTE(SUBSTITUTE(SUBSTITUTE(SUBSTITUTE(SUBSTITUTE(SUBSTITUTE(SUBSTITUTE(SUBSTITUTE(SUBSTITUTE(LOWER(TRIM(D296)),"ё","е")," -","-"),"- ","-")," 2 разряда","")," 3 разряда","")," 4 разряда","")," 5 разряда","")," 6 разряда","")," 1 категории","")," 2 категории","")," 3 категории","")))))</f>
        <v>уборщик служебных помещений</v>
      </c>
      <c r="H296" s="11" t="n">
        <f aca="false">IFERROR(INDEX(Соответствие!$B$2:$B$76,MATCH(G296,Соответствие!$A$2:$A$76,0)),"?")</f>
        <v>10</v>
      </c>
      <c r="I296" s="8" t="str">
        <f aca="false">IFERROR(INDEX('Перечень должностей'!$C$2:$C$46,MATCH(H296,'Перечень должностей'!$A$2:$A$46,0)),"")</f>
        <v>п.1.48, п.4.3.1, п.4.4, п.5.1</v>
      </c>
      <c r="J296" s="11" t="n">
        <f aca="false">IFERROR(INDEX('Перечень должностей'!$D$2:$D$46,MATCH(H296,'Перечень должностей'!$A$2:$A$46,0)),12)</f>
        <v>12</v>
      </c>
      <c r="K296" s="16"/>
      <c r="L296" s="16"/>
      <c r="M296" s="15" t="str">
        <f aca="false">IF(K296="","",EDATE(IF(L296&lt;&gt;"",L296,K296),J296))</f>
        <v/>
      </c>
      <c r="N296" s="11" t="str">
        <f aca="false">IFERROR(INDEX('Перечень должностей'!$F$2:$F$46,MATCH(H296,'Перечень должностей'!$A$2:$A$46,0)),"")</f>
        <v>-</v>
      </c>
      <c r="O296" s="16"/>
      <c r="P296" s="15" t="str">
        <f aca="false">IF(O296="","",EDATE(O296,60))</f>
        <v/>
      </c>
      <c r="Q296" s="11" t="str">
        <f aca="false">IF(AND(K296&lt;&gt;"",F296&lt;&gt;"",K296&gt;F296),"ДА","")</f>
        <v/>
      </c>
      <c r="R296" s="8"/>
    </row>
    <row r="297" customFormat="false" ht="23.85" hidden="false" customHeight="false" outlineLevel="0" collapsed="false">
      <c r="A297" s="14" t="n">
        <v>296</v>
      </c>
      <c r="B297" s="11" t="s">
        <v>72</v>
      </c>
      <c r="C297" s="14" t="s">
        <v>729</v>
      </c>
      <c r="D297" s="14" t="s">
        <v>613</v>
      </c>
      <c r="E297" s="14" t="s">
        <v>71</v>
      </c>
      <c r="F297" s="15" t="n">
        <v>46246</v>
      </c>
      <c r="G297" s="4" t="str">
        <f aca="false">IF(TRIM(SUBSTITUTE(SUBSTITUTE(SUBSTITUTE(SUBSTITUTE(SUBSTITUTE(SUBSTITUTE(SUBSTITUTE(SUBSTITUTE(SUBSTITUTE(SUBSTITUTE(SUBSTITUTE(LOWER(TRIM(D297)),"ё","е")," -","-"),"- ","-")," 2 разряда","")," 3 разряда","")," 4 разряда","")," 5 разряда","")," 6 разряда","")," 1 категории","")," 2 категории","")," 3 категории",""))="инженер",IF(AND(ISNUMBER(SEARCH("техническ",E297)),ISNUMBER(SEARCH("контрол",E297))),"инженер отк",IF(ISNUMBER(SEARCH("диспетч",E297)),"инженер пдо",TRIM(SUBSTITUTE(SUBSTITUTE(SUBSTITUTE(SUBSTITUTE(SUBSTITUTE(SUBSTITUTE(SUBSTITUTE(SUBSTITUTE(SUBSTITUTE(SUBSTITUTE(SUBSTITUTE(LOWER(TRIM(D297)),"ё","е"),"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категории","")))),IF(TRIM(SUBSTITUTE(SUBSTITUTE(SUBSTITUTE(SUBSTITUTE(SUBSTITUTE(SUBSTITUTE(SUBSTITUTE(SUBSTITUTE(SUBSTITUTE(SUBSTITUTE(SUBSTITUTE(LOWER(TRIM(D297)),"ё","е")," -","-"),"- ","-")," 2 разряда","")," 3 разряда","")," 4 разряда","")," 5 разряда","")," 6 разряда","")," 1 категории","")," 2 категории","")," 3 категории",""))="ведущий инженер",IF(ISNUMBER(SEARCH("диспетч",E297)),"ведущий инженер пдо",TRIM(SUBSTITUTE(SUBSTITUTE(SUBSTITUTE(SUBSTITUTE(SUBSTITUTE(SUBSTITUTE(SUBSTITUTE(SUBSTITUTE(SUBSTITUTE(SUBSTITUTE(SUBSTITUTE(LOWER(TRIM(D297)),"ё","е"),"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отк",TRIM(SUBSTITUTE(SUBSTITUTE(SUBSTITUTE(SUBSTITUTE(SUBSTITUTE(SUBSTITUTE(SUBSTITUTE(SUBSTITUTE(SUBSTITUTE(SUBSTITUTE(SUBSTITUTE(LOWER(TRIM(D297)),"ё","е")," -","-"),"- ","-")," 2 разряда","")," 3 разряда","")," 4 разряда","")," 5 разряда","")," 6 разряда","")," 1 категории","")," 2 категории","")," 3 категории","")))))</f>
        <v>электромонтер по ремонту и обслуживанию электрооборудования</v>
      </c>
      <c r="H297" s="11" t="n">
        <f aca="false">IFERROR(INDEX(Соответствие!$B$2:$B$76,MATCH(G297,Соответствие!$A$2:$A$76,0)),"?")</f>
        <v>2</v>
      </c>
      <c r="I297" s="8" t="str">
        <f aca="false">IFERROR(INDEX('Перечень должностей'!$C$2:$C$46,MATCH(H297,'Перечень должностей'!$A$2:$A$46,0)),"")</f>
        <v>п.4.2.3, п.4.3.1, п.4.3.2, п.4.4, п.5.1, п.5.2, п.6.2, п.9</v>
      </c>
      <c r="J297" s="11" t="n">
        <f aca="false">IFERROR(INDEX('Перечень должностей'!$D$2:$D$46,MATCH(H297,'Перечень должностей'!$A$2:$A$46,0)),12)</f>
        <v>12</v>
      </c>
      <c r="K297" s="16"/>
      <c r="L297" s="16"/>
      <c r="M297" s="15" t="str">
        <f aca="false">IF(K297="","",EDATE(IF(L297&lt;&gt;"",L297,K297),J297))</f>
        <v/>
      </c>
      <c r="N297" s="11" t="str">
        <f aca="false">IFERROR(INDEX('Перечень должностей'!$F$2:$F$46,MATCH(H297,'Перечень должностей'!$A$2:$A$46,0)),"")</f>
        <v>Да</v>
      </c>
      <c r="O297" s="16"/>
      <c r="P297" s="15" t="str">
        <f aca="false">IF(O297="","",EDATE(O297,60))</f>
        <v/>
      </c>
      <c r="Q297" s="11" t="str">
        <f aca="false">IF(AND(K297&lt;&gt;"",F297&lt;&gt;"",K297&gt;F297),"ДА","")</f>
        <v/>
      </c>
      <c r="R297" s="8"/>
    </row>
    <row r="298" customFormat="false" ht="14.25" hidden="false" customHeight="false" outlineLevel="0" collapsed="false">
      <c r="A298" s="14" t="n">
        <v>297</v>
      </c>
      <c r="B298" s="11" t="s">
        <v>72</v>
      </c>
      <c r="C298" s="14" t="s">
        <v>730</v>
      </c>
      <c r="D298" s="14" t="s">
        <v>731</v>
      </c>
      <c r="E298" s="14" t="s">
        <v>71</v>
      </c>
      <c r="F298" s="15" t="n">
        <v>46055</v>
      </c>
      <c r="G298" s="4" t="str">
        <f aca="false">IF(TRIM(SUBSTITUTE(SUBSTITUTE(SUBSTITUTE(SUBSTITUTE(SUBSTITUTE(SUBSTITUTE(SUBSTITUTE(SUBSTITUTE(SUBSTITUTE(SUBSTITUTE(SUBSTITUTE(LOWER(TRIM(D298)),"ё","е")," -","-"),"- ","-")," 2 разряда","")," 3 разряда","")," 4 разряда","")," 5 разряда","")," 6 разряда","")," 1 категории","")," 2 категории","")," 3 категории",""))="инженер",IF(AND(ISNUMBER(SEARCH("техническ",E298)),ISNUMBER(SEARCH("контрол",E298))),"инженер отк",IF(ISNUMBER(SEARCH("диспетч",E298)),"инженер пдо",TRIM(SUBSTITUTE(SUBSTITUTE(SUBSTITUTE(SUBSTITUTE(SUBSTITUTE(SUBSTITUTE(SUBSTITUTE(SUBSTITUTE(SUBSTITUTE(SUBSTITUTE(SUBSTITUTE(LOWER(TRIM(D298)),"ё","е"),"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категории","")))),IF(TRIM(SUBSTITUTE(SUBSTITUTE(SUBSTITUTE(SUBSTITUTE(SUBSTITUTE(SUBSTITUTE(SUBSTITUTE(SUBSTITUTE(SUBSTITUTE(SUBSTITUTE(SUBSTITUTE(LOWER(TRIM(D298)),"ё","е")," -","-"),"- ","-")," 2 разряда","")," 3 разряда","")," 4 разряда","")," 5 разряда","")," 6 разряда","")," 1 категории","")," 2 категории","")," 3 категории",""))="ведущий инженер",IF(ISNUMBER(SEARCH("диспетч",E298)),"ведущий инженер пдо",TRIM(SUBSTITUTE(SUBSTITUTE(SUBSTITUTE(SUBSTITUTE(SUBSTITUTE(SUBSTITUTE(SUBSTITUTE(SUBSTITUTE(SUBSTITUTE(SUBSTITUTE(SUBSTITUTE(LOWER(TRIM(D298)),"ё","е"),"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отк",TRIM(SUBSTITUTE(SUBSTITUTE(SUBSTITUTE(SUBSTITUTE(SUBSTITUTE(SUBSTITUTE(SUBSTITUTE(SUBSTITUTE(SUBSTITUTE(SUBSTITUTE(SUBSTITUTE(LOWER(TRIM(D298)),"ё","е")," -","-"),"- ","-")," 2 разряда","")," 3 разряда","")," 4 разряда","")," 5 разряда","")," 6 разряда","")," 1 категории","")," 2 категории","")," 3 категории","")))))</f>
        <v>слесарь-ремонтник</v>
      </c>
      <c r="H298" s="11" t="n">
        <f aca="false">IFERROR(INDEX(Соответствие!$B$2:$B$76,MATCH(G298,Соответствие!$A$2:$A$76,0)),"?")</f>
        <v>8</v>
      </c>
      <c r="I298" s="8" t="str">
        <f aca="false">IFERROR(INDEX('Перечень должностей'!$C$2:$C$46,MATCH(H298,'Перечень должностей'!$A$2:$A$46,0)),"")</f>
        <v>п.4.3.1, п.4.4, п.5.1, п.6.2, п.15</v>
      </c>
      <c r="J298" s="11" t="n">
        <f aca="false">IFERROR(INDEX('Перечень должностей'!$D$2:$D$46,MATCH(H298,'Перечень должностей'!$A$2:$A$46,0)),12)</f>
        <v>12</v>
      </c>
      <c r="K298" s="16"/>
      <c r="L298" s="16"/>
      <c r="M298" s="15" t="str">
        <f aca="false">IF(K298="","",EDATE(IF(L298&lt;&gt;"",L298,K298),J298))</f>
        <v/>
      </c>
      <c r="N298" s="11" t="str">
        <f aca="false">IFERROR(INDEX('Перечень должностей'!$F$2:$F$46,MATCH(H298,'Перечень должностей'!$A$2:$A$46,0)),"")</f>
        <v>-</v>
      </c>
      <c r="O298" s="16"/>
      <c r="P298" s="15" t="str">
        <f aca="false">IF(O298="","",EDATE(O298,60))</f>
        <v/>
      </c>
      <c r="Q298" s="11" t="str">
        <f aca="false">IF(AND(K298&lt;&gt;"",F298&lt;&gt;"",K298&gt;F298),"ДА","")</f>
        <v/>
      </c>
      <c r="R298" s="8"/>
    </row>
    <row r="299" customFormat="false" ht="26.25" hidden="false" customHeight="true" outlineLevel="0" collapsed="false">
      <c r="A299" s="14" t="n">
        <v>298</v>
      </c>
      <c r="B299" s="11" t="s">
        <v>72</v>
      </c>
      <c r="C299" s="14" t="s">
        <v>732</v>
      </c>
      <c r="D299" s="14" t="s">
        <v>99</v>
      </c>
      <c r="E299" s="14" t="s">
        <v>733</v>
      </c>
      <c r="F299" s="15" t="n">
        <v>46148</v>
      </c>
      <c r="G299" s="4" t="str">
        <f aca="false">IF(TRIM(SUBSTITUTE(SUBSTITUTE(SUBSTITUTE(SUBSTITUTE(SUBSTITUTE(SUBSTITUTE(SUBSTITUTE(SUBSTITUTE(SUBSTITUTE(SUBSTITUTE(SUBSTITUTE(LOWER(TRIM(D299)),"ё","е")," -","-"),"- ","-")," 2 разряда","")," 3 разряда","")," 4 разряда","")," 5 разряда","")," 6 разряда","")," 1 категории","")," 2 категории","")," 3 категории",""))="инженер",IF(AND(ISNUMBER(SEARCH("техническ",E299)),ISNUMBER(SEARCH("контрол",E299))),"инженер отк",IF(ISNUMBER(SEARCH("диспетч",E299)),"инженер пдо",TRIM(SUBSTITUTE(SUBSTITUTE(SUBSTITUTE(SUBSTITUTE(SUBSTITUTE(SUBSTITUTE(SUBSTITUTE(SUBSTITUTE(SUBSTITUTE(SUBSTITUTE(SUBSTITUTE(LOWER(TRIM(D299)),"ё","е"),"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категории","")))),IF(TRIM(SUBSTITUTE(SUBSTITUTE(SUBSTITUTE(SUBSTITUTE(SUBSTITUTE(SUBSTITUTE(SUBSTITUTE(SUBSTITUTE(SUBSTITUTE(SUBSTITUTE(SUBSTITUTE(LOWER(TRIM(D299)),"ё","е")," -","-"),"- ","-")," 2 разряда","")," 3 разряда","")," 4 разряда","")," 5 разряда","")," 6 разряда","")," 1 категории","")," 2 категории","")," 3 категории",""))="ведущий инженер",IF(ISNUMBER(SEARCH("диспетч",E299)),"ведущий инженер пдо",TRIM(SUBSTITUTE(SUBSTITUTE(SUBSTITUTE(SUBSTITUTE(SUBSTITUTE(SUBSTITUTE(SUBSTITUTE(SUBSTITUTE(SUBSTITUTE(SUBSTITUTE(SUBSTITUTE(LOWER(TRIM(D299)),"ё","е"),"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категории",""))),IF(TRIM(SUBSTITUTE(SUBSTITUTE(SUBSTITUTE(SUBSTITUTE(SUBSTITUTE(SUBSTITUTE(SUBSTITUTE(SUBSTITUTE(SUBSTITUTE(SUBSTITUTE(SUBSTITUTE(LOWER(TRIM(D299)),"ё","е"),"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отк",TRIM(SUBSTITUTE(SUBSTITUTE(SUBSTITUTE(SUBSTITUTE(SUBSTITUTE(SUBSTITUTE(SUBSTITUTE(SUBSTITUTE(SUBSTITUTE(SUBSTITUTE(SUBSTITUTE(LOWER(TRIM(D299)),"ё","е")," -","-"),"- ","-")," 2 разряда","")," 3 разряда","")," 4 разряда","")," 5 разряда","")," 6 разряда","")," 1 категории","")," 2 категории","")," 3 категории","")))))</f>
        <v>оператор станка с чпу</v>
      </c>
      <c r="H299" s="11" t="n">
        <f aca="false">IFERROR(INDEX(Соответствие!$B$2:$B$76,MATCH(G299,Соответствие!$A$2:$A$76,0)),"?")</f>
        <v>30</v>
      </c>
      <c r="I299" s="8" t="str">
        <f aca="false">IFERROR(INDEX('Перечень должностей'!$C$2:$C$46,MATCH(H299,'Перечень должностей'!$A$2:$A$46,0)),"")</f>
        <v>п.4.3.1, п.4.3.2, п.4.4, п.5.1, п.5.2, п.15</v>
      </c>
      <c r="J299" s="11" t="n">
        <f aca="false">IFERROR(INDEX('Перечень должностей'!$D$2:$D$46,MATCH(H299,'Перечень должностей'!$A$2:$A$46,0)),12)</f>
        <v>12</v>
      </c>
      <c r="K299" s="16"/>
      <c r="L299" s="16"/>
      <c r="M299" s="15" t="str">
        <f aca="false">IF(K299="","",EDATE(IF(L299&lt;&gt;"",L299,K299),J299))</f>
        <v/>
      </c>
      <c r="N299" s="11" t="str">
        <f aca="false">IFERROR(INDEX('Перечень должностей'!$F$2:$F$46,MATCH(H299,'Перечень должностей'!$A$2:$A$46,0)),"")</f>
        <v>-</v>
      </c>
      <c r="O299" s="16"/>
      <c r="P299" s="15" t="str">
        <f aca="false">IF(O299="","",EDATE(O299,60))</f>
        <v/>
      </c>
      <c r="Q299" s="11" t="str">
        <f aca="false">IF(AND(K299&lt;&gt;"",F299&lt;&gt;"",K299&gt;F299),"ДА","")</f>
        <v/>
      </c>
      <c r="R299" s="8"/>
    </row>
    <row r="300" customFormat="false" ht="23.85" hidden="false" customHeight="false" outlineLevel="0" collapsed="false">
      <c r="A300" s="14" t="n">
        <v>299</v>
      </c>
      <c r="B300" s="11" t="s">
        <v>72</v>
      </c>
      <c r="C300" s="14" t="s">
        <v>734</v>
      </c>
      <c r="D300" s="14" t="s">
        <v>99</v>
      </c>
      <c r="E300" s="14" t="s">
        <v>733</v>
      </c>
      <c r="F300" s="15" t="n">
        <v>46195</v>
      </c>
      <c r="G300" s="4" t="str">
        <f aca="false">IF(TRIM(SUBSTITUTE(SUBSTITUTE(SUBSTITUTE(SUBSTITUTE(SUBSTITUTE(SUBSTITUTE(SUBSTITUTE(SUBSTITUTE(SUBSTITUTE(SUBSTITUTE(SUBSTITUTE(LOWER(TRIM(D300)),"ё","е")," -","-"),"- ","-")," 2 разряда","")," 3 разряда","")," 4 разряда","")," 5 разряда","")," 6 разряда","")," 1 категории","")," 2 категории","")," 3 категории",""))="инженер",IF(AND(ISNUMBER(SEARCH("техническ",E300)),ISNUMBER(SEARCH("контрол",E300))),"инженер отк",IF(ISNUMBER(SEARCH("диспетч",E300)),"инженер пдо",TRIM(SUBSTITUTE(SUBSTITUTE(SUBSTITUTE(SUBSTITUTE(SUBSTITUTE(SUBSTITUTE(SUBSTITUTE(SUBSTITUTE(SUBSTITUTE(SUBSTITUTE(SUBSTITUTE(LOWER(TRIM(D300)),"ё","е"),"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категории","")))),IF(TRIM(SUBSTITUTE(SUBSTITUTE(SUBSTITUTE(SUBSTITUTE(SUBSTITUTE(SUBSTITUTE(SUBSTITUTE(SUBSTITUTE(SUBSTITUTE(SUBSTITUTE(SUBSTITUTE(LOWER(TRIM(D300)),"ё","е")," -","-"),"- ","-")," 2 разряда","")," 3 разряда","")," 4 разряда","")," 5 разряда","")," 6 разряда","")," 1 категории","")," 2 категории","")," 3 категории",""))="ведущий инженер",IF(ISNUMBER(SEARCH("диспетч",E300)),"ведущий инженер пдо",TRIM(SUBSTITUTE(SUBSTITUTE(SUBSTITUTE(SUBSTITUTE(SUBSTITUTE(SUBSTITUTE(SUBSTITUTE(SUBSTITUTE(SUBSTITUTE(SUBSTITUTE(SUBSTITUTE(LOWER(TRIM(D300)),"ё","е"),"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отк",TRIM(SUBSTITUTE(SUBSTITUTE(SUBSTITUTE(SUBSTITUTE(SUBSTITUTE(SUBSTITUTE(SUBSTITUTE(SUBSTITUTE(SUBSTITUTE(SUBSTITUTE(SUBSTITUTE(LOWER(TRIM(D300)),"ё","е")," -","-"),"- ","-")," 2 разряда","")," 3 разряда","")," 4 разряда","")," 5 разряда","")," 6 разряда","")," 1 категории","")," 2 категории","")," 3 категории","")))))</f>
        <v>оператор станка с чпу</v>
      </c>
      <c r="H300" s="11" t="n">
        <f aca="false">IFERROR(INDEX(Соответствие!$B$2:$B$76,MATCH(G300,Соответствие!$A$2:$A$76,0)),"?")</f>
        <v>30</v>
      </c>
      <c r="I300" s="8" t="str">
        <f aca="false">IFERROR(INDEX('Перечень должностей'!$C$2:$C$46,MATCH(H300,'Перечень должностей'!$A$2:$A$46,0)),"")</f>
        <v>п.4.3.1, п.4.3.2, п.4.4, п.5.1, п.5.2, п.15</v>
      </c>
      <c r="J300" s="11" t="n">
        <f aca="false">IFERROR(INDEX('Перечень должностей'!$D$2:$D$46,MATCH(H300,'Перечень должностей'!$A$2:$A$46,0)),12)</f>
        <v>12</v>
      </c>
      <c r="K300" s="16" t="n">
        <v>46191</v>
      </c>
      <c r="L300" s="16"/>
      <c r="M300" s="15" t="n">
        <f aca="false">IF(K300="","",EDATE(IF(L300&lt;&gt;"",L300,K300),J300))</f>
        <v>46556</v>
      </c>
      <c r="N300" s="11" t="str">
        <f aca="false">IFERROR(INDEX('Перечень должностей'!$F$2:$F$46,MATCH(H300,'Перечень должностей'!$A$2:$A$46,0)),"")</f>
        <v>-</v>
      </c>
      <c r="O300" s="16"/>
      <c r="P300" s="15" t="str">
        <f aca="false">IF(O300="","",EDATE(O300,60))</f>
        <v/>
      </c>
      <c r="Q300" s="11" t="str">
        <f aca="false">IF(AND(K300&lt;&gt;"",F300&lt;&gt;"",K300&gt;F300),"ДА","")</f>
        <v/>
      </c>
      <c r="R300" s="8"/>
    </row>
    <row r="301" customFormat="false" ht="26.25" hidden="false" customHeight="true" outlineLevel="0" collapsed="false">
      <c r="A301" s="14" t="n">
        <v>300</v>
      </c>
      <c r="B301" s="11" t="s">
        <v>72</v>
      </c>
      <c r="C301" s="14" t="s">
        <v>735</v>
      </c>
      <c r="D301" s="14" t="s">
        <v>99</v>
      </c>
      <c r="E301" s="14" t="s">
        <v>733</v>
      </c>
      <c r="F301" s="15" t="n">
        <v>46034</v>
      </c>
      <c r="G301" s="4" t="str">
        <f aca="false">IF(TRIM(SUBSTITUTE(SUBSTITUTE(SUBSTITUTE(SUBSTITUTE(SUBSTITUTE(SUBSTITUTE(SUBSTITUTE(SUBSTITUTE(SUBSTITUTE(SUBSTITUTE(SUBSTITUTE(LOWER(TRIM(D301)),"ё","е")," -","-"),"- ","-")," 2 разряда","")," 3 разряда","")," 4 разряда","")," 5 разряда","")," 6 разряда","")," 1 категории","")," 2 категории","")," 3 категории",""))="инженер",IF(AND(ISNUMBER(SEARCH("техническ",E301)),ISNUMBER(SEARCH("контрол",E301))),"инженер отк",IF(ISNUMBER(SEARCH("диспетч",E301)),"инженер пдо",TRIM(SUBSTITUTE(SUBSTITUTE(SUBSTITUTE(SUBSTITUTE(SUBSTITUTE(SUBSTITUTE(SUBSTITUTE(SUBSTITUTE(SUBSTITUTE(SUBSTITUTE(SUBSTITUTE(LOWER(TRIM(D301)),"ё","е"),"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категории","")))),IF(TRIM(SUBSTITUTE(SUBSTITUTE(SUBSTITUTE(SUBSTITUTE(SUBSTITUTE(SUBSTITUTE(SUBSTITUTE(SUBSTITUTE(SUBSTITUTE(SUBSTITUTE(SUBSTITUTE(LOWER(TRIM(D301)),"ё","е")," -","-"),"- ","-")," 2 разряда","")," 3 разряда","")," 4 разряда","")," 5 разряда","")," 6 разряда","")," 1 категории","")," 2 категории","")," 3 категории",""))="ведущий инженер",IF(ISNUMBER(SEARCH("диспетч",E301)),"ведущий инженер пдо",TRIM(SUBSTITUTE(SUBSTITUTE(SUBSTITUTE(SUBSTITUTE(SUBSTITUTE(SUBSTITUTE(SUBSTITUTE(SUBSTITUTE(SUBSTITUTE(SUBSTITUTE(SUBSTITUTE(LOWER(TRIM(D301)),"ё","е"),"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отк",TRIM(SUBSTITUTE(SUBSTITUTE(SUBSTITUTE(SUBSTITUTE(SUBSTITUTE(SUBSTITUTE(SUBSTITUTE(SUBSTITUTE(SUBSTITUTE(SUBSTITUTE(SUBSTITUTE(LOWER(TRIM(D301)),"ё","е")," -","-"),"- ","-")," 2 разряда","")," 3 разряда","")," 4 разряда","")," 5 разряда","")," 6 разряда","")," 1 категории","")," 2 категории","")," 3 категории","")))))</f>
        <v>оператор станка с чпу</v>
      </c>
      <c r="H301" s="11" t="n">
        <f aca="false">IFERROR(INDEX(Соответствие!$B$2:$B$76,MATCH(G301,Соответствие!$A$2:$A$76,0)),"?")</f>
        <v>30</v>
      </c>
      <c r="I301" s="8" t="str">
        <f aca="false">IFERROR(INDEX('Перечень должностей'!$C$2:$C$46,MATCH(H301,'Перечень должностей'!$A$2:$A$46,0)),"")</f>
        <v>п.4.3.1, п.4.3.2, п.4.4, п.5.1, п.5.2, п.15</v>
      </c>
      <c r="J301" s="11" t="n">
        <f aca="false">IFERROR(INDEX('Перечень должностей'!$D$2:$D$46,MATCH(H301,'Перечень должностей'!$A$2:$A$46,0)),12)</f>
        <v>12</v>
      </c>
      <c r="K301" s="16"/>
      <c r="L301" s="16"/>
      <c r="M301" s="15" t="str">
        <f aca="false">IF(K301="","",EDATE(IF(L301&lt;&gt;"",L301,K301),J301))</f>
        <v/>
      </c>
      <c r="N301" s="11" t="str">
        <f aca="false">IFERROR(INDEX('Перечень должностей'!$F$2:$F$46,MATCH(H301,'Перечень должностей'!$A$2:$A$46,0)),"")</f>
        <v>-</v>
      </c>
      <c r="O301" s="16"/>
      <c r="P301" s="15" t="str">
        <f aca="false">IF(O301="","",EDATE(O301,60))</f>
        <v/>
      </c>
      <c r="Q301" s="11" t="str">
        <f aca="false">IF(AND(K301&lt;&gt;"",F301&lt;&gt;"",K301&gt;F301),"ДА","")</f>
        <v/>
      </c>
      <c r="R301" s="8"/>
    </row>
    <row r="302" customFormat="false" ht="26.25" hidden="false" customHeight="true" outlineLevel="0" collapsed="false">
      <c r="A302" s="14" t="n">
        <v>301</v>
      </c>
      <c r="B302" s="11" t="s">
        <v>72</v>
      </c>
      <c r="C302" s="14" t="s">
        <v>736</v>
      </c>
      <c r="D302" s="14" t="s">
        <v>527</v>
      </c>
      <c r="E302" s="14" t="s">
        <v>733</v>
      </c>
      <c r="F302" s="15" t="n">
        <v>45924</v>
      </c>
      <c r="G302" s="4" t="str">
        <f aca="false">IF(TRIM(SUBSTITUTE(SUBSTITUTE(SUBSTITUTE(SUBSTITUTE(SUBSTITUTE(SUBSTITUTE(SUBSTITUTE(SUBSTITUTE(SUBSTITUTE(SUBSTITUTE(SUBSTITUTE(LOWER(TRIM(D302)),"ё","е")," -","-"),"- ","-")," 2 разряда","")," 3 разряда","")," 4 разряда","")," 5 разряда","")," 6 разряда","")," 1 категории","")," 2 категории","")," 3 категории",""))="инженер",IF(AND(ISNUMBER(SEARCH("техническ",E302)),ISNUMBER(SEARCH("контрол",E302))),"инженер отк",IF(ISNUMBER(SEARCH("диспетч",E302)),"инженер пдо",TRIM(SUBSTITUTE(SUBSTITUTE(SUBSTITUTE(SUBSTITUTE(SUBSTITUTE(SUBSTITUTE(SUBSTITUTE(SUBSTITUTE(SUBSTITUTE(SUBSTITUTE(SUBSTITUTE(LOWER(TRIM(D302)),"ё","е"),"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категории","")))),IF(TRIM(SUBSTITUTE(SUBSTITUTE(SUBSTITUTE(SUBSTITUTE(SUBSTITUTE(SUBSTITUTE(SUBSTITUTE(SUBSTITUTE(SUBSTITUTE(SUBSTITUTE(SUBSTITUTE(LOWER(TRIM(D302)),"ё","е")," -","-"),"- ","-")," 2 разряда","")," 3 разряда","")," 4 разряда","")," 5 разряда","")," 6 разряда","")," 1 категории","")," 2 категории","")," 3 категории",""))="ведущий инженер",IF(ISNUMBER(SEARCH("диспетч",E302)),"ведущий инженер пдо",TRIM(SUBSTITUTE(SUBSTITUTE(SUBSTITUTE(SUBSTITUTE(SUBSTITUTE(SUBSTITUTE(SUBSTITUTE(SUBSTITUTE(SUBSTITUTE(SUBSTITUTE(SUBSTITUTE(LOWER(TRIM(D302)),"ё","е"),"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отк",TRIM(SUBSTITUTE(SUBSTITUTE(SUBSTITUTE(SUBSTITUTE(SUBSTITUTE(SUBSTITUTE(SUBSTITUTE(SUBSTITUTE(SUBSTITUTE(SUBSTITUTE(SUBSTITUTE(LOWER(TRIM(D302)),"ё","е")," -","-"),"- ","-")," 2 разряда","")," 3 разряда","")," 4 разряда","")," 5 разряда","")," 6 разряда","")," 1 категории","")," 2 категории","")," 3 категории","")))))</f>
        <v>оператор станка с чпу</v>
      </c>
      <c r="H302" s="11" t="n">
        <f aca="false">IFERROR(INDEX(Соответствие!$B$2:$B$76,MATCH(G302,Соответствие!$A$2:$A$76,0)),"?")</f>
        <v>30</v>
      </c>
      <c r="I302" s="8" t="str">
        <f aca="false">IFERROR(INDEX('Перечень должностей'!$C$2:$C$46,MATCH(H302,'Перечень должностей'!$A$2:$A$46,0)),"")</f>
        <v>п.4.3.1, п.4.3.2, п.4.4, п.5.1, п.5.2, п.15</v>
      </c>
      <c r="J302" s="11" t="n">
        <f aca="false">IFERROR(INDEX('Перечень должностей'!$D$2:$D$46,MATCH(H302,'Перечень должностей'!$A$2:$A$46,0)),12)</f>
        <v>12</v>
      </c>
      <c r="K302" s="16" t="n">
        <v>45922</v>
      </c>
      <c r="L302" s="16"/>
      <c r="M302" s="15" t="n">
        <f aca="false">IF(K302="","",EDATE(IF(L302&lt;&gt;"",L302,K302),J302))</f>
        <v>46287</v>
      </c>
      <c r="N302" s="11" t="str">
        <f aca="false">IFERROR(INDEX('Перечень должностей'!$F$2:$F$46,MATCH(H302,'Перечень должностей'!$A$2:$A$46,0)),"")</f>
        <v>-</v>
      </c>
      <c r="O302" s="16"/>
      <c r="P302" s="15" t="str">
        <f aca="false">IF(O302="","",EDATE(O302,60))</f>
        <v/>
      </c>
      <c r="Q302" s="11" t="str">
        <f aca="false">IF(AND(K302&lt;&gt;"",F302&lt;&gt;"",K302&gt;F302),"ДА","")</f>
        <v/>
      </c>
      <c r="R302" s="8"/>
    </row>
    <row r="303" customFormat="false" ht="26.25" hidden="false" customHeight="true" outlineLevel="0" collapsed="false">
      <c r="A303" s="14" t="n">
        <v>302</v>
      </c>
      <c r="B303" s="11" t="s">
        <v>72</v>
      </c>
      <c r="C303" s="14" t="s">
        <v>737</v>
      </c>
      <c r="D303" s="14" t="s">
        <v>527</v>
      </c>
      <c r="E303" s="14" t="s">
        <v>733</v>
      </c>
      <c r="F303" s="15" t="n">
        <v>45922</v>
      </c>
      <c r="G303" s="4" t="str">
        <f aca="false">IF(TRIM(SUBSTITUTE(SUBSTITUTE(SUBSTITUTE(SUBSTITUTE(SUBSTITUTE(SUBSTITUTE(SUBSTITUTE(SUBSTITUTE(SUBSTITUTE(SUBSTITUTE(SUBSTITUTE(LOWER(TRIM(D303)),"ё","е")," -","-"),"- ","-")," 2 разряда","")," 3 разряда","")," 4 разряда","")," 5 разряда","")," 6 разряда","")," 1 категории","")," 2 категории","")," 3 категории",""))="инженер",IF(AND(ISNUMBER(SEARCH("техническ",E303)),ISNUMBER(SEARCH("контрол",E303))),"инженер отк",IF(ISNUMBER(SEARCH("диспетч",E303)),"инженер пдо",TRIM(SUBSTITUTE(SUBSTITUTE(SUBSTITUTE(SUBSTITUTE(SUBSTITUTE(SUBSTITUTE(SUBSTITUTE(SUBSTITUTE(SUBSTITUTE(SUBSTITUTE(SUBSTITUTE(LOWER(TRIM(D303)),"ё","е"),"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категории","")))),IF(TRIM(SUBSTITUTE(SUBSTITUTE(SUBSTITUTE(SUBSTITUTE(SUBSTITUTE(SUBSTITUTE(SUBSTITUTE(SUBSTITUTE(SUBSTITUTE(SUBSTITUTE(SUBSTITUTE(LOWER(TRIM(D303)),"ё","е")," -","-"),"- ","-")," 2 разряда","")," 3 разряда","")," 4 разряда","")," 5 разряда","")," 6 разряда","")," 1 категории","")," 2 категории","")," 3 категории",""))="ведущий инженер",IF(ISNUMBER(SEARCH("диспетч",E303)),"ведущий инженер пдо",TRIM(SUBSTITUTE(SUBSTITUTE(SUBSTITUTE(SUBSTITUTE(SUBSTITUTE(SUBSTITUTE(SUBSTITUTE(SUBSTITUTE(SUBSTITUTE(SUBSTITUTE(SUBSTITUTE(LOWER(TRIM(D303)),"ё","е"),"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отк",TRIM(SUBSTITUTE(SUBSTITUTE(SUBSTITUTE(SUBSTITUTE(SUBSTITUTE(SUBSTITUTE(SUBSTITUTE(SUBSTITUTE(SUBSTITUTE(SUBSTITUTE(SUBSTITUTE(LOWER(TRIM(D303)),"ё","е")," -","-"),"- ","-")," 2 разряда","")," 3 разряда","")," 4 разряда","")," 5 разряда","")," 6 разряда","")," 1 категории","")," 2 категории","")," 3 категории","")))))</f>
        <v>оператор станка с чпу</v>
      </c>
      <c r="H303" s="11" t="n">
        <f aca="false">IFERROR(INDEX(Соответствие!$B$2:$B$76,MATCH(G303,Соответствие!$A$2:$A$76,0)),"?")</f>
        <v>30</v>
      </c>
      <c r="I303" s="8" t="str">
        <f aca="false">IFERROR(INDEX('Перечень должностей'!$C$2:$C$46,MATCH(H303,'Перечень должностей'!$A$2:$A$46,0)),"")</f>
        <v>п.4.3.1, п.4.3.2, п.4.4, п.5.1, п.5.2, п.15</v>
      </c>
      <c r="J303" s="11" t="n">
        <f aca="false">IFERROR(INDEX('Перечень должностей'!$D$2:$D$46,MATCH(H303,'Перечень должностей'!$A$2:$A$46,0)),12)</f>
        <v>12</v>
      </c>
      <c r="K303" s="16" t="n">
        <v>45919</v>
      </c>
      <c r="L303" s="16"/>
      <c r="M303" s="15" t="n">
        <f aca="false">IF(K303="","",EDATE(IF(L303&lt;&gt;"",L303,K303),J303))</f>
        <v>46284</v>
      </c>
      <c r="N303" s="11" t="str">
        <f aca="false">IFERROR(INDEX('Перечень должностей'!$F$2:$F$46,MATCH(H303,'Перечень должностей'!$A$2:$A$46,0)),"")</f>
        <v>-</v>
      </c>
      <c r="O303" s="16"/>
      <c r="P303" s="15" t="str">
        <f aca="false">IF(O303="","",EDATE(O303,60))</f>
        <v/>
      </c>
      <c r="Q303" s="11" t="str">
        <f aca="false">IF(AND(K303&lt;&gt;"",F303&lt;&gt;"",K303&gt;F303),"ДА","")</f>
        <v/>
      </c>
      <c r="R303" s="8"/>
    </row>
    <row r="304" customFormat="false" ht="26.25" hidden="false" customHeight="true" outlineLevel="0" collapsed="false">
      <c r="A304" s="14" t="n">
        <v>303</v>
      </c>
      <c r="B304" s="11" t="s">
        <v>72</v>
      </c>
      <c r="C304" s="14" t="s">
        <v>738</v>
      </c>
      <c r="D304" s="14" t="s">
        <v>527</v>
      </c>
      <c r="E304" s="14" t="s">
        <v>733</v>
      </c>
      <c r="F304" s="15" t="n">
        <v>46044</v>
      </c>
      <c r="G304" s="4" t="str">
        <f aca="false">IF(TRIM(SUBSTITUTE(SUBSTITUTE(SUBSTITUTE(SUBSTITUTE(SUBSTITUTE(SUBSTITUTE(SUBSTITUTE(SUBSTITUTE(SUBSTITUTE(SUBSTITUTE(SUBSTITUTE(LOWER(TRIM(D304)),"ё","е")," -","-"),"- ","-")," 2 разряда","")," 3 разряда","")," 4 разряда","")," 5 разряда","")," 6 разряда","")," 1 категории","")," 2 категории","")," 3 категории",""))="инженер",IF(AND(ISNUMBER(SEARCH("техническ",E304)),ISNUMBER(SEARCH("контрол",E304))),"инженер отк",IF(ISNUMBER(SEARCH("диспетч",E304)),"инженер пдо",TRIM(SUBSTITUTE(SUBSTITUTE(SUBSTITUTE(SUBSTITUTE(SUBSTITUTE(SUBSTITUTE(SUBSTITUTE(SUBSTITUTE(SUBSTITUTE(SUBSTITUTE(SUBSTITUTE(LOWER(TRIM(D304)),"ё","е"),"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категории","")))),IF(TRIM(SUBSTITUTE(SUBSTITUTE(SUBSTITUTE(SUBSTITUTE(SUBSTITUTE(SUBSTITUTE(SUBSTITUTE(SUBSTITUTE(SUBSTITUTE(SUBSTITUTE(SUBSTITUTE(LOWER(TRIM(D304)),"ё","е")," -","-"),"- ","-")," 2 разряда","")," 3 разряда","")," 4 разряда","")," 5 разряда","")," 6 разряда","")," 1 категории","")," 2 категории","")," 3 категории",""))="ведущий инженер",IF(ISNUMBER(SEARCH("диспетч",E304)),"ведущий инженер пдо",TRIM(SUBSTITUTE(SUBSTITUTE(SUBSTITUTE(SUBSTITUTE(SUBSTITUTE(SUBSTITUTE(SUBSTITUTE(SUBSTITUTE(SUBSTITUTE(SUBSTITUTE(SUBSTITUTE(LOWER(TRIM(D304)),"ё","е"),"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отк",TRIM(SUBSTITUTE(SUBSTITUTE(SUBSTITUTE(SUBSTITUTE(SUBSTITUTE(SUBSTITUTE(SUBSTITUTE(SUBSTITUTE(SUBSTITUTE(SUBSTITUTE(SUBSTITUTE(LOWER(TRIM(D304)),"ё","е")," -","-"),"- ","-")," 2 разряда","")," 3 разряда","")," 4 разряда","")," 5 разряда","")," 6 разряда","")," 1 категории","")," 2 категории","")," 3 категории","")))))</f>
        <v>оператор станка с чпу</v>
      </c>
      <c r="H304" s="11" t="n">
        <f aca="false">IFERROR(INDEX(Соответствие!$B$2:$B$76,MATCH(G304,Соответствие!$A$2:$A$76,0)),"?")</f>
        <v>30</v>
      </c>
      <c r="I304" s="8" t="str">
        <f aca="false">IFERROR(INDEX('Перечень должностей'!$C$2:$C$46,MATCH(H304,'Перечень должностей'!$A$2:$A$46,0)),"")</f>
        <v>п.4.3.1, п.4.3.2, п.4.4, п.5.1, п.5.2, п.15</v>
      </c>
      <c r="J304" s="11" t="n">
        <f aca="false">IFERROR(INDEX('Перечень должностей'!$D$2:$D$46,MATCH(H304,'Перечень должностей'!$A$2:$A$46,0)),12)</f>
        <v>12</v>
      </c>
      <c r="K304" s="16"/>
      <c r="L304" s="16"/>
      <c r="M304" s="15" t="str">
        <f aca="false">IF(K304="","",EDATE(IF(L304&lt;&gt;"",L304,K304),J304))</f>
        <v/>
      </c>
      <c r="N304" s="11" t="str">
        <f aca="false">IFERROR(INDEX('Перечень должностей'!$F$2:$F$46,MATCH(H304,'Перечень должностей'!$A$2:$A$46,0)),"")</f>
        <v>-</v>
      </c>
      <c r="O304" s="16"/>
      <c r="P304" s="15" t="str">
        <f aca="false">IF(O304="","",EDATE(O304,60))</f>
        <v/>
      </c>
      <c r="Q304" s="11" t="str">
        <f aca="false">IF(AND(K304&lt;&gt;"",F304&lt;&gt;"",K304&gt;F304),"ДА","")</f>
        <v/>
      </c>
      <c r="R304" s="8"/>
    </row>
    <row r="305" customFormat="false" ht="23.85" hidden="false" customHeight="false" outlineLevel="0" collapsed="false">
      <c r="A305" s="14" t="n">
        <v>304</v>
      </c>
      <c r="B305" s="11" t="s">
        <v>72</v>
      </c>
      <c r="C305" s="14" t="s">
        <v>739</v>
      </c>
      <c r="D305" s="14" t="s">
        <v>529</v>
      </c>
      <c r="E305" s="14" t="s">
        <v>733</v>
      </c>
      <c r="F305" s="15" t="n">
        <v>45993</v>
      </c>
      <c r="G305" s="4" t="str">
        <f aca="false">IF(TRIM(SUBSTITUTE(SUBSTITUTE(SUBSTITUTE(SUBSTITUTE(SUBSTITUTE(SUBSTITUTE(SUBSTITUTE(SUBSTITUTE(SUBSTITUTE(SUBSTITUTE(SUBSTITUTE(LOWER(TRIM(D305)),"ё","е")," -","-"),"- ","-")," 2 разряда","")," 3 разряда","")," 4 разряда","")," 5 разряда","")," 6 разряда","")," 1 категории","")," 2 категории","")," 3 категории",""))="инженер",IF(AND(ISNUMBER(SEARCH("техническ",E305)),ISNUMBER(SEARCH("контрол",E305))),"инженер отк",IF(ISNUMBER(SEARCH("диспетч",E305)),"инженер пдо",TRIM(SUBSTITUTE(SUBSTITUTE(SUBSTITUTE(SUBSTITUTE(SUBSTITUTE(SUBSTITUTE(SUBSTITUTE(SUBSTITUTE(SUBSTITUTE(SUBSTITUTE(SUBSTITUTE(LOWER(TRIM(D305)),"ё","е"),"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категории","")))),IF(TRIM(SUBSTITUTE(SUBSTITUTE(SUBSTITUTE(SUBSTITUTE(SUBSTITUTE(SUBSTITUTE(SUBSTITUTE(SUBSTITUTE(SUBSTITUTE(SUBSTITUTE(SUBSTITUTE(LOWER(TRIM(D305)),"ё","е")," -","-"),"- ","-")," 2 разряда","")," 3 разряда","")," 4 разряда","")," 5 разряда","")," 6 разряда","")," 1 категории","")," 2 категории","")," 3 категории",""))="ведущий инженер",IF(ISNUMBER(SEARCH("диспетч",E305)),"ведущий инженер пдо",TRIM(SUBSTITUTE(SUBSTITUTE(SUBSTITUTE(SUBSTITUTE(SUBSTITUTE(SUBSTITUTE(SUBSTITUTE(SUBSTITUTE(SUBSTITUTE(SUBSTITUTE(SUBSTITUTE(LOWER(TRIM(D305)),"ё","е"),"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отк",TRIM(SUBSTITUTE(SUBSTITUTE(SUBSTITUTE(SUBSTITUTE(SUBSTITUTE(SUBSTITUTE(SUBSTITUTE(SUBSTITUTE(SUBSTITUTE(SUBSTITUTE(SUBSTITUTE(LOWER(TRIM(D305)),"ё","е")," -","-"),"- ","-")," 2 разряда","")," 3 разряда","")," 4 разряда","")," 5 разряда","")," 6 разряда","")," 1 категории","")," 2 категории","")," 3 категории","")))))</f>
        <v>токарь</v>
      </c>
      <c r="H305" s="11" t="n">
        <f aca="false">IFERROR(INDEX(Соответствие!$B$2:$B$76,MATCH(G305,Соответствие!$A$2:$A$76,0)),"?")</f>
        <v>34</v>
      </c>
      <c r="I305" s="8" t="str">
        <f aca="false">IFERROR(INDEX('Перечень должностей'!$C$2:$C$46,MATCH(H305,'Перечень должностей'!$A$2:$A$46,0)),"")</f>
        <v>п.4.3.1, п.4.3.2, п.4.4, п.5.1, п.5.2, п.15</v>
      </c>
      <c r="J305" s="11" t="n">
        <f aca="false">IFERROR(INDEX('Перечень должностей'!$D$2:$D$46,MATCH(H305,'Перечень должностей'!$A$2:$A$46,0)),12)</f>
        <v>12</v>
      </c>
      <c r="K305" s="16"/>
      <c r="L305" s="16"/>
      <c r="M305" s="15" t="str">
        <f aca="false">IF(K305="","",EDATE(IF(L305&lt;&gt;"",L305,K305),J305))</f>
        <v/>
      </c>
      <c r="N305" s="11" t="str">
        <f aca="false">IFERROR(INDEX('Перечень должностей'!$F$2:$F$46,MATCH(H305,'Перечень должностей'!$A$2:$A$46,0)),"")</f>
        <v>-</v>
      </c>
      <c r="O305" s="16"/>
      <c r="P305" s="15" t="str">
        <f aca="false">IF(O305="","",EDATE(O305,60))</f>
        <v/>
      </c>
      <c r="Q305" s="11" t="str">
        <f aca="false">IF(AND(K305&lt;&gt;"",F305&lt;&gt;"",K305&gt;F305),"ДА","")</f>
        <v/>
      </c>
      <c r="R305" s="8"/>
    </row>
    <row r="306" customFormat="false" ht="26.25" hidden="false" customHeight="true" outlineLevel="0" collapsed="false">
      <c r="A306" s="14" t="n">
        <v>305</v>
      </c>
      <c r="B306" s="11" t="s">
        <v>72</v>
      </c>
      <c r="C306" s="14" t="s">
        <v>740</v>
      </c>
      <c r="D306" s="14" t="s">
        <v>529</v>
      </c>
      <c r="E306" s="14" t="s">
        <v>733</v>
      </c>
      <c r="F306" s="15" t="n">
        <v>46001</v>
      </c>
      <c r="G306" s="4" t="str">
        <f aca="false">IF(TRIM(SUBSTITUTE(SUBSTITUTE(SUBSTITUTE(SUBSTITUTE(SUBSTITUTE(SUBSTITUTE(SUBSTITUTE(SUBSTITUTE(SUBSTITUTE(SUBSTITUTE(SUBSTITUTE(LOWER(TRIM(D306)),"ё","е")," -","-"),"- ","-")," 2 разряда","")," 3 разряда","")," 4 разряда","")," 5 разряда","")," 6 разряда","")," 1 категории","")," 2 категории","")," 3 категории",""))="инженер",IF(AND(ISNUMBER(SEARCH("техническ",E306)),ISNUMBER(SEARCH("контрол",E306))),"инженер отк",IF(ISNUMBER(SEARCH("диспетч",E306)),"инженер пдо",TRIM(SUBSTITUTE(SUBSTITUTE(SUBSTITUTE(SUBSTITUTE(SUBSTITUTE(SUBSTITUTE(SUBSTITUTE(SUBSTITUTE(SUBSTITUTE(SUBSTITUTE(SUBSTITUTE(LOWER(TRIM(D306)),"ё","е"),"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категории","")))),IF(TRIM(SUBSTITUTE(SUBSTITUTE(SUBSTITUTE(SUBSTITUTE(SUBSTITUTE(SUBSTITUTE(SUBSTITUTE(SUBSTITUTE(SUBSTITUTE(SUBSTITUTE(SUBSTITUTE(LOWER(TRIM(D306)),"ё","е")," -","-"),"- ","-")," 2 разряда","")," 3 разряда","")," 4 разряда","")," 5 разряда","")," 6 разряда","")," 1 категории","")," 2 категории","")," 3 категории",""))="ведущий инженер",IF(ISNUMBER(SEARCH("диспетч",E306)),"ведущий инженер пдо",TRIM(SUBSTITUTE(SUBSTITUTE(SUBSTITUTE(SUBSTITUTE(SUBSTITUTE(SUBSTITUTE(SUBSTITUTE(SUBSTITUTE(SUBSTITUTE(SUBSTITUTE(SUBSTITUTE(LOWER(TRIM(D306)),"ё","е"),"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отк",TRIM(SUBSTITUTE(SUBSTITUTE(SUBSTITUTE(SUBSTITUTE(SUBSTITUTE(SUBSTITUTE(SUBSTITUTE(SUBSTITUTE(SUBSTITUTE(SUBSTITUTE(SUBSTITUTE(LOWER(TRIM(D306)),"ё","е")," -","-"),"- ","-")," 2 разряда","")," 3 разряда","")," 4 разряда","")," 5 разряда","")," 6 разряда","")," 1 категории","")," 2 категории","")," 3 категории","")))))</f>
        <v>токарь</v>
      </c>
      <c r="H306" s="11" t="n">
        <f aca="false">IFERROR(INDEX(Соответствие!$B$2:$B$76,MATCH(G306,Соответствие!$A$2:$A$76,0)),"?")</f>
        <v>34</v>
      </c>
      <c r="I306" s="8" t="str">
        <f aca="false">IFERROR(INDEX('Перечень должностей'!$C$2:$C$46,MATCH(H306,'Перечень должностей'!$A$2:$A$46,0)),"")</f>
        <v>п.4.3.1, п.4.3.2, п.4.4, п.5.1, п.5.2, п.15</v>
      </c>
      <c r="J306" s="11" t="n">
        <f aca="false">IFERROR(INDEX('Перечень должностей'!$D$2:$D$46,MATCH(H306,'Перечень должностей'!$A$2:$A$46,0)),12)</f>
        <v>12</v>
      </c>
      <c r="K306" s="16"/>
      <c r="L306" s="16"/>
      <c r="M306" s="15" t="str">
        <f aca="false">IF(K306="","",EDATE(IF(L306&lt;&gt;"",L306,K306),J306))</f>
        <v/>
      </c>
      <c r="N306" s="11" t="str">
        <f aca="false">IFERROR(INDEX('Перечень должностей'!$F$2:$F$46,MATCH(H306,'Перечень должностей'!$A$2:$A$46,0)),"")</f>
        <v>-</v>
      </c>
      <c r="O306" s="16"/>
      <c r="P306" s="15" t="str">
        <f aca="false">IF(O306="","",EDATE(O306,60))</f>
        <v/>
      </c>
      <c r="Q306" s="11" t="str">
        <f aca="false">IF(AND(K306&lt;&gt;"",F306&lt;&gt;"",K306&gt;F306),"ДА","")</f>
        <v/>
      </c>
      <c r="R306" s="8"/>
    </row>
    <row r="307" customFormat="false" ht="26.25" hidden="false" customHeight="true" outlineLevel="0" collapsed="false">
      <c r="A307" s="14" t="n">
        <v>306</v>
      </c>
      <c r="B307" s="11" t="s">
        <v>72</v>
      </c>
      <c r="C307" s="14" t="s">
        <v>741</v>
      </c>
      <c r="D307" s="14" t="s">
        <v>529</v>
      </c>
      <c r="E307" s="14" t="s">
        <v>733</v>
      </c>
      <c r="F307" s="15" t="n">
        <v>45993</v>
      </c>
      <c r="G307" s="4" t="str">
        <f aca="false">IF(TRIM(SUBSTITUTE(SUBSTITUTE(SUBSTITUTE(SUBSTITUTE(SUBSTITUTE(SUBSTITUTE(SUBSTITUTE(SUBSTITUTE(SUBSTITUTE(SUBSTITUTE(SUBSTITUTE(LOWER(TRIM(D307)),"ё","е")," -","-"),"- ","-")," 2 разряда","")," 3 разряда","")," 4 разряда","")," 5 разряда","")," 6 разряда","")," 1 категории","")," 2 категории","")," 3 категории",""))="инженер",IF(AND(ISNUMBER(SEARCH("техническ",E307)),ISNUMBER(SEARCH("контрол",E307))),"инженер отк",IF(ISNUMBER(SEARCH("диспетч",E307)),"инженер пдо",TRIM(SUBSTITUTE(SUBSTITUTE(SUBSTITUTE(SUBSTITUTE(SUBSTITUTE(SUBSTITUTE(SUBSTITUTE(SUBSTITUTE(SUBSTITUTE(SUBSTITUTE(SUBSTITUTE(LOWER(TRIM(D307)),"ё","е"),"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категории","")))),IF(TRIM(SUBSTITUTE(SUBSTITUTE(SUBSTITUTE(SUBSTITUTE(SUBSTITUTE(SUBSTITUTE(SUBSTITUTE(SUBSTITUTE(SUBSTITUTE(SUBSTITUTE(SUBSTITUTE(LOWER(TRIM(D307)),"ё","е")," -","-"),"- ","-")," 2 разряда","")," 3 разряда","")," 4 разряда","")," 5 разряда","")," 6 разряда","")," 1 категории","")," 2 категории","")," 3 категории",""))="ведущий инженер",IF(ISNUMBER(SEARCH("диспетч",E307)),"ведущий инженер пдо",TRIM(SUBSTITUTE(SUBSTITUTE(SUBSTITUTE(SUBSTITUTE(SUBSTITUTE(SUBSTITUTE(SUBSTITUTE(SUBSTITUTE(SUBSTITUTE(SUBSTITUTE(SUBSTITUTE(LOWER(TRIM(D307)),"ё","е"),"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отк",TRIM(SUBSTITUTE(SUBSTITUTE(SUBSTITUTE(SUBSTITUTE(SUBSTITUTE(SUBSTITUTE(SUBSTITUTE(SUBSTITUTE(SUBSTITUTE(SUBSTITUTE(SUBSTITUTE(LOWER(TRIM(D307)),"ё","е")," -","-"),"- ","-")," 2 разряда","")," 3 разряда","")," 4 разряда","")," 5 разряда","")," 6 разряда","")," 1 категории","")," 2 категории","")," 3 категории","")))))</f>
        <v>токарь</v>
      </c>
      <c r="H307" s="11" t="n">
        <f aca="false">IFERROR(INDEX(Соответствие!$B$2:$B$76,MATCH(G307,Соответствие!$A$2:$A$76,0)),"?")</f>
        <v>34</v>
      </c>
      <c r="I307" s="8" t="str">
        <f aca="false">IFERROR(INDEX('Перечень должностей'!$C$2:$C$46,MATCH(H307,'Перечень должностей'!$A$2:$A$46,0)),"")</f>
        <v>п.4.3.1, п.4.3.2, п.4.4, п.5.1, п.5.2, п.15</v>
      </c>
      <c r="J307" s="11" t="n">
        <f aca="false">IFERROR(INDEX('Перечень должностей'!$D$2:$D$46,MATCH(H307,'Перечень должностей'!$A$2:$A$46,0)),12)</f>
        <v>12</v>
      </c>
      <c r="K307" s="16"/>
      <c r="L307" s="16"/>
      <c r="M307" s="15" t="str">
        <f aca="false">IF(K307="","",EDATE(IF(L307&lt;&gt;"",L307,K307),J307))</f>
        <v/>
      </c>
      <c r="N307" s="11" t="str">
        <f aca="false">IFERROR(INDEX('Перечень должностей'!$F$2:$F$46,MATCH(H307,'Перечень должностей'!$A$2:$A$46,0)),"")</f>
        <v>-</v>
      </c>
      <c r="O307" s="16"/>
      <c r="P307" s="15" t="str">
        <f aca="false">IF(O307="","",EDATE(O307,60))</f>
        <v/>
      </c>
      <c r="Q307" s="11" t="str">
        <f aca="false">IF(AND(K307&lt;&gt;"",F307&lt;&gt;"",K307&gt;F307),"ДА","")</f>
        <v/>
      </c>
      <c r="R307" s="8"/>
    </row>
    <row r="308" customFormat="false" ht="26.25" hidden="false" customHeight="true" outlineLevel="0" collapsed="false">
      <c r="A308" s="14" t="n">
        <v>307</v>
      </c>
      <c r="B308" s="11" t="s">
        <v>72</v>
      </c>
      <c r="C308" s="14" t="s">
        <v>742</v>
      </c>
      <c r="D308" s="14" t="s">
        <v>534</v>
      </c>
      <c r="E308" s="14" t="s">
        <v>743</v>
      </c>
      <c r="F308" s="15" t="n">
        <v>46119</v>
      </c>
      <c r="G308" s="4" t="str">
        <f aca="false">IF(TRIM(SUBSTITUTE(SUBSTITUTE(SUBSTITUTE(SUBSTITUTE(SUBSTITUTE(SUBSTITUTE(SUBSTITUTE(SUBSTITUTE(SUBSTITUTE(SUBSTITUTE(SUBSTITUTE(LOWER(TRIM(D308)),"ё","е")," -","-"),"- ","-")," 2 разряда","")," 3 разряда","")," 4 разряда","")," 5 разряда","")," 6 разряда","")," 1 категории","")," 2 категории","")," 3 категории",""))="инженер",IF(AND(ISNUMBER(SEARCH("техническ",E308)),ISNUMBER(SEARCH("контрол",E308))),"инженер отк",IF(ISNUMBER(SEARCH("диспетч",E308)),"инженер пдо",TRIM(SUBSTITUTE(SUBSTITUTE(SUBSTITUTE(SUBSTITUTE(SUBSTITUTE(SUBSTITUTE(SUBSTITUTE(SUBSTITUTE(SUBSTITUTE(SUBSTITUTE(SUBSTITUTE(LOWER(TRIM(D308)),"ё","е"),"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категории","")))),IF(TRIM(SUBSTITUTE(SUBSTITUTE(SUBSTITUTE(SUBSTITUTE(SUBSTITUTE(SUBSTITUTE(SUBSTITUTE(SUBSTITUTE(SUBSTITUTE(SUBSTITUTE(SUBSTITUTE(LOWER(TRIM(D308)),"ё","е")," -","-"),"- ","-")," 2 разряда","")," 3 разряда","")," 4 разряда","")," 5 разряда","")," 6 разряда","")," 1 категории","")," 2 категории","")," 3 категории",""))="ведущий инженер",IF(ISNUMBER(SEARCH("диспетч",E308)),"ведущий инженер пдо",TRIM(SUBSTITUTE(SUBSTITUTE(SUBSTITUTE(SUBSTITUTE(SUBSTITUTE(SUBSTITUTE(SUBSTITUTE(SUBSTITUTE(SUBSTITUTE(SUBSTITUTE(SUBSTITUTE(LOWER(TRIM(D308)),"ё","е"),"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отк",TRIM(SUBSTITUTE(SUBSTITUTE(SUBSTITUTE(SUBSTITUTE(SUBSTITUTE(SUBSTITUTE(SUBSTITUTE(SUBSTITUTE(SUBSTITUTE(SUBSTITUTE(SUBSTITUTE(LOWER(TRIM(D308)),"ё","е")," -","-"),"- ","-")," 2 разряда","")," 3 разряда","")," 4 разряда","")," 5 разряда","")," 6 разряда","")," 1 категории","")," 2 категории","")," 3 категории","")))))</f>
        <v>слесарь механосборочных работ</v>
      </c>
      <c r="H308" s="11" t="n">
        <f aca="false">IFERROR(INDEX(Соответствие!$B$2:$B$76,MATCH(G308,Соответствие!$A$2:$A$76,0)),"?")</f>
        <v>32</v>
      </c>
      <c r="I308" s="8" t="str">
        <f aca="false">IFERROR(INDEX('Перечень должностей'!$C$2:$C$46,MATCH(H308,'Перечень должностей'!$A$2:$A$46,0)),"")</f>
        <v>п.4.3.1, п.4.3.2, п.4.4, п.5.1, п.15</v>
      </c>
      <c r="J308" s="11" t="n">
        <f aca="false">IFERROR(INDEX('Перечень должностей'!$D$2:$D$46,MATCH(H308,'Перечень должностей'!$A$2:$A$46,0)),12)</f>
        <v>12</v>
      </c>
      <c r="K308" s="16"/>
      <c r="L308" s="16"/>
      <c r="M308" s="15" t="str">
        <f aca="false">IF(K308="","",EDATE(IF(L308&lt;&gt;"",L308,K308),J308))</f>
        <v/>
      </c>
      <c r="N308" s="11" t="str">
        <f aca="false">IFERROR(INDEX('Перечень должностей'!$F$2:$F$46,MATCH(H308,'Перечень должностей'!$A$2:$A$46,0)),"")</f>
        <v>-</v>
      </c>
      <c r="O308" s="16"/>
      <c r="P308" s="15" t="str">
        <f aca="false">IF(O308="","",EDATE(O308,60))</f>
        <v/>
      </c>
      <c r="Q308" s="11" t="str">
        <f aca="false">IF(AND(K308&lt;&gt;"",F308&lt;&gt;"",K308&gt;F308),"ДА","")</f>
        <v/>
      </c>
      <c r="R308" s="8" t="s">
        <v>744</v>
      </c>
    </row>
    <row r="309" customFormat="false" ht="26.25" hidden="false" customHeight="true" outlineLevel="0" collapsed="false">
      <c r="A309" s="14" t="n">
        <v>308</v>
      </c>
      <c r="B309" s="11" t="s">
        <v>72</v>
      </c>
      <c r="C309" s="14" t="s">
        <v>745</v>
      </c>
      <c r="D309" s="14" t="s">
        <v>541</v>
      </c>
      <c r="E309" s="14" t="s">
        <v>743</v>
      </c>
      <c r="F309" s="15" t="n">
        <v>46094</v>
      </c>
      <c r="G309" s="4" t="str">
        <f aca="false">IF(TRIM(SUBSTITUTE(SUBSTITUTE(SUBSTITUTE(SUBSTITUTE(SUBSTITUTE(SUBSTITUTE(SUBSTITUTE(SUBSTITUTE(SUBSTITUTE(SUBSTITUTE(SUBSTITUTE(LOWER(TRIM(D309)),"ё","е")," -","-"),"- ","-")," 2 разряда","")," 3 разряда","")," 4 разряда","")," 5 разряда","")," 6 разряда","")," 1 категории","")," 2 категории","")," 3 категории",""))="инженер",IF(AND(ISNUMBER(SEARCH("техническ",E309)),ISNUMBER(SEARCH("контрол",E309))),"инженер отк",IF(ISNUMBER(SEARCH("диспетч",E309)),"инженер пдо",TRIM(SUBSTITUTE(SUBSTITUTE(SUBSTITUTE(SUBSTITUTE(SUBSTITUTE(SUBSTITUTE(SUBSTITUTE(SUBSTITUTE(SUBSTITUTE(SUBSTITUTE(SUBSTITUTE(LOWER(TRIM(D309)),"ё","е"),"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категории","")))),IF(TRIM(SUBSTITUTE(SUBSTITUTE(SUBSTITUTE(SUBSTITUTE(SUBSTITUTE(SUBSTITUTE(SUBSTITUTE(SUBSTITUTE(SUBSTITUTE(SUBSTITUTE(SUBSTITUTE(LOWER(TRIM(D309)),"ё","е")," -","-"),"- ","-")," 2 разряда","")," 3 разряда","")," 4 разряда","")," 5 разряда","")," 6 разряда","")," 1 категории","")," 2 категории","")," 3 категории",""))="ведущий инженер",IF(ISNUMBER(SEARCH("диспетч",E309)),"ведущий инженер пдо",TRIM(SUBSTITUTE(SUBSTITUTE(SUBSTITUTE(SUBSTITUTE(SUBSTITUTE(SUBSTITUTE(SUBSTITUTE(SUBSTITUTE(SUBSTITUTE(SUBSTITUTE(SUBSTITUTE(LOWER(TRIM(D309)),"ё","е"),"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категории",""))),IF(TRIM(SUBSTITUTE(SUBSTITUTE(SUBSTITUTE(SUBSTITUTE(SUBSTITUTE(SUBSTITUTE(SUBSTITUTE(SUBSTITUTE(SUBSTITUTE(SUBSTITUTE(SUBSTITUTE(LOWER(TRIM(D309)),"ё","е"),"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отк",TRIM(SUBSTITUTE(SUBSTITUTE(SUBSTITUTE(SUBSTITUTE(SUBSTITUTE(SUBSTITUTE(SUBSTITUTE(SUBSTITUTE(SUBSTITUTE(SUBSTITUTE(SUBSTITUTE(LOWER(TRIM(D309)),"ё","е")," -","-"),"- ","-")," 2 разряда","")," 3 разряда","")," 4 разряда","")," 5 разряда","")," 6 разряда","")," 1 категории","")," 2 категории","")," 3 категории","")))))</f>
        <v>слесарь механосборочных работ</v>
      </c>
      <c r="H309" s="11" t="n">
        <f aca="false">IFERROR(INDEX(Соответствие!$B$2:$B$76,MATCH(G309,Соответствие!$A$2:$A$76,0)),"?")</f>
        <v>32</v>
      </c>
      <c r="I309" s="8" t="str">
        <f aca="false">IFERROR(INDEX('Перечень должностей'!$C$2:$C$46,MATCH(H309,'Перечень должностей'!$A$2:$A$46,0)),"")</f>
        <v>п.4.3.1, п.4.3.2, п.4.4, п.5.1, п.15</v>
      </c>
      <c r="J309" s="11" t="n">
        <f aca="false">IFERROR(INDEX('Перечень должностей'!$D$2:$D$46,MATCH(H309,'Перечень должностей'!$A$2:$A$46,0)),12)</f>
        <v>12</v>
      </c>
      <c r="K309" s="16"/>
      <c r="L309" s="16"/>
      <c r="M309" s="15" t="str">
        <f aca="false">IF(K309="","",EDATE(IF(L309&lt;&gt;"",L309,K309),J309))</f>
        <v/>
      </c>
      <c r="N309" s="11" t="str">
        <f aca="false">IFERROR(INDEX('Перечень должностей'!$F$2:$F$46,MATCH(H309,'Перечень должностей'!$A$2:$A$46,0)),"")</f>
        <v>-</v>
      </c>
      <c r="O309" s="16"/>
      <c r="P309" s="15" t="str">
        <f aca="false">IF(O309="","",EDATE(O309,60))</f>
        <v/>
      </c>
      <c r="Q309" s="11" t="str">
        <f aca="false">IF(AND(K309&lt;&gt;"",F309&lt;&gt;"",K309&gt;F309),"ДА","")</f>
        <v/>
      </c>
      <c r="R309" s="8" t="s">
        <v>744</v>
      </c>
    </row>
    <row r="310" customFormat="false" ht="26.25" hidden="false" customHeight="true" outlineLevel="0" collapsed="false">
      <c r="A310" s="14" t="n">
        <v>309</v>
      </c>
      <c r="B310" s="11" t="s">
        <v>72</v>
      </c>
      <c r="C310" s="14" t="s">
        <v>746</v>
      </c>
      <c r="D310" s="14" t="s">
        <v>747</v>
      </c>
      <c r="E310" s="14" t="s">
        <v>733</v>
      </c>
      <c r="F310" s="15" t="n">
        <v>45798</v>
      </c>
      <c r="G310" s="4" t="str">
        <f aca="false">IF(TRIM(SUBSTITUTE(SUBSTITUTE(SUBSTITUTE(SUBSTITUTE(SUBSTITUTE(SUBSTITUTE(SUBSTITUTE(SUBSTITUTE(SUBSTITUTE(SUBSTITUTE(SUBSTITUTE(LOWER(TRIM(D310)),"ё","е")," -","-"),"- ","-")," 2 разряда","")," 3 разряда","")," 4 разряда","")," 5 разряда","")," 6 разряда","")," 1 категории","")," 2 категории","")," 3 категории",""))="инженер",IF(AND(ISNUMBER(SEARCH("техническ",E310)),ISNUMBER(SEARCH("контрол",E310))),"инженер отк",IF(ISNUMBER(SEARCH("диспетч",E310)),"инженер пдо",TRIM(SUBSTITUTE(SUBSTITUTE(SUBSTITUTE(SUBSTITUTE(SUBSTITUTE(SUBSTITUTE(SUBSTITUTE(SUBSTITUTE(SUBSTITUTE(SUBSTITUTE(SUBSTITUTE(LOWER(TRIM(D310)),"ё","е"),"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категории","")))),IF(TRIM(SUBSTITUTE(SUBSTITUTE(SUBSTITUTE(SUBSTITUTE(SUBSTITUTE(SUBSTITUTE(SUBSTITUTE(SUBSTITUTE(SUBSTITUTE(SUBSTITUTE(SUBSTITUTE(LOWER(TRIM(D310)),"ё","е")," -","-"),"- ","-")," 2 разряда","")," 3 разряда","")," 4 разряда","")," 5 разряда","")," 6 разряда","")," 1 категории","")," 2 категории","")," 3 категории",""))="ведущий инженер",IF(ISNUMBER(SEARCH("диспетч",E310)),"ведущий инженер пдо",TRIM(SUBSTITUTE(SUBSTITUTE(SUBSTITUTE(SUBSTITUTE(SUBSTITUTE(SUBSTITUTE(SUBSTITUTE(SUBSTITUTE(SUBSTITUTE(SUBSTITUTE(SUBSTITUTE(LOWER(TRIM(D310)),"ё","е"),"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отк",TRIM(SUBSTITUTE(SUBSTITUTE(SUBSTITUTE(SUBSTITUTE(SUBSTITUTE(SUBSTITUTE(SUBSTITUTE(SUBSTITUTE(SUBSTITUTE(SUBSTITUTE(SUBSTITUTE(LOWER(TRIM(D310)),"ё","е")," -","-"),"- ","-")," 2 разряда","")," 3 разряда","")," 4 разряда","")," 5 разряда","")," 6 разряда","")," 1 категории","")," 2 категории","")," 3 категории","")))))</f>
        <v>оператор листогибочного оборудования</v>
      </c>
      <c r="H310" s="11" t="n">
        <f aca="false">IFERROR(INDEX(Соответствие!$B$2:$B$76,MATCH(G310,Соответствие!$A$2:$A$76,0)),"?")</f>
        <v>35</v>
      </c>
      <c r="I310" s="8" t="str">
        <f aca="false">IFERROR(INDEX('Перечень должностей'!$C$2:$C$46,MATCH(H310,'Перечень должностей'!$A$2:$A$46,0)),"")</f>
        <v>п.4.3.1, п.4.3.2, п.4.4, п.5.1, п.5.2, п.15</v>
      </c>
      <c r="J310" s="11" t="n">
        <f aca="false">IFERROR(INDEX('Перечень должностей'!$D$2:$D$46,MATCH(H310,'Перечень должностей'!$A$2:$A$46,0)),12)</f>
        <v>12</v>
      </c>
      <c r="K310" s="16"/>
      <c r="L310" s="16"/>
      <c r="M310" s="15" t="str">
        <f aca="false">IF(K310="","",EDATE(IF(L310&lt;&gt;"",L310,K310),J310))</f>
        <v/>
      </c>
      <c r="N310" s="11" t="str">
        <f aca="false">IFERROR(INDEX('Перечень должностей'!$F$2:$F$46,MATCH(H310,'Перечень должностей'!$A$2:$A$46,0)),"")</f>
        <v>-</v>
      </c>
      <c r="O310" s="16"/>
      <c r="P310" s="15" t="str">
        <f aca="false">IF(O310="","",EDATE(O310,60))</f>
        <v/>
      </c>
      <c r="Q310" s="11" t="str">
        <f aca="false">IF(AND(K310&lt;&gt;"",F310&lt;&gt;"",K310&gt;F310),"ДА","")</f>
        <v/>
      </c>
      <c r="R310" s="8"/>
    </row>
    <row r="311" customFormat="false" ht="26.25" hidden="false" customHeight="true" outlineLevel="0" collapsed="false">
      <c r="A311" s="14" t="n">
        <v>310</v>
      </c>
      <c r="B311" s="11" t="s">
        <v>72</v>
      </c>
      <c r="C311" s="14" t="s">
        <v>748</v>
      </c>
      <c r="D311" s="14" t="s">
        <v>747</v>
      </c>
      <c r="E311" s="14" t="s">
        <v>733</v>
      </c>
      <c r="F311" s="15" t="n">
        <v>45744</v>
      </c>
      <c r="G311" s="4" t="str">
        <f aca="false">IF(TRIM(SUBSTITUTE(SUBSTITUTE(SUBSTITUTE(SUBSTITUTE(SUBSTITUTE(SUBSTITUTE(SUBSTITUTE(SUBSTITUTE(SUBSTITUTE(SUBSTITUTE(SUBSTITUTE(LOWER(TRIM(D311)),"ё","е")," -","-"),"- ","-")," 2 разряда","")," 3 разряда","")," 4 разряда","")," 5 разряда","")," 6 разряда","")," 1 категории","")," 2 категории","")," 3 категории",""))="инженер",IF(AND(ISNUMBER(SEARCH("техническ",E311)),ISNUMBER(SEARCH("контрол",E311))),"инженер отк",IF(ISNUMBER(SEARCH("диспетч",E311)),"инженер пдо",TRIM(SUBSTITUTE(SUBSTITUTE(SUBSTITUTE(SUBSTITUTE(SUBSTITUTE(SUBSTITUTE(SUBSTITUTE(SUBSTITUTE(SUBSTITUTE(SUBSTITUTE(SUBSTITUTE(LOWER(TRIM(D311)),"ё","е"),"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категории","")))),IF(TRIM(SUBSTITUTE(SUBSTITUTE(SUBSTITUTE(SUBSTITUTE(SUBSTITUTE(SUBSTITUTE(SUBSTITUTE(SUBSTITUTE(SUBSTITUTE(SUBSTITUTE(SUBSTITUTE(LOWER(TRIM(D311)),"ё","е")," -","-"),"- ","-")," 2 разряда","")," 3 разряда","")," 4 разряда","")," 5 разряда","")," 6 разряда","")," 1 категории","")," 2 категории","")," 3 категории",""))="ведущий инженер",IF(ISNUMBER(SEARCH("диспетч",E311)),"ведущий инженер пдо",TRIM(SUBSTITUTE(SUBSTITUTE(SUBSTITUTE(SUBSTITUTE(SUBSTITUTE(SUBSTITUTE(SUBSTITUTE(SUBSTITUTE(SUBSTITUTE(SUBSTITUTE(SUBSTITUTE(LOWER(TRIM(D311)),"ё","е"),"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отк",TRIM(SUBSTITUTE(SUBSTITUTE(SUBSTITUTE(SUBSTITUTE(SUBSTITUTE(SUBSTITUTE(SUBSTITUTE(SUBSTITUTE(SUBSTITUTE(SUBSTITUTE(SUBSTITUTE(LOWER(TRIM(D311)),"ё","е")," -","-"),"- ","-")," 2 разряда","")," 3 разряда","")," 4 разряда","")," 5 разряда","")," 6 разряда","")," 1 категории","")," 2 категории","")," 3 категории","")))))</f>
        <v>оператор листогибочного оборудования</v>
      </c>
      <c r="H311" s="11" t="n">
        <f aca="false">IFERROR(INDEX(Соответствие!$B$2:$B$76,MATCH(G311,Соответствие!$A$2:$A$76,0)),"?")</f>
        <v>35</v>
      </c>
      <c r="I311" s="8" t="str">
        <f aca="false">IFERROR(INDEX('Перечень должностей'!$C$2:$C$46,MATCH(H311,'Перечень должностей'!$A$2:$A$46,0)),"")</f>
        <v>п.4.3.1, п.4.3.2, п.4.4, п.5.1, п.5.2, п.15</v>
      </c>
      <c r="J311" s="11" t="n">
        <f aca="false">IFERROR(INDEX('Перечень должностей'!$D$2:$D$46,MATCH(H311,'Перечень должностей'!$A$2:$A$46,0)),12)</f>
        <v>12</v>
      </c>
      <c r="K311" s="16"/>
      <c r="L311" s="16"/>
      <c r="M311" s="15" t="str">
        <f aca="false">IF(K311="","",EDATE(IF(L311&lt;&gt;"",L311,K311),J311))</f>
        <v/>
      </c>
      <c r="N311" s="11" t="str">
        <f aca="false">IFERROR(INDEX('Перечень должностей'!$F$2:$F$46,MATCH(H311,'Перечень должностей'!$A$2:$A$46,0)),"")</f>
        <v>-</v>
      </c>
      <c r="O311" s="16"/>
      <c r="P311" s="15" t="str">
        <f aca="false">IF(O311="","",EDATE(O311,60))</f>
        <v/>
      </c>
      <c r="Q311" s="11" t="str">
        <f aca="false">IF(AND(K311&lt;&gt;"",F311&lt;&gt;"",K311&gt;F311),"ДА","")</f>
        <v/>
      </c>
      <c r="R311" s="8"/>
    </row>
    <row r="312" customFormat="false" ht="23.85" hidden="false" customHeight="false" outlineLevel="0" collapsed="false">
      <c r="A312" s="14" t="n">
        <v>311</v>
      </c>
      <c r="B312" s="11" t="s">
        <v>72</v>
      </c>
      <c r="C312" s="14" t="s">
        <v>749</v>
      </c>
      <c r="D312" s="14" t="s">
        <v>750</v>
      </c>
      <c r="E312" s="14" t="s">
        <v>733</v>
      </c>
      <c r="F312" s="15" t="n">
        <v>45812</v>
      </c>
      <c r="G312" s="4" t="str">
        <f aca="false">IF(TRIM(SUBSTITUTE(SUBSTITUTE(SUBSTITUTE(SUBSTITUTE(SUBSTITUTE(SUBSTITUTE(SUBSTITUTE(SUBSTITUTE(SUBSTITUTE(SUBSTITUTE(SUBSTITUTE(LOWER(TRIM(D312)),"ё","е")," -","-"),"- ","-")," 2 разряда","")," 3 разряда","")," 4 разряда","")," 5 разряда","")," 6 разряда","")," 1 категории","")," 2 категории","")," 3 категории",""))="инженер",IF(AND(ISNUMBER(SEARCH("техническ",E312)),ISNUMBER(SEARCH("контрол",E312))),"инженер отк",IF(ISNUMBER(SEARCH("диспетч",E312)),"инженер пдо",TRIM(SUBSTITUTE(SUBSTITUTE(SUBSTITUTE(SUBSTITUTE(SUBSTITUTE(SUBSTITUTE(SUBSTITUTE(SUBSTITUTE(SUBSTITUTE(SUBSTITUTE(SUBSTITUTE(LOWER(TRIM(D312)),"ё","е"),"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категории","")))),IF(TRIM(SUBSTITUTE(SUBSTITUTE(SUBSTITUTE(SUBSTITUTE(SUBSTITUTE(SUBSTITUTE(SUBSTITUTE(SUBSTITUTE(SUBSTITUTE(SUBSTITUTE(SUBSTITUTE(LOWER(TRIM(D312)),"ё","е")," -","-"),"- ","-")," 2 разряда","")," 3 разряда","")," 4 разряда","")," 5 разряда","")," 6 разряда","")," 1 категории","")," 2 категории","")," 3 категории",""))="ведущий инженер",IF(ISNUMBER(SEARCH("диспетч",E312)),"ведущий инженер пдо",TRIM(SUBSTITUTE(SUBSTITUTE(SUBSTITUTE(SUBSTITUTE(SUBSTITUTE(SUBSTITUTE(SUBSTITUTE(SUBSTITUTE(SUBSTITUTE(SUBSTITUTE(SUBSTITUTE(LOWER(TRIM(D312)),"ё","е"),"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отк",TRIM(SUBSTITUTE(SUBSTITUTE(SUBSTITUTE(SUBSTITUTE(SUBSTITUTE(SUBSTITUTE(SUBSTITUTE(SUBSTITUTE(SUBSTITUTE(SUBSTITUTE(SUBSTITUTE(LOWER(TRIM(D312)),"ё","е")," -","-"),"- ","-")," 2 разряда","")," 3 разряда","")," 4 разряда","")," 5 разряда","")," 6 разряда","")," 1 категории","")," 2 категории","")," 3 категории","")))))</f>
        <v>оператор лазерных установок</v>
      </c>
      <c r="H312" s="11" t="n">
        <f aca="false">IFERROR(INDEX(Соответствие!$B$2:$B$76,MATCH(G312,Соответствие!$A$2:$A$76,0)),"?")</f>
        <v>31</v>
      </c>
      <c r="I312" s="8" t="str">
        <f aca="false">IFERROR(INDEX('Перечень должностей'!$C$2:$C$46,MATCH(H312,'Перечень должностей'!$A$2:$A$46,0)),"")</f>
        <v>п.4.2.1, п.4.3.1, п.4.3.2, п.4.4, п.5.1, п.5.2, п.15</v>
      </c>
      <c r="J312" s="11" t="n">
        <f aca="false">IFERROR(INDEX('Перечень должностей'!$D$2:$D$46,MATCH(H312,'Перечень должностей'!$A$2:$A$46,0)),12)</f>
        <v>12</v>
      </c>
      <c r="K312" s="16"/>
      <c r="L312" s="16"/>
      <c r="M312" s="15" t="str">
        <f aca="false">IF(K312="","",EDATE(IF(L312&lt;&gt;"",L312,K312),J312))</f>
        <v/>
      </c>
      <c r="N312" s="11" t="str">
        <f aca="false">IFERROR(INDEX('Перечень должностей'!$F$2:$F$46,MATCH(H312,'Перечень должностей'!$A$2:$A$46,0)),"")</f>
        <v>-</v>
      </c>
      <c r="O312" s="16"/>
      <c r="P312" s="15" t="str">
        <f aca="false">IF(O312="","",EDATE(O312,60))</f>
        <v/>
      </c>
      <c r="Q312" s="11" t="str">
        <f aca="false">IF(AND(K312&lt;&gt;"",F312&lt;&gt;"",K312&gt;F312),"ДА","")</f>
        <v/>
      </c>
      <c r="R312" s="8"/>
    </row>
    <row r="313" customFormat="false" ht="23.85" hidden="false" customHeight="false" outlineLevel="0" collapsed="false">
      <c r="A313" s="14" t="n">
        <v>312</v>
      </c>
      <c r="B313" s="11" t="s">
        <v>50</v>
      </c>
      <c r="C313" s="14" t="s">
        <v>751</v>
      </c>
      <c r="D313" s="14" t="s">
        <v>315</v>
      </c>
      <c r="E313" s="14" t="s">
        <v>733</v>
      </c>
      <c r="F313" s="15" t="n">
        <v>45938</v>
      </c>
      <c r="G313" s="4" t="str">
        <f aca="false">IF(TRIM(SUBSTITUTE(SUBSTITUTE(SUBSTITUTE(SUBSTITUTE(SUBSTITUTE(SUBSTITUTE(SUBSTITUTE(SUBSTITUTE(SUBSTITUTE(SUBSTITUTE(SUBSTITUTE(LOWER(TRIM(D313)),"ё","е")," -","-"),"- ","-")," 2 разряда","")," 3 разряда","")," 4 разряда","")," 5 разряда","")," 6 разряда","")," 1 категории","")," 2 категории","")," 3 категории",""))="инженер",IF(AND(ISNUMBER(SEARCH("техническ",E313)),ISNUMBER(SEARCH("контрол",E313))),"инженер отк",IF(ISNUMBER(SEARCH("диспетч",E313)),"инженер пдо",TRIM(SUBSTITUTE(SUBSTITUTE(SUBSTITUTE(SUBSTITUTE(SUBSTITUTE(SUBSTITUTE(SUBSTITUTE(SUBSTITUTE(SUBSTITUTE(SUBSTITUTE(SUBSTITUTE(LOWER(TRIM(D313)),"ё","е"),"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категории","")))),IF(TRIM(SUBSTITUTE(SUBSTITUTE(SUBSTITUTE(SUBSTITUTE(SUBSTITUTE(SUBSTITUTE(SUBSTITUTE(SUBSTITUTE(SUBSTITUTE(SUBSTITUTE(SUBSTITUTE(LOWER(TRIM(D313)),"ё","е")," -","-"),"- ","-")," 2 разряда","")," 3 разряда","")," 4 разряда","")," 5 разряда","")," 6 разряда","")," 1 категории","")," 2 категории","")," 3 категории",""))="ведущий инженер",IF(ISNUMBER(SEARCH("диспетч",E313)),"ведущий инженер пдо",TRIM(SUBSTITUTE(SUBSTITUTE(SUBSTITUTE(SUBSTITUTE(SUBSTITUTE(SUBSTITUTE(SUBSTITUTE(SUBSTITUTE(SUBSTITUTE(SUBSTITUTE(SUBSTITUTE(LOWER(TRIM(D313)),"ё","е"),"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отк",TRIM(SUBSTITUTE(SUBSTITUTE(SUBSTITUTE(SUBSTITUTE(SUBSTITUTE(SUBSTITUTE(SUBSTITUTE(SUBSTITUTE(SUBSTITUTE(SUBSTITUTE(SUBSTITUTE(LOWER(TRIM(D313)),"ё","е")," -","-"),"- ","-")," 2 разряда","")," 3 разряда","")," 4 разряда","")," 5 разряда","")," 6 разряда","")," 1 категории","")," 2 категории","")," 3 категории","")))))</f>
        <v>оператор-наладчик станков с чпу</v>
      </c>
      <c r="H313" s="11" t="n">
        <f aca="false">IFERROR(INDEX(Соответствие!$B$2:$B$76,MATCH(G313,Соответствие!$A$2:$A$76,0)),"?")</f>
        <v>25</v>
      </c>
      <c r="I313" s="8" t="str">
        <f aca="false">IFERROR(INDEX('Перечень должностей'!$C$2:$C$46,MATCH(H313,'Перечень должностей'!$A$2:$A$46,0)),"")</f>
        <v>п.4.3.1, п.4.3.2, п.4.4, п.5.1, п.5.2, п.15</v>
      </c>
      <c r="J313" s="11" t="n">
        <f aca="false">IFERROR(INDEX('Перечень должностей'!$D$2:$D$46,MATCH(H313,'Перечень должностей'!$A$2:$A$46,0)),12)</f>
        <v>12</v>
      </c>
      <c r="K313" s="16"/>
      <c r="L313" s="16"/>
      <c r="M313" s="15" t="str">
        <f aca="false">IF(K313="","",EDATE(IF(L313&lt;&gt;"",L313,K313),J313))</f>
        <v/>
      </c>
      <c r="N313" s="11" t="str">
        <f aca="false">IFERROR(INDEX('Перечень должностей'!$F$2:$F$46,MATCH(H313,'Перечень должностей'!$A$2:$A$46,0)),"")</f>
        <v>-</v>
      </c>
      <c r="O313" s="16"/>
      <c r="P313" s="15" t="str">
        <f aca="false">IF(O313="","",EDATE(O313,60))</f>
        <v/>
      </c>
      <c r="Q313" s="11" t="str">
        <f aca="false">IF(AND(K313&lt;&gt;"",F313&lt;&gt;"",K313&gt;F313),"ДА","")</f>
        <v/>
      </c>
      <c r="R313" s="8"/>
    </row>
    <row r="314" customFormat="false" ht="26.25" hidden="false" customHeight="true" outlineLevel="0" collapsed="false">
      <c r="A314" s="14" t="n">
        <v>313</v>
      </c>
      <c r="B314" s="11" t="s">
        <v>72</v>
      </c>
      <c r="C314" s="14" t="s">
        <v>752</v>
      </c>
      <c r="D314" s="14" t="s">
        <v>315</v>
      </c>
      <c r="E314" s="14" t="s">
        <v>733</v>
      </c>
      <c r="F314" s="15" t="n">
        <v>45910</v>
      </c>
      <c r="G314" s="4" t="str">
        <f aca="false">IF(TRIM(SUBSTITUTE(SUBSTITUTE(SUBSTITUTE(SUBSTITUTE(SUBSTITUTE(SUBSTITUTE(SUBSTITUTE(SUBSTITUTE(SUBSTITUTE(SUBSTITUTE(SUBSTITUTE(LOWER(TRIM(D314)),"ё","е")," -","-"),"- ","-")," 2 разряда","")," 3 разряда","")," 4 разряда","")," 5 разряда","")," 6 разряда","")," 1 категории","")," 2 категории","")," 3 категории",""))="инженер",IF(AND(ISNUMBER(SEARCH("техническ",E314)),ISNUMBER(SEARCH("контрол",E314))),"инженер отк",IF(ISNUMBER(SEARCH("диспетч",E314)),"инженер пдо",TRIM(SUBSTITUTE(SUBSTITUTE(SUBSTITUTE(SUBSTITUTE(SUBSTITUTE(SUBSTITUTE(SUBSTITUTE(SUBSTITUTE(SUBSTITUTE(SUBSTITUTE(SUBSTITUTE(LOWER(TRIM(D314)),"ё","е"),"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категории","")))),IF(TRIM(SUBSTITUTE(SUBSTITUTE(SUBSTITUTE(SUBSTITUTE(SUBSTITUTE(SUBSTITUTE(SUBSTITUTE(SUBSTITUTE(SUBSTITUTE(SUBSTITUTE(SUBSTITUTE(LOWER(TRIM(D314)),"ё","е")," -","-"),"- ","-")," 2 разряда","")," 3 разряда","")," 4 разряда","")," 5 разряда","")," 6 разряда","")," 1 категории","")," 2 категории","")," 3 категории",""))="ведущий инженер",IF(ISNUMBER(SEARCH("диспетч",E314)),"ведущий инженер пдо",TRIM(SUBSTITUTE(SUBSTITUTE(SUBSTITUTE(SUBSTITUTE(SUBSTITUTE(SUBSTITUTE(SUBSTITUTE(SUBSTITUTE(SUBSTITUTE(SUBSTITUTE(SUBSTITUTE(LOWER(TRIM(D314)),"ё","е"),"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отк",TRIM(SUBSTITUTE(SUBSTITUTE(SUBSTITUTE(SUBSTITUTE(SUBSTITUTE(SUBSTITUTE(SUBSTITUTE(SUBSTITUTE(SUBSTITUTE(SUBSTITUTE(SUBSTITUTE(LOWER(TRIM(D314)),"ё","е")," -","-"),"- ","-")," 2 разряда","")," 3 разряда","")," 4 разряда","")," 5 разряда","")," 6 разряда","")," 1 категории","")," 2 категории","")," 3 категории","")))))</f>
        <v>оператор-наладчик станков с чпу</v>
      </c>
      <c r="H314" s="11" t="n">
        <f aca="false">IFERROR(INDEX(Соответствие!$B$2:$B$76,MATCH(G314,Соответствие!$A$2:$A$76,0)),"?")</f>
        <v>25</v>
      </c>
      <c r="I314" s="8" t="str">
        <f aca="false">IFERROR(INDEX('Перечень должностей'!$C$2:$C$46,MATCH(H314,'Перечень должностей'!$A$2:$A$46,0)),"")</f>
        <v>п.4.3.1, п.4.3.2, п.4.4, п.5.1, п.5.2, п.15</v>
      </c>
      <c r="J314" s="11" t="n">
        <f aca="false">IFERROR(INDEX('Перечень должностей'!$D$2:$D$46,MATCH(H314,'Перечень должностей'!$A$2:$A$46,0)),12)</f>
        <v>12</v>
      </c>
      <c r="K314" s="16"/>
      <c r="L314" s="16"/>
      <c r="M314" s="15" t="str">
        <f aca="false">IF(K314="","",EDATE(IF(L314&lt;&gt;"",L314,K314),J314))</f>
        <v/>
      </c>
      <c r="N314" s="11" t="str">
        <f aca="false">IFERROR(INDEX('Перечень должностей'!$F$2:$F$46,MATCH(H314,'Перечень должностей'!$A$2:$A$46,0)),"")</f>
        <v>-</v>
      </c>
      <c r="O314" s="16"/>
      <c r="P314" s="15" t="str">
        <f aca="false">IF(O314="","",EDATE(O314,60))</f>
        <v/>
      </c>
      <c r="Q314" s="11" t="str">
        <f aca="false">IF(AND(K314&lt;&gt;"",F314&lt;&gt;"",K314&gt;F314),"ДА","")</f>
        <v/>
      </c>
      <c r="R314" s="8"/>
    </row>
    <row r="315" customFormat="false" ht="26.25" hidden="false" customHeight="true" outlineLevel="0" collapsed="false">
      <c r="A315" s="14" t="n">
        <v>314</v>
      </c>
      <c r="B315" s="11" t="s">
        <v>72</v>
      </c>
      <c r="C315" s="14" t="s">
        <v>753</v>
      </c>
      <c r="D315" s="14" t="s">
        <v>754</v>
      </c>
      <c r="E315" s="14" t="s">
        <v>733</v>
      </c>
      <c r="F315" s="15" t="n">
        <v>46084</v>
      </c>
      <c r="G315" s="4" t="str">
        <f aca="false">IF(TRIM(SUBSTITUTE(SUBSTITUTE(SUBSTITUTE(SUBSTITUTE(SUBSTITUTE(SUBSTITUTE(SUBSTITUTE(SUBSTITUTE(SUBSTITUTE(SUBSTITUTE(SUBSTITUTE(LOWER(TRIM(D315)),"ё","е")," -","-"),"- ","-")," 2 разряда","")," 3 разряда","")," 4 разряда","")," 5 разряда","")," 6 разряда","")," 1 категории","")," 2 категории","")," 3 категории",""))="инженер",IF(AND(ISNUMBER(SEARCH("техническ",E315)),ISNUMBER(SEARCH("контрол",E315))),"инженер отк",IF(ISNUMBER(SEARCH("диспетч",E315)),"инженер пдо",TRIM(SUBSTITUTE(SUBSTITUTE(SUBSTITUTE(SUBSTITUTE(SUBSTITUTE(SUBSTITUTE(SUBSTITUTE(SUBSTITUTE(SUBSTITUTE(SUBSTITUTE(SUBSTITUTE(LOWER(TRIM(D315)),"ё","е"),"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категории","")))),IF(TRIM(SUBSTITUTE(SUBSTITUTE(SUBSTITUTE(SUBSTITUTE(SUBSTITUTE(SUBSTITUTE(SUBSTITUTE(SUBSTITUTE(SUBSTITUTE(SUBSTITUTE(SUBSTITUTE(LOWER(TRIM(D315)),"ё","е")," -","-"),"- ","-")," 2 разряда","")," 3 разряда","")," 4 разряда","")," 5 разряда","")," 6 разряда","")," 1 категории","")," 2 категории","")," 3 категории",""))="ведущий инженер",IF(ISNUMBER(SEARCH("диспетч",E315)),"ведущий инженер пдо",TRIM(SUBSTITUTE(SUBSTITUTE(SUBSTITUTE(SUBSTITUTE(SUBSTITUTE(SUBSTITUTE(SUBSTITUTE(SUBSTITUTE(SUBSTITUTE(SUBSTITUTE(SUBSTITUTE(LOWER(TRIM(D315)),"ё","е"),"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отк",TRIM(SUBSTITUTE(SUBSTITUTE(SUBSTITUTE(SUBSTITUTE(SUBSTITUTE(SUBSTITUTE(SUBSTITUTE(SUBSTITUTE(SUBSTITUTE(SUBSTITUTE(SUBSTITUTE(LOWER(TRIM(D315)),"ё","е")," -","-"),"- ","-")," 2 разряда","")," 3 разряда","")," 4 разряда","")," 5 разряда","")," 6 разряда","")," 1 категории","")," 2 категории","")," 3 категории","")))))</f>
        <v>оператор станка с чпу</v>
      </c>
      <c r="H315" s="11" t="n">
        <f aca="false">IFERROR(INDEX(Соответствие!$B$2:$B$76,MATCH(G315,Соответствие!$A$2:$A$76,0)),"?")</f>
        <v>30</v>
      </c>
      <c r="I315" s="8" t="str">
        <f aca="false">IFERROR(INDEX('Перечень должностей'!$C$2:$C$46,MATCH(H315,'Перечень должностей'!$A$2:$A$46,0)),"")</f>
        <v>п.4.3.1, п.4.3.2, п.4.4, п.5.1, п.5.2, п.15</v>
      </c>
      <c r="J315" s="11" t="n">
        <f aca="false">IFERROR(INDEX('Перечень должностей'!$D$2:$D$46,MATCH(H315,'Перечень должностей'!$A$2:$A$46,0)),12)</f>
        <v>12</v>
      </c>
      <c r="K315" s="16"/>
      <c r="L315" s="16"/>
      <c r="M315" s="15" t="str">
        <f aca="false">IF(K315="","",EDATE(IF(L315&lt;&gt;"",L315,K315),J315))</f>
        <v/>
      </c>
      <c r="N315" s="11" t="str">
        <f aca="false">IFERROR(INDEX('Перечень должностей'!$F$2:$F$46,MATCH(H315,'Перечень должностей'!$A$2:$A$46,0)),"")</f>
        <v>-</v>
      </c>
      <c r="O315" s="16"/>
      <c r="P315" s="15" t="str">
        <f aca="false">IF(O315="","",EDATE(O315,60))</f>
        <v/>
      </c>
      <c r="Q315" s="11" t="str">
        <f aca="false">IF(AND(K315&lt;&gt;"",F315&lt;&gt;"",K315&gt;F315),"ДА","")</f>
        <v/>
      </c>
      <c r="R315" s="8"/>
    </row>
    <row r="316" customFormat="false" ht="26.25" hidden="false" customHeight="true" outlineLevel="0" collapsed="false">
      <c r="A316" s="14" t="n">
        <v>315</v>
      </c>
      <c r="B316" s="11" t="s">
        <v>72</v>
      </c>
      <c r="C316" s="14" t="s">
        <v>172</v>
      </c>
      <c r="D316" s="14" t="s">
        <v>541</v>
      </c>
      <c r="E316" s="14" t="s">
        <v>733</v>
      </c>
      <c r="F316" s="15" t="n">
        <v>45931</v>
      </c>
      <c r="G316" s="4" t="str">
        <f aca="false">IF(TRIM(SUBSTITUTE(SUBSTITUTE(SUBSTITUTE(SUBSTITUTE(SUBSTITUTE(SUBSTITUTE(SUBSTITUTE(SUBSTITUTE(SUBSTITUTE(SUBSTITUTE(SUBSTITUTE(LOWER(TRIM(D316)),"ё","е")," -","-"),"- ","-")," 2 разряда","")," 3 разряда","")," 4 разряда","")," 5 разряда","")," 6 разряда","")," 1 категории","")," 2 категории","")," 3 категории",""))="инженер",IF(AND(ISNUMBER(SEARCH("техническ",E316)),ISNUMBER(SEARCH("контрол",E316))),"инженер отк",IF(ISNUMBER(SEARCH("диспетч",E316)),"инженер пдо",TRIM(SUBSTITUTE(SUBSTITUTE(SUBSTITUTE(SUBSTITUTE(SUBSTITUTE(SUBSTITUTE(SUBSTITUTE(SUBSTITUTE(SUBSTITUTE(SUBSTITUTE(SUBSTITUTE(LOWER(TRIM(D316)),"ё","е"),"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категории","")))),IF(TRIM(SUBSTITUTE(SUBSTITUTE(SUBSTITUTE(SUBSTITUTE(SUBSTITUTE(SUBSTITUTE(SUBSTITUTE(SUBSTITUTE(SUBSTITUTE(SUBSTITUTE(SUBSTITUTE(LOWER(TRIM(D316)),"ё","е")," -","-"),"- ","-")," 2 разряда","")," 3 разряда","")," 4 разряда","")," 5 разряда","")," 6 разряда","")," 1 категории","")," 2 категории","")," 3 категории",""))="ведущий инженер",IF(ISNUMBER(SEARCH("диспетч",E316)),"ведущий инженер пдо",TRIM(SUBSTITUTE(SUBSTITUTE(SUBSTITUTE(SUBSTITUTE(SUBSTITUTE(SUBSTITUTE(SUBSTITUTE(SUBSTITUTE(SUBSTITUTE(SUBSTITUTE(SUBSTITUTE(LOWER(TRIM(D316)),"ё","е"),"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отк",TRIM(SUBSTITUTE(SUBSTITUTE(SUBSTITUTE(SUBSTITUTE(SUBSTITUTE(SUBSTITUTE(SUBSTITUTE(SUBSTITUTE(SUBSTITUTE(SUBSTITUTE(SUBSTITUTE(LOWER(TRIM(D316)),"ё","е")," -","-"),"- ","-")," 2 разряда","")," 3 разряда","")," 4 разряда","")," 5 разряда","")," 6 разряда","")," 1 категории","")," 2 категории","")," 3 категории","")))))</f>
        <v>слесарь механосборочных работ</v>
      </c>
      <c r="H316" s="11" t="n">
        <f aca="false">IFERROR(INDEX(Соответствие!$B$2:$B$76,MATCH(G316,Соответствие!$A$2:$A$76,0)),"?")</f>
        <v>32</v>
      </c>
      <c r="I316" s="8" t="str">
        <f aca="false">IFERROR(INDEX('Перечень должностей'!$C$2:$C$46,MATCH(H316,'Перечень должностей'!$A$2:$A$46,0)),"")</f>
        <v>п.4.3.1, п.4.3.2, п.4.4, п.5.1, п.15</v>
      </c>
      <c r="J316" s="11" t="n">
        <f aca="false">IFERROR(INDEX('Перечень должностей'!$D$2:$D$46,MATCH(H316,'Перечень должностей'!$A$2:$A$46,0)),12)</f>
        <v>12</v>
      </c>
      <c r="K316" s="16" t="n">
        <v>45922</v>
      </c>
      <c r="L316" s="16"/>
      <c r="M316" s="15" t="n">
        <f aca="false">IF(K316="","",EDATE(IF(L316&lt;&gt;"",L316,K316),J316))</f>
        <v>46287</v>
      </c>
      <c r="N316" s="11" t="str">
        <f aca="false">IFERROR(INDEX('Перечень должностей'!$F$2:$F$46,MATCH(H316,'Перечень должностей'!$A$2:$A$46,0)),"")</f>
        <v>-</v>
      </c>
      <c r="O316" s="16"/>
      <c r="P316" s="15" t="str">
        <f aca="false">IF(O316="","",EDATE(O316,60))</f>
        <v/>
      </c>
      <c r="Q316" s="11" t="str">
        <f aca="false">IF(AND(K316&lt;&gt;"",F316&lt;&gt;"",K316&gt;F316),"ДА","")</f>
        <v/>
      </c>
      <c r="R316" s="17" t="s">
        <v>173</v>
      </c>
    </row>
    <row r="317" customFormat="false" ht="26.25" hidden="false" customHeight="true" outlineLevel="0" collapsed="false">
      <c r="A317" s="14" t="n">
        <v>316</v>
      </c>
      <c r="B317" s="11" t="s">
        <v>72</v>
      </c>
      <c r="C317" s="14" t="s">
        <v>174</v>
      </c>
      <c r="D317" s="14" t="s">
        <v>534</v>
      </c>
      <c r="E317" s="14" t="s">
        <v>733</v>
      </c>
      <c r="F317" s="15" t="n">
        <v>45932</v>
      </c>
      <c r="G317" s="4" t="str">
        <f aca="false">IF(TRIM(SUBSTITUTE(SUBSTITUTE(SUBSTITUTE(SUBSTITUTE(SUBSTITUTE(SUBSTITUTE(SUBSTITUTE(SUBSTITUTE(SUBSTITUTE(SUBSTITUTE(SUBSTITUTE(LOWER(TRIM(D317)),"ё","е")," -","-"),"- ","-")," 2 разряда","")," 3 разряда","")," 4 разряда","")," 5 разряда","")," 6 разряда","")," 1 категории","")," 2 категории","")," 3 категории",""))="инженер",IF(AND(ISNUMBER(SEARCH("техническ",E317)),ISNUMBER(SEARCH("контрол",E317))),"инженер отк",IF(ISNUMBER(SEARCH("диспетч",E317)),"инженер пдо",TRIM(SUBSTITUTE(SUBSTITUTE(SUBSTITUTE(SUBSTITUTE(SUBSTITUTE(SUBSTITUTE(SUBSTITUTE(SUBSTITUTE(SUBSTITUTE(SUBSTITUTE(SUBSTITUTE(LOWER(TRIM(D317)),"ё","е"),"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категории","")))),IF(TRIM(SUBSTITUTE(SUBSTITUTE(SUBSTITUTE(SUBSTITUTE(SUBSTITUTE(SUBSTITUTE(SUBSTITUTE(SUBSTITUTE(SUBSTITUTE(SUBSTITUTE(SUBSTITUTE(LOWER(TRIM(D317)),"ё","е")," -","-"),"- ","-")," 2 разряда","")," 3 разряда","")," 4 разряда","")," 5 разряда","")," 6 разряда","")," 1 категории","")," 2 категории","")," 3 категории",""))="ведущий инженер",IF(ISNUMBER(SEARCH("диспетч",E317)),"ведущий инженер пдо",TRIM(SUBSTITUTE(SUBSTITUTE(SUBSTITUTE(SUBSTITUTE(SUBSTITUTE(SUBSTITUTE(SUBSTITUTE(SUBSTITUTE(SUBSTITUTE(SUBSTITUTE(SUBSTITUTE(LOWER(TRIM(D317)),"ё","е"),"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отк",TRIM(SUBSTITUTE(SUBSTITUTE(SUBSTITUTE(SUBSTITUTE(SUBSTITUTE(SUBSTITUTE(SUBSTITUTE(SUBSTITUTE(SUBSTITUTE(SUBSTITUTE(SUBSTITUTE(LOWER(TRIM(D317)),"ё","е")," -","-"),"- ","-")," 2 разряда","")," 3 разряда","")," 4 разряда","")," 5 разряда","")," 6 разряда","")," 1 категории","")," 2 категории","")," 3 категории","")))))</f>
        <v>слесарь механосборочных работ</v>
      </c>
      <c r="H317" s="11" t="n">
        <f aca="false">IFERROR(INDEX(Соответствие!$B$2:$B$76,MATCH(G317,Соответствие!$A$2:$A$76,0)),"?")</f>
        <v>32</v>
      </c>
      <c r="I317" s="8" t="str">
        <f aca="false">IFERROR(INDEX('Перечень должностей'!$C$2:$C$46,MATCH(H317,'Перечень должностей'!$A$2:$A$46,0)),"")</f>
        <v>п.4.3.1, п.4.3.2, п.4.4, п.5.1, п.15</v>
      </c>
      <c r="J317" s="11" t="n">
        <f aca="false">IFERROR(INDEX('Перечень должностей'!$D$2:$D$46,MATCH(H317,'Перечень должностей'!$A$2:$A$46,0)),12)</f>
        <v>12</v>
      </c>
      <c r="K317" s="16" t="n">
        <v>45926</v>
      </c>
      <c r="L317" s="16"/>
      <c r="M317" s="15" t="n">
        <f aca="false">IF(K317="","",EDATE(IF(L317&lt;&gt;"",L317,K317),J317))</f>
        <v>46291</v>
      </c>
      <c r="N317" s="11" t="str">
        <f aca="false">IFERROR(INDEX('Перечень должностей'!$F$2:$F$46,MATCH(H317,'Перечень должностей'!$A$2:$A$46,0)),"")</f>
        <v>-</v>
      </c>
      <c r="O317" s="16"/>
      <c r="P317" s="15" t="str">
        <f aca="false">IF(O317="","",EDATE(O317,60))</f>
        <v/>
      </c>
      <c r="Q317" s="11" t="str">
        <f aca="false">IF(AND(K317&lt;&gt;"",F317&lt;&gt;"",K317&gt;F317),"ДА","")</f>
        <v/>
      </c>
      <c r="R317" s="17" t="s">
        <v>175</v>
      </c>
    </row>
    <row r="318" customFormat="false" ht="26.25" hidden="false" customHeight="true" outlineLevel="0" collapsed="false">
      <c r="A318" s="14" t="n">
        <v>317</v>
      </c>
      <c r="B318" s="11" t="s">
        <v>72</v>
      </c>
      <c r="C318" s="14" t="s">
        <v>755</v>
      </c>
      <c r="D318" s="14" t="s">
        <v>409</v>
      </c>
      <c r="E318" s="14" t="s">
        <v>204</v>
      </c>
      <c r="F318" s="15" t="n">
        <v>42494</v>
      </c>
      <c r="G318" s="4" t="str">
        <f aca="false">IF(TRIM(SUBSTITUTE(SUBSTITUTE(SUBSTITUTE(SUBSTITUTE(SUBSTITUTE(SUBSTITUTE(SUBSTITUTE(SUBSTITUTE(SUBSTITUTE(SUBSTITUTE(SUBSTITUTE(LOWER(TRIM(D318)),"ё","е")," -","-"),"- ","-")," 2 разряда","")," 3 разряда","")," 4 разряда","")," 5 разряда","")," 6 разряда","")," 1 категории","")," 2 категории","")," 3 категории",""))="инженер",IF(AND(ISNUMBER(SEARCH("техническ",E318)),ISNUMBER(SEARCH("контрол",E318))),"инженер отк",IF(ISNUMBER(SEARCH("диспетч",E318)),"инженер пдо",TRIM(SUBSTITUTE(SUBSTITUTE(SUBSTITUTE(SUBSTITUTE(SUBSTITUTE(SUBSTITUTE(SUBSTITUTE(SUBSTITUTE(SUBSTITUTE(SUBSTITUTE(SUBSTITUTE(LOWER(TRIM(D318)),"ё","е"),"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категории","")))),IF(TRIM(SUBSTITUTE(SUBSTITUTE(SUBSTITUTE(SUBSTITUTE(SUBSTITUTE(SUBSTITUTE(SUBSTITUTE(SUBSTITUTE(SUBSTITUTE(SUBSTITUTE(SUBSTITUTE(LOWER(TRIM(D318)),"ё","е")," -","-"),"- ","-")," 2 разряда","")," 3 разряда","")," 4 разряда","")," 5 разряда","")," 6 разряда","")," 1 категории","")," 2 категории","")," 3 категории",""))="ведущий инженер",IF(ISNUMBER(SEARCH("диспетч",E318)),"ведущий инженер пдо",TRIM(SUBSTITUTE(SUBSTITUTE(SUBSTITUTE(SUBSTITUTE(SUBSTITUTE(SUBSTITUTE(SUBSTITUTE(SUBSTITUTE(SUBSTITUTE(SUBSTITUTE(SUBSTITUTE(LOWER(TRIM(D318)),"ё","е"),"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отк",TRIM(SUBSTITUTE(SUBSTITUTE(SUBSTITUTE(SUBSTITUTE(SUBSTITUTE(SUBSTITUTE(SUBSTITUTE(SUBSTITUTE(SUBSTITUTE(SUBSTITUTE(SUBSTITUTE(LOWER(TRIM(D318)),"ё","е")," -","-"),"- ","-")," 2 разряда","")," 3 разряда","")," 4 разряда","")," 5 разряда","")," 6 разряда","")," 1 категории","")," 2 категории","")," 3 категории","")))))</f>
        <v>слесарь-сборщик</v>
      </c>
      <c r="H318" s="11" t="n">
        <f aca="false">IFERROR(INDEX(Соответствие!$B$2:$B$76,MATCH(G318,Соответствие!$A$2:$A$76,0)),"?")</f>
        <v>19</v>
      </c>
      <c r="I318" s="8" t="str">
        <f aca="false">IFERROR(INDEX('Перечень должностей'!$C$2:$C$46,MATCH(H318,'Перечень должностей'!$A$2:$A$46,0)),"")</f>
        <v>п.4.3.1, п.4.3.2, п.4.4, п.5.1, п.6.2, п.15</v>
      </c>
      <c r="J318" s="11" t="n">
        <f aca="false">IFERROR(INDEX('Перечень должностей'!$D$2:$D$46,MATCH(H318,'Перечень должностей'!$A$2:$A$46,0)),12)</f>
        <v>12</v>
      </c>
      <c r="K318" s="16"/>
      <c r="L318" s="16"/>
      <c r="M318" s="15" t="str">
        <f aca="false">IF(K318="","",EDATE(IF(L318&lt;&gt;"",L318,K318),J318))</f>
        <v/>
      </c>
      <c r="N318" s="11" t="str">
        <f aca="false">IFERROR(INDEX('Перечень должностей'!$F$2:$F$46,MATCH(H318,'Перечень должностей'!$A$2:$A$46,0)),"")</f>
        <v>-</v>
      </c>
      <c r="O318" s="16"/>
      <c r="P318" s="15" t="str">
        <f aca="false">IF(O318="","",EDATE(O318,60))</f>
        <v/>
      </c>
      <c r="Q318" s="11" t="str">
        <f aca="false">IF(AND(K318&lt;&gt;"",F318&lt;&gt;"",K318&gt;F318),"ДА","")</f>
        <v/>
      </c>
      <c r="R318" s="8"/>
    </row>
    <row r="319" customFormat="false" ht="26.25" hidden="false" customHeight="true" outlineLevel="0" collapsed="false">
      <c r="A319" s="14" t="n">
        <v>318</v>
      </c>
      <c r="B319" s="11" t="s">
        <v>72</v>
      </c>
      <c r="C319" s="14" t="s">
        <v>756</v>
      </c>
      <c r="D319" s="14" t="s">
        <v>469</v>
      </c>
      <c r="E319" s="14" t="s">
        <v>204</v>
      </c>
      <c r="F319" s="15" t="n">
        <v>45560</v>
      </c>
      <c r="G319" s="4" t="str">
        <f aca="false">IF(TRIM(SUBSTITUTE(SUBSTITUTE(SUBSTITUTE(SUBSTITUTE(SUBSTITUTE(SUBSTITUTE(SUBSTITUTE(SUBSTITUTE(SUBSTITUTE(SUBSTITUTE(SUBSTITUTE(LOWER(TRIM(D319)),"ё","е")," -","-"),"- ","-")," 2 разряда","")," 3 разряда","")," 4 разряда","")," 5 разряда","")," 6 разряда","")," 1 категории","")," 2 категории","")," 3 категории",""))="инженер",IF(AND(ISNUMBER(SEARCH("техническ",E319)),ISNUMBER(SEARCH("контрол",E319))),"инженер отк",IF(ISNUMBER(SEARCH("диспетч",E319)),"инженер пдо",TRIM(SUBSTITUTE(SUBSTITUTE(SUBSTITUTE(SUBSTITUTE(SUBSTITUTE(SUBSTITUTE(SUBSTITUTE(SUBSTITUTE(SUBSTITUTE(SUBSTITUTE(SUBSTITUTE(LOWER(TRIM(D319)),"ё","е"),"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категории","")))),IF(TRIM(SUBSTITUTE(SUBSTITUTE(SUBSTITUTE(SUBSTITUTE(SUBSTITUTE(SUBSTITUTE(SUBSTITUTE(SUBSTITUTE(SUBSTITUTE(SUBSTITUTE(SUBSTITUTE(LOWER(TRIM(D319)),"ё","е")," -","-"),"- ","-")," 2 разряда","")," 3 разряда","")," 4 разряда","")," 5 разряда","")," 6 разряда","")," 1 категории","")," 2 категории","")," 3 категории",""))="ведущий инженер",IF(ISNUMBER(SEARCH("диспетч",E319)),"ведущий инженер пдо",TRIM(SUBSTITUTE(SUBSTITUTE(SUBSTITUTE(SUBSTITUTE(SUBSTITUTE(SUBSTITUTE(SUBSTITUTE(SUBSTITUTE(SUBSTITUTE(SUBSTITUTE(SUBSTITUTE(LOWER(TRIM(D319)),"ё","е"),"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категории",""))),IF(TRIM(SUBSTITUTE(SUBSTITUTE(SUBSTITUTE(SUBSTITUTE(SUBSTITUTE(SUBSTITUTE(SUBSTITUTE(SUBSTITUTE(SUBSTITUTE(SUBSTITUTE(SUBSTITUTE(LOWER(TRIM(D319)),"ё","е"),"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отк",TRIM(SUBSTITUTE(SUBSTITUTE(SUBSTITUTE(SUBSTITUTE(SUBSTITUTE(SUBSTITUTE(SUBSTITUTE(SUBSTITUTE(SUBSTITUTE(SUBSTITUTE(SUBSTITUTE(LOWER(TRIM(D319)),"ё","е")," -","-"),"- ","-")," 2 разряда","")," 3 разряда","")," 4 разряда","")," 5 разряда","")," 6 разряда","")," 1 категории","")," 2 категории","")," 3 категории","")))))</f>
        <v>слесарь-сборщик</v>
      </c>
      <c r="H319" s="11" t="n">
        <f aca="false">IFERROR(INDEX(Соответствие!$B$2:$B$76,MATCH(G319,Соответствие!$A$2:$A$76,0)),"?")</f>
        <v>19</v>
      </c>
      <c r="I319" s="8" t="str">
        <f aca="false">IFERROR(INDEX('Перечень должностей'!$C$2:$C$46,MATCH(H319,'Перечень должностей'!$A$2:$A$46,0)),"")</f>
        <v>п.4.3.1, п.4.3.2, п.4.4, п.5.1, п.6.2, п.15</v>
      </c>
      <c r="J319" s="11" t="n">
        <f aca="false">IFERROR(INDEX('Перечень должностей'!$D$2:$D$46,MATCH(H319,'Перечень должностей'!$A$2:$A$46,0)),12)</f>
        <v>12</v>
      </c>
      <c r="K319" s="16"/>
      <c r="L319" s="16"/>
      <c r="M319" s="15" t="str">
        <f aca="false">IF(K319="","",EDATE(IF(L319&lt;&gt;"",L319,K319),J319))</f>
        <v/>
      </c>
      <c r="N319" s="11" t="str">
        <f aca="false">IFERROR(INDEX('Перечень должностей'!$F$2:$F$46,MATCH(H319,'Перечень должностей'!$A$2:$A$46,0)),"")</f>
        <v>-</v>
      </c>
      <c r="O319" s="16"/>
      <c r="P319" s="15" t="str">
        <f aca="false">IF(O319="","",EDATE(O319,60))</f>
        <v/>
      </c>
      <c r="Q319" s="11" t="str">
        <f aca="false">IF(AND(K319&lt;&gt;"",F319&lt;&gt;"",K319&gt;F319),"ДА","")</f>
        <v/>
      </c>
      <c r="R319" s="8"/>
    </row>
    <row r="320" customFormat="false" ht="26.25" hidden="false" customHeight="true" outlineLevel="0" collapsed="false">
      <c r="A320" s="14" t="n">
        <v>319</v>
      </c>
      <c r="B320" s="11" t="s">
        <v>72</v>
      </c>
      <c r="C320" s="14" t="s">
        <v>757</v>
      </c>
      <c r="D320" s="14" t="s">
        <v>469</v>
      </c>
      <c r="E320" s="14" t="s">
        <v>204</v>
      </c>
      <c r="F320" s="15" t="n">
        <v>45937</v>
      </c>
      <c r="G320" s="4" t="str">
        <f aca="false">IF(TRIM(SUBSTITUTE(SUBSTITUTE(SUBSTITUTE(SUBSTITUTE(SUBSTITUTE(SUBSTITUTE(SUBSTITUTE(SUBSTITUTE(SUBSTITUTE(SUBSTITUTE(SUBSTITUTE(LOWER(TRIM(D320)),"ё","е")," -","-"),"- ","-")," 2 разряда","")," 3 разряда","")," 4 разряда","")," 5 разряда","")," 6 разряда","")," 1 категории","")," 2 категории","")," 3 категории",""))="инженер",IF(AND(ISNUMBER(SEARCH("техническ",E320)),ISNUMBER(SEARCH("контрол",E320))),"инженер отк",IF(ISNUMBER(SEARCH("диспетч",E320)),"инженер пдо",TRIM(SUBSTITUTE(SUBSTITUTE(SUBSTITUTE(SUBSTITUTE(SUBSTITUTE(SUBSTITUTE(SUBSTITUTE(SUBSTITUTE(SUBSTITUTE(SUBSTITUTE(SUBSTITUTE(LOWER(TRIM(D320)),"ё","е"),"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категории","")))),IF(TRIM(SUBSTITUTE(SUBSTITUTE(SUBSTITUTE(SUBSTITUTE(SUBSTITUTE(SUBSTITUTE(SUBSTITUTE(SUBSTITUTE(SUBSTITUTE(SUBSTITUTE(SUBSTITUTE(LOWER(TRIM(D320)),"ё","е")," -","-"),"- ","-")," 2 разряда","")," 3 разряда","")," 4 разряда","")," 5 разряда","")," 6 разряда","")," 1 категории","")," 2 категории","")," 3 категории",""))="ведущий инженер",IF(ISNUMBER(SEARCH("диспетч",E320)),"ведущий инженер пдо",TRIM(SUBSTITUTE(SUBSTITUTE(SUBSTITUTE(SUBSTITUTE(SUBSTITUTE(SUBSTITUTE(SUBSTITUTE(SUBSTITUTE(SUBSTITUTE(SUBSTITUTE(SUBSTITUTE(LOWER(TRIM(D320)),"ё","е"),"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отк",TRIM(SUBSTITUTE(SUBSTITUTE(SUBSTITUTE(SUBSTITUTE(SUBSTITUTE(SUBSTITUTE(SUBSTITUTE(SUBSTITUTE(SUBSTITUTE(SUBSTITUTE(SUBSTITUTE(LOWER(TRIM(D320)),"ё","е")," -","-"),"- ","-")," 2 разряда","")," 3 разряда","")," 4 разряда","")," 5 разряда","")," 6 разряда","")," 1 категории","")," 2 категории","")," 3 категории","")))))</f>
        <v>слесарь-сборщик</v>
      </c>
      <c r="H320" s="11" t="n">
        <f aca="false">IFERROR(INDEX(Соответствие!$B$2:$B$76,MATCH(G320,Соответствие!$A$2:$A$76,0)),"?")</f>
        <v>19</v>
      </c>
      <c r="I320" s="8" t="str">
        <f aca="false">IFERROR(INDEX('Перечень должностей'!$C$2:$C$46,MATCH(H320,'Перечень должностей'!$A$2:$A$46,0)),"")</f>
        <v>п.4.3.1, п.4.3.2, п.4.4, п.5.1, п.6.2, п.15</v>
      </c>
      <c r="J320" s="11" t="n">
        <f aca="false">IFERROR(INDEX('Перечень должностей'!$D$2:$D$46,MATCH(H320,'Перечень должностей'!$A$2:$A$46,0)),12)</f>
        <v>12</v>
      </c>
      <c r="K320" s="16" t="n">
        <v>45932</v>
      </c>
      <c r="L320" s="16"/>
      <c r="M320" s="15" t="n">
        <f aca="false">IF(K320="","",EDATE(IF(L320&lt;&gt;"",L320,K320),J320))</f>
        <v>46297</v>
      </c>
      <c r="N320" s="11" t="str">
        <f aca="false">IFERROR(INDEX('Перечень должностей'!$F$2:$F$46,MATCH(H320,'Перечень должностей'!$A$2:$A$46,0)),"")</f>
        <v>-</v>
      </c>
      <c r="O320" s="16"/>
      <c r="P320" s="15" t="str">
        <f aca="false">IF(O320="","",EDATE(O320,60))</f>
        <v/>
      </c>
      <c r="Q320" s="11" t="str">
        <f aca="false">IF(AND(K320&lt;&gt;"",F320&lt;&gt;"",K320&gt;F320),"ДА","")</f>
        <v/>
      </c>
      <c r="R320" s="8"/>
    </row>
    <row r="321" customFormat="false" ht="26.25" hidden="false" customHeight="true" outlineLevel="0" collapsed="false">
      <c r="A321" s="14" t="n">
        <v>320</v>
      </c>
      <c r="B321" s="11" t="s">
        <v>72</v>
      </c>
      <c r="C321" s="14" t="s">
        <v>758</v>
      </c>
      <c r="D321" s="14" t="s">
        <v>469</v>
      </c>
      <c r="E321" s="14" t="s">
        <v>204</v>
      </c>
      <c r="F321" s="15" t="n">
        <v>46167</v>
      </c>
      <c r="G321" s="4" t="str">
        <f aca="false">IF(TRIM(SUBSTITUTE(SUBSTITUTE(SUBSTITUTE(SUBSTITUTE(SUBSTITUTE(SUBSTITUTE(SUBSTITUTE(SUBSTITUTE(SUBSTITUTE(SUBSTITUTE(SUBSTITUTE(LOWER(TRIM(D321)),"ё","е")," -","-"),"- ","-")," 2 разряда","")," 3 разряда","")," 4 разряда","")," 5 разряда","")," 6 разряда","")," 1 категории","")," 2 категории","")," 3 категории",""))="инженер",IF(AND(ISNUMBER(SEARCH("техническ",E321)),ISNUMBER(SEARCH("контрол",E321))),"инженер отк",IF(ISNUMBER(SEARCH("диспетч",E321)),"инженер пдо",TRIM(SUBSTITUTE(SUBSTITUTE(SUBSTITUTE(SUBSTITUTE(SUBSTITUTE(SUBSTITUTE(SUBSTITUTE(SUBSTITUTE(SUBSTITUTE(SUBSTITUTE(SUBSTITUTE(LOWER(TRIM(D321)),"ё","е"),"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категории","")))),IF(TRIM(SUBSTITUTE(SUBSTITUTE(SUBSTITUTE(SUBSTITUTE(SUBSTITUTE(SUBSTITUTE(SUBSTITUTE(SUBSTITUTE(SUBSTITUTE(SUBSTITUTE(SUBSTITUTE(LOWER(TRIM(D321)),"ё","е")," -","-"),"- ","-")," 2 разряда","")," 3 разряда","")," 4 разряда","")," 5 разряда","")," 6 разряда","")," 1 категории","")," 2 категории","")," 3 категории",""))="ведущий инженер",IF(ISNUMBER(SEARCH("диспетч",E321)),"ведущий инженер пдо",TRIM(SUBSTITUTE(SUBSTITUTE(SUBSTITUTE(SUBSTITUTE(SUBSTITUTE(SUBSTITUTE(SUBSTITUTE(SUBSTITUTE(SUBSTITUTE(SUBSTITUTE(SUBSTITUTE(LOWER(TRIM(D321)),"ё","е"),"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отк",TRIM(SUBSTITUTE(SUBSTITUTE(SUBSTITUTE(SUBSTITUTE(SUBSTITUTE(SUBSTITUTE(SUBSTITUTE(SUBSTITUTE(SUBSTITUTE(SUBSTITUTE(SUBSTITUTE(LOWER(TRIM(D321)),"ё","е")," -","-"),"- ","-")," 2 разряда","")," 3 разряда","")," 4 разряда","")," 5 разряда","")," 6 разряда","")," 1 категории","")," 2 категории","")," 3 категории","")))))</f>
        <v>слесарь-сборщик</v>
      </c>
      <c r="H321" s="11" t="n">
        <f aca="false">IFERROR(INDEX(Соответствие!$B$2:$B$76,MATCH(G321,Соответствие!$A$2:$A$76,0)),"?")</f>
        <v>19</v>
      </c>
      <c r="I321" s="8" t="str">
        <f aca="false">IFERROR(INDEX('Перечень должностей'!$C$2:$C$46,MATCH(H321,'Перечень должностей'!$A$2:$A$46,0)),"")</f>
        <v>п.4.3.1, п.4.3.2, п.4.4, п.5.1, п.6.2, п.15</v>
      </c>
      <c r="J321" s="11" t="n">
        <f aca="false">IFERROR(INDEX('Перечень должностей'!$D$2:$D$46,MATCH(H321,'Перечень должностей'!$A$2:$A$46,0)),12)</f>
        <v>12</v>
      </c>
      <c r="K321" s="16" t="n">
        <v>46161</v>
      </c>
      <c r="L321" s="16"/>
      <c r="M321" s="15" t="n">
        <f aca="false">IF(K321="","",EDATE(IF(L321&lt;&gt;"",L321,K321),J321))</f>
        <v>46526</v>
      </c>
      <c r="N321" s="11" t="str">
        <f aca="false">IFERROR(INDEX('Перечень должностей'!$F$2:$F$46,MATCH(H321,'Перечень должностей'!$A$2:$A$46,0)),"")</f>
        <v>-</v>
      </c>
      <c r="O321" s="16"/>
      <c r="P321" s="15" t="str">
        <f aca="false">IF(O321="","",EDATE(O321,60))</f>
        <v/>
      </c>
      <c r="Q321" s="11" t="str">
        <f aca="false">IF(AND(K321&lt;&gt;"",F321&lt;&gt;"",K321&gt;F321),"ДА","")</f>
        <v/>
      </c>
      <c r="R321" s="8"/>
    </row>
    <row r="322" customFormat="false" ht="26.25" hidden="false" customHeight="true" outlineLevel="0" collapsed="false">
      <c r="A322" s="14" t="n">
        <v>321</v>
      </c>
      <c r="B322" s="11" t="s">
        <v>72</v>
      </c>
      <c r="C322" s="14" t="s">
        <v>759</v>
      </c>
      <c r="D322" s="14" t="s">
        <v>469</v>
      </c>
      <c r="E322" s="14" t="s">
        <v>204</v>
      </c>
      <c r="F322" s="15" t="n">
        <v>45545</v>
      </c>
      <c r="G322" s="4" t="str">
        <f aca="false">IF(TRIM(SUBSTITUTE(SUBSTITUTE(SUBSTITUTE(SUBSTITUTE(SUBSTITUTE(SUBSTITUTE(SUBSTITUTE(SUBSTITUTE(SUBSTITUTE(SUBSTITUTE(SUBSTITUTE(LOWER(TRIM(D322)),"ё","е")," -","-"),"- ","-")," 2 разряда","")," 3 разряда","")," 4 разряда","")," 5 разряда","")," 6 разряда","")," 1 категории","")," 2 категории","")," 3 категории",""))="инженер",IF(AND(ISNUMBER(SEARCH("техническ",E322)),ISNUMBER(SEARCH("контрол",E322))),"инженер отк",IF(ISNUMBER(SEARCH("диспетч",E322)),"инженер пдо",TRIM(SUBSTITUTE(SUBSTITUTE(SUBSTITUTE(SUBSTITUTE(SUBSTITUTE(SUBSTITUTE(SUBSTITUTE(SUBSTITUTE(SUBSTITUTE(SUBSTITUTE(SUBSTITUTE(LOWER(TRIM(D322)),"ё","е"),"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категории","")))),IF(TRIM(SUBSTITUTE(SUBSTITUTE(SUBSTITUTE(SUBSTITUTE(SUBSTITUTE(SUBSTITUTE(SUBSTITUTE(SUBSTITUTE(SUBSTITUTE(SUBSTITUTE(SUBSTITUTE(LOWER(TRIM(D322)),"ё","е")," -","-"),"- ","-")," 2 разряда","")," 3 разряда","")," 4 разряда","")," 5 разряда","")," 6 разряда","")," 1 категории","")," 2 категории","")," 3 категории",""))="ведущий инженер",IF(ISNUMBER(SEARCH("диспетч",E322)),"ведущий инженер пдо",TRIM(SUBSTITUTE(SUBSTITUTE(SUBSTITUTE(SUBSTITUTE(SUBSTITUTE(SUBSTITUTE(SUBSTITUTE(SUBSTITUTE(SUBSTITUTE(SUBSTITUTE(SUBSTITUTE(LOWER(TRIM(D322)),"ё","е"),"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отк",TRIM(SUBSTITUTE(SUBSTITUTE(SUBSTITUTE(SUBSTITUTE(SUBSTITUTE(SUBSTITUTE(SUBSTITUTE(SUBSTITUTE(SUBSTITUTE(SUBSTITUTE(SUBSTITUTE(LOWER(TRIM(D322)),"ё","е")," -","-"),"- ","-")," 2 разряда","")," 3 разряда","")," 4 разряда","")," 5 разряда","")," 6 разряда","")," 1 категории","")," 2 категории","")," 3 категории","")))))</f>
        <v>слесарь-сборщик</v>
      </c>
      <c r="H322" s="11" t="n">
        <f aca="false">IFERROR(INDEX(Соответствие!$B$2:$B$76,MATCH(G322,Соответствие!$A$2:$A$76,0)),"?")</f>
        <v>19</v>
      </c>
      <c r="I322" s="8" t="str">
        <f aca="false">IFERROR(INDEX('Перечень должностей'!$C$2:$C$46,MATCH(H322,'Перечень должностей'!$A$2:$A$46,0)),"")</f>
        <v>п.4.3.1, п.4.3.2, п.4.4, п.5.1, п.6.2, п.15</v>
      </c>
      <c r="J322" s="11" t="n">
        <f aca="false">IFERROR(INDEX('Перечень должностей'!$D$2:$D$46,MATCH(H322,'Перечень должностей'!$A$2:$A$46,0)),12)</f>
        <v>12</v>
      </c>
      <c r="K322" s="16"/>
      <c r="L322" s="16"/>
      <c r="M322" s="15" t="str">
        <f aca="false">IF(K322="","",EDATE(IF(L322&lt;&gt;"",L322,K322),J322))</f>
        <v/>
      </c>
      <c r="N322" s="11" t="str">
        <f aca="false">IFERROR(INDEX('Перечень должностей'!$F$2:$F$46,MATCH(H322,'Перечень должностей'!$A$2:$A$46,0)),"")</f>
        <v>-</v>
      </c>
      <c r="O322" s="16"/>
      <c r="P322" s="15" t="str">
        <f aca="false">IF(O322="","",EDATE(O322,60))</f>
        <v/>
      </c>
      <c r="Q322" s="11" t="str">
        <f aca="false">IF(AND(K322&lt;&gt;"",F322&lt;&gt;"",K322&gt;F322),"ДА","")</f>
        <v/>
      </c>
      <c r="R322" s="8"/>
    </row>
    <row r="323" customFormat="false" ht="23.85" hidden="false" customHeight="false" outlineLevel="0" collapsed="false">
      <c r="A323" s="14" t="n">
        <v>322</v>
      </c>
      <c r="B323" s="11" t="s">
        <v>72</v>
      </c>
      <c r="C323" s="14" t="s">
        <v>760</v>
      </c>
      <c r="D323" s="14" t="s">
        <v>84</v>
      </c>
      <c r="E323" s="14" t="s">
        <v>204</v>
      </c>
      <c r="F323" s="15" t="n">
        <v>44602</v>
      </c>
      <c r="G323" s="4" t="str">
        <f aca="false">IF(TRIM(SUBSTITUTE(SUBSTITUTE(SUBSTITUTE(SUBSTITUTE(SUBSTITUTE(SUBSTITUTE(SUBSTITUTE(SUBSTITUTE(SUBSTITUTE(SUBSTITUTE(SUBSTITUTE(LOWER(TRIM(D323)),"ё","е")," -","-"),"- ","-")," 2 разряда","")," 3 разряда","")," 4 разряда","")," 5 разряда","")," 6 разряда","")," 1 категории","")," 2 категории","")," 3 категории",""))="инженер",IF(AND(ISNUMBER(SEARCH("техническ",E323)),ISNUMBER(SEARCH("контрол",E323))),"инженер отк",IF(ISNUMBER(SEARCH("диспетч",E323)),"инженер пдо",TRIM(SUBSTITUTE(SUBSTITUTE(SUBSTITUTE(SUBSTITUTE(SUBSTITUTE(SUBSTITUTE(SUBSTITUTE(SUBSTITUTE(SUBSTITUTE(SUBSTITUTE(SUBSTITUTE(LOWER(TRIM(D323)),"ё","е"),"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категории","")))),IF(TRIM(SUBSTITUTE(SUBSTITUTE(SUBSTITUTE(SUBSTITUTE(SUBSTITUTE(SUBSTITUTE(SUBSTITUTE(SUBSTITUTE(SUBSTITUTE(SUBSTITUTE(SUBSTITUTE(LOWER(TRIM(D323)),"ё","е")," -","-"),"- ","-")," 2 разряда","")," 3 разряда","")," 4 разряда","")," 5 разряда","")," 6 разряда","")," 1 категории","")," 2 категории","")," 3 категории",""))="ведущий инженер",IF(ISNUMBER(SEARCH("диспетч",E323)),"ведущий инженер пдо",TRIM(SUBSTITUTE(SUBSTITUTE(SUBSTITUTE(SUBSTITUTE(SUBSTITUTE(SUBSTITUTE(SUBSTITUTE(SUBSTITUTE(SUBSTITUTE(SUBSTITUTE(SUBSTITUTE(LOWER(TRIM(D323)),"ё","е"),"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отк",TRIM(SUBSTITUTE(SUBSTITUTE(SUBSTITUTE(SUBSTITUTE(SUBSTITUTE(SUBSTITUTE(SUBSTITUTE(SUBSTITUTE(SUBSTITUTE(SUBSTITUTE(SUBSTITUTE(LOWER(TRIM(D323)),"ё","е")," -","-"),"- ","-")," 2 разряда","")," 3 разряда","")," 4 разряда","")," 5 разряда","")," 6 разряда","")," 1 категории","")," 2 категории","")," 3 категории","")))))</f>
        <v>слесарь-сборщик</v>
      </c>
      <c r="H323" s="11" t="n">
        <f aca="false">IFERROR(INDEX(Соответствие!$B$2:$B$76,MATCH(G323,Соответствие!$A$2:$A$76,0)),"?")</f>
        <v>19</v>
      </c>
      <c r="I323" s="8" t="str">
        <f aca="false">IFERROR(INDEX('Перечень должностей'!$C$2:$C$46,MATCH(H323,'Перечень должностей'!$A$2:$A$46,0)),"")</f>
        <v>п.4.3.1, п.4.3.2, п.4.4, п.5.1, п.6.2, п.15</v>
      </c>
      <c r="J323" s="11" t="n">
        <f aca="false">IFERROR(INDEX('Перечень должностей'!$D$2:$D$46,MATCH(H323,'Перечень должностей'!$A$2:$A$46,0)),12)</f>
        <v>12</v>
      </c>
      <c r="K323" s="16"/>
      <c r="L323" s="16"/>
      <c r="M323" s="15" t="str">
        <f aca="false">IF(K323="","",EDATE(IF(L323&lt;&gt;"",L323,K323),J323))</f>
        <v/>
      </c>
      <c r="N323" s="11" t="str">
        <f aca="false">IFERROR(INDEX('Перечень должностей'!$F$2:$F$46,MATCH(H323,'Перечень должностей'!$A$2:$A$46,0)),"")</f>
        <v>-</v>
      </c>
      <c r="O323" s="16"/>
      <c r="P323" s="15" t="str">
        <f aca="false">IF(O323="","",EDATE(O323,60))</f>
        <v/>
      </c>
      <c r="Q323" s="11" t="str">
        <f aca="false">IF(AND(K323&lt;&gt;"",F323&lt;&gt;"",K323&gt;F323),"ДА","")</f>
        <v/>
      </c>
      <c r="R323" s="8"/>
    </row>
    <row r="324" customFormat="false" ht="26.25" hidden="false" customHeight="true" outlineLevel="0" collapsed="false">
      <c r="A324" s="14" t="n">
        <v>323</v>
      </c>
      <c r="B324" s="11" t="s">
        <v>72</v>
      </c>
      <c r="C324" s="14" t="s">
        <v>761</v>
      </c>
      <c r="D324" s="14" t="s">
        <v>84</v>
      </c>
      <c r="E324" s="14" t="s">
        <v>204</v>
      </c>
      <c r="F324" s="15" t="n">
        <v>45250</v>
      </c>
      <c r="G324" s="4" t="str">
        <f aca="false">IF(TRIM(SUBSTITUTE(SUBSTITUTE(SUBSTITUTE(SUBSTITUTE(SUBSTITUTE(SUBSTITUTE(SUBSTITUTE(SUBSTITUTE(SUBSTITUTE(SUBSTITUTE(SUBSTITUTE(LOWER(TRIM(D324)),"ё","е")," -","-"),"- ","-")," 2 разряда","")," 3 разряда","")," 4 разряда","")," 5 разряда","")," 6 разряда","")," 1 категории","")," 2 категории","")," 3 категории",""))="инженер",IF(AND(ISNUMBER(SEARCH("техническ",E324)),ISNUMBER(SEARCH("контрол",E324))),"инженер отк",IF(ISNUMBER(SEARCH("диспетч",E324)),"инженер пдо",TRIM(SUBSTITUTE(SUBSTITUTE(SUBSTITUTE(SUBSTITUTE(SUBSTITUTE(SUBSTITUTE(SUBSTITUTE(SUBSTITUTE(SUBSTITUTE(SUBSTITUTE(SUBSTITUTE(LOWER(TRIM(D324)),"ё","е"),"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категории","")))),IF(TRIM(SUBSTITUTE(SUBSTITUTE(SUBSTITUTE(SUBSTITUTE(SUBSTITUTE(SUBSTITUTE(SUBSTITUTE(SUBSTITUTE(SUBSTITUTE(SUBSTITUTE(SUBSTITUTE(LOWER(TRIM(D324)),"ё","е")," -","-"),"- ","-")," 2 разряда","")," 3 разряда","")," 4 разряда","")," 5 разряда","")," 6 разряда","")," 1 категории","")," 2 категории","")," 3 категории",""))="ведущий инженер",IF(ISNUMBER(SEARCH("диспетч",E324)),"ведущий инженер пдо",TRIM(SUBSTITUTE(SUBSTITUTE(SUBSTITUTE(SUBSTITUTE(SUBSTITUTE(SUBSTITUTE(SUBSTITUTE(SUBSTITUTE(SUBSTITUTE(SUBSTITUTE(SUBSTITUTE(LOWER(TRIM(D324)),"ё","е"),"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отк",TRIM(SUBSTITUTE(SUBSTITUTE(SUBSTITUTE(SUBSTITUTE(SUBSTITUTE(SUBSTITUTE(SUBSTITUTE(SUBSTITUTE(SUBSTITUTE(SUBSTITUTE(SUBSTITUTE(LOWER(TRIM(D324)),"ё","е")," -","-"),"- ","-")," 2 разряда","")," 3 разряда","")," 4 разряда","")," 5 разряда","")," 6 разряда","")," 1 категории","")," 2 категории","")," 3 категории","")))))</f>
        <v>слесарь-сборщик</v>
      </c>
      <c r="H324" s="11" t="n">
        <f aca="false">IFERROR(INDEX(Соответствие!$B$2:$B$76,MATCH(G324,Соответствие!$A$2:$A$76,0)),"?")</f>
        <v>19</v>
      </c>
      <c r="I324" s="8" t="str">
        <f aca="false">IFERROR(INDEX('Перечень должностей'!$C$2:$C$46,MATCH(H324,'Перечень должностей'!$A$2:$A$46,0)),"")</f>
        <v>п.4.3.1, п.4.3.2, п.4.4, п.5.1, п.6.2, п.15</v>
      </c>
      <c r="J324" s="11" t="n">
        <f aca="false">IFERROR(INDEX('Перечень должностей'!$D$2:$D$46,MATCH(H324,'Перечень должностей'!$A$2:$A$46,0)),12)</f>
        <v>12</v>
      </c>
      <c r="K324" s="16"/>
      <c r="L324" s="16"/>
      <c r="M324" s="15" t="str">
        <f aca="false">IF(K324="","",EDATE(IF(L324&lt;&gt;"",L324,K324),J324))</f>
        <v/>
      </c>
      <c r="N324" s="11" t="str">
        <f aca="false">IFERROR(INDEX('Перечень должностей'!$F$2:$F$46,MATCH(H324,'Перечень должностей'!$A$2:$A$46,0)),"")</f>
        <v>-</v>
      </c>
      <c r="O324" s="16"/>
      <c r="P324" s="15" t="str">
        <f aca="false">IF(O324="","",EDATE(O324,60))</f>
        <v/>
      </c>
      <c r="Q324" s="11" t="str">
        <f aca="false">IF(AND(K324&lt;&gt;"",F324&lt;&gt;"",K324&gt;F324),"ДА","")</f>
        <v/>
      </c>
      <c r="R324" s="8"/>
    </row>
    <row r="325" customFormat="false" ht="26.25" hidden="false" customHeight="true" outlineLevel="0" collapsed="false">
      <c r="A325" s="14" t="n">
        <v>324</v>
      </c>
      <c r="B325" s="11" t="s">
        <v>72</v>
      </c>
      <c r="C325" s="14" t="s">
        <v>762</v>
      </c>
      <c r="D325" s="14" t="s">
        <v>415</v>
      </c>
      <c r="E325" s="14" t="s">
        <v>204</v>
      </c>
      <c r="F325" s="15" t="n">
        <v>45516</v>
      </c>
      <c r="G325" s="4" t="str">
        <f aca="false">IF(TRIM(SUBSTITUTE(SUBSTITUTE(SUBSTITUTE(SUBSTITUTE(SUBSTITUTE(SUBSTITUTE(SUBSTITUTE(SUBSTITUTE(SUBSTITUTE(SUBSTITUTE(SUBSTITUTE(LOWER(TRIM(D325)),"ё","е")," -","-"),"- ","-")," 2 разряда","")," 3 разряда","")," 4 разряда","")," 5 разряда","")," 6 разряда","")," 1 категории","")," 2 категории","")," 3 категории",""))="инженер",IF(AND(ISNUMBER(SEARCH("техническ",E325)),ISNUMBER(SEARCH("контрол",E325))),"инженер отк",IF(ISNUMBER(SEARCH("диспетч",E325)),"инженер пдо",TRIM(SUBSTITUTE(SUBSTITUTE(SUBSTITUTE(SUBSTITUTE(SUBSTITUTE(SUBSTITUTE(SUBSTITUTE(SUBSTITUTE(SUBSTITUTE(SUBSTITUTE(SUBSTITUTE(LOWER(TRIM(D325)),"ё","е"),"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категории","")))),IF(TRIM(SUBSTITUTE(SUBSTITUTE(SUBSTITUTE(SUBSTITUTE(SUBSTITUTE(SUBSTITUTE(SUBSTITUTE(SUBSTITUTE(SUBSTITUTE(SUBSTITUTE(SUBSTITUTE(LOWER(TRIM(D325)),"ё","е")," -","-"),"- ","-")," 2 разряда","")," 3 разряда","")," 4 разряда","")," 5 разряда","")," 6 разряда","")," 1 категории","")," 2 категории","")," 3 категории",""))="ведущий инженер",IF(ISNUMBER(SEARCH("диспетч",E325)),"ведущий инженер пдо",TRIM(SUBSTITUTE(SUBSTITUTE(SUBSTITUTE(SUBSTITUTE(SUBSTITUTE(SUBSTITUTE(SUBSTITUTE(SUBSTITUTE(SUBSTITUTE(SUBSTITUTE(SUBSTITUTE(LOWER(TRIM(D325)),"ё","е"),"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отк",TRIM(SUBSTITUTE(SUBSTITUTE(SUBSTITUTE(SUBSTITUTE(SUBSTITUTE(SUBSTITUTE(SUBSTITUTE(SUBSTITUTE(SUBSTITUTE(SUBSTITUTE(SUBSTITUTE(LOWER(TRIM(D325)),"ё","е")," -","-"),"- ","-")," 2 разряда","")," 3 разряда","")," 4 разряда","")," 5 разряда","")," 6 разряда","")," 1 категории","")," 2 категории","")," 3 категории","")))))</f>
        <v>слесарь-сборщик</v>
      </c>
      <c r="H325" s="11" t="n">
        <f aca="false">IFERROR(INDEX(Соответствие!$B$2:$B$76,MATCH(G325,Соответствие!$A$2:$A$76,0)),"?")</f>
        <v>19</v>
      </c>
      <c r="I325" s="8" t="str">
        <f aca="false">IFERROR(INDEX('Перечень должностей'!$C$2:$C$46,MATCH(H325,'Перечень должностей'!$A$2:$A$46,0)),"")</f>
        <v>п.4.3.1, п.4.3.2, п.4.4, п.5.1, п.6.2, п.15</v>
      </c>
      <c r="J325" s="11" t="n">
        <f aca="false">IFERROR(INDEX('Перечень должностей'!$D$2:$D$46,MATCH(H325,'Перечень должностей'!$A$2:$A$46,0)),12)</f>
        <v>12</v>
      </c>
      <c r="K325" s="16"/>
      <c r="L325" s="16"/>
      <c r="M325" s="15" t="str">
        <f aca="false">IF(K325="","",EDATE(IF(L325&lt;&gt;"",L325,K325),J325))</f>
        <v/>
      </c>
      <c r="N325" s="11" t="str">
        <f aca="false">IFERROR(INDEX('Перечень должностей'!$F$2:$F$46,MATCH(H325,'Перечень должностей'!$A$2:$A$46,0)),"")</f>
        <v>-</v>
      </c>
      <c r="O325" s="16"/>
      <c r="P325" s="15" t="str">
        <f aca="false">IF(O325="","",EDATE(O325,60))</f>
        <v/>
      </c>
      <c r="Q325" s="11" t="str">
        <f aca="false">IF(AND(K325&lt;&gt;"",F325&lt;&gt;"",K325&gt;F325),"ДА","")</f>
        <v/>
      </c>
      <c r="R325" s="8"/>
    </row>
    <row r="326" customFormat="false" ht="26.25" hidden="false" customHeight="true" outlineLevel="0" collapsed="false">
      <c r="A326" s="14" t="n">
        <v>325</v>
      </c>
      <c r="B326" s="11" t="s">
        <v>72</v>
      </c>
      <c r="C326" s="14" t="s">
        <v>763</v>
      </c>
      <c r="D326" s="14" t="s">
        <v>415</v>
      </c>
      <c r="E326" s="14" t="s">
        <v>204</v>
      </c>
      <c r="F326" s="15" t="n">
        <v>45243</v>
      </c>
      <c r="G326" s="4" t="str">
        <f aca="false">IF(TRIM(SUBSTITUTE(SUBSTITUTE(SUBSTITUTE(SUBSTITUTE(SUBSTITUTE(SUBSTITUTE(SUBSTITUTE(SUBSTITUTE(SUBSTITUTE(SUBSTITUTE(SUBSTITUTE(LOWER(TRIM(D326)),"ё","е")," -","-"),"- ","-")," 2 разряда","")," 3 разряда","")," 4 разряда","")," 5 разряда","")," 6 разряда","")," 1 категории","")," 2 категории","")," 3 категории",""))="инженер",IF(AND(ISNUMBER(SEARCH("техническ",E326)),ISNUMBER(SEARCH("контрол",E326))),"инженер отк",IF(ISNUMBER(SEARCH("диспетч",E326)),"инженер пдо",TRIM(SUBSTITUTE(SUBSTITUTE(SUBSTITUTE(SUBSTITUTE(SUBSTITUTE(SUBSTITUTE(SUBSTITUTE(SUBSTITUTE(SUBSTITUTE(SUBSTITUTE(SUBSTITUTE(LOWER(TRIM(D326)),"ё","е"),"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категории","")))),IF(TRIM(SUBSTITUTE(SUBSTITUTE(SUBSTITUTE(SUBSTITUTE(SUBSTITUTE(SUBSTITUTE(SUBSTITUTE(SUBSTITUTE(SUBSTITUTE(SUBSTITUTE(SUBSTITUTE(LOWER(TRIM(D326)),"ё","е")," -","-"),"- ","-")," 2 разряда","")," 3 разряда","")," 4 разряда","")," 5 разряда","")," 6 разряда","")," 1 категории","")," 2 категории","")," 3 категории",""))="ведущий инженер",IF(ISNUMBER(SEARCH("диспетч",E326)),"ведущий инженер пдо",TRIM(SUBSTITUTE(SUBSTITUTE(SUBSTITUTE(SUBSTITUTE(SUBSTITUTE(SUBSTITUTE(SUBSTITUTE(SUBSTITUTE(SUBSTITUTE(SUBSTITUTE(SUBSTITUTE(LOWER(TRIM(D326)),"ё","е"),"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отк",TRIM(SUBSTITUTE(SUBSTITUTE(SUBSTITUTE(SUBSTITUTE(SUBSTITUTE(SUBSTITUTE(SUBSTITUTE(SUBSTITUTE(SUBSTITUTE(SUBSTITUTE(SUBSTITUTE(LOWER(TRIM(D326)),"ё","е")," -","-"),"- ","-")," 2 разряда","")," 3 разряда","")," 4 разряда","")," 5 разряда","")," 6 разряда","")," 1 категории","")," 2 категории","")," 3 категории","")))))</f>
        <v>слесарь-сборщик</v>
      </c>
      <c r="H326" s="11" t="n">
        <f aca="false">IFERROR(INDEX(Соответствие!$B$2:$B$76,MATCH(G326,Соответствие!$A$2:$A$76,0)),"?")</f>
        <v>19</v>
      </c>
      <c r="I326" s="8" t="str">
        <f aca="false">IFERROR(INDEX('Перечень должностей'!$C$2:$C$46,MATCH(H326,'Перечень должностей'!$A$2:$A$46,0)),"")</f>
        <v>п.4.3.1, п.4.3.2, п.4.4, п.5.1, п.6.2, п.15</v>
      </c>
      <c r="J326" s="11" t="n">
        <f aca="false">IFERROR(INDEX('Перечень должностей'!$D$2:$D$46,MATCH(H326,'Перечень должностей'!$A$2:$A$46,0)),12)</f>
        <v>12</v>
      </c>
      <c r="K326" s="16"/>
      <c r="L326" s="16"/>
      <c r="M326" s="15" t="str">
        <f aca="false">IF(K326="","",EDATE(IF(L326&lt;&gt;"",L326,K326),J326))</f>
        <v/>
      </c>
      <c r="N326" s="11" t="str">
        <f aca="false">IFERROR(INDEX('Перечень должностей'!$F$2:$F$46,MATCH(H326,'Перечень должностей'!$A$2:$A$46,0)),"")</f>
        <v>-</v>
      </c>
      <c r="O326" s="16"/>
      <c r="P326" s="15" t="str">
        <f aca="false">IF(O326="","",EDATE(O326,60))</f>
        <v/>
      </c>
      <c r="Q326" s="11" t="str">
        <f aca="false">IF(AND(K326&lt;&gt;"",F326&lt;&gt;"",K326&gt;F326),"ДА","")</f>
        <v/>
      </c>
      <c r="R326" s="8"/>
    </row>
    <row r="327" customFormat="false" ht="26.25" hidden="false" customHeight="true" outlineLevel="0" collapsed="false">
      <c r="A327" s="14" t="n">
        <v>326</v>
      </c>
      <c r="B327" s="11" t="s">
        <v>72</v>
      </c>
      <c r="C327" s="14" t="s">
        <v>764</v>
      </c>
      <c r="D327" s="14" t="s">
        <v>415</v>
      </c>
      <c r="E327" s="14" t="s">
        <v>204</v>
      </c>
      <c r="F327" s="15" t="n">
        <v>45544</v>
      </c>
      <c r="G327" s="4" t="str">
        <f aca="false">IF(TRIM(SUBSTITUTE(SUBSTITUTE(SUBSTITUTE(SUBSTITUTE(SUBSTITUTE(SUBSTITUTE(SUBSTITUTE(SUBSTITUTE(SUBSTITUTE(SUBSTITUTE(SUBSTITUTE(LOWER(TRIM(D327)),"ё","е")," -","-"),"- ","-")," 2 разряда","")," 3 разряда","")," 4 разряда","")," 5 разряда","")," 6 разряда","")," 1 категории","")," 2 категории","")," 3 категории",""))="инженер",IF(AND(ISNUMBER(SEARCH("техническ",E327)),ISNUMBER(SEARCH("контрол",E327))),"инженер отк",IF(ISNUMBER(SEARCH("диспетч",E327)),"инженер пдо",TRIM(SUBSTITUTE(SUBSTITUTE(SUBSTITUTE(SUBSTITUTE(SUBSTITUTE(SUBSTITUTE(SUBSTITUTE(SUBSTITUTE(SUBSTITUTE(SUBSTITUTE(SUBSTITUTE(LOWER(TRIM(D327)),"ё","е"),"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категории","")))),IF(TRIM(SUBSTITUTE(SUBSTITUTE(SUBSTITUTE(SUBSTITUTE(SUBSTITUTE(SUBSTITUTE(SUBSTITUTE(SUBSTITUTE(SUBSTITUTE(SUBSTITUTE(SUBSTITUTE(LOWER(TRIM(D327)),"ё","е")," -","-"),"- ","-")," 2 разряда","")," 3 разряда","")," 4 разряда","")," 5 разряда","")," 6 разряда","")," 1 категории","")," 2 категории","")," 3 категории",""))="ведущий инженер",IF(ISNUMBER(SEARCH("диспетч",E327)),"ведущий инженер пдо",TRIM(SUBSTITUTE(SUBSTITUTE(SUBSTITUTE(SUBSTITUTE(SUBSTITUTE(SUBSTITUTE(SUBSTITUTE(SUBSTITUTE(SUBSTITUTE(SUBSTITUTE(SUBSTITUTE(LOWER(TRIM(D327)),"ё","е"),"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отк",TRIM(SUBSTITUTE(SUBSTITUTE(SUBSTITUTE(SUBSTITUTE(SUBSTITUTE(SUBSTITUTE(SUBSTITUTE(SUBSTITUTE(SUBSTITUTE(SUBSTITUTE(SUBSTITUTE(LOWER(TRIM(D327)),"ё","е")," -","-"),"- ","-")," 2 разряда","")," 3 разряда","")," 4 разряда","")," 5 разряда","")," 6 разряда","")," 1 категории","")," 2 категории","")," 3 категории","")))))</f>
        <v>слесарь-сборщик</v>
      </c>
      <c r="H327" s="11" t="n">
        <f aca="false">IFERROR(INDEX(Соответствие!$B$2:$B$76,MATCH(G327,Соответствие!$A$2:$A$76,0)),"?")</f>
        <v>19</v>
      </c>
      <c r="I327" s="8" t="str">
        <f aca="false">IFERROR(INDEX('Перечень должностей'!$C$2:$C$46,MATCH(H327,'Перечень должностей'!$A$2:$A$46,0)),"")</f>
        <v>п.4.3.1, п.4.3.2, п.4.4, п.5.1, п.6.2, п.15</v>
      </c>
      <c r="J327" s="11" t="n">
        <f aca="false">IFERROR(INDEX('Перечень должностей'!$D$2:$D$46,MATCH(H327,'Перечень должностей'!$A$2:$A$46,0)),12)</f>
        <v>12</v>
      </c>
      <c r="K327" s="16"/>
      <c r="L327" s="16"/>
      <c r="M327" s="15" t="str">
        <f aca="false">IF(K327="","",EDATE(IF(L327&lt;&gt;"",L327,K327),J327))</f>
        <v/>
      </c>
      <c r="N327" s="11" t="str">
        <f aca="false">IFERROR(INDEX('Перечень должностей'!$F$2:$F$46,MATCH(H327,'Перечень должностей'!$A$2:$A$46,0)),"")</f>
        <v>-</v>
      </c>
      <c r="O327" s="16"/>
      <c r="P327" s="15" t="str">
        <f aca="false">IF(O327="","",EDATE(O327,60))</f>
        <v/>
      </c>
      <c r="Q327" s="11" t="str">
        <f aca="false">IF(AND(K327&lt;&gt;"",F327&lt;&gt;"",K327&gt;F327),"ДА","")</f>
        <v/>
      </c>
      <c r="R327" s="8"/>
    </row>
    <row r="328" customFormat="false" ht="26.25" hidden="false" customHeight="true" outlineLevel="0" collapsed="false">
      <c r="A328" s="14" t="n">
        <v>327</v>
      </c>
      <c r="B328" s="11" t="s">
        <v>72</v>
      </c>
      <c r="C328" s="14" t="s">
        <v>765</v>
      </c>
      <c r="D328" s="14" t="s">
        <v>415</v>
      </c>
      <c r="E328" s="14" t="s">
        <v>204</v>
      </c>
      <c r="F328" s="15" t="n">
        <v>45551</v>
      </c>
      <c r="G328" s="4" t="str">
        <f aca="false">IF(TRIM(SUBSTITUTE(SUBSTITUTE(SUBSTITUTE(SUBSTITUTE(SUBSTITUTE(SUBSTITUTE(SUBSTITUTE(SUBSTITUTE(SUBSTITUTE(SUBSTITUTE(SUBSTITUTE(LOWER(TRIM(D328)),"ё","е")," -","-"),"- ","-")," 2 разряда","")," 3 разряда","")," 4 разряда","")," 5 разряда","")," 6 разряда","")," 1 категории","")," 2 категории","")," 3 категории",""))="инженер",IF(AND(ISNUMBER(SEARCH("техническ",E328)),ISNUMBER(SEARCH("контрол",E328))),"инженер отк",IF(ISNUMBER(SEARCH("диспетч",E328)),"инженер пдо",TRIM(SUBSTITUTE(SUBSTITUTE(SUBSTITUTE(SUBSTITUTE(SUBSTITUTE(SUBSTITUTE(SUBSTITUTE(SUBSTITUTE(SUBSTITUTE(SUBSTITUTE(SUBSTITUTE(LOWER(TRIM(D328)),"ё","е"),"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категории","")))),IF(TRIM(SUBSTITUTE(SUBSTITUTE(SUBSTITUTE(SUBSTITUTE(SUBSTITUTE(SUBSTITUTE(SUBSTITUTE(SUBSTITUTE(SUBSTITUTE(SUBSTITUTE(SUBSTITUTE(LOWER(TRIM(D328)),"ё","е")," -","-"),"- ","-")," 2 разряда","")," 3 разряда","")," 4 разряда","")," 5 разряда","")," 6 разряда","")," 1 категории","")," 2 категории","")," 3 категории",""))="ведущий инженер",IF(ISNUMBER(SEARCH("диспетч",E328)),"ведущий инженер пдо",TRIM(SUBSTITUTE(SUBSTITUTE(SUBSTITUTE(SUBSTITUTE(SUBSTITUTE(SUBSTITUTE(SUBSTITUTE(SUBSTITUTE(SUBSTITUTE(SUBSTITUTE(SUBSTITUTE(LOWER(TRIM(D328)),"ё","е"),"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отк",TRIM(SUBSTITUTE(SUBSTITUTE(SUBSTITUTE(SUBSTITUTE(SUBSTITUTE(SUBSTITUTE(SUBSTITUTE(SUBSTITUTE(SUBSTITUTE(SUBSTITUTE(SUBSTITUTE(LOWER(TRIM(D328)),"ё","е")," -","-"),"- ","-")," 2 разряда","")," 3 разряда","")," 4 разряда","")," 5 разряда","")," 6 разряда","")," 1 категории","")," 2 категории","")," 3 категории","")))))</f>
        <v>слесарь-сборщик</v>
      </c>
      <c r="H328" s="11" t="n">
        <f aca="false">IFERROR(INDEX(Соответствие!$B$2:$B$76,MATCH(G328,Соответствие!$A$2:$A$76,0)),"?")</f>
        <v>19</v>
      </c>
      <c r="I328" s="8" t="str">
        <f aca="false">IFERROR(INDEX('Перечень должностей'!$C$2:$C$46,MATCH(H328,'Перечень должностей'!$A$2:$A$46,0)),"")</f>
        <v>п.4.3.1, п.4.3.2, п.4.4, п.5.1, п.6.2, п.15</v>
      </c>
      <c r="J328" s="11" t="n">
        <f aca="false">IFERROR(INDEX('Перечень должностей'!$D$2:$D$46,MATCH(H328,'Перечень должностей'!$A$2:$A$46,0)),12)</f>
        <v>12</v>
      </c>
      <c r="K328" s="16"/>
      <c r="L328" s="16"/>
      <c r="M328" s="15" t="str">
        <f aca="false">IF(K328="","",EDATE(IF(L328&lt;&gt;"",L328,K328),J328))</f>
        <v/>
      </c>
      <c r="N328" s="11" t="str">
        <f aca="false">IFERROR(INDEX('Перечень должностей'!$F$2:$F$46,MATCH(H328,'Перечень должностей'!$A$2:$A$46,0)),"")</f>
        <v>-</v>
      </c>
      <c r="O328" s="16"/>
      <c r="P328" s="15" t="str">
        <f aca="false">IF(O328="","",EDATE(O328,60))</f>
        <v/>
      </c>
      <c r="Q328" s="11" t="str">
        <f aca="false">IF(AND(K328&lt;&gt;"",F328&lt;&gt;"",K328&gt;F328),"ДА","")</f>
        <v/>
      </c>
      <c r="R328" s="8"/>
    </row>
    <row r="329" customFormat="false" ht="26.25" hidden="false" customHeight="true" outlineLevel="0" collapsed="false">
      <c r="A329" s="14" t="n">
        <v>328</v>
      </c>
      <c r="B329" s="11" t="s">
        <v>72</v>
      </c>
      <c r="C329" s="14" t="s">
        <v>766</v>
      </c>
      <c r="D329" s="14" t="s">
        <v>767</v>
      </c>
      <c r="E329" s="14" t="s">
        <v>768</v>
      </c>
      <c r="F329" s="15" t="n">
        <v>44718</v>
      </c>
      <c r="G329" s="4" t="str">
        <f aca="false">IF(TRIM(SUBSTITUTE(SUBSTITUTE(SUBSTITUTE(SUBSTITUTE(SUBSTITUTE(SUBSTITUTE(SUBSTITUTE(SUBSTITUTE(SUBSTITUTE(SUBSTITUTE(SUBSTITUTE(LOWER(TRIM(D329)),"ё","е")," -","-"),"- ","-")," 2 разряда","")," 3 разряда","")," 4 разряда","")," 5 разряда","")," 6 разряда","")," 1 категории","")," 2 категории","")," 3 категории",""))="инженер",IF(AND(ISNUMBER(SEARCH("техническ",E329)),ISNUMBER(SEARCH("контрол",E329))),"инженер отк",IF(ISNUMBER(SEARCH("диспетч",E329)),"инженер пдо",TRIM(SUBSTITUTE(SUBSTITUTE(SUBSTITUTE(SUBSTITUTE(SUBSTITUTE(SUBSTITUTE(SUBSTITUTE(SUBSTITUTE(SUBSTITUTE(SUBSTITUTE(SUBSTITUTE(LOWER(TRIM(D329)),"ё","е"),"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категории","")))),IF(TRIM(SUBSTITUTE(SUBSTITUTE(SUBSTITUTE(SUBSTITUTE(SUBSTITUTE(SUBSTITUTE(SUBSTITUTE(SUBSTITUTE(SUBSTITUTE(SUBSTITUTE(SUBSTITUTE(LOWER(TRIM(D329)),"ё","е")," -","-"),"- ","-")," 2 разряда","")," 3 разряда","")," 4 разряда","")," 5 разряда","")," 6 разряда","")," 1 категории","")," 2 категории","")," 3 категории",""))="ведущий инженер",IF(ISNUMBER(SEARCH("диспетч",E329)),"ведущий инженер пдо",TRIM(SUBSTITUTE(SUBSTITUTE(SUBSTITUTE(SUBSTITUTE(SUBSTITUTE(SUBSTITUTE(SUBSTITUTE(SUBSTITUTE(SUBSTITUTE(SUBSTITUTE(SUBSTITUTE(LOWER(TRIM(D329)),"ё","е"),"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категории",""))),IF(TRIM(SUBSTITUTE(SUBSTITUTE(SUBSTITUTE(SUBSTITUTE(SUBSTITUTE(SUBSTITUTE(SUBSTITUTE(SUBSTITUTE(SUBSTITUTE(SUBSTITUTE(SUBSTITUTE(LOWER(TRIM(D329)),"ё","е"),"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отк",TRIM(SUBSTITUTE(SUBSTITUTE(SUBSTITUTE(SUBSTITUTE(SUBSTITUTE(SUBSTITUTE(SUBSTITUTE(SUBSTITUTE(SUBSTITUTE(SUBSTITUTE(SUBSTITUTE(LOWER(TRIM(D329)),"ё","е")," -","-"),"- ","-")," 2 разряда","")," 3 разряда","")," 4 разряда","")," 5 разряда","")," 6 разряда","")," 1 категории","")," 2 категории","")," 3 категории","")))))</f>
        <v>старший специалист по пошиву</v>
      </c>
      <c r="H329" s="11" t="n">
        <f aca="false">IFERROR(INDEX(Соответствие!$B$2:$B$76,MATCH(G329,Соответствие!$A$2:$A$76,0)),"?")</f>
        <v>44</v>
      </c>
      <c r="I329" s="8" t="str">
        <f aca="false">IFERROR(INDEX('Перечень должностей'!$C$2:$C$46,MATCH(H329,'Перечень должностей'!$A$2:$A$46,0)),"")</f>
        <v>п.4.3.1, п.4.3.2, п.4.4, п.5.1, п.5.2, п.15</v>
      </c>
      <c r="J329" s="11" t="n">
        <f aca="false">IFERROR(INDEX('Перечень должностей'!$D$2:$D$46,MATCH(H329,'Перечень должностей'!$A$2:$A$46,0)),12)</f>
        <v>12</v>
      </c>
      <c r="K329" s="16"/>
      <c r="L329" s="16"/>
      <c r="M329" s="15" t="str">
        <f aca="false">IF(K329="","",EDATE(IF(L329&lt;&gt;"",L329,K329),J329))</f>
        <v/>
      </c>
      <c r="N329" s="11" t="str">
        <f aca="false">IFERROR(INDEX('Перечень должностей'!$F$2:$F$46,MATCH(H329,'Перечень должностей'!$A$2:$A$46,0)),"")</f>
        <v>-</v>
      </c>
      <c r="O329" s="16"/>
      <c r="P329" s="15" t="str">
        <f aca="false">IF(O329="","",EDATE(O329,60))</f>
        <v/>
      </c>
      <c r="Q329" s="11" t="str">
        <f aca="false">IF(AND(K329&lt;&gt;"",F329&lt;&gt;"",K329&gt;F329),"ДА","")</f>
        <v/>
      </c>
      <c r="R329" s="8"/>
    </row>
    <row r="330" customFormat="false" ht="26.25" hidden="false" customHeight="true" outlineLevel="0" collapsed="false">
      <c r="A330" s="14" t="n">
        <v>329</v>
      </c>
      <c r="B330" s="11" t="s">
        <v>72</v>
      </c>
      <c r="C330" s="14" t="s">
        <v>769</v>
      </c>
      <c r="D330" s="14" t="s">
        <v>767</v>
      </c>
      <c r="E330" s="14" t="s">
        <v>768</v>
      </c>
      <c r="F330" s="15" t="n">
        <v>45194</v>
      </c>
      <c r="G330" s="4" t="str">
        <f aca="false">IF(TRIM(SUBSTITUTE(SUBSTITUTE(SUBSTITUTE(SUBSTITUTE(SUBSTITUTE(SUBSTITUTE(SUBSTITUTE(SUBSTITUTE(SUBSTITUTE(SUBSTITUTE(SUBSTITUTE(LOWER(TRIM(D330)),"ё","е")," -","-"),"- ","-")," 2 разряда","")," 3 разряда","")," 4 разряда","")," 5 разряда","")," 6 разряда","")," 1 категории","")," 2 категории","")," 3 категории",""))="инженер",IF(AND(ISNUMBER(SEARCH("техническ",E330)),ISNUMBER(SEARCH("контрол",E330))),"инженер отк",IF(ISNUMBER(SEARCH("диспетч",E330)),"инженер пдо",TRIM(SUBSTITUTE(SUBSTITUTE(SUBSTITUTE(SUBSTITUTE(SUBSTITUTE(SUBSTITUTE(SUBSTITUTE(SUBSTITUTE(SUBSTITUTE(SUBSTITUTE(SUBSTITUTE(LOWER(TRIM(D330)),"ё","е"),"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категории","")))),IF(TRIM(SUBSTITUTE(SUBSTITUTE(SUBSTITUTE(SUBSTITUTE(SUBSTITUTE(SUBSTITUTE(SUBSTITUTE(SUBSTITUTE(SUBSTITUTE(SUBSTITUTE(SUBSTITUTE(LOWER(TRIM(D330)),"ё","е")," -","-"),"- ","-")," 2 разряда","")," 3 разряда","")," 4 разряда","")," 5 разряда","")," 6 разряда","")," 1 категории","")," 2 категории","")," 3 категории",""))="ведущий инженер",IF(ISNUMBER(SEARCH("диспетч",E330)),"ведущий инженер пдо",TRIM(SUBSTITUTE(SUBSTITUTE(SUBSTITUTE(SUBSTITUTE(SUBSTITUTE(SUBSTITUTE(SUBSTITUTE(SUBSTITUTE(SUBSTITUTE(SUBSTITUTE(SUBSTITUTE(LOWER(TRIM(D330)),"ё","е"),"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отк",TRIM(SUBSTITUTE(SUBSTITUTE(SUBSTITUTE(SUBSTITUTE(SUBSTITUTE(SUBSTITUTE(SUBSTITUTE(SUBSTITUTE(SUBSTITUTE(SUBSTITUTE(SUBSTITUTE(LOWER(TRIM(D330)),"ё","е")," -","-"),"- ","-")," 2 разряда","")," 3 разряда","")," 4 разряда","")," 5 разряда","")," 6 разряда","")," 1 категории","")," 2 категории","")," 3 категории","")))))</f>
        <v>старший специалист по пошиву</v>
      </c>
      <c r="H330" s="11" t="n">
        <f aca="false">IFERROR(INDEX(Соответствие!$B$2:$B$76,MATCH(G330,Соответствие!$A$2:$A$76,0)),"?")</f>
        <v>44</v>
      </c>
      <c r="I330" s="8" t="str">
        <f aca="false">IFERROR(INDEX('Перечень должностей'!$C$2:$C$46,MATCH(H330,'Перечень должностей'!$A$2:$A$46,0)),"")</f>
        <v>п.4.3.1, п.4.3.2, п.4.4, п.5.1, п.5.2, п.15</v>
      </c>
      <c r="J330" s="11" t="n">
        <f aca="false">IFERROR(INDEX('Перечень должностей'!$D$2:$D$46,MATCH(H330,'Перечень должностей'!$A$2:$A$46,0)),12)</f>
        <v>12</v>
      </c>
      <c r="K330" s="16"/>
      <c r="L330" s="16"/>
      <c r="M330" s="15" t="str">
        <f aca="false">IF(K330="","",EDATE(IF(L330&lt;&gt;"",L330,K330),J330))</f>
        <v/>
      </c>
      <c r="N330" s="11" t="str">
        <f aca="false">IFERROR(INDEX('Перечень должностей'!$F$2:$F$46,MATCH(H330,'Перечень должностей'!$A$2:$A$46,0)),"")</f>
        <v>-</v>
      </c>
      <c r="O330" s="16"/>
      <c r="P330" s="15" t="str">
        <f aca="false">IF(O330="","",EDATE(O330,60))</f>
        <v/>
      </c>
      <c r="Q330" s="11" t="str">
        <f aca="false">IF(AND(K330&lt;&gt;"",F330&lt;&gt;"",K330&gt;F330),"ДА","")</f>
        <v/>
      </c>
      <c r="R330" s="8"/>
    </row>
    <row r="331" customFormat="false" ht="26.25" hidden="false" customHeight="true" outlineLevel="0" collapsed="false">
      <c r="A331" s="14" t="n">
        <v>330</v>
      </c>
      <c r="B331" s="11" t="s">
        <v>72</v>
      </c>
      <c r="C331" s="14" t="s">
        <v>770</v>
      </c>
      <c r="D331" s="14" t="s">
        <v>767</v>
      </c>
      <c r="E331" s="14" t="s">
        <v>768</v>
      </c>
      <c r="F331" s="15" t="n">
        <v>44621</v>
      </c>
      <c r="G331" s="4" t="str">
        <f aca="false">IF(TRIM(SUBSTITUTE(SUBSTITUTE(SUBSTITUTE(SUBSTITUTE(SUBSTITUTE(SUBSTITUTE(SUBSTITUTE(SUBSTITUTE(SUBSTITUTE(SUBSTITUTE(SUBSTITUTE(LOWER(TRIM(D331)),"ё","е")," -","-"),"- ","-")," 2 разряда","")," 3 разряда","")," 4 разряда","")," 5 разряда","")," 6 разряда","")," 1 категории","")," 2 категории","")," 3 категории",""))="инженер",IF(AND(ISNUMBER(SEARCH("техническ",E331)),ISNUMBER(SEARCH("контрол",E331))),"инженер отк",IF(ISNUMBER(SEARCH("диспетч",E331)),"инженер пдо",TRIM(SUBSTITUTE(SUBSTITUTE(SUBSTITUTE(SUBSTITUTE(SUBSTITUTE(SUBSTITUTE(SUBSTITUTE(SUBSTITUTE(SUBSTITUTE(SUBSTITUTE(SUBSTITUTE(LOWER(TRIM(D331)),"ё","е"),"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категории","")))),IF(TRIM(SUBSTITUTE(SUBSTITUTE(SUBSTITUTE(SUBSTITUTE(SUBSTITUTE(SUBSTITUTE(SUBSTITUTE(SUBSTITUTE(SUBSTITUTE(SUBSTITUTE(SUBSTITUTE(LOWER(TRIM(D331)),"ё","е")," -","-"),"- ","-")," 2 разряда","")," 3 разряда","")," 4 разряда","")," 5 разряда","")," 6 разряда","")," 1 категории","")," 2 категории","")," 3 категории",""))="ведущий инженер",IF(ISNUMBER(SEARCH("диспетч",E331)),"ведущий инженер пдо",TRIM(SUBSTITUTE(SUBSTITUTE(SUBSTITUTE(SUBSTITUTE(SUBSTITUTE(SUBSTITUTE(SUBSTITUTE(SUBSTITUTE(SUBSTITUTE(SUBSTITUTE(SUBSTITUTE(LOWER(TRIM(D331)),"ё","е"),"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отк",TRIM(SUBSTITUTE(SUBSTITUTE(SUBSTITUTE(SUBSTITUTE(SUBSTITUTE(SUBSTITUTE(SUBSTITUTE(SUBSTITUTE(SUBSTITUTE(SUBSTITUTE(SUBSTITUTE(LOWER(TRIM(D331)),"ё","е")," -","-"),"- ","-")," 2 разряда","")," 3 разряда","")," 4 разряда","")," 5 разряда","")," 6 разряда","")," 1 категории","")," 2 категории","")," 3 категории","")))))</f>
        <v>старший специалист по пошиву</v>
      </c>
      <c r="H331" s="11" t="n">
        <f aca="false">IFERROR(INDEX(Соответствие!$B$2:$B$76,MATCH(G331,Соответствие!$A$2:$A$76,0)),"?")</f>
        <v>44</v>
      </c>
      <c r="I331" s="8" t="str">
        <f aca="false">IFERROR(INDEX('Перечень должностей'!$C$2:$C$46,MATCH(H331,'Перечень должностей'!$A$2:$A$46,0)),"")</f>
        <v>п.4.3.1, п.4.3.2, п.4.4, п.5.1, п.5.2, п.15</v>
      </c>
      <c r="J331" s="11" t="n">
        <f aca="false">IFERROR(INDEX('Перечень должностей'!$D$2:$D$46,MATCH(H331,'Перечень должностей'!$A$2:$A$46,0)),12)</f>
        <v>12</v>
      </c>
      <c r="K331" s="16"/>
      <c r="L331" s="16"/>
      <c r="M331" s="15" t="str">
        <f aca="false">IF(K331="","",EDATE(IF(L331&lt;&gt;"",L331,K331),J331))</f>
        <v/>
      </c>
      <c r="N331" s="11" t="str">
        <f aca="false">IFERROR(INDEX('Перечень должностей'!$F$2:$F$46,MATCH(H331,'Перечень должностей'!$A$2:$A$46,0)),"")</f>
        <v>-</v>
      </c>
      <c r="O331" s="16"/>
      <c r="P331" s="15" t="str">
        <f aca="false">IF(O331="","",EDATE(O331,60))</f>
        <v/>
      </c>
      <c r="Q331" s="11" t="str">
        <f aca="false">IF(AND(K331&lt;&gt;"",F331&lt;&gt;"",K331&gt;F331),"ДА","")</f>
        <v/>
      </c>
      <c r="R331" s="8"/>
    </row>
    <row r="332" customFormat="false" ht="26.25" hidden="false" customHeight="true" outlineLevel="0" collapsed="false">
      <c r="A332" s="14" t="n">
        <v>331</v>
      </c>
      <c r="B332" s="11" t="s">
        <v>72</v>
      </c>
      <c r="C332" s="14" t="s">
        <v>771</v>
      </c>
      <c r="D332" s="14" t="s">
        <v>767</v>
      </c>
      <c r="E332" s="14" t="s">
        <v>768</v>
      </c>
      <c r="F332" s="15" t="n">
        <v>43132</v>
      </c>
      <c r="G332" s="4" t="str">
        <f aca="false">IF(TRIM(SUBSTITUTE(SUBSTITUTE(SUBSTITUTE(SUBSTITUTE(SUBSTITUTE(SUBSTITUTE(SUBSTITUTE(SUBSTITUTE(SUBSTITUTE(SUBSTITUTE(SUBSTITUTE(LOWER(TRIM(D332)),"ё","е")," -","-"),"- ","-")," 2 разряда","")," 3 разряда","")," 4 разряда","")," 5 разряда","")," 6 разряда","")," 1 категории","")," 2 категории","")," 3 категории",""))="инженер",IF(AND(ISNUMBER(SEARCH("техническ",E332)),ISNUMBER(SEARCH("контрол",E332))),"инженер отк",IF(ISNUMBER(SEARCH("диспетч",E332)),"инженер пдо",TRIM(SUBSTITUTE(SUBSTITUTE(SUBSTITUTE(SUBSTITUTE(SUBSTITUTE(SUBSTITUTE(SUBSTITUTE(SUBSTITUTE(SUBSTITUTE(SUBSTITUTE(SUBSTITUTE(LOWER(TRIM(D332)),"ё","е"),"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категории","")))),IF(TRIM(SUBSTITUTE(SUBSTITUTE(SUBSTITUTE(SUBSTITUTE(SUBSTITUTE(SUBSTITUTE(SUBSTITUTE(SUBSTITUTE(SUBSTITUTE(SUBSTITUTE(SUBSTITUTE(LOWER(TRIM(D332)),"ё","е")," -","-"),"- ","-")," 2 разряда","")," 3 разряда","")," 4 разряда","")," 5 разряда","")," 6 разряда","")," 1 категории","")," 2 категории","")," 3 категории",""))="ведущий инженер",IF(ISNUMBER(SEARCH("диспетч",E332)),"ведущий инженер пдо",TRIM(SUBSTITUTE(SUBSTITUTE(SUBSTITUTE(SUBSTITUTE(SUBSTITUTE(SUBSTITUTE(SUBSTITUTE(SUBSTITUTE(SUBSTITUTE(SUBSTITUTE(SUBSTITUTE(LOWER(TRIM(D332)),"ё","е"),"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отк",TRIM(SUBSTITUTE(SUBSTITUTE(SUBSTITUTE(SUBSTITUTE(SUBSTITUTE(SUBSTITUTE(SUBSTITUTE(SUBSTITUTE(SUBSTITUTE(SUBSTITUTE(SUBSTITUTE(LOWER(TRIM(D332)),"ё","е")," -","-"),"- ","-")," 2 разряда","")," 3 разряда","")," 4 разряда","")," 5 разряда","")," 6 разряда","")," 1 категории","")," 2 категории","")," 3 категории","")))))</f>
        <v>старший специалист по пошиву</v>
      </c>
      <c r="H332" s="11" t="n">
        <f aca="false">IFERROR(INDEX(Соответствие!$B$2:$B$76,MATCH(G332,Соответствие!$A$2:$A$76,0)),"?")</f>
        <v>44</v>
      </c>
      <c r="I332" s="8" t="str">
        <f aca="false">IFERROR(INDEX('Перечень должностей'!$C$2:$C$46,MATCH(H332,'Перечень должностей'!$A$2:$A$46,0)),"")</f>
        <v>п.4.3.1, п.4.3.2, п.4.4, п.5.1, п.5.2, п.15</v>
      </c>
      <c r="J332" s="11" t="n">
        <f aca="false">IFERROR(INDEX('Перечень должностей'!$D$2:$D$46,MATCH(H332,'Перечень должностей'!$A$2:$A$46,0)),12)</f>
        <v>12</v>
      </c>
      <c r="K332" s="16"/>
      <c r="L332" s="16"/>
      <c r="M332" s="15" t="str">
        <f aca="false">IF(K332="","",EDATE(IF(L332&lt;&gt;"",L332,K332),J332))</f>
        <v/>
      </c>
      <c r="N332" s="11" t="str">
        <f aca="false">IFERROR(INDEX('Перечень должностей'!$F$2:$F$46,MATCH(H332,'Перечень должностей'!$A$2:$A$46,0)),"")</f>
        <v>-</v>
      </c>
      <c r="O332" s="16"/>
      <c r="P332" s="15" t="str">
        <f aca="false">IF(O332="","",EDATE(O332,60))</f>
        <v/>
      </c>
      <c r="Q332" s="11" t="str">
        <f aca="false">IF(AND(K332&lt;&gt;"",F332&lt;&gt;"",K332&gt;F332),"ДА","")</f>
        <v/>
      </c>
      <c r="R332" s="8"/>
    </row>
    <row r="333" customFormat="false" ht="26.25" hidden="false" customHeight="true" outlineLevel="0" collapsed="false">
      <c r="A333" s="14" t="n">
        <v>332</v>
      </c>
      <c r="B333" s="11" t="s">
        <v>72</v>
      </c>
      <c r="C333" s="14" t="s">
        <v>772</v>
      </c>
      <c r="D333" s="14" t="s">
        <v>767</v>
      </c>
      <c r="E333" s="14" t="s">
        <v>768</v>
      </c>
      <c r="F333" s="15" t="n">
        <v>40088</v>
      </c>
      <c r="G333" s="4" t="str">
        <f aca="false">IF(TRIM(SUBSTITUTE(SUBSTITUTE(SUBSTITUTE(SUBSTITUTE(SUBSTITUTE(SUBSTITUTE(SUBSTITUTE(SUBSTITUTE(SUBSTITUTE(SUBSTITUTE(SUBSTITUTE(LOWER(TRIM(D333)),"ё","е")," -","-"),"- ","-")," 2 разряда","")," 3 разряда","")," 4 разряда","")," 5 разряда","")," 6 разряда","")," 1 категории","")," 2 категории","")," 3 категории",""))="инженер",IF(AND(ISNUMBER(SEARCH("техническ",E333)),ISNUMBER(SEARCH("контрол",E333))),"инженер отк",IF(ISNUMBER(SEARCH("диспетч",E333)),"инженер пдо",TRIM(SUBSTITUTE(SUBSTITUTE(SUBSTITUTE(SUBSTITUTE(SUBSTITUTE(SUBSTITUTE(SUBSTITUTE(SUBSTITUTE(SUBSTITUTE(SUBSTITUTE(SUBSTITUTE(LOWER(TRIM(D333)),"ё","е"),"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категории","")))),IF(TRIM(SUBSTITUTE(SUBSTITUTE(SUBSTITUTE(SUBSTITUTE(SUBSTITUTE(SUBSTITUTE(SUBSTITUTE(SUBSTITUTE(SUBSTITUTE(SUBSTITUTE(SUBSTITUTE(LOWER(TRIM(D333)),"ё","е")," -","-"),"- ","-")," 2 разряда","")," 3 разряда","")," 4 разряда","")," 5 разряда","")," 6 разряда","")," 1 категории","")," 2 категории","")," 3 категории",""))="ведущий инженер",IF(ISNUMBER(SEARCH("диспетч",E333)),"ведущий инженер пдо",TRIM(SUBSTITUTE(SUBSTITUTE(SUBSTITUTE(SUBSTITUTE(SUBSTITUTE(SUBSTITUTE(SUBSTITUTE(SUBSTITUTE(SUBSTITUTE(SUBSTITUTE(SUBSTITUTE(LOWER(TRIM(D333)),"ё","е"),"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отк",TRIM(SUBSTITUTE(SUBSTITUTE(SUBSTITUTE(SUBSTITUTE(SUBSTITUTE(SUBSTITUTE(SUBSTITUTE(SUBSTITUTE(SUBSTITUTE(SUBSTITUTE(SUBSTITUTE(LOWER(TRIM(D333)),"ё","е")," -","-"),"- ","-")," 2 разряда","")," 3 разряда","")," 4 разряда","")," 5 разряда","")," 6 разряда","")," 1 категории","")," 2 категории","")," 3 категории","")))))</f>
        <v>старший специалист по пошиву</v>
      </c>
      <c r="H333" s="11" t="n">
        <f aca="false">IFERROR(INDEX(Соответствие!$B$2:$B$76,MATCH(G333,Соответствие!$A$2:$A$76,0)),"?")</f>
        <v>44</v>
      </c>
      <c r="I333" s="8" t="str">
        <f aca="false">IFERROR(INDEX('Перечень должностей'!$C$2:$C$46,MATCH(H333,'Перечень должностей'!$A$2:$A$46,0)),"")</f>
        <v>п.4.3.1, п.4.3.2, п.4.4, п.5.1, п.5.2, п.15</v>
      </c>
      <c r="J333" s="11" t="n">
        <f aca="false">IFERROR(INDEX('Перечень должностей'!$D$2:$D$46,MATCH(H333,'Перечень должностей'!$A$2:$A$46,0)),12)</f>
        <v>12</v>
      </c>
      <c r="K333" s="16"/>
      <c r="L333" s="16"/>
      <c r="M333" s="15" t="str">
        <f aca="false">IF(K333="","",EDATE(IF(L333&lt;&gt;"",L333,K333),J333))</f>
        <v/>
      </c>
      <c r="N333" s="11" t="str">
        <f aca="false">IFERROR(INDEX('Перечень должностей'!$F$2:$F$46,MATCH(H333,'Перечень должностей'!$A$2:$A$46,0)),"")</f>
        <v>-</v>
      </c>
      <c r="O333" s="16"/>
      <c r="P333" s="15" t="str">
        <f aca="false">IF(O333="","",EDATE(O333,60))</f>
        <v/>
      </c>
      <c r="Q333" s="11" t="str">
        <f aca="false">IF(AND(K333&lt;&gt;"",F333&lt;&gt;"",K333&gt;F333),"ДА","")</f>
        <v/>
      </c>
      <c r="R333" s="8"/>
    </row>
    <row r="334" customFormat="false" ht="26.25" hidden="false" customHeight="true" outlineLevel="0" collapsed="false">
      <c r="A334" s="14" t="n">
        <v>333</v>
      </c>
      <c r="B334" s="11" t="s">
        <v>72</v>
      </c>
      <c r="C334" s="14" t="s">
        <v>773</v>
      </c>
      <c r="D334" s="14" t="s">
        <v>774</v>
      </c>
      <c r="E334" s="14" t="s">
        <v>768</v>
      </c>
      <c r="F334" s="15" t="n">
        <v>45497</v>
      </c>
      <c r="G334" s="4" t="str">
        <f aca="false">IF(TRIM(SUBSTITUTE(SUBSTITUTE(SUBSTITUTE(SUBSTITUTE(SUBSTITUTE(SUBSTITUTE(SUBSTITUTE(SUBSTITUTE(SUBSTITUTE(SUBSTITUTE(SUBSTITUTE(LOWER(TRIM(D334)),"ё","е")," -","-"),"- ","-")," 2 разряда","")," 3 разряда","")," 4 разряда","")," 5 разряда","")," 6 разряда","")," 1 категории","")," 2 категории","")," 3 категории",""))="инженер",IF(AND(ISNUMBER(SEARCH("техническ",E334)),ISNUMBER(SEARCH("контрол",E334))),"инженер отк",IF(ISNUMBER(SEARCH("диспетч",E334)),"инженер пдо",TRIM(SUBSTITUTE(SUBSTITUTE(SUBSTITUTE(SUBSTITUTE(SUBSTITUTE(SUBSTITUTE(SUBSTITUTE(SUBSTITUTE(SUBSTITUTE(SUBSTITUTE(SUBSTITUTE(LOWER(TRIM(D334)),"ё","е"),"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категории","")))),IF(TRIM(SUBSTITUTE(SUBSTITUTE(SUBSTITUTE(SUBSTITUTE(SUBSTITUTE(SUBSTITUTE(SUBSTITUTE(SUBSTITUTE(SUBSTITUTE(SUBSTITUTE(SUBSTITUTE(LOWER(TRIM(D334)),"ё","е")," -","-"),"- ","-")," 2 разряда","")," 3 разряда","")," 4 разряда","")," 5 разряда","")," 6 разряда","")," 1 категории","")," 2 категории","")," 3 категории",""))="ведущий инженер",IF(ISNUMBER(SEARCH("диспетч",E334)),"ведущий инженер пдо",TRIM(SUBSTITUTE(SUBSTITUTE(SUBSTITUTE(SUBSTITUTE(SUBSTITUTE(SUBSTITUTE(SUBSTITUTE(SUBSTITUTE(SUBSTITUTE(SUBSTITUTE(SUBSTITUTE(LOWER(TRIM(D334)),"ё","е"),"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отк",TRIM(SUBSTITUTE(SUBSTITUTE(SUBSTITUTE(SUBSTITUTE(SUBSTITUTE(SUBSTITUTE(SUBSTITUTE(SUBSTITUTE(SUBSTITUTE(SUBSTITUTE(SUBSTITUTE(LOWER(TRIM(D334)),"ё","е")," -","-"),"- ","-")," 2 разряда","")," 3 разряда","")," 4 разряда","")," 5 разряда","")," 6 разряда","")," 1 категории","")," 2 категории","")," 3 категории","")))))</f>
        <v>специалист по пошиву</v>
      </c>
      <c r="H334" s="11" t="n">
        <f aca="false">IFERROR(INDEX(Соответствие!$B$2:$B$76,MATCH(G334,Соответствие!$A$2:$A$76,0)),"?")</f>
        <v>44</v>
      </c>
      <c r="I334" s="8" t="str">
        <f aca="false">IFERROR(INDEX('Перечень должностей'!$C$2:$C$46,MATCH(H334,'Перечень должностей'!$A$2:$A$46,0)),"")</f>
        <v>п.4.3.1, п.4.3.2, п.4.4, п.5.1, п.5.2, п.15</v>
      </c>
      <c r="J334" s="11" t="n">
        <f aca="false">IFERROR(INDEX('Перечень должностей'!$D$2:$D$46,MATCH(H334,'Перечень должностей'!$A$2:$A$46,0)),12)</f>
        <v>12</v>
      </c>
      <c r="K334" s="16"/>
      <c r="L334" s="16"/>
      <c r="M334" s="15" t="str">
        <f aca="false">IF(K334="","",EDATE(IF(L334&lt;&gt;"",L334,K334),J334))</f>
        <v/>
      </c>
      <c r="N334" s="11" t="str">
        <f aca="false">IFERROR(INDEX('Перечень должностей'!$F$2:$F$46,MATCH(H334,'Перечень должностей'!$A$2:$A$46,0)),"")</f>
        <v>-</v>
      </c>
      <c r="O334" s="16"/>
      <c r="P334" s="15" t="str">
        <f aca="false">IF(O334="","",EDATE(O334,60))</f>
        <v/>
      </c>
      <c r="Q334" s="11" t="str">
        <f aca="false">IF(AND(K334&lt;&gt;"",F334&lt;&gt;"",K334&gt;F334),"ДА","")</f>
        <v/>
      </c>
      <c r="R334" s="8"/>
    </row>
    <row r="335" customFormat="false" ht="26.25" hidden="false" customHeight="true" outlineLevel="0" collapsed="false">
      <c r="A335" s="14" t="n">
        <v>334</v>
      </c>
      <c r="B335" s="11" t="s">
        <v>72</v>
      </c>
      <c r="C335" s="14" t="s">
        <v>775</v>
      </c>
      <c r="D335" s="14" t="s">
        <v>774</v>
      </c>
      <c r="E335" s="14" t="s">
        <v>768</v>
      </c>
      <c r="F335" s="15" t="n">
        <v>46057</v>
      </c>
      <c r="G335" s="4" t="str">
        <f aca="false">IF(TRIM(SUBSTITUTE(SUBSTITUTE(SUBSTITUTE(SUBSTITUTE(SUBSTITUTE(SUBSTITUTE(SUBSTITUTE(SUBSTITUTE(SUBSTITUTE(SUBSTITUTE(SUBSTITUTE(LOWER(TRIM(D335)),"ё","е")," -","-"),"- ","-")," 2 разряда","")," 3 разряда","")," 4 разряда","")," 5 разряда","")," 6 разряда","")," 1 категории","")," 2 категории","")," 3 категории",""))="инженер",IF(AND(ISNUMBER(SEARCH("техническ",E335)),ISNUMBER(SEARCH("контрол",E335))),"инженер отк",IF(ISNUMBER(SEARCH("диспетч",E335)),"инженер пдо",TRIM(SUBSTITUTE(SUBSTITUTE(SUBSTITUTE(SUBSTITUTE(SUBSTITUTE(SUBSTITUTE(SUBSTITUTE(SUBSTITUTE(SUBSTITUTE(SUBSTITUTE(SUBSTITUTE(LOWER(TRIM(D335)),"ё","е"),"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категории","")))),IF(TRIM(SUBSTITUTE(SUBSTITUTE(SUBSTITUTE(SUBSTITUTE(SUBSTITUTE(SUBSTITUTE(SUBSTITUTE(SUBSTITUTE(SUBSTITUTE(SUBSTITUTE(SUBSTITUTE(LOWER(TRIM(D335)),"ё","е")," -","-"),"- ","-")," 2 разряда","")," 3 разряда","")," 4 разряда","")," 5 разряда","")," 6 разряда","")," 1 категории","")," 2 категории","")," 3 категории",""))="ведущий инженер",IF(ISNUMBER(SEARCH("диспетч",E335)),"ведущий инженер пдо",TRIM(SUBSTITUTE(SUBSTITUTE(SUBSTITUTE(SUBSTITUTE(SUBSTITUTE(SUBSTITUTE(SUBSTITUTE(SUBSTITUTE(SUBSTITUTE(SUBSTITUTE(SUBSTITUTE(LOWER(TRIM(D335)),"ё","е"),"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отк",TRIM(SUBSTITUTE(SUBSTITUTE(SUBSTITUTE(SUBSTITUTE(SUBSTITUTE(SUBSTITUTE(SUBSTITUTE(SUBSTITUTE(SUBSTITUTE(SUBSTITUTE(SUBSTITUTE(LOWER(TRIM(D335)),"ё","е")," -","-"),"- ","-")," 2 разряда","")," 3 разряда","")," 4 разряда","")," 5 разряда","")," 6 разряда","")," 1 категории","")," 2 категории","")," 3 категории","")))))</f>
        <v>специалист по пошиву</v>
      </c>
      <c r="H335" s="11" t="n">
        <f aca="false">IFERROR(INDEX(Соответствие!$B$2:$B$76,MATCH(G335,Соответствие!$A$2:$A$76,0)),"?")</f>
        <v>44</v>
      </c>
      <c r="I335" s="8" t="str">
        <f aca="false">IFERROR(INDEX('Перечень должностей'!$C$2:$C$46,MATCH(H335,'Перечень должностей'!$A$2:$A$46,0)),"")</f>
        <v>п.4.3.1, п.4.3.2, п.4.4, п.5.1, п.5.2, п.15</v>
      </c>
      <c r="J335" s="11" t="n">
        <f aca="false">IFERROR(INDEX('Перечень должностей'!$D$2:$D$46,MATCH(H335,'Перечень должностей'!$A$2:$A$46,0)),12)</f>
        <v>12</v>
      </c>
      <c r="K335" s="16"/>
      <c r="L335" s="16"/>
      <c r="M335" s="15" t="str">
        <f aca="false">IF(K335="","",EDATE(IF(L335&lt;&gt;"",L335,K335),J335))</f>
        <v/>
      </c>
      <c r="N335" s="11" t="str">
        <f aca="false">IFERROR(INDEX('Перечень должностей'!$F$2:$F$46,MATCH(H335,'Перечень должностей'!$A$2:$A$46,0)),"")</f>
        <v>-</v>
      </c>
      <c r="O335" s="16"/>
      <c r="P335" s="15" t="str">
        <f aca="false">IF(O335="","",EDATE(O335,60))</f>
        <v/>
      </c>
      <c r="Q335" s="11" t="str">
        <f aca="false">IF(AND(K335&lt;&gt;"",F335&lt;&gt;"",K335&gt;F335),"ДА","")</f>
        <v/>
      </c>
      <c r="R335" s="8"/>
    </row>
    <row r="336" customFormat="false" ht="26.25" hidden="false" customHeight="true" outlineLevel="0" collapsed="false">
      <c r="A336" s="14" t="n">
        <v>335</v>
      </c>
      <c r="B336" s="11" t="s">
        <v>72</v>
      </c>
      <c r="C336" s="14" t="s">
        <v>776</v>
      </c>
      <c r="D336" s="14" t="s">
        <v>774</v>
      </c>
      <c r="E336" s="14" t="s">
        <v>768</v>
      </c>
      <c r="F336" s="15" t="n">
        <v>42156</v>
      </c>
      <c r="G336" s="4" t="str">
        <f aca="false">IF(TRIM(SUBSTITUTE(SUBSTITUTE(SUBSTITUTE(SUBSTITUTE(SUBSTITUTE(SUBSTITUTE(SUBSTITUTE(SUBSTITUTE(SUBSTITUTE(SUBSTITUTE(SUBSTITUTE(LOWER(TRIM(D336)),"ё","е")," -","-"),"- ","-")," 2 разряда","")," 3 разряда","")," 4 разряда","")," 5 разряда","")," 6 разряда","")," 1 категории","")," 2 категории","")," 3 категории",""))="инженер",IF(AND(ISNUMBER(SEARCH("техническ",E336)),ISNUMBER(SEARCH("контрол",E336))),"инженер отк",IF(ISNUMBER(SEARCH("диспетч",E336)),"инженер пдо",TRIM(SUBSTITUTE(SUBSTITUTE(SUBSTITUTE(SUBSTITUTE(SUBSTITUTE(SUBSTITUTE(SUBSTITUTE(SUBSTITUTE(SUBSTITUTE(SUBSTITUTE(SUBSTITUTE(LOWER(TRIM(D336)),"ё","е"),"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категории","")))),IF(TRIM(SUBSTITUTE(SUBSTITUTE(SUBSTITUTE(SUBSTITUTE(SUBSTITUTE(SUBSTITUTE(SUBSTITUTE(SUBSTITUTE(SUBSTITUTE(SUBSTITUTE(SUBSTITUTE(LOWER(TRIM(D336)),"ё","е")," -","-"),"- ","-")," 2 разряда","")," 3 разряда","")," 4 разряда","")," 5 разряда","")," 6 разряда","")," 1 категории","")," 2 категории","")," 3 категории",""))="ведущий инженер",IF(ISNUMBER(SEARCH("диспетч",E336)),"ведущий инженер пдо",TRIM(SUBSTITUTE(SUBSTITUTE(SUBSTITUTE(SUBSTITUTE(SUBSTITUTE(SUBSTITUTE(SUBSTITUTE(SUBSTITUTE(SUBSTITUTE(SUBSTITUTE(SUBSTITUTE(LOWER(TRIM(D336)),"ё","е"),"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отк",TRIM(SUBSTITUTE(SUBSTITUTE(SUBSTITUTE(SUBSTITUTE(SUBSTITUTE(SUBSTITUTE(SUBSTITUTE(SUBSTITUTE(SUBSTITUTE(SUBSTITUTE(SUBSTITUTE(LOWER(TRIM(D336)),"ё","е")," -","-"),"- ","-")," 2 разряда","")," 3 разряда","")," 4 разряда","")," 5 разряда","")," 6 разряда","")," 1 категории","")," 2 категории","")," 3 категории","")))))</f>
        <v>специалист по пошиву</v>
      </c>
      <c r="H336" s="11" t="n">
        <f aca="false">IFERROR(INDEX(Соответствие!$B$2:$B$76,MATCH(G336,Соответствие!$A$2:$A$76,0)),"?")</f>
        <v>44</v>
      </c>
      <c r="I336" s="8" t="str">
        <f aca="false">IFERROR(INDEX('Перечень должностей'!$C$2:$C$46,MATCH(H336,'Перечень должностей'!$A$2:$A$46,0)),"")</f>
        <v>п.4.3.1, п.4.3.2, п.4.4, п.5.1, п.5.2, п.15</v>
      </c>
      <c r="J336" s="11" t="n">
        <f aca="false">IFERROR(INDEX('Перечень должностей'!$D$2:$D$46,MATCH(H336,'Перечень должностей'!$A$2:$A$46,0)),12)</f>
        <v>12</v>
      </c>
      <c r="K336" s="16"/>
      <c r="L336" s="16"/>
      <c r="M336" s="15" t="str">
        <f aca="false">IF(K336="","",EDATE(IF(L336&lt;&gt;"",L336,K336),J336))</f>
        <v/>
      </c>
      <c r="N336" s="11" t="str">
        <f aca="false">IFERROR(INDEX('Перечень должностей'!$F$2:$F$46,MATCH(H336,'Перечень должностей'!$A$2:$A$46,0)),"")</f>
        <v>-</v>
      </c>
      <c r="O336" s="16"/>
      <c r="P336" s="15" t="str">
        <f aca="false">IF(O336="","",EDATE(O336,60))</f>
        <v/>
      </c>
      <c r="Q336" s="11" t="str">
        <f aca="false">IF(AND(K336&lt;&gt;"",F336&lt;&gt;"",K336&gt;F336),"ДА","")</f>
        <v/>
      </c>
      <c r="R336" s="8"/>
    </row>
    <row r="337" customFormat="false" ht="26.25" hidden="false" customHeight="true" outlineLevel="0" collapsed="false">
      <c r="A337" s="14" t="n">
        <v>336</v>
      </c>
      <c r="B337" s="11" t="s">
        <v>72</v>
      </c>
      <c r="C337" s="14" t="s">
        <v>777</v>
      </c>
      <c r="D337" s="14" t="s">
        <v>774</v>
      </c>
      <c r="E337" s="14" t="s">
        <v>768</v>
      </c>
      <c r="F337" s="15" t="n">
        <v>45819</v>
      </c>
      <c r="G337" s="4" t="str">
        <f aca="false">IF(TRIM(SUBSTITUTE(SUBSTITUTE(SUBSTITUTE(SUBSTITUTE(SUBSTITUTE(SUBSTITUTE(SUBSTITUTE(SUBSTITUTE(SUBSTITUTE(SUBSTITUTE(SUBSTITUTE(LOWER(TRIM(D337)),"ё","е")," -","-"),"- ","-")," 2 разряда","")," 3 разряда","")," 4 разряда","")," 5 разряда","")," 6 разряда","")," 1 категории","")," 2 категории","")," 3 категории",""))="инженер",IF(AND(ISNUMBER(SEARCH("техническ",E337)),ISNUMBER(SEARCH("контрол",E337))),"инженер отк",IF(ISNUMBER(SEARCH("диспетч",E337)),"инженер пдо",TRIM(SUBSTITUTE(SUBSTITUTE(SUBSTITUTE(SUBSTITUTE(SUBSTITUTE(SUBSTITUTE(SUBSTITUTE(SUBSTITUTE(SUBSTITUTE(SUBSTITUTE(SUBSTITUTE(LOWER(TRIM(D337)),"ё","е"),"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категории","")))),IF(TRIM(SUBSTITUTE(SUBSTITUTE(SUBSTITUTE(SUBSTITUTE(SUBSTITUTE(SUBSTITUTE(SUBSTITUTE(SUBSTITUTE(SUBSTITUTE(SUBSTITUTE(SUBSTITUTE(LOWER(TRIM(D337)),"ё","е")," -","-"),"- ","-")," 2 разряда","")," 3 разряда","")," 4 разряда","")," 5 разряда","")," 6 разряда","")," 1 категории","")," 2 категории","")," 3 категории",""))="ведущий инженер",IF(ISNUMBER(SEARCH("диспетч",E337)),"ведущий инженер пдо",TRIM(SUBSTITUTE(SUBSTITUTE(SUBSTITUTE(SUBSTITUTE(SUBSTITUTE(SUBSTITUTE(SUBSTITUTE(SUBSTITUTE(SUBSTITUTE(SUBSTITUTE(SUBSTITUTE(LOWER(TRIM(D337)),"ё","е"),"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отк",TRIM(SUBSTITUTE(SUBSTITUTE(SUBSTITUTE(SUBSTITUTE(SUBSTITUTE(SUBSTITUTE(SUBSTITUTE(SUBSTITUTE(SUBSTITUTE(SUBSTITUTE(SUBSTITUTE(LOWER(TRIM(D337)),"ё","е")," -","-"),"- ","-")," 2 разряда","")," 3 разряда","")," 4 разряда","")," 5 разряда","")," 6 разряда","")," 1 категории","")," 2 категории","")," 3 категории","")))))</f>
        <v>специалист по пошиву</v>
      </c>
      <c r="H337" s="11" t="n">
        <f aca="false">IFERROR(INDEX(Соответствие!$B$2:$B$76,MATCH(G337,Соответствие!$A$2:$A$76,0)),"?")</f>
        <v>44</v>
      </c>
      <c r="I337" s="8" t="str">
        <f aca="false">IFERROR(INDEX('Перечень должностей'!$C$2:$C$46,MATCH(H337,'Перечень должностей'!$A$2:$A$46,0)),"")</f>
        <v>п.4.3.1, п.4.3.2, п.4.4, п.5.1, п.5.2, п.15</v>
      </c>
      <c r="J337" s="11" t="n">
        <f aca="false">IFERROR(INDEX('Перечень должностей'!$D$2:$D$46,MATCH(H337,'Перечень должностей'!$A$2:$A$46,0)),12)</f>
        <v>12</v>
      </c>
      <c r="K337" s="16"/>
      <c r="L337" s="16"/>
      <c r="M337" s="15" t="str">
        <f aca="false">IF(K337="","",EDATE(IF(L337&lt;&gt;"",L337,K337),J337))</f>
        <v/>
      </c>
      <c r="N337" s="11" t="str">
        <f aca="false">IFERROR(INDEX('Перечень должностей'!$F$2:$F$46,MATCH(H337,'Перечень должностей'!$A$2:$A$46,0)),"")</f>
        <v>-</v>
      </c>
      <c r="O337" s="16"/>
      <c r="P337" s="15" t="str">
        <f aca="false">IF(O337="","",EDATE(O337,60))</f>
        <v/>
      </c>
      <c r="Q337" s="11" t="str">
        <f aca="false">IF(AND(K337&lt;&gt;"",F337&lt;&gt;"",K337&gt;F337),"ДА","")</f>
        <v/>
      </c>
      <c r="R337" s="8"/>
    </row>
    <row r="338" customFormat="false" ht="26.25" hidden="false" customHeight="true" outlineLevel="0" collapsed="false">
      <c r="A338" s="14" t="n">
        <v>337</v>
      </c>
      <c r="B338" s="11" t="s">
        <v>72</v>
      </c>
      <c r="C338" s="14" t="s">
        <v>778</v>
      </c>
      <c r="D338" s="14" t="s">
        <v>774</v>
      </c>
      <c r="E338" s="14" t="s">
        <v>768</v>
      </c>
      <c r="F338" s="15" t="n">
        <v>45968</v>
      </c>
      <c r="G338" s="4" t="str">
        <f aca="false">IF(TRIM(SUBSTITUTE(SUBSTITUTE(SUBSTITUTE(SUBSTITUTE(SUBSTITUTE(SUBSTITUTE(SUBSTITUTE(SUBSTITUTE(SUBSTITUTE(SUBSTITUTE(SUBSTITUTE(LOWER(TRIM(D338)),"ё","е")," -","-"),"- ","-")," 2 разряда","")," 3 разряда","")," 4 разряда","")," 5 разряда","")," 6 разряда","")," 1 категории","")," 2 категории","")," 3 категории",""))="инженер",IF(AND(ISNUMBER(SEARCH("техническ",E338)),ISNUMBER(SEARCH("контрол",E338))),"инженер отк",IF(ISNUMBER(SEARCH("диспетч",E338)),"инженер пдо",TRIM(SUBSTITUTE(SUBSTITUTE(SUBSTITUTE(SUBSTITUTE(SUBSTITUTE(SUBSTITUTE(SUBSTITUTE(SUBSTITUTE(SUBSTITUTE(SUBSTITUTE(SUBSTITUTE(LOWER(TRIM(D338)),"ё","е"),"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категории","")))),IF(TRIM(SUBSTITUTE(SUBSTITUTE(SUBSTITUTE(SUBSTITUTE(SUBSTITUTE(SUBSTITUTE(SUBSTITUTE(SUBSTITUTE(SUBSTITUTE(SUBSTITUTE(SUBSTITUTE(LOWER(TRIM(D338)),"ё","е")," -","-"),"- ","-")," 2 разряда","")," 3 разряда","")," 4 разряда","")," 5 разряда","")," 6 разряда","")," 1 категории","")," 2 категории","")," 3 категории",""))="ведущий инженер",IF(ISNUMBER(SEARCH("диспетч",E338)),"ведущий инженер пдо",TRIM(SUBSTITUTE(SUBSTITUTE(SUBSTITUTE(SUBSTITUTE(SUBSTITUTE(SUBSTITUTE(SUBSTITUTE(SUBSTITUTE(SUBSTITUTE(SUBSTITUTE(SUBSTITUTE(LOWER(TRIM(D338)),"ё","е"),"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отк",TRIM(SUBSTITUTE(SUBSTITUTE(SUBSTITUTE(SUBSTITUTE(SUBSTITUTE(SUBSTITUTE(SUBSTITUTE(SUBSTITUTE(SUBSTITUTE(SUBSTITUTE(SUBSTITUTE(LOWER(TRIM(D338)),"ё","е")," -","-"),"- ","-")," 2 разряда","")," 3 разряда","")," 4 разряда","")," 5 разряда","")," 6 разряда","")," 1 категории","")," 2 категории","")," 3 категории","")))))</f>
        <v>специалист по пошиву</v>
      </c>
      <c r="H338" s="11" t="n">
        <f aca="false">IFERROR(INDEX(Соответствие!$B$2:$B$76,MATCH(G338,Соответствие!$A$2:$A$76,0)),"?")</f>
        <v>44</v>
      </c>
      <c r="I338" s="8" t="str">
        <f aca="false">IFERROR(INDEX('Перечень должностей'!$C$2:$C$46,MATCH(H338,'Перечень должностей'!$A$2:$A$46,0)),"")</f>
        <v>п.4.3.1, п.4.3.2, п.4.4, п.5.1, п.5.2, п.15</v>
      </c>
      <c r="J338" s="11" t="n">
        <f aca="false">IFERROR(INDEX('Перечень должностей'!$D$2:$D$46,MATCH(H338,'Перечень должностей'!$A$2:$A$46,0)),12)</f>
        <v>12</v>
      </c>
      <c r="K338" s="16" t="n">
        <v>45957</v>
      </c>
      <c r="L338" s="16"/>
      <c r="M338" s="15" t="n">
        <f aca="false">IF(K338="","",EDATE(IF(L338&lt;&gt;"",L338,K338),J338))</f>
        <v>46322</v>
      </c>
      <c r="N338" s="11" t="str">
        <f aca="false">IFERROR(INDEX('Перечень должностей'!$F$2:$F$46,MATCH(H338,'Перечень должностей'!$A$2:$A$46,0)),"")</f>
        <v>-</v>
      </c>
      <c r="O338" s="16"/>
      <c r="P338" s="15" t="str">
        <f aca="false">IF(O338="","",EDATE(O338,60))</f>
        <v/>
      </c>
      <c r="Q338" s="11" t="str">
        <f aca="false">IF(AND(K338&lt;&gt;"",F338&lt;&gt;"",K338&gt;F338),"ДА","")</f>
        <v/>
      </c>
      <c r="R338" s="8"/>
    </row>
    <row r="339" customFormat="false" ht="26.25" hidden="false" customHeight="true" outlineLevel="0" collapsed="false">
      <c r="A339" s="14" t="n">
        <v>338</v>
      </c>
      <c r="B339" s="11" t="s">
        <v>72</v>
      </c>
      <c r="C339" s="14" t="s">
        <v>779</v>
      </c>
      <c r="D339" s="14" t="s">
        <v>774</v>
      </c>
      <c r="E339" s="14" t="s">
        <v>768</v>
      </c>
      <c r="F339" s="15" t="n">
        <v>46077</v>
      </c>
      <c r="G339" s="4" t="str">
        <f aca="false">IF(TRIM(SUBSTITUTE(SUBSTITUTE(SUBSTITUTE(SUBSTITUTE(SUBSTITUTE(SUBSTITUTE(SUBSTITUTE(SUBSTITUTE(SUBSTITUTE(SUBSTITUTE(SUBSTITUTE(LOWER(TRIM(D339)),"ё","е")," -","-"),"- ","-")," 2 разряда","")," 3 разряда","")," 4 разряда","")," 5 разряда","")," 6 разряда","")," 1 категории","")," 2 категории","")," 3 категории",""))="инженер",IF(AND(ISNUMBER(SEARCH("техническ",E339)),ISNUMBER(SEARCH("контрол",E339))),"инженер отк",IF(ISNUMBER(SEARCH("диспетч",E339)),"инженер пдо",TRIM(SUBSTITUTE(SUBSTITUTE(SUBSTITUTE(SUBSTITUTE(SUBSTITUTE(SUBSTITUTE(SUBSTITUTE(SUBSTITUTE(SUBSTITUTE(SUBSTITUTE(SUBSTITUTE(LOWER(TRIM(D339)),"ё","е"),"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категории","")))),IF(TRIM(SUBSTITUTE(SUBSTITUTE(SUBSTITUTE(SUBSTITUTE(SUBSTITUTE(SUBSTITUTE(SUBSTITUTE(SUBSTITUTE(SUBSTITUTE(SUBSTITUTE(SUBSTITUTE(LOWER(TRIM(D339)),"ё","е")," -","-"),"- ","-")," 2 разряда","")," 3 разряда","")," 4 разряда","")," 5 разряда","")," 6 разряда","")," 1 категории","")," 2 категории","")," 3 категории",""))="ведущий инженер",IF(ISNUMBER(SEARCH("диспетч",E339)),"ведущий инженер пдо",TRIM(SUBSTITUTE(SUBSTITUTE(SUBSTITUTE(SUBSTITUTE(SUBSTITUTE(SUBSTITUTE(SUBSTITUTE(SUBSTITUTE(SUBSTITUTE(SUBSTITUTE(SUBSTITUTE(LOWER(TRIM(D339)),"ё","е"),"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категории",""))),IF(TRIM(SUBSTITUTE(SUBSTITUTE(SUBSTITUTE(SUBSTITUTE(SUBSTITUTE(SUBSTITUTE(SUBSTITUTE(SUBSTITUTE(SUBSTITUTE(SUBSTITUTE(SUBSTITUTE(LOWER(TRIM(D339)),"ё","е"),"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отк",TRIM(SUBSTITUTE(SUBSTITUTE(SUBSTITUTE(SUBSTITUTE(SUBSTITUTE(SUBSTITUTE(SUBSTITUTE(SUBSTITUTE(SUBSTITUTE(SUBSTITUTE(SUBSTITUTE(LOWER(TRIM(D339)),"ё","е")," -","-"),"- ","-")," 2 разряда","")," 3 разряда","")," 4 разряда","")," 5 разряда","")," 6 разряда","")," 1 категории","")," 2 категории","")," 3 категории","")))))</f>
        <v>специалист по пошиву</v>
      </c>
      <c r="H339" s="11" t="n">
        <f aca="false">IFERROR(INDEX(Соответствие!$B$2:$B$76,MATCH(G339,Соответствие!$A$2:$A$76,0)),"?")</f>
        <v>44</v>
      </c>
      <c r="I339" s="8" t="str">
        <f aca="false">IFERROR(INDEX('Перечень должностей'!$C$2:$C$46,MATCH(H339,'Перечень должностей'!$A$2:$A$46,0)),"")</f>
        <v>п.4.3.1, п.4.3.2, п.4.4, п.5.1, п.5.2, п.15</v>
      </c>
      <c r="J339" s="11" t="n">
        <f aca="false">IFERROR(INDEX('Перечень должностей'!$D$2:$D$46,MATCH(H339,'Перечень должностей'!$A$2:$A$46,0)),12)</f>
        <v>12</v>
      </c>
      <c r="K339" s="16"/>
      <c r="L339" s="16"/>
      <c r="M339" s="15" t="str">
        <f aca="false">IF(K339="","",EDATE(IF(L339&lt;&gt;"",L339,K339),J339))</f>
        <v/>
      </c>
      <c r="N339" s="11" t="str">
        <f aca="false">IFERROR(INDEX('Перечень должностей'!$F$2:$F$46,MATCH(H339,'Перечень должностей'!$A$2:$A$46,0)),"")</f>
        <v>-</v>
      </c>
      <c r="O339" s="16"/>
      <c r="P339" s="15" t="str">
        <f aca="false">IF(O339="","",EDATE(O339,60))</f>
        <v/>
      </c>
      <c r="Q339" s="11" t="str">
        <f aca="false">IF(AND(K339&lt;&gt;"",F339&lt;&gt;"",K339&gt;F339),"ДА","")</f>
        <v/>
      </c>
      <c r="R339" s="8"/>
    </row>
    <row r="340" customFormat="false" ht="26.25" hidden="false" customHeight="true" outlineLevel="0" collapsed="false">
      <c r="A340" s="14" t="n">
        <v>339</v>
      </c>
      <c r="B340" s="11" t="s">
        <v>72</v>
      </c>
      <c r="C340" s="14" t="s">
        <v>780</v>
      </c>
      <c r="D340" s="14" t="s">
        <v>774</v>
      </c>
      <c r="E340" s="14" t="s">
        <v>768</v>
      </c>
      <c r="F340" s="15" t="n">
        <v>42380</v>
      </c>
      <c r="G340" s="4" t="str">
        <f aca="false">IF(TRIM(SUBSTITUTE(SUBSTITUTE(SUBSTITUTE(SUBSTITUTE(SUBSTITUTE(SUBSTITUTE(SUBSTITUTE(SUBSTITUTE(SUBSTITUTE(SUBSTITUTE(SUBSTITUTE(LOWER(TRIM(D340)),"ё","е")," -","-"),"- ","-")," 2 разряда","")," 3 разряда","")," 4 разряда","")," 5 разряда","")," 6 разряда","")," 1 категории","")," 2 категории","")," 3 категории",""))="инженер",IF(AND(ISNUMBER(SEARCH("техническ",E340)),ISNUMBER(SEARCH("контрол",E340))),"инженер отк",IF(ISNUMBER(SEARCH("диспетч",E340)),"инженер пдо",TRIM(SUBSTITUTE(SUBSTITUTE(SUBSTITUTE(SUBSTITUTE(SUBSTITUTE(SUBSTITUTE(SUBSTITUTE(SUBSTITUTE(SUBSTITUTE(SUBSTITUTE(SUBSTITUTE(LOWER(TRIM(D340)),"ё","е"),"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категории","")))),IF(TRIM(SUBSTITUTE(SUBSTITUTE(SUBSTITUTE(SUBSTITUTE(SUBSTITUTE(SUBSTITUTE(SUBSTITUTE(SUBSTITUTE(SUBSTITUTE(SUBSTITUTE(SUBSTITUTE(LOWER(TRIM(D340)),"ё","е")," -","-"),"- ","-")," 2 разряда","")," 3 разряда","")," 4 разряда","")," 5 разряда","")," 6 разряда","")," 1 категории","")," 2 категории","")," 3 категории",""))="ведущий инженер",IF(ISNUMBER(SEARCH("диспетч",E340)),"ведущий инженер пдо",TRIM(SUBSTITUTE(SUBSTITUTE(SUBSTITUTE(SUBSTITUTE(SUBSTITUTE(SUBSTITUTE(SUBSTITUTE(SUBSTITUTE(SUBSTITUTE(SUBSTITUTE(SUBSTITUTE(LOWER(TRIM(D340)),"ё","е"),"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отк",TRIM(SUBSTITUTE(SUBSTITUTE(SUBSTITUTE(SUBSTITUTE(SUBSTITUTE(SUBSTITUTE(SUBSTITUTE(SUBSTITUTE(SUBSTITUTE(SUBSTITUTE(SUBSTITUTE(LOWER(TRIM(D340)),"ё","е")," -","-"),"- ","-")," 2 разряда","")," 3 разряда","")," 4 разряда","")," 5 разряда","")," 6 разряда","")," 1 категории","")," 2 категории","")," 3 категории","")))))</f>
        <v>специалист по пошиву</v>
      </c>
      <c r="H340" s="11" t="n">
        <f aca="false">IFERROR(INDEX(Соответствие!$B$2:$B$76,MATCH(G340,Соответствие!$A$2:$A$76,0)),"?")</f>
        <v>44</v>
      </c>
      <c r="I340" s="8" t="str">
        <f aca="false">IFERROR(INDEX('Перечень должностей'!$C$2:$C$46,MATCH(H340,'Перечень должностей'!$A$2:$A$46,0)),"")</f>
        <v>п.4.3.1, п.4.3.2, п.4.4, п.5.1, п.5.2, п.15</v>
      </c>
      <c r="J340" s="11" t="n">
        <f aca="false">IFERROR(INDEX('Перечень должностей'!$D$2:$D$46,MATCH(H340,'Перечень должностей'!$A$2:$A$46,0)),12)</f>
        <v>12</v>
      </c>
      <c r="K340" s="16"/>
      <c r="L340" s="16"/>
      <c r="M340" s="15" t="str">
        <f aca="false">IF(K340="","",EDATE(IF(L340&lt;&gt;"",L340,K340),J340))</f>
        <v/>
      </c>
      <c r="N340" s="11" t="str">
        <f aca="false">IFERROR(INDEX('Перечень должностей'!$F$2:$F$46,MATCH(H340,'Перечень должностей'!$A$2:$A$46,0)),"")</f>
        <v>-</v>
      </c>
      <c r="O340" s="16"/>
      <c r="P340" s="15" t="str">
        <f aca="false">IF(O340="","",EDATE(O340,60))</f>
        <v/>
      </c>
      <c r="Q340" s="11" t="str">
        <f aca="false">IF(AND(K340&lt;&gt;"",F340&lt;&gt;"",K340&gt;F340),"ДА","")</f>
        <v/>
      </c>
      <c r="R340" s="8"/>
    </row>
    <row r="341" customFormat="false" ht="26.25" hidden="false" customHeight="true" outlineLevel="0" collapsed="false">
      <c r="A341" s="14" t="n">
        <v>340</v>
      </c>
      <c r="B341" s="11" t="s">
        <v>72</v>
      </c>
      <c r="C341" s="14" t="s">
        <v>781</v>
      </c>
      <c r="D341" s="14" t="s">
        <v>782</v>
      </c>
      <c r="E341" s="14" t="s">
        <v>768</v>
      </c>
      <c r="F341" s="15" t="n">
        <v>45859</v>
      </c>
      <c r="G341" s="4" t="str">
        <f aca="false">IF(TRIM(SUBSTITUTE(SUBSTITUTE(SUBSTITUTE(SUBSTITUTE(SUBSTITUTE(SUBSTITUTE(SUBSTITUTE(SUBSTITUTE(SUBSTITUTE(SUBSTITUTE(SUBSTITUTE(LOWER(TRIM(D341)),"ё","е")," -","-"),"- ","-")," 2 разряда","")," 3 разряда","")," 4 разряда","")," 5 разряда","")," 6 разряда","")," 1 категории","")," 2 категории","")," 3 категории",""))="инженер",IF(AND(ISNUMBER(SEARCH("техническ",E341)),ISNUMBER(SEARCH("контрол",E341))),"инженер отк",IF(ISNUMBER(SEARCH("диспетч",E341)),"инженер пдо",TRIM(SUBSTITUTE(SUBSTITUTE(SUBSTITUTE(SUBSTITUTE(SUBSTITUTE(SUBSTITUTE(SUBSTITUTE(SUBSTITUTE(SUBSTITUTE(SUBSTITUTE(SUBSTITUTE(LOWER(TRIM(D341)),"ё","е"),"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категории","")))),IF(TRIM(SUBSTITUTE(SUBSTITUTE(SUBSTITUTE(SUBSTITUTE(SUBSTITUTE(SUBSTITUTE(SUBSTITUTE(SUBSTITUTE(SUBSTITUTE(SUBSTITUTE(SUBSTITUTE(LOWER(TRIM(D341)),"ё","е")," -","-"),"- ","-")," 2 разряда","")," 3 разряда","")," 4 разряда","")," 5 разряда","")," 6 разряда","")," 1 категории","")," 2 категории","")," 3 категории",""))="ведущий инженер",IF(ISNUMBER(SEARCH("диспетч",E341)),"ведущий инженер пдо",TRIM(SUBSTITUTE(SUBSTITUTE(SUBSTITUTE(SUBSTITUTE(SUBSTITUTE(SUBSTITUTE(SUBSTITUTE(SUBSTITUTE(SUBSTITUTE(SUBSTITUTE(SUBSTITUTE(LOWER(TRIM(D341)),"ё","е"),"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отк",TRIM(SUBSTITUTE(SUBSTITUTE(SUBSTITUTE(SUBSTITUTE(SUBSTITUTE(SUBSTITUTE(SUBSTITUTE(SUBSTITUTE(SUBSTITUTE(SUBSTITUTE(SUBSTITUTE(LOWER(TRIM(D341)),"ё","е")," -","-"),"- ","-")," 2 разряда","")," 3 разряда","")," 4 разряда","")," 5 разряда","")," 6 разряда","")," 1 категории","")," 2 категории","")," 3 категории","")))))</f>
        <v>специалист по пошиву</v>
      </c>
      <c r="H341" s="11" t="n">
        <f aca="false">IFERROR(INDEX(Соответствие!$B$2:$B$76,MATCH(G341,Соответствие!$A$2:$A$76,0)),"?")</f>
        <v>44</v>
      </c>
      <c r="I341" s="8" t="str">
        <f aca="false">IFERROR(INDEX('Перечень должностей'!$C$2:$C$46,MATCH(H341,'Перечень должностей'!$A$2:$A$46,0)),"")</f>
        <v>п.4.3.1, п.4.3.2, п.4.4, п.5.1, п.5.2, п.15</v>
      </c>
      <c r="J341" s="11" t="n">
        <f aca="false">IFERROR(INDEX('Перечень должностей'!$D$2:$D$46,MATCH(H341,'Перечень должностей'!$A$2:$A$46,0)),12)</f>
        <v>12</v>
      </c>
      <c r="K341" s="16"/>
      <c r="L341" s="16"/>
      <c r="M341" s="15" t="str">
        <f aca="false">IF(K341="","",EDATE(IF(L341&lt;&gt;"",L341,K341),J341))</f>
        <v/>
      </c>
      <c r="N341" s="11" t="str">
        <f aca="false">IFERROR(INDEX('Перечень должностей'!$F$2:$F$46,MATCH(H341,'Перечень должностей'!$A$2:$A$46,0)),"")</f>
        <v>-</v>
      </c>
      <c r="O341" s="16"/>
      <c r="P341" s="15" t="str">
        <f aca="false">IF(O341="","",EDATE(O341,60))</f>
        <v/>
      </c>
      <c r="Q341" s="11" t="str">
        <f aca="false">IF(AND(K341&lt;&gt;"",F341&lt;&gt;"",K341&gt;F341),"ДА","")</f>
        <v/>
      </c>
      <c r="R341" s="8"/>
    </row>
    <row r="342" customFormat="false" ht="26.25" hidden="false" customHeight="true" outlineLevel="0" collapsed="false">
      <c r="A342" s="14" t="n">
        <v>341</v>
      </c>
      <c r="B342" s="11" t="s">
        <v>72</v>
      </c>
      <c r="C342" s="14" t="s">
        <v>783</v>
      </c>
      <c r="D342" s="14" t="s">
        <v>782</v>
      </c>
      <c r="E342" s="14" t="s">
        <v>768</v>
      </c>
      <c r="F342" s="15" t="n">
        <v>45034</v>
      </c>
      <c r="G342" s="4" t="str">
        <f aca="false">IF(TRIM(SUBSTITUTE(SUBSTITUTE(SUBSTITUTE(SUBSTITUTE(SUBSTITUTE(SUBSTITUTE(SUBSTITUTE(SUBSTITUTE(SUBSTITUTE(SUBSTITUTE(SUBSTITUTE(LOWER(TRIM(D342)),"ё","е")," -","-"),"- ","-")," 2 разряда","")," 3 разряда","")," 4 разряда","")," 5 разряда","")," 6 разряда","")," 1 категории","")," 2 категории","")," 3 категории",""))="инженер",IF(AND(ISNUMBER(SEARCH("техническ",E342)),ISNUMBER(SEARCH("контрол",E342))),"инженер отк",IF(ISNUMBER(SEARCH("диспетч",E342)),"инженер пдо",TRIM(SUBSTITUTE(SUBSTITUTE(SUBSTITUTE(SUBSTITUTE(SUBSTITUTE(SUBSTITUTE(SUBSTITUTE(SUBSTITUTE(SUBSTITUTE(SUBSTITUTE(SUBSTITUTE(LOWER(TRIM(D342)),"ё","е"),"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категории","")))),IF(TRIM(SUBSTITUTE(SUBSTITUTE(SUBSTITUTE(SUBSTITUTE(SUBSTITUTE(SUBSTITUTE(SUBSTITUTE(SUBSTITUTE(SUBSTITUTE(SUBSTITUTE(SUBSTITUTE(LOWER(TRIM(D342)),"ё","е")," -","-"),"- ","-")," 2 разряда","")," 3 разряда","")," 4 разряда","")," 5 разряда","")," 6 разряда","")," 1 категории","")," 2 категории","")," 3 категории",""))="ведущий инженер",IF(ISNUMBER(SEARCH("диспетч",E342)),"ведущий инженер пдо",TRIM(SUBSTITUTE(SUBSTITUTE(SUBSTITUTE(SUBSTITUTE(SUBSTITUTE(SUBSTITUTE(SUBSTITUTE(SUBSTITUTE(SUBSTITUTE(SUBSTITUTE(SUBSTITUTE(LOWER(TRIM(D342)),"ё","е"),"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отк",TRIM(SUBSTITUTE(SUBSTITUTE(SUBSTITUTE(SUBSTITUTE(SUBSTITUTE(SUBSTITUTE(SUBSTITUTE(SUBSTITUTE(SUBSTITUTE(SUBSTITUTE(SUBSTITUTE(LOWER(TRIM(D342)),"ё","е")," -","-"),"- ","-")," 2 разряда","")," 3 разряда","")," 4 разряда","")," 5 разряда","")," 6 разряда","")," 1 категории","")," 2 категории","")," 3 категории","")))))</f>
        <v>специалист по пошиву</v>
      </c>
      <c r="H342" s="11" t="n">
        <f aca="false">IFERROR(INDEX(Соответствие!$B$2:$B$76,MATCH(G342,Соответствие!$A$2:$A$76,0)),"?")</f>
        <v>44</v>
      </c>
      <c r="I342" s="8" t="str">
        <f aca="false">IFERROR(INDEX('Перечень должностей'!$C$2:$C$46,MATCH(H342,'Перечень должностей'!$A$2:$A$46,0)),"")</f>
        <v>п.4.3.1, п.4.3.2, п.4.4, п.5.1, п.5.2, п.15</v>
      </c>
      <c r="J342" s="11" t="n">
        <f aca="false">IFERROR(INDEX('Перечень должностей'!$D$2:$D$46,MATCH(H342,'Перечень должностей'!$A$2:$A$46,0)),12)</f>
        <v>12</v>
      </c>
      <c r="K342" s="16"/>
      <c r="L342" s="16"/>
      <c r="M342" s="15" t="str">
        <f aca="false">IF(K342="","",EDATE(IF(L342&lt;&gt;"",L342,K342),J342))</f>
        <v/>
      </c>
      <c r="N342" s="11" t="str">
        <f aca="false">IFERROR(INDEX('Перечень должностей'!$F$2:$F$46,MATCH(H342,'Перечень должностей'!$A$2:$A$46,0)),"")</f>
        <v>-</v>
      </c>
      <c r="O342" s="16"/>
      <c r="P342" s="15" t="str">
        <f aca="false">IF(O342="","",EDATE(O342,60))</f>
        <v/>
      </c>
      <c r="Q342" s="11" t="str">
        <f aca="false">IF(AND(K342&lt;&gt;"",F342&lt;&gt;"",K342&gt;F342),"ДА","")</f>
        <v/>
      </c>
      <c r="R342" s="8"/>
    </row>
    <row r="343" customFormat="false" ht="26.25" hidden="false" customHeight="true" outlineLevel="0" collapsed="false">
      <c r="A343" s="14" t="n">
        <v>342</v>
      </c>
      <c r="B343" s="11" t="s">
        <v>72</v>
      </c>
      <c r="C343" s="14" t="s">
        <v>784</v>
      </c>
      <c r="D343" s="14" t="s">
        <v>502</v>
      </c>
      <c r="E343" s="14" t="s">
        <v>785</v>
      </c>
      <c r="F343" s="15" t="n">
        <v>46223</v>
      </c>
      <c r="G343" s="4" t="str">
        <f aca="false">IF(TRIM(SUBSTITUTE(SUBSTITUTE(SUBSTITUTE(SUBSTITUTE(SUBSTITUTE(SUBSTITUTE(SUBSTITUTE(SUBSTITUTE(SUBSTITUTE(SUBSTITUTE(SUBSTITUTE(LOWER(TRIM(D343)),"ё","е")," -","-"),"- ","-")," 2 разряда","")," 3 разряда","")," 4 разряда","")," 5 разряда","")," 6 разряда","")," 1 категории","")," 2 категории","")," 3 категории",""))="инженер",IF(AND(ISNUMBER(SEARCH("техническ",E343)),ISNUMBER(SEARCH("контрол",E343))),"инженер отк",IF(ISNUMBER(SEARCH("диспетч",E343)),"инженер пдо",TRIM(SUBSTITUTE(SUBSTITUTE(SUBSTITUTE(SUBSTITUTE(SUBSTITUTE(SUBSTITUTE(SUBSTITUTE(SUBSTITUTE(SUBSTITUTE(SUBSTITUTE(SUBSTITUTE(LOWER(TRIM(D343)),"ё","е"),"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категории","")))),IF(TRIM(SUBSTITUTE(SUBSTITUTE(SUBSTITUTE(SUBSTITUTE(SUBSTITUTE(SUBSTITUTE(SUBSTITUTE(SUBSTITUTE(SUBSTITUTE(SUBSTITUTE(SUBSTITUTE(LOWER(TRIM(D343)),"ё","е")," -","-"),"- ","-")," 2 разряда","")," 3 разряда","")," 4 разряда","")," 5 разряда","")," 6 разряда","")," 1 категории","")," 2 категории","")," 3 категории",""))="ведущий инженер",IF(ISNUMBER(SEARCH("диспетч",E343)),"ведущий инженер пдо",TRIM(SUBSTITUTE(SUBSTITUTE(SUBSTITUTE(SUBSTITUTE(SUBSTITUTE(SUBSTITUTE(SUBSTITUTE(SUBSTITUTE(SUBSTITUTE(SUBSTITUTE(SUBSTITUTE(LOWER(TRIM(D343)),"ё","е"),"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отк",TRIM(SUBSTITUTE(SUBSTITUTE(SUBSTITUTE(SUBSTITUTE(SUBSTITUTE(SUBSTITUTE(SUBSTITUTE(SUBSTITUTE(SUBSTITUTE(SUBSTITUTE(SUBSTITUTE(LOWER(TRIM(D343)),"ё","е")," -","-"),"- ","-")," 2 разряда","")," 3 разряда","")," 4 разряда","")," 5 разряда","")," 6 разряда","")," 1 категории","")," 2 категории","")," 3 категории","")))))</f>
        <v>диспетчер</v>
      </c>
      <c r="H343" s="11" t="n">
        <f aca="false">IFERROR(INDEX(Соответствие!$B$2:$B$76,MATCH(G343,Соответствие!$A$2:$A$76,0)),"?")</f>
        <v>28</v>
      </c>
      <c r="I343" s="8" t="str">
        <f aca="false">IFERROR(INDEX('Перечень должностей'!$C$2:$C$46,MATCH(H343,'Перечень должностей'!$A$2:$A$46,0)),"")</f>
        <v>п.4.4, п.5.1, п.5.2</v>
      </c>
      <c r="J343" s="11" t="n">
        <f aca="false">IFERROR(INDEX('Перечень должностей'!$D$2:$D$46,MATCH(H343,'Перечень должностей'!$A$2:$A$46,0)),12)</f>
        <v>12</v>
      </c>
      <c r="K343" s="16" t="n">
        <v>46219</v>
      </c>
      <c r="L343" s="16"/>
      <c r="M343" s="15" t="n">
        <f aca="false">IF(K343="","",EDATE(IF(L343&lt;&gt;"",L343,K343),J343))</f>
        <v>46584</v>
      </c>
      <c r="N343" s="11" t="str">
        <f aca="false">IFERROR(INDEX('Перечень должностей'!$F$2:$F$46,MATCH(H343,'Перечень должностей'!$A$2:$A$46,0)),"")</f>
        <v>-</v>
      </c>
      <c r="O343" s="16"/>
      <c r="P343" s="15" t="str">
        <f aca="false">IF(O343="","",EDATE(O343,60))</f>
        <v/>
      </c>
      <c r="Q343" s="11" t="str">
        <f aca="false">IF(AND(K343&lt;&gt;"",F343&lt;&gt;"",K343&gt;F343),"ДА","")</f>
        <v/>
      </c>
      <c r="R343" s="8"/>
    </row>
    <row r="344" customFormat="false" ht="26.25" hidden="false" customHeight="true" outlineLevel="0" collapsed="false">
      <c r="A344" s="14" t="n">
        <v>343</v>
      </c>
      <c r="B344" s="11" t="s">
        <v>72</v>
      </c>
      <c r="C344" s="14" t="s">
        <v>786</v>
      </c>
      <c r="D344" s="14" t="s">
        <v>502</v>
      </c>
      <c r="E344" s="14" t="s">
        <v>785</v>
      </c>
      <c r="F344" s="15" t="n">
        <v>46155</v>
      </c>
      <c r="G344" s="4" t="str">
        <f aca="false">IF(TRIM(SUBSTITUTE(SUBSTITUTE(SUBSTITUTE(SUBSTITUTE(SUBSTITUTE(SUBSTITUTE(SUBSTITUTE(SUBSTITUTE(SUBSTITUTE(SUBSTITUTE(SUBSTITUTE(LOWER(TRIM(D344)),"ё","е")," -","-"),"- ","-")," 2 разряда","")," 3 разряда","")," 4 разряда","")," 5 разряда","")," 6 разряда","")," 1 категории","")," 2 категории","")," 3 категории",""))="инженер",IF(AND(ISNUMBER(SEARCH("техническ",E344)),ISNUMBER(SEARCH("контрол",E344))),"инженер отк",IF(ISNUMBER(SEARCH("диспетч",E344)),"инженер пдо",TRIM(SUBSTITUTE(SUBSTITUTE(SUBSTITUTE(SUBSTITUTE(SUBSTITUTE(SUBSTITUTE(SUBSTITUTE(SUBSTITUTE(SUBSTITUTE(SUBSTITUTE(SUBSTITUTE(LOWER(TRIM(D344)),"ё","е"),"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категории","")))),IF(TRIM(SUBSTITUTE(SUBSTITUTE(SUBSTITUTE(SUBSTITUTE(SUBSTITUTE(SUBSTITUTE(SUBSTITUTE(SUBSTITUTE(SUBSTITUTE(SUBSTITUTE(SUBSTITUTE(LOWER(TRIM(D344)),"ё","е")," -","-"),"- ","-")," 2 разряда","")," 3 разряда","")," 4 разряда","")," 5 разряда","")," 6 разряда","")," 1 категории","")," 2 категории","")," 3 категории",""))="ведущий инженер",IF(ISNUMBER(SEARCH("диспетч",E344)),"ведущий инженер пдо",TRIM(SUBSTITUTE(SUBSTITUTE(SUBSTITUTE(SUBSTITUTE(SUBSTITUTE(SUBSTITUTE(SUBSTITUTE(SUBSTITUTE(SUBSTITUTE(SUBSTITUTE(SUBSTITUTE(LOWER(TRIM(D344)),"ё","е"),"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отк",TRIM(SUBSTITUTE(SUBSTITUTE(SUBSTITUTE(SUBSTITUTE(SUBSTITUTE(SUBSTITUTE(SUBSTITUTE(SUBSTITUTE(SUBSTITUTE(SUBSTITUTE(SUBSTITUTE(LOWER(TRIM(D344)),"ё","е")," -","-"),"- ","-")," 2 разряда","")," 3 разряда","")," 4 разряда","")," 5 разряда","")," 6 разряда","")," 1 категории","")," 2 категории","")," 3 категории","")))))</f>
        <v>диспетчер</v>
      </c>
      <c r="H344" s="11" t="n">
        <f aca="false">IFERROR(INDEX(Соответствие!$B$2:$B$76,MATCH(G344,Соответствие!$A$2:$A$76,0)),"?")</f>
        <v>28</v>
      </c>
      <c r="I344" s="8" t="str">
        <f aca="false">IFERROR(INDEX('Перечень должностей'!$C$2:$C$46,MATCH(H344,'Перечень должностей'!$A$2:$A$46,0)),"")</f>
        <v>п.4.4, п.5.1, п.5.2</v>
      </c>
      <c r="J344" s="11" t="n">
        <f aca="false">IFERROR(INDEX('Перечень должностей'!$D$2:$D$46,MATCH(H344,'Перечень должностей'!$A$2:$A$46,0)),12)</f>
        <v>12</v>
      </c>
      <c r="K344" s="16"/>
      <c r="L344" s="16"/>
      <c r="M344" s="15" t="str">
        <f aca="false">IF(K344="","",EDATE(IF(L344&lt;&gt;"",L344,K344),J344))</f>
        <v/>
      </c>
      <c r="N344" s="11" t="str">
        <f aca="false">IFERROR(INDEX('Перечень должностей'!$F$2:$F$46,MATCH(H344,'Перечень должностей'!$A$2:$A$46,0)),"")</f>
        <v>-</v>
      </c>
      <c r="O344" s="16"/>
      <c r="P344" s="15" t="str">
        <f aca="false">IF(O344="","",EDATE(O344,60))</f>
        <v/>
      </c>
      <c r="Q344" s="11" t="str">
        <f aca="false">IF(AND(K344&lt;&gt;"",F344&lt;&gt;"",K344&gt;F344),"ДА","")</f>
        <v/>
      </c>
      <c r="R344" s="8"/>
    </row>
    <row r="345" customFormat="false" ht="26.25" hidden="false" customHeight="true" outlineLevel="0" collapsed="false">
      <c r="A345" s="14" t="n">
        <v>344</v>
      </c>
      <c r="B345" s="11" t="s">
        <v>72</v>
      </c>
      <c r="C345" s="14" t="s">
        <v>787</v>
      </c>
      <c r="D345" s="14" t="s">
        <v>95</v>
      </c>
      <c r="E345" s="14" t="s">
        <v>785</v>
      </c>
      <c r="F345" s="15" t="n">
        <v>46156</v>
      </c>
      <c r="G345" s="4" t="str">
        <f aca="false">IF(TRIM(SUBSTITUTE(SUBSTITUTE(SUBSTITUTE(SUBSTITUTE(SUBSTITUTE(SUBSTITUTE(SUBSTITUTE(SUBSTITUTE(SUBSTITUTE(SUBSTITUTE(SUBSTITUTE(LOWER(TRIM(D345)),"ё","е")," -","-"),"- ","-")," 2 разряда","")," 3 разряда","")," 4 разряда","")," 5 разряда","")," 6 разряда","")," 1 категории","")," 2 категории","")," 3 категории",""))="инженер",IF(AND(ISNUMBER(SEARCH("техническ",E345)),ISNUMBER(SEARCH("контрол",E345))),"инженер отк",IF(ISNUMBER(SEARCH("диспетч",E345)),"инженер пдо",TRIM(SUBSTITUTE(SUBSTITUTE(SUBSTITUTE(SUBSTITUTE(SUBSTITUTE(SUBSTITUTE(SUBSTITUTE(SUBSTITUTE(SUBSTITUTE(SUBSTITUTE(SUBSTITUTE(LOWER(TRIM(D345)),"ё","е"),"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категории","")))),IF(TRIM(SUBSTITUTE(SUBSTITUTE(SUBSTITUTE(SUBSTITUTE(SUBSTITUTE(SUBSTITUTE(SUBSTITUTE(SUBSTITUTE(SUBSTITUTE(SUBSTITUTE(SUBSTITUTE(LOWER(TRIM(D345)),"ё","е")," -","-"),"- ","-")," 2 разряда","")," 3 разряда","")," 4 разряда","")," 5 разряда","")," 6 разряда","")," 1 категории","")," 2 категории","")," 3 категории",""))="ведущий инженер",IF(ISNUMBER(SEARCH("диспетч",E345)),"ведущий инженер пдо",TRIM(SUBSTITUTE(SUBSTITUTE(SUBSTITUTE(SUBSTITUTE(SUBSTITUTE(SUBSTITUTE(SUBSTITUTE(SUBSTITUTE(SUBSTITUTE(SUBSTITUTE(SUBSTITUTE(LOWER(TRIM(D345)),"ё","е"),"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отк",TRIM(SUBSTITUTE(SUBSTITUTE(SUBSTITUTE(SUBSTITUTE(SUBSTITUTE(SUBSTITUTE(SUBSTITUTE(SUBSTITUTE(SUBSTITUTE(SUBSTITUTE(SUBSTITUTE(LOWER(TRIM(D345)),"ё","е")," -","-"),"- ","-")," 2 разряда","")," 3 разряда","")," 4 разряда","")," 5 разряда","")," 6 разряда","")," 1 категории","")," 2 категории","")," 3 категории","")))))</f>
        <v>ведущий диспетчер</v>
      </c>
      <c r="H345" s="11" t="n">
        <f aca="false">IFERROR(INDEX(Соответствие!$B$2:$B$76,MATCH(G345,Соответствие!$A$2:$A$76,0)),"?")</f>
        <v>28</v>
      </c>
      <c r="I345" s="8" t="str">
        <f aca="false">IFERROR(INDEX('Перечень должностей'!$C$2:$C$46,MATCH(H345,'Перечень должностей'!$A$2:$A$46,0)),"")</f>
        <v>п.4.4, п.5.1, п.5.2</v>
      </c>
      <c r="J345" s="11" t="n">
        <f aca="false">IFERROR(INDEX('Перечень должностей'!$D$2:$D$46,MATCH(H345,'Перечень должностей'!$A$2:$A$46,0)),12)</f>
        <v>12</v>
      </c>
      <c r="K345" s="16"/>
      <c r="L345" s="16"/>
      <c r="M345" s="15" t="str">
        <f aca="false">IF(K345="","",EDATE(IF(L345&lt;&gt;"",L345,K345),J345))</f>
        <v/>
      </c>
      <c r="N345" s="11" t="str">
        <f aca="false">IFERROR(INDEX('Перечень должностей'!$F$2:$F$46,MATCH(H345,'Перечень должностей'!$A$2:$A$46,0)),"")</f>
        <v>-</v>
      </c>
      <c r="O345" s="16"/>
      <c r="P345" s="15" t="str">
        <f aca="false">IF(O345="","",EDATE(O345,60))</f>
        <v/>
      </c>
      <c r="Q345" s="11" t="str">
        <f aca="false">IF(AND(K345&lt;&gt;"",F345&lt;&gt;"",K345&gt;F345),"ДА","")</f>
        <v/>
      </c>
      <c r="R345" s="8"/>
    </row>
    <row r="346" customFormat="false" ht="26.25" hidden="false" customHeight="true" outlineLevel="0" collapsed="false">
      <c r="A346" s="14" t="n">
        <v>345</v>
      </c>
      <c r="B346" s="11" t="s">
        <v>72</v>
      </c>
      <c r="C346" s="14" t="s">
        <v>788</v>
      </c>
      <c r="D346" s="14" t="s">
        <v>95</v>
      </c>
      <c r="E346" s="14" t="s">
        <v>785</v>
      </c>
      <c r="F346" s="15" t="n">
        <v>45793</v>
      </c>
      <c r="G346" s="4" t="str">
        <f aca="false">IF(TRIM(SUBSTITUTE(SUBSTITUTE(SUBSTITUTE(SUBSTITUTE(SUBSTITUTE(SUBSTITUTE(SUBSTITUTE(SUBSTITUTE(SUBSTITUTE(SUBSTITUTE(SUBSTITUTE(LOWER(TRIM(D346)),"ё","е")," -","-"),"- ","-")," 2 разряда","")," 3 разряда","")," 4 разряда","")," 5 разряда","")," 6 разряда","")," 1 категории","")," 2 категории","")," 3 категории",""))="инженер",IF(AND(ISNUMBER(SEARCH("техническ",E346)),ISNUMBER(SEARCH("контрол",E346))),"инженер отк",IF(ISNUMBER(SEARCH("диспетч",E346)),"инженер пдо",TRIM(SUBSTITUTE(SUBSTITUTE(SUBSTITUTE(SUBSTITUTE(SUBSTITUTE(SUBSTITUTE(SUBSTITUTE(SUBSTITUTE(SUBSTITUTE(SUBSTITUTE(SUBSTITUTE(LOWER(TRIM(D346)),"ё","е"),"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категории","")))),IF(TRIM(SUBSTITUTE(SUBSTITUTE(SUBSTITUTE(SUBSTITUTE(SUBSTITUTE(SUBSTITUTE(SUBSTITUTE(SUBSTITUTE(SUBSTITUTE(SUBSTITUTE(SUBSTITUTE(LOWER(TRIM(D346)),"ё","е")," -","-"),"- ","-")," 2 разряда","")," 3 разряда","")," 4 разряда","")," 5 разряда","")," 6 разряда","")," 1 категории","")," 2 категории","")," 3 категории",""))="ведущий инженер",IF(ISNUMBER(SEARCH("диспетч",E346)),"ведущий инженер пдо",TRIM(SUBSTITUTE(SUBSTITUTE(SUBSTITUTE(SUBSTITUTE(SUBSTITUTE(SUBSTITUTE(SUBSTITUTE(SUBSTITUTE(SUBSTITUTE(SUBSTITUTE(SUBSTITUTE(LOWER(TRIM(D346)),"ё","е"),"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отк",TRIM(SUBSTITUTE(SUBSTITUTE(SUBSTITUTE(SUBSTITUTE(SUBSTITUTE(SUBSTITUTE(SUBSTITUTE(SUBSTITUTE(SUBSTITUTE(SUBSTITUTE(SUBSTITUTE(LOWER(TRIM(D346)),"ё","е")," -","-"),"- ","-")," 2 разряда","")," 3 разряда","")," 4 разряда","")," 5 разряда","")," 6 разряда","")," 1 категории","")," 2 категории","")," 3 категории","")))))</f>
        <v>ведущий диспетчер</v>
      </c>
      <c r="H346" s="11" t="n">
        <f aca="false">IFERROR(INDEX(Соответствие!$B$2:$B$76,MATCH(G346,Соответствие!$A$2:$A$76,0)),"?")</f>
        <v>28</v>
      </c>
      <c r="I346" s="8" t="str">
        <f aca="false">IFERROR(INDEX('Перечень должностей'!$C$2:$C$46,MATCH(H346,'Перечень должностей'!$A$2:$A$46,0)),"")</f>
        <v>п.4.4, п.5.1, п.5.2</v>
      </c>
      <c r="J346" s="11" t="n">
        <f aca="false">IFERROR(INDEX('Перечень должностей'!$D$2:$D$46,MATCH(H346,'Перечень должностей'!$A$2:$A$46,0)),12)</f>
        <v>12</v>
      </c>
      <c r="K346" s="16"/>
      <c r="L346" s="16"/>
      <c r="M346" s="15" t="str">
        <f aca="false">IF(K346="","",EDATE(IF(L346&lt;&gt;"",L346,K346),J346))</f>
        <v/>
      </c>
      <c r="N346" s="11" t="str">
        <f aca="false">IFERROR(INDEX('Перечень должностей'!$F$2:$F$46,MATCH(H346,'Перечень должностей'!$A$2:$A$46,0)),"")</f>
        <v>-</v>
      </c>
      <c r="O346" s="16"/>
      <c r="P346" s="15" t="str">
        <f aca="false">IF(O346="","",EDATE(O346,60))</f>
        <v/>
      </c>
      <c r="Q346" s="11" t="str">
        <f aca="false">IF(AND(K346&lt;&gt;"",F346&lt;&gt;"",K346&gt;F346),"ДА","")</f>
        <v/>
      </c>
      <c r="R346" s="8"/>
    </row>
    <row r="347" customFormat="false" ht="26.25" hidden="false" customHeight="true" outlineLevel="0" collapsed="false">
      <c r="A347" s="14" t="n">
        <v>346</v>
      </c>
      <c r="B347" s="11" t="s">
        <v>72</v>
      </c>
      <c r="C347" s="14" t="s">
        <v>789</v>
      </c>
      <c r="D347" s="14" t="s">
        <v>513</v>
      </c>
      <c r="E347" s="14" t="s">
        <v>785</v>
      </c>
      <c r="F347" s="15" t="n">
        <v>40931</v>
      </c>
      <c r="G347" s="4" t="str">
        <f aca="false">IF(TRIM(SUBSTITUTE(SUBSTITUTE(SUBSTITUTE(SUBSTITUTE(SUBSTITUTE(SUBSTITUTE(SUBSTITUTE(SUBSTITUTE(SUBSTITUTE(SUBSTITUTE(SUBSTITUTE(LOWER(TRIM(D347)),"ё","е")," -","-"),"- ","-")," 2 разряда","")," 3 разряда","")," 4 разряда","")," 5 разряда","")," 6 разряда","")," 1 категории","")," 2 категории","")," 3 категории",""))="инженер",IF(AND(ISNUMBER(SEARCH("техническ",E347)),ISNUMBER(SEARCH("контрол",E347))),"инженер отк",IF(ISNUMBER(SEARCH("диспетч",E347)),"инженер пдо",TRIM(SUBSTITUTE(SUBSTITUTE(SUBSTITUTE(SUBSTITUTE(SUBSTITUTE(SUBSTITUTE(SUBSTITUTE(SUBSTITUTE(SUBSTITUTE(SUBSTITUTE(SUBSTITUTE(LOWER(TRIM(D347)),"ё","е"),"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категории","")))),IF(TRIM(SUBSTITUTE(SUBSTITUTE(SUBSTITUTE(SUBSTITUTE(SUBSTITUTE(SUBSTITUTE(SUBSTITUTE(SUBSTITUTE(SUBSTITUTE(SUBSTITUTE(SUBSTITUTE(LOWER(TRIM(D347)),"ё","е")," -","-"),"- ","-")," 2 разряда","")," 3 разряда","")," 4 разряда","")," 5 разряда","")," 6 разряда","")," 1 категории","")," 2 категории","")," 3 категории",""))="ведущий инженер",IF(ISNUMBER(SEARCH("диспетч",E347)),"ведущий инженер пдо",TRIM(SUBSTITUTE(SUBSTITUTE(SUBSTITUTE(SUBSTITUTE(SUBSTITUTE(SUBSTITUTE(SUBSTITUTE(SUBSTITUTE(SUBSTITUTE(SUBSTITUTE(SUBSTITUTE(LOWER(TRIM(D347)),"ё","е"),"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отк",TRIM(SUBSTITUTE(SUBSTITUTE(SUBSTITUTE(SUBSTITUTE(SUBSTITUTE(SUBSTITUTE(SUBSTITUTE(SUBSTITUTE(SUBSTITUTE(SUBSTITUTE(SUBSTITUTE(LOWER(TRIM(D347)),"ё","е")," -","-"),"- ","-")," 2 разряда","")," 3 разряда","")," 4 разряда","")," 5 разряда","")," 6 разряда","")," 1 категории","")," 2 категории","")," 3 категории","")))))</f>
        <v>ведущий инженер пдо</v>
      </c>
      <c r="H347" s="11" t="n">
        <f aca="false">IFERROR(INDEX(Соответствие!$B$2:$B$76,MATCH(G347,Соответствие!$A$2:$A$76,0)),"?")</f>
        <v>27</v>
      </c>
      <c r="I347" s="8" t="str">
        <f aca="false">IFERROR(INDEX('Перечень должностей'!$C$2:$C$46,MATCH(H347,'Перечень должностей'!$A$2:$A$46,0)),"")</f>
        <v>п.4.4, п.5.1, п.5.2</v>
      </c>
      <c r="J347" s="11" t="n">
        <f aca="false">IFERROR(INDEX('Перечень должностей'!$D$2:$D$46,MATCH(H347,'Перечень должностей'!$A$2:$A$46,0)),12)</f>
        <v>12</v>
      </c>
      <c r="K347" s="16"/>
      <c r="L347" s="16"/>
      <c r="M347" s="15" t="str">
        <f aca="false">IF(K347="","",EDATE(IF(L347&lt;&gt;"",L347,K347),J347))</f>
        <v/>
      </c>
      <c r="N347" s="11" t="str">
        <f aca="false">IFERROR(INDEX('Перечень должностей'!$F$2:$F$46,MATCH(H347,'Перечень должностей'!$A$2:$A$46,0)),"")</f>
        <v>-</v>
      </c>
      <c r="O347" s="16"/>
      <c r="P347" s="15" t="str">
        <f aca="false">IF(O347="","",EDATE(O347,60))</f>
        <v/>
      </c>
      <c r="Q347" s="11" t="str">
        <f aca="false">IF(AND(K347&lt;&gt;"",F347&lt;&gt;"",K347&gt;F347),"ДА","")</f>
        <v/>
      </c>
      <c r="R347" s="8"/>
    </row>
    <row r="348" customFormat="false" ht="26.25" hidden="false" customHeight="true" outlineLevel="0" collapsed="false">
      <c r="A348" s="14" t="n">
        <v>347</v>
      </c>
      <c r="B348" s="11" t="s">
        <v>72</v>
      </c>
      <c r="C348" s="14" t="s">
        <v>790</v>
      </c>
      <c r="D348" s="14" t="s">
        <v>645</v>
      </c>
      <c r="E348" s="14" t="s">
        <v>76</v>
      </c>
      <c r="F348" s="15" t="n">
        <v>45265</v>
      </c>
      <c r="G348" s="4" t="str">
        <f aca="false">IF(TRIM(SUBSTITUTE(SUBSTITUTE(SUBSTITUTE(SUBSTITUTE(SUBSTITUTE(SUBSTITUTE(SUBSTITUTE(SUBSTITUTE(SUBSTITUTE(SUBSTITUTE(SUBSTITUTE(LOWER(TRIM(D348)),"ё","е")," -","-"),"- ","-")," 2 разряда","")," 3 разряда","")," 4 разряда","")," 5 разряда","")," 6 разряда","")," 1 категории","")," 2 категории","")," 3 категории",""))="инженер",IF(AND(ISNUMBER(SEARCH("техническ",E348)),ISNUMBER(SEARCH("контрол",E348))),"инженер отк",IF(ISNUMBER(SEARCH("диспетч",E348)),"инженер пдо",TRIM(SUBSTITUTE(SUBSTITUTE(SUBSTITUTE(SUBSTITUTE(SUBSTITUTE(SUBSTITUTE(SUBSTITUTE(SUBSTITUTE(SUBSTITUTE(SUBSTITUTE(SUBSTITUTE(LOWER(TRIM(D348)),"ё","е"),"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категории","")))),IF(TRIM(SUBSTITUTE(SUBSTITUTE(SUBSTITUTE(SUBSTITUTE(SUBSTITUTE(SUBSTITUTE(SUBSTITUTE(SUBSTITUTE(SUBSTITUTE(SUBSTITUTE(SUBSTITUTE(LOWER(TRIM(D348)),"ё","е")," -","-"),"- ","-")," 2 разряда","")," 3 разряда","")," 4 разряда","")," 5 разряда","")," 6 разряда","")," 1 категории","")," 2 категории","")," 3 категории",""))="ведущий инженер",IF(ISNUMBER(SEARCH("диспетч",E348)),"ведущий инженер пдо",TRIM(SUBSTITUTE(SUBSTITUTE(SUBSTITUTE(SUBSTITUTE(SUBSTITUTE(SUBSTITUTE(SUBSTITUTE(SUBSTITUTE(SUBSTITUTE(SUBSTITUTE(SUBSTITUTE(LOWER(TRIM(D348)),"ё","е"),"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отк",TRIM(SUBSTITUTE(SUBSTITUTE(SUBSTITUTE(SUBSTITUTE(SUBSTITUTE(SUBSTITUTE(SUBSTITUTE(SUBSTITUTE(SUBSTITUTE(SUBSTITUTE(SUBSTITUTE(LOWER(TRIM(D348)),"ё","е")," -","-"),"- ","-")," 2 разряда","")," 3 разряда","")," 4 разряда","")," 5 разряда","")," 6 разряда","")," 1 категории","")," 2 категории","")," 3 категории","")))))</f>
        <v>старший кладовщик</v>
      </c>
      <c r="H348" s="11" t="n">
        <f aca="false">IFERROR(INDEX(Соответствие!$B$2:$B$76,MATCH(G348,Соответствие!$A$2:$A$76,0)),"?")</f>
        <v>14</v>
      </c>
      <c r="I348" s="8" t="str">
        <f aca="false">IFERROR(INDEX('Перечень должностей'!$C$2:$C$46,MATCH(H348,'Перечень должностей'!$A$2:$A$46,0)),"")</f>
        <v>п.4.4, п.5.1, п.6.2</v>
      </c>
      <c r="J348" s="11" t="n">
        <f aca="false">IFERROR(INDEX('Перечень должностей'!$D$2:$D$46,MATCH(H348,'Перечень должностей'!$A$2:$A$46,0)),12)</f>
        <v>12</v>
      </c>
      <c r="K348" s="16"/>
      <c r="L348" s="16"/>
      <c r="M348" s="15" t="str">
        <f aca="false">IF(K348="","",EDATE(IF(L348&lt;&gt;"",L348,K348),J348))</f>
        <v/>
      </c>
      <c r="N348" s="11" t="str">
        <f aca="false">IFERROR(INDEX('Перечень должностей'!$F$2:$F$46,MATCH(H348,'Перечень должностей'!$A$2:$A$46,0)),"")</f>
        <v>-</v>
      </c>
      <c r="O348" s="16"/>
      <c r="P348" s="15" t="str">
        <f aca="false">IF(O348="","",EDATE(O348,60))</f>
        <v/>
      </c>
      <c r="Q348" s="11" t="str">
        <f aca="false">IF(AND(K348&lt;&gt;"",F348&lt;&gt;"",K348&gt;F348),"ДА","")</f>
        <v/>
      </c>
      <c r="R348" s="8"/>
    </row>
    <row r="349" customFormat="false" ht="14.25" hidden="false" customHeight="false" outlineLevel="0" collapsed="false">
      <c r="A349" s="14" t="n">
        <v>348</v>
      </c>
      <c r="B349" s="11" t="s">
        <v>72</v>
      </c>
      <c r="C349" s="14" t="s">
        <v>791</v>
      </c>
      <c r="D349" s="14" t="s">
        <v>75</v>
      </c>
      <c r="E349" s="14" t="s">
        <v>76</v>
      </c>
      <c r="F349" s="15" t="n">
        <v>45252</v>
      </c>
      <c r="G349" s="4" t="str">
        <f aca="false">IF(TRIM(SUBSTITUTE(SUBSTITUTE(SUBSTITUTE(SUBSTITUTE(SUBSTITUTE(SUBSTITUTE(SUBSTITUTE(SUBSTITUTE(SUBSTITUTE(SUBSTITUTE(SUBSTITUTE(LOWER(TRIM(D349)),"ё","е")," -","-"),"- ","-")," 2 разряда","")," 3 разряда","")," 4 разряда","")," 5 разряда","")," 6 разряда","")," 1 категории","")," 2 категории","")," 3 категории",""))="инженер",IF(AND(ISNUMBER(SEARCH("техническ",E349)),ISNUMBER(SEARCH("контрол",E349))),"инженер отк",IF(ISNUMBER(SEARCH("диспетч",E349)),"инженер пдо",TRIM(SUBSTITUTE(SUBSTITUTE(SUBSTITUTE(SUBSTITUTE(SUBSTITUTE(SUBSTITUTE(SUBSTITUTE(SUBSTITUTE(SUBSTITUTE(SUBSTITUTE(SUBSTITUTE(LOWER(TRIM(D349)),"ё","е"),"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категории","")))),IF(TRIM(SUBSTITUTE(SUBSTITUTE(SUBSTITUTE(SUBSTITUTE(SUBSTITUTE(SUBSTITUTE(SUBSTITUTE(SUBSTITUTE(SUBSTITUTE(SUBSTITUTE(SUBSTITUTE(LOWER(TRIM(D349)),"ё","е")," -","-"),"- ","-")," 2 разряда","")," 3 разряда","")," 4 разряда","")," 5 разряда","")," 6 разряда","")," 1 категории","")," 2 категории","")," 3 категории",""))="ведущий инженер",IF(ISNUMBER(SEARCH("диспетч",E349)),"ведущий инженер пдо",TRIM(SUBSTITUTE(SUBSTITUTE(SUBSTITUTE(SUBSTITUTE(SUBSTITUTE(SUBSTITUTE(SUBSTITUTE(SUBSTITUTE(SUBSTITUTE(SUBSTITUTE(SUBSTITUTE(LOWER(TRIM(D349)),"ё","е"),"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категории",""))),IF(TRIM(SUBSTITUTE(SUBSTITUTE(SUBSTITUTE(SUBSTITUTE(SUBSTITUTE(SUBSTITUTE(SUBSTITUTE(SUBSTITUTE(SUBSTITUTE(SUBSTITUTE(SUBSTITUTE(LOWER(TRIM(D349)),"ё","е"),"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отк",TRIM(SUBSTITUTE(SUBSTITUTE(SUBSTITUTE(SUBSTITUTE(SUBSTITUTE(SUBSTITUTE(SUBSTITUTE(SUBSTITUTE(SUBSTITUTE(SUBSTITUTE(SUBSTITUTE(LOWER(TRIM(D349)),"ё","е")," -","-"),"- ","-")," 2 разряда","")," 3 разряда","")," 4 разряда","")," 5 разряда","")," 6 разряда","")," 1 категории","")," 2 категории","")," 3 категории","")))))</f>
        <v>кладовщик</v>
      </c>
      <c r="H349" s="11" t="n">
        <f aca="false">IFERROR(INDEX(Соответствие!$B$2:$B$76,MATCH(G349,Соответствие!$A$2:$A$76,0)),"?")</f>
        <v>14</v>
      </c>
      <c r="I349" s="8" t="str">
        <f aca="false">IFERROR(INDEX('Перечень должностей'!$C$2:$C$46,MATCH(H349,'Перечень должностей'!$A$2:$A$46,0)),"")</f>
        <v>п.4.4, п.5.1, п.6.2</v>
      </c>
      <c r="J349" s="11" t="n">
        <f aca="false">IFERROR(INDEX('Перечень должностей'!$D$2:$D$46,MATCH(H349,'Перечень должностей'!$A$2:$A$46,0)),12)</f>
        <v>12</v>
      </c>
      <c r="K349" s="16"/>
      <c r="L349" s="16"/>
      <c r="M349" s="15" t="str">
        <f aca="false">IF(K349="","",EDATE(IF(L349&lt;&gt;"",L349,K349),J349))</f>
        <v/>
      </c>
      <c r="N349" s="11" t="str">
        <f aca="false">IFERROR(INDEX('Перечень должностей'!$F$2:$F$46,MATCH(H349,'Перечень должностей'!$A$2:$A$46,0)),"")</f>
        <v>-</v>
      </c>
      <c r="O349" s="16"/>
      <c r="P349" s="15" t="str">
        <f aca="false">IF(O349="","",EDATE(O349,60))</f>
        <v/>
      </c>
      <c r="Q349" s="11" t="str">
        <f aca="false">IF(AND(K349&lt;&gt;"",F349&lt;&gt;"",K349&gt;F349),"ДА","")</f>
        <v/>
      </c>
      <c r="R349" s="8"/>
    </row>
    <row r="350" customFormat="false" ht="14.25" hidden="false" customHeight="false" outlineLevel="0" collapsed="false">
      <c r="A350" s="14" t="n">
        <v>349</v>
      </c>
      <c r="B350" s="11" t="s">
        <v>72</v>
      </c>
      <c r="C350" s="14" t="s">
        <v>792</v>
      </c>
      <c r="D350" s="14" t="s">
        <v>75</v>
      </c>
      <c r="E350" s="14" t="s">
        <v>76</v>
      </c>
      <c r="F350" s="15" t="n">
        <v>46141</v>
      </c>
      <c r="G350" s="4" t="str">
        <f aca="false">IF(TRIM(SUBSTITUTE(SUBSTITUTE(SUBSTITUTE(SUBSTITUTE(SUBSTITUTE(SUBSTITUTE(SUBSTITUTE(SUBSTITUTE(SUBSTITUTE(SUBSTITUTE(SUBSTITUTE(LOWER(TRIM(D350)),"ё","е")," -","-"),"- ","-")," 2 разряда","")," 3 разряда","")," 4 разряда","")," 5 разряда","")," 6 разряда","")," 1 категории","")," 2 категории","")," 3 категории",""))="инженер",IF(AND(ISNUMBER(SEARCH("техническ",E350)),ISNUMBER(SEARCH("контрол",E350))),"инженер отк",IF(ISNUMBER(SEARCH("диспетч",E350)),"инженер пдо",TRIM(SUBSTITUTE(SUBSTITUTE(SUBSTITUTE(SUBSTITUTE(SUBSTITUTE(SUBSTITUTE(SUBSTITUTE(SUBSTITUTE(SUBSTITUTE(SUBSTITUTE(SUBSTITUTE(LOWER(TRIM(D350)),"ё","е"),"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категории","")))),IF(TRIM(SUBSTITUTE(SUBSTITUTE(SUBSTITUTE(SUBSTITUTE(SUBSTITUTE(SUBSTITUTE(SUBSTITUTE(SUBSTITUTE(SUBSTITUTE(SUBSTITUTE(SUBSTITUTE(LOWER(TRIM(D350)),"ё","е")," -","-"),"- ","-")," 2 разряда","")," 3 разряда","")," 4 разряда","")," 5 разряда","")," 6 разряда","")," 1 категории","")," 2 категории","")," 3 категории",""))="ведущий инженер",IF(ISNUMBER(SEARCH("диспетч",E350)),"ведущий инженер пдо",TRIM(SUBSTITUTE(SUBSTITUTE(SUBSTITUTE(SUBSTITUTE(SUBSTITUTE(SUBSTITUTE(SUBSTITUTE(SUBSTITUTE(SUBSTITUTE(SUBSTITUTE(SUBSTITUTE(LOWER(TRIM(D350)),"ё","е"),"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отк",TRIM(SUBSTITUTE(SUBSTITUTE(SUBSTITUTE(SUBSTITUTE(SUBSTITUTE(SUBSTITUTE(SUBSTITUTE(SUBSTITUTE(SUBSTITUTE(SUBSTITUTE(SUBSTITUTE(LOWER(TRIM(D350)),"ё","е")," -","-"),"- ","-")," 2 разряда","")," 3 разряда","")," 4 разряда","")," 5 разряда","")," 6 разряда","")," 1 категории","")," 2 категории","")," 3 категории","")))))</f>
        <v>кладовщик</v>
      </c>
      <c r="H350" s="11" t="n">
        <f aca="false">IFERROR(INDEX(Соответствие!$B$2:$B$76,MATCH(G350,Соответствие!$A$2:$A$76,0)),"?")</f>
        <v>14</v>
      </c>
      <c r="I350" s="8" t="str">
        <f aca="false">IFERROR(INDEX('Перечень должностей'!$C$2:$C$46,MATCH(H350,'Перечень должностей'!$A$2:$A$46,0)),"")</f>
        <v>п.4.4, п.5.1, п.6.2</v>
      </c>
      <c r="J350" s="11" t="n">
        <f aca="false">IFERROR(INDEX('Перечень должностей'!$D$2:$D$46,MATCH(H350,'Перечень должностей'!$A$2:$A$46,0)),12)</f>
        <v>12</v>
      </c>
      <c r="K350" s="16" t="n">
        <v>46139</v>
      </c>
      <c r="L350" s="16"/>
      <c r="M350" s="15" t="n">
        <f aca="false">IF(K350="","",EDATE(IF(L350&lt;&gt;"",L350,K350),J350))</f>
        <v>46504</v>
      </c>
      <c r="N350" s="11" t="str">
        <f aca="false">IFERROR(INDEX('Перечень должностей'!$F$2:$F$46,MATCH(H350,'Перечень должностей'!$A$2:$A$46,0)),"")</f>
        <v>-</v>
      </c>
      <c r="O350" s="16"/>
      <c r="P350" s="15" t="str">
        <f aca="false">IF(O350="","",EDATE(O350,60))</f>
        <v/>
      </c>
      <c r="Q350" s="11" t="str">
        <f aca="false">IF(AND(K350&lt;&gt;"",F350&lt;&gt;"",K350&gt;F350),"ДА","")</f>
        <v/>
      </c>
      <c r="R350" s="8"/>
    </row>
    <row r="351" customFormat="false" ht="14.25" hidden="false" customHeight="false" outlineLevel="0" collapsed="false">
      <c r="A351" s="14" t="n">
        <v>350</v>
      </c>
      <c r="B351" s="11" t="s">
        <v>72</v>
      </c>
      <c r="C351" s="14" t="s">
        <v>793</v>
      </c>
      <c r="D351" s="14" t="s">
        <v>656</v>
      </c>
      <c r="E351" s="14" t="s">
        <v>76</v>
      </c>
      <c r="F351" s="15" t="n">
        <v>46268</v>
      </c>
      <c r="G351" s="4" t="str">
        <f aca="false">IF(TRIM(SUBSTITUTE(SUBSTITUTE(SUBSTITUTE(SUBSTITUTE(SUBSTITUTE(SUBSTITUTE(SUBSTITUTE(SUBSTITUTE(SUBSTITUTE(SUBSTITUTE(SUBSTITUTE(LOWER(TRIM(D351)),"ё","е")," -","-"),"- ","-")," 2 разряда","")," 3 разряда","")," 4 разряда","")," 5 разряда","")," 6 разряда","")," 1 категории","")," 2 категории","")," 3 категории",""))="инженер",IF(AND(ISNUMBER(SEARCH("техническ",E351)),ISNUMBER(SEARCH("контрол",E351))),"инженер отк",IF(ISNUMBER(SEARCH("диспетч",E351)),"инженер пдо",TRIM(SUBSTITUTE(SUBSTITUTE(SUBSTITUTE(SUBSTITUTE(SUBSTITUTE(SUBSTITUTE(SUBSTITUTE(SUBSTITUTE(SUBSTITUTE(SUBSTITUTE(SUBSTITUTE(LOWER(TRIM(D351)),"ё","е"),"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категории","")))),IF(TRIM(SUBSTITUTE(SUBSTITUTE(SUBSTITUTE(SUBSTITUTE(SUBSTITUTE(SUBSTITUTE(SUBSTITUTE(SUBSTITUTE(SUBSTITUTE(SUBSTITUTE(SUBSTITUTE(LOWER(TRIM(D351)),"ё","е")," -","-"),"- ","-")," 2 разряда","")," 3 разряда","")," 4 разряда","")," 5 разряда","")," 6 разряда","")," 1 категории","")," 2 категории","")," 3 категории",""))="ведущий инженер",IF(ISNUMBER(SEARCH("диспетч",E351)),"ведущий инженер пдо",TRIM(SUBSTITUTE(SUBSTITUTE(SUBSTITUTE(SUBSTITUTE(SUBSTITUTE(SUBSTITUTE(SUBSTITUTE(SUBSTITUTE(SUBSTITUTE(SUBSTITUTE(SUBSTITUTE(LOWER(TRIM(D351)),"ё","е"),"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отк",TRIM(SUBSTITUTE(SUBSTITUTE(SUBSTITUTE(SUBSTITUTE(SUBSTITUTE(SUBSTITUTE(SUBSTITUTE(SUBSTITUTE(SUBSTITUTE(SUBSTITUTE(SUBSTITUTE(LOWER(TRIM(D351)),"ё","е")," -","-"),"- ","-")," 2 разряда","")," 3 разряда","")," 4 разряда","")," 5 разряда","")," 6 разряда","")," 1 категории","")," 2 категории","")," 3 категории","")))))</f>
        <v>кладовщик-комплектовщик</v>
      </c>
      <c r="H351" s="11" t="n">
        <f aca="false">IFERROR(INDEX(Соответствие!$B$2:$B$76,MATCH(G351,Соответствие!$A$2:$A$76,0)),"?")</f>
        <v>14</v>
      </c>
      <c r="I351" s="8" t="str">
        <f aca="false">IFERROR(INDEX('Перечень должностей'!$C$2:$C$46,MATCH(H351,'Перечень должностей'!$A$2:$A$46,0)),"")</f>
        <v>п.4.4, п.5.1, п.6.2</v>
      </c>
      <c r="J351" s="11" t="n">
        <f aca="false">IFERROR(INDEX('Перечень должностей'!$D$2:$D$46,MATCH(H351,'Перечень должностей'!$A$2:$A$46,0)),12)</f>
        <v>12</v>
      </c>
      <c r="K351" s="16" t="n">
        <v>46266</v>
      </c>
      <c r="L351" s="16"/>
      <c r="M351" s="15" t="n">
        <f aca="false">IF(K351="","",EDATE(IF(L351&lt;&gt;"",L351,K351),J351))</f>
        <v>46631</v>
      </c>
      <c r="N351" s="11" t="str">
        <f aca="false">IFERROR(INDEX('Перечень должностей'!$F$2:$F$46,MATCH(H351,'Перечень должностей'!$A$2:$A$46,0)),"")</f>
        <v>-</v>
      </c>
      <c r="O351" s="16"/>
      <c r="P351" s="15" t="str">
        <f aca="false">IF(O351="","",EDATE(O351,60))</f>
        <v/>
      </c>
      <c r="Q351" s="11" t="str">
        <f aca="false">IF(AND(K351&lt;&gt;"",F351&lt;&gt;"",K351&gt;F351),"ДА","")</f>
        <v/>
      </c>
      <c r="R351" s="8"/>
    </row>
    <row r="352" customFormat="false" ht="14.25" hidden="false" customHeight="false" outlineLevel="0" collapsed="false">
      <c r="A352" s="14" t="n">
        <v>351</v>
      </c>
      <c r="B352" s="11" t="s">
        <v>72</v>
      </c>
      <c r="C352" s="14" t="s">
        <v>794</v>
      </c>
      <c r="D352" s="14" t="s">
        <v>656</v>
      </c>
      <c r="E352" s="14" t="s">
        <v>76</v>
      </c>
      <c r="F352" s="15" t="n">
        <v>46140</v>
      </c>
      <c r="G352" s="4" t="str">
        <f aca="false">IF(TRIM(SUBSTITUTE(SUBSTITUTE(SUBSTITUTE(SUBSTITUTE(SUBSTITUTE(SUBSTITUTE(SUBSTITUTE(SUBSTITUTE(SUBSTITUTE(SUBSTITUTE(SUBSTITUTE(LOWER(TRIM(D352)),"ё","е")," -","-"),"- ","-")," 2 разряда","")," 3 разряда","")," 4 разряда","")," 5 разряда","")," 6 разряда","")," 1 категории","")," 2 категории","")," 3 категории",""))="инженер",IF(AND(ISNUMBER(SEARCH("техническ",E352)),ISNUMBER(SEARCH("контрол",E352))),"инженер отк",IF(ISNUMBER(SEARCH("диспетч",E352)),"инженер пдо",TRIM(SUBSTITUTE(SUBSTITUTE(SUBSTITUTE(SUBSTITUTE(SUBSTITUTE(SUBSTITUTE(SUBSTITUTE(SUBSTITUTE(SUBSTITUTE(SUBSTITUTE(SUBSTITUTE(LOWER(TRIM(D352)),"ё","е"),"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категории","")))),IF(TRIM(SUBSTITUTE(SUBSTITUTE(SUBSTITUTE(SUBSTITUTE(SUBSTITUTE(SUBSTITUTE(SUBSTITUTE(SUBSTITUTE(SUBSTITUTE(SUBSTITUTE(SUBSTITUTE(LOWER(TRIM(D352)),"ё","е")," -","-"),"- ","-")," 2 разряда","")," 3 разряда","")," 4 разряда","")," 5 разряда","")," 6 разряда","")," 1 категории","")," 2 категории","")," 3 категории",""))="ведущий инженер",IF(ISNUMBER(SEARCH("диспетч",E352)),"ведущий инженер пдо",TRIM(SUBSTITUTE(SUBSTITUTE(SUBSTITUTE(SUBSTITUTE(SUBSTITUTE(SUBSTITUTE(SUBSTITUTE(SUBSTITUTE(SUBSTITUTE(SUBSTITUTE(SUBSTITUTE(LOWER(TRIM(D352)),"ё","е"),"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отк",TRIM(SUBSTITUTE(SUBSTITUTE(SUBSTITUTE(SUBSTITUTE(SUBSTITUTE(SUBSTITUTE(SUBSTITUTE(SUBSTITUTE(SUBSTITUTE(SUBSTITUTE(SUBSTITUTE(LOWER(TRIM(D352)),"ё","е")," -","-"),"- ","-")," 2 разряда","")," 3 разряда","")," 4 разряда","")," 5 разряда","")," 6 разряда","")," 1 категории","")," 2 категории","")," 3 категории","")))))</f>
        <v>кладовщик-комплектовщик</v>
      </c>
      <c r="H352" s="11" t="n">
        <f aca="false">IFERROR(INDEX(Соответствие!$B$2:$B$76,MATCH(G352,Соответствие!$A$2:$A$76,0)),"?")</f>
        <v>14</v>
      </c>
      <c r="I352" s="8" t="str">
        <f aca="false">IFERROR(INDEX('Перечень должностей'!$C$2:$C$46,MATCH(H352,'Перечень должностей'!$A$2:$A$46,0)),"")</f>
        <v>п.4.4, п.5.1, п.6.2</v>
      </c>
      <c r="J352" s="11" t="n">
        <f aca="false">IFERROR(INDEX('Перечень должностей'!$D$2:$D$46,MATCH(H352,'Перечень должностей'!$A$2:$A$46,0)),12)</f>
        <v>12</v>
      </c>
      <c r="K352" s="16" t="n">
        <v>46139</v>
      </c>
      <c r="L352" s="16"/>
      <c r="M352" s="15" t="n">
        <f aca="false">IF(K352="","",EDATE(IF(L352&lt;&gt;"",L352,K352),J352))</f>
        <v>46504</v>
      </c>
      <c r="N352" s="11" t="str">
        <f aca="false">IFERROR(INDEX('Перечень должностей'!$F$2:$F$46,MATCH(H352,'Перечень должностей'!$A$2:$A$46,0)),"")</f>
        <v>-</v>
      </c>
      <c r="O352" s="16"/>
      <c r="P352" s="15" t="str">
        <f aca="false">IF(O352="","",EDATE(O352,60))</f>
        <v/>
      </c>
      <c r="Q352" s="11" t="str">
        <f aca="false">IF(AND(K352&lt;&gt;"",F352&lt;&gt;"",K352&gt;F352),"ДА","")</f>
        <v/>
      </c>
      <c r="R352" s="8"/>
    </row>
    <row r="353" customFormat="false" ht="14.25" hidden="false" customHeight="false" outlineLevel="0" collapsed="false">
      <c r="A353" s="14" t="n">
        <v>352</v>
      </c>
      <c r="B353" s="11" t="s">
        <v>72</v>
      </c>
      <c r="C353" s="14" t="s">
        <v>795</v>
      </c>
      <c r="D353" s="14" t="s">
        <v>656</v>
      </c>
      <c r="E353" s="14" t="s">
        <v>76</v>
      </c>
      <c r="F353" s="15" t="n">
        <v>46246</v>
      </c>
      <c r="G353" s="4" t="str">
        <f aca="false">IF(TRIM(SUBSTITUTE(SUBSTITUTE(SUBSTITUTE(SUBSTITUTE(SUBSTITUTE(SUBSTITUTE(SUBSTITUTE(SUBSTITUTE(SUBSTITUTE(SUBSTITUTE(SUBSTITUTE(LOWER(TRIM(D353)),"ё","е")," -","-"),"- ","-")," 2 разряда","")," 3 разряда","")," 4 разряда","")," 5 разряда","")," 6 разряда","")," 1 категории","")," 2 категории","")," 3 категории",""))="инженер",IF(AND(ISNUMBER(SEARCH("техническ",E353)),ISNUMBER(SEARCH("контрол",E353))),"инженер отк",IF(ISNUMBER(SEARCH("диспетч",E353)),"инженер пдо",TRIM(SUBSTITUTE(SUBSTITUTE(SUBSTITUTE(SUBSTITUTE(SUBSTITUTE(SUBSTITUTE(SUBSTITUTE(SUBSTITUTE(SUBSTITUTE(SUBSTITUTE(SUBSTITUTE(LOWER(TRIM(D353)),"ё","е"),"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категории","")))),IF(TRIM(SUBSTITUTE(SUBSTITUTE(SUBSTITUTE(SUBSTITUTE(SUBSTITUTE(SUBSTITUTE(SUBSTITUTE(SUBSTITUTE(SUBSTITUTE(SUBSTITUTE(SUBSTITUTE(LOWER(TRIM(D353)),"ё","е")," -","-"),"- ","-")," 2 разряда","")," 3 разряда","")," 4 разряда","")," 5 разряда","")," 6 разряда","")," 1 категории","")," 2 категории","")," 3 категории",""))="ведущий инженер",IF(ISNUMBER(SEARCH("диспетч",E353)),"ведущий инженер пдо",TRIM(SUBSTITUTE(SUBSTITUTE(SUBSTITUTE(SUBSTITUTE(SUBSTITUTE(SUBSTITUTE(SUBSTITUTE(SUBSTITUTE(SUBSTITUTE(SUBSTITUTE(SUBSTITUTE(LOWER(TRIM(D353)),"ё","е"),"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отк",TRIM(SUBSTITUTE(SUBSTITUTE(SUBSTITUTE(SUBSTITUTE(SUBSTITUTE(SUBSTITUTE(SUBSTITUTE(SUBSTITUTE(SUBSTITUTE(SUBSTITUTE(SUBSTITUTE(LOWER(TRIM(D353)),"ё","е")," -","-"),"- ","-")," 2 разряда","")," 3 разряда","")," 4 разряда","")," 5 разряда","")," 6 разряда","")," 1 категории","")," 2 категории","")," 3 категории","")))))</f>
        <v>кладовщик-комплектовщик</v>
      </c>
      <c r="H353" s="11" t="n">
        <f aca="false">IFERROR(INDEX(Соответствие!$B$2:$B$76,MATCH(G353,Соответствие!$A$2:$A$76,0)),"?")</f>
        <v>14</v>
      </c>
      <c r="I353" s="8" t="str">
        <f aca="false">IFERROR(INDEX('Перечень должностей'!$C$2:$C$46,MATCH(H353,'Перечень должностей'!$A$2:$A$46,0)),"")</f>
        <v>п.4.4, п.5.1, п.6.2</v>
      </c>
      <c r="J353" s="11" t="n">
        <f aca="false">IFERROR(INDEX('Перечень должностей'!$D$2:$D$46,MATCH(H353,'Перечень должностей'!$A$2:$A$46,0)),12)</f>
        <v>12</v>
      </c>
      <c r="K353" s="16"/>
      <c r="L353" s="16"/>
      <c r="M353" s="15" t="str">
        <f aca="false">IF(K353="","",EDATE(IF(L353&lt;&gt;"",L353,K353),J353))</f>
        <v/>
      </c>
      <c r="N353" s="11" t="str">
        <f aca="false">IFERROR(INDEX('Перечень должностей'!$F$2:$F$46,MATCH(H353,'Перечень должностей'!$A$2:$A$46,0)),"")</f>
        <v>-</v>
      </c>
      <c r="O353" s="16"/>
      <c r="P353" s="15" t="str">
        <f aca="false">IF(O353="","",EDATE(O353,60))</f>
        <v/>
      </c>
      <c r="Q353" s="11" t="str">
        <f aca="false">IF(AND(K353&lt;&gt;"",F353&lt;&gt;"",K353&gt;F353),"ДА","")</f>
        <v/>
      </c>
      <c r="R353" s="8"/>
    </row>
    <row r="354" customFormat="false" ht="14.25" hidden="false" customHeight="false" outlineLevel="0" collapsed="false">
      <c r="A354" s="14" t="n">
        <v>353</v>
      </c>
      <c r="B354" s="11" t="s">
        <v>72</v>
      </c>
      <c r="C354" s="14" t="s">
        <v>796</v>
      </c>
      <c r="D354" s="14" t="s">
        <v>371</v>
      </c>
      <c r="E354" s="14" t="s">
        <v>797</v>
      </c>
      <c r="F354" s="15" t="n">
        <v>46162</v>
      </c>
      <c r="G354" s="4" t="str">
        <f aca="false">IF(TRIM(SUBSTITUTE(SUBSTITUTE(SUBSTITUTE(SUBSTITUTE(SUBSTITUTE(SUBSTITUTE(SUBSTITUTE(SUBSTITUTE(SUBSTITUTE(SUBSTITUTE(SUBSTITUTE(LOWER(TRIM(D354)),"ё","е")," -","-"),"- ","-")," 2 разряда","")," 3 разряда","")," 4 разряда","")," 5 разряда","")," 6 разряда","")," 1 категории","")," 2 категории","")," 3 категории",""))="инженер",IF(AND(ISNUMBER(SEARCH("техническ",E354)),ISNUMBER(SEARCH("контрол",E354))),"инженер отк",IF(ISNUMBER(SEARCH("диспетч",E354)),"инженер пдо",TRIM(SUBSTITUTE(SUBSTITUTE(SUBSTITUTE(SUBSTITUTE(SUBSTITUTE(SUBSTITUTE(SUBSTITUTE(SUBSTITUTE(SUBSTITUTE(SUBSTITUTE(SUBSTITUTE(LOWER(TRIM(D354)),"ё","е"),"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категории","")))),IF(TRIM(SUBSTITUTE(SUBSTITUTE(SUBSTITUTE(SUBSTITUTE(SUBSTITUTE(SUBSTITUTE(SUBSTITUTE(SUBSTITUTE(SUBSTITUTE(SUBSTITUTE(SUBSTITUTE(LOWER(TRIM(D354)),"ё","е")," -","-"),"- ","-")," 2 разряда","")," 3 разряда","")," 4 разряда","")," 5 разряда","")," 6 разряда","")," 1 категории","")," 2 категории","")," 3 категории",""))="ведущий инженер",IF(ISNUMBER(SEARCH("диспетч",E354)),"ведущий инженер пдо",TRIM(SUBSTITUTE(SUBSTITUTE(SUBSTITUTE(SUBSTITUTE(SUBSTITUTE(SUBSTITUTE(SUBSTITUTE(SUBSTITUTE(SUBSTITUTE(SUBSTITUTE(SUBSTITUTE(LOWER(TRIM(D354)),"ё","е"),"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отк",TRIM(SUBSTITUTE(SUBSTITUTE(SUBSTITUTE(SUBSTITUTE(SUBSTITUTE(SUBSTITUTE(SUBSTITUTE(SUBSTITUTE(SUBSTITUTE(SUBSTITUTE(SUBSTITUTE(LOWER(TRIM(D354)),"ё","е")," -","-"),"- ","-")," 2 разряда","")," 3 разряда","")," 4 разряда","")," 5 разряда","")," 6 разряда","")," 1 категории","")," 2 категории","")," 3 категории","")))))</f>
        <v>инженер отк</v>
      </c>
      <c r="H354" s="11" t="n">
        <f aca="false">IFERROR(INDEX(Соответствие!$B$2:$B$76,MATCH(G354,Соответствие!$A$2:$A$76,0)),"?")</f>
        <v>13</v>
      </c>
      <c r="I354" s="8" t="str">
        <f aca="false">IFERROR(INDEX('Перечень должностей'!$C$2:$C$46,MATCH(H354,'Перечень должностей'!$A$2:$A$46,0)),"")</f>
        <v>п.4.4, п.5.1, п.5.2</v>
      </c>
      <c r="J354" s="11" t="n">
        <f aca="false">IFERROR(INDEX('Перечень должностей'!$D$2:$D$46,MATCH(H354,'Перечень должностей'!$A$2:$A$46,0)),12)</f>
        <v>12</v>
      </c>
      <c r="K354" s="16" t="n">
        <v>46146</v>
      </c>
      <c r="L354" s="16"/>
      <c r="M354" s="15" t="n">
        <f aca="false">IF(K354="","",EDATE(IF(L354&lt;&gt;"",L354,K354),J354))</f>
        <v>46511</v>
      </c>
      <c r="N354" s="11" t="str">
        <f aca="false">IFERROR(INDEX('Перечень должностей'!$F$2:$F$46,MATCH(H354,'Перечень должностей'!$A$2:$A$46,0)),"")</f>
        <v>-</v>
      </c>
      <c r="O354" s="16"/>
      <c r="P354" s="15" t="str">
        <f aca="false">IF(O354="","",EDATE(O354,60))</f>
        <v/>
      </c>
      <c r="Q354" s="11" t="str">
        <f aca="false">IF(AND(K354&lt;&gt;"",F354&lt;&gt;"",K354&gt;F354),"ДА","")</f>
        <v/>
      </c>
      <c r="R354" s="8"/>
    </row>
    <row r="355" customFormat="false" ht="14.25" hidden="false" customHeight="false" outlineLevel="0" collapsed="false">
      <c r="A355" s="14" t="n">
        <v>354</v>
      </c>
      <c r="B355" s="11" t="s">
        <v>72</v>
      </c>
      <c r="C355" s="14" t="s">
        <v>798</v>
      </c>
      <c r="D355" s="14" t="s">
        <v>375</v>
      </c>
      <c r="E355" s="14" t="s">
        <v>797</v>
      </c>
      <c r="F355" s="15" t="n">
        <v>44713</v>
      </c>
      <c r="G355" s="4" t="str">
        <f aca="false">IF(TRIM(SUBSTITUTE(SUBSTITUTE(SUBSTITUTE(SUBSTITUTE(SUBSTITUTE(SUBSTITUTE(SUBSTITUTE(SUBSTITUTE(SUBSTITUTE(SUBSTITUTE(SUBSTITUTE(LOWER(TRIM(D355)),"ё","е")," -","-"),"- ","-")," 2 разряда","")," 3 разряда","")," 4 разряда","")," 5 разряда","")," 6 разряда","")," 1 категории","")," 2 категории","")," 3 категории",""))="инженер",IF(AND(ISNUMBER(SEARCH("техническ",E355)),ISNUMBER(SEARCH("контрол",E355))),"инженер отк",IF(ISNUMBER(SEARCH("диспетч",E355)),"инженер пдо",TRIM(SUBSTITUTE(SUBSTITUTE(SUBSTITUTE(SUBSTITUTE(SUBSTITUTE(SUBSTITUTE(SUBSTITUTE(SUBSTITUTE(SUBSTITUTE(SUBSTITUTE(SUBSTITUTE(LOWER(TRIM(D355)),"ё","е"),"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категории","")))),IF(TRIM(SUBSTITUTE(SUBSTITUTE(SUBSTITUTE(SUBSTITUTE(SUBSTITUTE(SUBSTITUTE(SUBSTITUTE(SUBSTITUTE(SUBSTITUTE(SUBSTITUTE(SUBSTITUTE(LOWER(TRIM(D355)),"ё","е")," -","-"),"- ","-")," 2 разряда","")," 3 разряда","")," 4 разряда","")," 5 разряда","")," 6 разряда","")," 1 категории","")," 2 категории","")," 3 категории",""))="ведущий инженер",IF(ISNUMBER(SEARCH("диспетч",E355)),"ведущий инженер пдо",TRIM(SUBSTITUTE(SUBSTITUTE(SUBSTITUTE(SUBSTITUTE(SUBSTITUTE(SUBSTITUTE(SUBSTITUTE(SUBSTITUTE(SUBSTITUTE(SUBSTITUTE(SUBSTITUTE(LOWER(TRIM(D355)),"ё","е"),"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отк",TRIM(SUBSTITUTE(SUBSTITUTE(SUBSTITUTE(SUBSTITUTE(SUBSTITUTE(SUBSTITUTE(SUBSTITUTE(SUBSTITUTE(SUBSTITUTE(SUBSTITUTE(SUBSTITUTE(LOWER(TRIM(D355)),"ё","е")," -","-"),"- ","-")," 2 разряда","")," 3 разряда","")," 4 разряда","")," 5 разряда","")," 6 разряда","")," 1 категории","")," 2 категории","")," 3 категории","")))))</f>
        <v>инженер отк</v>
      </c>
      <c r="H355" s="11" t="n">
        <f aca="false">IFERROR(INDEX(Соответствие!$B$2:$B$76,MATCH(G355,Соответствие!$A$2:$A$76,0)),"?")</f>
        <v>13</v>
      </c>
      <c r="I355" s="8" t="str">
        <f aca="false">IFERROR(INDEX('Перечень должностей'!$C$2:$C$46,MATCH(H355,'Перечень должностей'!$A$2:$A$46,0)),"")</f>
        <v>п.4.4, п.5.1, п.5.2</v>
      </c>
      <c r="J355" s="11" t="n">
        <f aca="false">IFERROR(INDEX('Перечень должностей'!$D$2:$D$46,MATCH(H355,'Перечень должностей'!$A$2:$A$46,0)),12)</f>
        <v>12</v>
      </c>
      <c r="K355" s="16"/>
      <c r="L355" s="16"/>
      <c r="M355" s="15" t="str">
        <f aca="false">IF(K355="","",EDATE(IF(L355&lt;&gt;"",L355,K355),J355))</f>
        <v/>
      </c>
      <c r="N355" s="11" t="str">
        <f aca="false">IFERROR(INDEX('Перечень должностей'!$F$2:$F$46,MATCH(H355,'Перечень должностей'!$A$2:$A$46,0)),"")</f>
        <v>-</v>
      </c>
      <c r="O355" s="16"/>
      <c r="P355" s="15" t="str">
        <f aca="false">IF(O355="","",EDATE(O355,60))</f>
        <v/>
      </c>
      <c r="Q355" s="11" t="str">
        <f aca="false">IF(AND(K355&lt;&gt;"",F355&lt;&gt;"",K355&gt;F355),"ДА","")</f>
        <v/>
      </c>
      <c r="R355" s="8"/>
    </row>
    <row r="356" customFormat="false" ht="14.25" hidden="false" customHeight="false" outlineLevel="0" collapsed="false">
      <c r="A356" s="14" t="n">
        <v>355</v>
      </c>
      <c r="B356" s="11" t="s">
        <v>72</v>
      </c>
      <c r="C356" s="14" t="s">
        <v>799</v>
      </c>
      <c r="D356" s="14" t="s">
        <v>379</v>
      </c>
      <c r="E356" s="14" t="s">
        <v>797</v>
      </c>
      <c r="F356" s="15" t="n">
        <v>46162</v>
      </c>
      <c r="G356" s="4" t="str">
        <f aca="false">IF(TRIM(SUBSTITUTE(SUBSTITUTE(SUBSTITUTE(SUBSTITUTE(SUBSTITUTE(SUBSTITUTE(SUBSTITUTE(SUBSTITUTE(SUBSTITUTE(SUBSTITUTE(SUBSTITUTE(LOWER(TRIM(D356)),"ё","е")," -","-"),"- ","-")," 2 разряда","")," 3 разряда","")," 4 разряда","")," 5 разряда","")," 6 разряда","")," 1 категории","")," 2 категории","")," 3 категории",""))="инженер",IF(AND(ISNUMBER(SEARCH("техническ",E356)),ISNUMBER(SEARCH("контрол",E356))),"инженер отк",IF(ISNUMBER(SEARCH("диспетч",E356)),"инженер пдо",TRIM(SUBSTITUTE(SUBSTITUTE(SUBSTITUTE(SUBSTITUTE(SUBSTITUTE(SUBSTITUTE(SUBSTITUTE(SUBSTITUTE(SUBSTITUTE(SUBSTITUTE(SUBSTITUTE(LOWER(TRIM(D356)),"ё","е"),"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категории","")))),IF(TRIM(SUBSTITUTE(SUBSTITUTE(SUBSTITUTE(SUBSTITUTE(SUBSTITUTE(SUBSTITUTE(SUBSTITUTE(SUBSTITUTE(SUBSTITUTE(SUBSTITUTE(SUBSTITUTE(LOWER(TRIM(D356)),"ё","е")," -","-"),"- ","-")," 2 разряда","")," 3 разряда","")," 4 разряда","")," 5 разряда","")," 6 разряда","")," 1 категории","")," 2 категории","")," 3 категории",""))="ведущий инженер",IF(ISNUMBER(SEARCH("диспетч",E356)),"ведущий инженер пдо",TRIM(SUBSTITUTE(SUBSTITUTE(SUBSTITUTE(SUBSTITUTE(SUBSTITUTE(SUBSTITUTE(SUBSTITUTE(SUBSTITUTE(SUBSTITUTE(SUBSTITUTE(SUBSTITUTE(LOWER(TRIM(D356)),"ё","е"),"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отк",TRIM(SUBSTITUTE(SUBSTITUTE(SUBSTITUTE(SUBSTITUTE(SUBSTITUTE(SUBSTITUTE(SUBSTITUTE(SUBSTITUTE(SUBSTITUTE(SUBSTITUTE(SUBSTITUTE(LOWER(TRIM(D356)),"ё","е")," -","-"),"- ","-")," 2 разряда","")," 3 разряда","")," 4 разряда","")," 5 разряда","")," 6 разряда","")," 1 категории","")," 2 категории","")," 3 категории","")))))</f>
        <v>инженер отк</v>
      </c>
      <c r="H356" s="11" t="n">
        <f aca="false">IFERROR(INDEX(Соответствие!$B$2:$B$76,MATCH(G356,Соответствие!$A$2:$A$76,0)),"?")</f>
        <v>13</v>
      </c>
      <c r="I356" s="8" t="str">
        <f aca="false">IFERROR(INDEX('Перечень должностей'!$C$2:$C$46,MATCH(H356,'Перечень должностей'!$A$2:$A$46,0)),"")</f>
        <v>п.4.4, п.5.1, п.5.2</v>
      </c>
      <c r="J356" s="11" t="n">
        <f aca="false">IFERROR(INDEX('Перечень должностей'!$D$2:$D$46,MATCH(H356,'Перечень должностей'!$A$2:$A$46,0)),12)</f>
        <v>12</v>
      </c>
      <c r="K356" s="16" t="n">
        <v>46148</v>
      </c>
      <c r="L356" s="16"/>
      <c r="M356" s="15" t="n">
        <f aca="false">IF(K356="","",EDATE(IF(L356&lt;&gt;"",L356,K356),J356))</f>
        <v>46513</v>
      </c>
      <c r="N356" s="11" t="str">
        <f aca="false">IFERROR(INDEX('Перечень должностей'!$F$2:$F$46,MATCH(H356,'Перечень должностей'!$A$2:$A$46,0)),"")</f>
        <v>-</v>
      </c>
      <c r="O356" s="16"/>
      <c r="P356" s="15" t="str">
        <f aca="false">IF(O356="","",EDATE(O356,60))</f>
        <v/>
      </c>
      <c r="Q356" s="11" t="str">
        <f aca="false">IF(AND(K356&lt;&gt;"",F356&lt;&gt;"",K356&gt;F356),"ДА","")</f>
        <v/>
      </c>
      <c r="R356" s="8"/>
    </row>
    <row r="357" customFormat="false" ht="14.25" hidden="false" customHeight="false" outlineLevel="0" collapsed="false">
      <c r="A357" s="14" t="n">
        <v>356</v>
      </c>
      <c r="B357" s="11" t="s">
        <v>81</v>
      </c>
      <c r="C357" s="14" t="s">
        <v>800</v>
      </c>
      <c r="D357" s="14" t="s">
        <v>502</v>
      </c>
      <c r="E357" s="14" t="s">
        <v>801</v>
      </c>
      <c r="F357" s="15" t="n">
        <v>46245</v>
      </c>
      <c r="G357" s="4" t="str">
        <f aca="false">IF(TRIM(SUBSTITUTE(SUBSTITUTE(SUBSTITUTE(SUBSTITUTE(SUBSTITUTE(SUBSTITUTE(SUBSTITUTE(SUBSTITUTE(SUBSTITUTE(SUBSTITUTE(SUBSTITUTE(LOWER(TRIM(D357)),"ё","е")," -","-"),"- ","-")," 2 разряда","")," 3 разряда","")," 4 разряда","")," 5 разряда","")," 6 разряда","")," 1 категории","")," 2 категории","")," 3 категории",""))="инженер",IF(AND(ISNUMBER(SEARCH("техническ",E357)),ISNUMBER(SEARCH("контрол",E357))),"инженер отк",IF(ISNUMBER(SEARCH("диспетч",E357)),"инженер пдо",TRIM(SUBSTITUTE(SUBSTITUTE(SUBSTITUTE(SUBSTITUTE(SUBSTITUTE(SUBSTITUTE(SUBSTITUTE(SUBSTITUTE(SUBSTITUTE(SUBSTITUTE(SUBSTITUTE(LOWER(TRIM(D357)),"ё","е"),"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категории","")))),IF(TRIM(SUBSTITUTE(SUBSTITUTE(SUBSTITUTE(SUBSTITUTE(SUBSTITUTE(SUBSTITUTE(SUBSTITUTE(SUBSTITUTE(SUBSTITUTE(SUBSTITUTE(SUBSTITUTE(LOWER(TRIM(D357)),"ё","е")," -","-"),"- ","-")," 2 разряда","")," 3 разряда","")," 4 разряда","")," 5 разряда","")," 6 разряда","")," 1 категории","")," 2 категории","")," 3 категории",""))="ведущий инженер",IF(ISNUMBER(SEARCH("диспетч",E357)),"ведущий инженер пдо",TRIM(SUBSTITUTE(SUBSTITUTE(SUBSTITUTE(SUBSTITUTE(SUBSTITUTE(SUBSTITUTE(SUBSTITUTE(SUBSTITUTE(SUBSTITUTE(SUBSTITUTE(SUBSTITUTE(LOWER(TRIM(D357)),"ё","е"),"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отк",TRIM(SUBSTITUTE(SUBSTITUTE(SUBSTITUTE(SUBSTITUTE(SUBSTITUTE(SUBSTITUTE(SUBSTITUTE(SUBSTITUTE(SUBSTITUTE(SUBSTITUTE(SUBSTITUTE(LOWER(TRIM(D357)),"ё","е")," -","-"),"- ","-")," 2 разряда","")," 3 разряда","")," 4 разряда","")," 5 разряда","")," 6 разряда","")," 1 категории","")," 2 категории","")," 3 категории","")))))</f>
        <v>диспетчер</v>
      </c>
      <c r="H357" s="11" t="n">
        <f aca="false">IFERROR(INDEX(Соответствие!$B$2:$B$76,MATCH(G357,Соответствие!$A$2:$A$76,0)),"?")</f>
        <v>28</v>
      </c>
      <c r="I357" s="8" t="str">
        <f aca="false">IFERROR(INDEX('Перечень должностей'!$C$2:$C$46,MATCH(H357,'Перечень должностей'!$A$2:$A$46,0)),"")</f>
        <v>п.4.4, п.5.1, п.5.2</v>
      </c>
      <c r="J357" s="11" t="n">
        <f aca="false">IFERROR(INDEX('Перечень должностей'!$D$2:$D$46,MATCH(H357,'Перечень должностей'!$A$2:$A$46,0)),12)</f>
        <v>12</v>
      </c>
      <c r="K357" s="16"/>
      <c r="L357" s="16"/>
      <c r="M357" s="15" t="str">
        <f aca="false">IF(K357="","",EDATE(IF(L357&lt;&gt;"",L357,K357),J357))</f>
        <v/>
      </c>
      <c r="N357" s="11" t="str">
        <f aca="false">IFERROR(INDEX('Перечень должностей'!$F$2:$F$46,MATCH(H357,'Перечень должностей'!$A$2:$A$46,0)),"")</f>
        <v>-</v>
      </c>
      <c r="O357" s="16"/>
      <c r="P357" s="15" t="str">
        <f aca="false">IF(O357="","",EDATE(O357,60))</f>
        <v/>
      </c>
      <c r="Q357" s="11" t="str">
        <f aca="false">IF(AND(K357&lt;&gt;"",F357&lt;&gt;"",K357&gt;F357),"ДА","")</f>
        <v/>
      </c>
      <c r="R357" s="8"/>
    </row>
    <row r="358" customFormat="false" ht="14.25" hidden="false" customHeight="false" outlineLevel="0" collapsed="false">
      <c r="A358" s="14" t="n">
        <v>357</v>
      </c>
      <c r="B358" s="11" t="s">
        <v>81</v>
      </c>
      <c r="C358" s="14" t="s">
        <v>802</v>
      </c>
      <c r="D358" s="14" t="s">
        <v>75</v>
      </c>
      <c r="E358" s="14" t="s">
        <v>88</v>
      </c>
      <c r="F358" s="15" t="n">
        <v>46260</v>
      </c>
      <c r="G358" s="4" t="str">
        <f aca="false">IF(TRIM(SUBSTITUTE(SUBSTITUTE(SUBSTITUTE(SUBSTITUTE(SUBSTITUTE(SUBSTITUTE(SUBSTITUTE(SUBSTITUTE(SUBSTITUTE(SUBSTITUTE(SUBSTITUTE(LOWER(TRIM(D358)),"ё","е")," -","-"),"- ","-")," 2 разряда","")," 3 разряда","")," 4 разряда","")," 5 разряда","")," 6 разряда","")," 1 категории","")," 2 категории","")," 3 категории",""))="инженер",IF(AND(ISNUMBER(SEARCH("техническ",E358)),ISNUMBER(SEARCH("контрол",E358))),"инженер отк",IF(ISNUMBER(SEARCH("диспетч",E358)),"инженер пдо",TRIM(SUBSTITUTE(SUBSTITUTE(SUBSTITUTE(SUBSTITUTE(SUBSTITUTE(SUBSTITUTE(SUBSTITUTE(SUBSTITUTE(SUBSTITUTE(SUBSTITUTE(SUBSTITUTE(LOWER(TRIM(D358)),"ё","е"),"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категории","")))),IF(TRIM(SUBSTITUTE(SUBSTITUTE(SUBSTITUTE(SUBSTITUTE(SUBSTITUTE(SUBSTITUTE(SUBSTITUTE(SUBSTITUTE(SUBSTITUTE(SUBSTITUTE(SUBSTITUTE(LOWER(TRIM(D358)),"ё","е")," -","-"),"- ","-")," 2 разряда","")," 3 разряда","")," 4 разряда","")," 5 разряда","")," 6 разряда","")," 1 категории","")," 2 категории","")," 3 категории",""))="ведущий инженер",IF(ISNUMBER(SEARCH("диспетч",E358)),"ведущий инженер пдо",TRIM(SUBSTITUTE(SUBSTITUTE(SUBSTITUTE(SUBSTITUTE(SUBSTITUTE(SUBSTITUTE(SUBSTITUTE(SUBSTITUTE(SUBSTITUTE(SUBSTITUTE(SUBSTITUTE(LOWER(TRIM(D358)),"ё","е"),"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отк",TRIM(SUBSTITUTE(SUBSTITUTE(SUBSTITUTE(SUBSTITUTE(SUBSTITUTE(SUBSTITUTE(SUBSTITUTE(SUBSTITUTE(SUBSTITUTE(SUBSTITUTE(SUBSTITUTE(LOWER(TRIM(D358)),"ё","е")," -","-"),"- ","-")," 2 разряда","")," 3 разряда","")," 4 разряда","")," 5 разряда","")," 6 разряда","")," 1 категории","")," 2 категории","")," 3 категории","")))))</f>
        <v>кладовщик</v>
      </c>
      <c r="H358" s="11" t="n">
        <f aca="false">IFERROR(INDEX(Соответствие!$B$2:$B$76,MATCH(G358,Соответствие!$A$2:$A$76,0)),"?")</f>
        <v>14</v>
      </c>
      <c r="I358" s="8" t="str">
        <f aca="false">IFERROR(INDEX('Перечень должностей'!$C$2:$C$46,MATCH(H358,'Перечень должностей'!$A$2:$A$46,0)),"")</f>
        <v>п.4.4, п.5.1, п.6.2</v>
      </c>
      <c r="J358" s="11" t="n">
        <f aca="false">IFERROR(INDEX('Перечень должностей'!$D$2:$D$46,MATCH(H358,'Перечень должностей'!$A$2:$A$46,0)),12)</f>
        <v>12</v>
      </c>
      <c r="K358" s="16"/>
      <c r="L358" s="16"/>
      <c r="M358" s="15" t="str">
        <f aca="false">IF(K358="","",EDATE(IF(L358&lt;&gt;"",L358,K358),J358))</f>
        <v/>
      </c>
      <c r="N358" s="11" t="str">
        <f aca="false">IFERROR(INDEX('Перечень должностей'!$F$2:$F$46,MATCH(H358,'Перечень должностей'!$A$2:$A$46,0)),"")</f>
        <v>-</v>
      </c>
      <c r="O358" s="16"/>
      <c r="P358" s="15" t="str">
        <f aca="false">IF(O358="","",EDATE(O358,60))</f>
        <v/>
      </c>
      <c r="Q358" s="11" t="str">
        <f aca="false">IF(AND(K358&lt;&gt;"",F358&lt;&gt;"",K358&gt;F358),"ДА","")</f>
        <v/>
      </c>
      <c r="R358" s="8"/>
    </row>
    <row r="359" customFormat="false" ht="14.25" hidden="false" customHeight="false" outlineLevel="0" collapsed="false">
      <c r="A359" s="14" t="n">
        <v>358</v>
      </c>
      <c r="B359" s="11" t="s">
        <v>81</v>
      </c>
      <c r="C359" s="14" t="s">
        <v>803</v>
      </c>
      <c r="D359" s="14" t="s">
        <v>371</v>
      </c>
      <c r="E359" s="14" t="s">
        <v>804</v>
      </c>
      <c r="F359" s="15" t="n">
        <v>41351</v>
      </c>
      <c r="G359" s="4" t="str">
        <f aca="false">IF(TRIM(SUBSTITUTE(SUBSTITUTE(SUBSTITUTE(SUBSTITUTE(SUBSTITUTE(SUBSTITUTE(SUBSTITUTE(SUBSTITUTE(SUBSTITUTE(SUBSTITUTE(SUBSTITUTE(LOWER(TRIM(D359)),"ё","е")," -","-"),"- ","-")," 2 разряда","")," 3 разряда","")," 4 разряда","")," 5 разряда","")," 6 разряда","")," 1 категории","")," 2 категории","")," 3 категории",""))="инженер",IF(AND(ISNUMBER(SEARCH("техническ",E359)),ISNUMBER(SEARCH("контрол",E359))),"инженер отк",IF(ISNUMBER(SEARCH("диспетч",E359)),"инженер пдо",TRIM(SUBSTITUTE(SUBSTITUTE(SUBSTITUTE(SUBSTITUTE(SUBSTITUTE(SUBSTITUTE(SUBSTITUTE(SUBSTITUTE(SUBSTITUTE(SUBSTITUTE(SUBSTITUTE(LOWER(TRIM(D359)),"ё","е"),"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категории","")))),IF(TRIM(SUBSTITUTE(SUBSTITUTE(SUBSTITUTE(SUBSTITUTE(SUBSTITUTE(SUBSTITUTE(SUBSTITUTE(SUBSTITUTE(SUBSTITUTE(SUBSTITUTE(SUBSTITUTE(LOWER(TRIM(D359)),"ё","е")," -","-"),"- ","-")," 2 разряда","")," 3 разряда","")," 4 разряда","")," 5 разряда","")," 6 разряда","")," 1 категории","")," 2 категории","")," 3 категории",""))="ведущий инженер",IF(ISNUMBER(SEARCH("диспетч",E359)),"ведущий инженер пдо",TRIM(SUBSTITUTE(SUBSTITUTE(SUBSTITUTE(SUBSTITUTE(SUBSTITUTE(SUBSTITUTE(SUBSTITUTE(SUBSTITUTE(SUBSTITUTE(SUBSTITUTE(SUBSTITUTE(LOWER(TRIM(D359)),"ё","е"),"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категории",""))),IF(TRIM(SUBSTITUTE(SUBSTITUTE(SUBSTITUTE(SUBSTITUTE(SUBSTITUTE(SUBSTITUTE(SUBSTITUTE(SUBSTITUTE(SUBSTITUTE(SUBSTITUTE(SUBSTITUTE(LOWER(TRIM(D359)),"ё","е"),"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отк",TRIM(SUBSTITUTE(SUBSTITUTE(SUBSTITUTE(SUBSTITUTE(SUBSTITUTE(SUBSTITUTE(SUBSTITUTE(SUBSTITUTE(SUBSTITUTE(SUBSTITUTE(SUBSTITUTE(LOWER(TRIM(D359)),"ё","е")," -","-"),"- ","-")," 2 разряда","")," 3 разряда","")," 4 разряда","")," 5 разряда","")," 6 разряда","")," 1 категории","")," 2 категории","")," 3 категории","")))))</f>
        <v>инженер отк</v>
      </c>
      <c r="H359" s="11" t="n">
        <f aca="false">IFERROR(INDEX(Соответствие!$B$2:$B$76,MATCH(G359,Соответствие!$A$2:$A$76,0)),"?")</f>
        <v>13</v>
      </c>
      <c r="I359" s="8" t="str">
        <f aca="false">IFERROR(INDEX('Перечень должностей'!$C$2:$C$46,MATCH(H359,'Перечень должностей'!$A$2:$A$46,0)),"")</f>
        <v>п.4.4, п.5.1, п.5.2</v>
      </c>
      <c r="J359" s="11" t="n">
        <f aca="false">IFERROR(INDEX('Перечень должностей'!$D$2:$D$46,MATCH(H359,'Перечень должностей'!$A$2:$A$46,0)),12)</f>
        <v>12</v>
      </c>
      <c r="K359" s="16"/>
      <c r="L359" s="16"/>
      <c r="M359" s="15" t="str">
        <f aca="false">IF(K359="","",EDATE(IF(L359&lt;&gt;"",L359,K359),J359))</f>
        <v/>
      </c>
      <c r="N359" s="11" t="str">
        <f aca="false">IFERROR(INDEX('Перечень должностей'!$F$2:$F$46,MATCH(H359,'Перечень должностей'!$A$2:$A$46,0)),"")</f>
        <v>-</v>
      </c>
      <c r="O359" s="16"/>
      <c r="P359" s="15" t="str">
        <f aca="false">IF(O359="","",EDATE(O359,60))</f>
        <v/>
      </c>
      <c r="Q359" s="11" t="str">
        <f aca="false">IF(AND(K359&lt;&gt;"",F359&lt;&gt;"",K359&gt;F359),"ДА","")</f>
        <v/>
      </c>
      <c r="R359" s="8"/>
    </row>
    <row r="360" customFormat="false" ht="14.25" hidden="false" customHeight="false" outlineLevel="0" collapsed="false">
      <c r="A360" s="14" t="n">
        <v>359</v>
      </c>
      <c r="B360" s="11" t="s">
        <v>81</v>
      </c>
      <c r="C360" s="14" t="s">
        <v>805</v>
      </c>
      <c r="D360" s="14" t="s">
        <v>381</v>
      </c>
      <c r="E360" s="14" t="s">
        <v>804</v>
      </c>
      <c r="F360" s="15" t="n">
        <v>45852</v>
      </c>
      <c r="G360" s="4" t="str">
        <f aca="false">IF(TRIM(SUBSTITUTE(SUBSTITUTE(SUBSTITUTE(SUBSTITUTE(SUBSTITUTE(SUBSTITUTE(SUBSTITUTE(SUBSTITUTE(SUBSTITUTE(SUBSTITUTE(SUBSTITUTE(LOWER(TRIM(D360)),"ё","е")," -","-"),"- ","-")," 2 разряда","")," 3 разряда","")," 4 разряда","")," 5 разряда","")," 6 разряда","")," 1 категории","")," 2 категории","")," 3 категории",""))="инженер",IF(AND(ISNUMBER(SEARCH("техническ",E360)),ISNUMBER(SEARCH("контрол",E360))),"инженер отк",IF(ISNUMBER(SEARCH("диспетч",E360)),"инженер пдо",TRIM(SUBSTITUTE(SUBSTITUTE(SUBSTITUTE(SUBSTITUTE(SUBSTITUTE(SUBSTITUTE(SUBSTITUTE(SUBSTITUTE(SUBSTITUTE(SUBSTITUTE(SUBSTITUTE(LOWER(TRIM(D360)),"ё","е"),"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категории","")))),IF(TRIM(SUBSTITUTE(SUBSTITUTE(SUBSTITUTE(SUBSTITUTE(SUBSTITUTE(SUBSTITUTE(SUBSTITUTE(SUBSTITUTE(SUBSTITUTE(SUBSTITUTE(SUBSTITUTE(LOWER(TRIM(D360)),"ё","е")," -","-"),"- ","-")," 2 разряда","")," 3 разряда","")," 4 разряда","")," 5 разряда","")," 6 разряда","")," 1 категории","")," 2 категории","")," 3 категории",""))="ведущий инженер",IF(ISNUMBER(SEARCH("диспетч",E360)),"ведущий инженер пдо",TRIM(SUBSTITUTE(SUBSTITUTE(SUBSTITUTE(SUBSTITUTE(SUBSTITUTE(SUBSTITUTE(SUBSTITUTE(SUBSTITUTE(SUBSTITUTE(SUBSTITUTE(SUBSTITUTE(LOWER(TRIM(D360)),"ё","е"),"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отк",TRIM(SUBSTITUTE(SUBSTITUTE(SUBSTITUTE(SUBSTITUTE(SUBSTITUTE(SUBSTITUTE(SUBSTITUTE(SUBSTITUTE(SUBSTITUTE(SUBSTITUTE(SUBSTITUTE(LOWER(TRIM(D360)),"ё","е")," -","-"),"- ","-")," 2 разряда","")," 3 разряда","")," 4 разряда","")," 5 разряда","")," 6 разряда","")," 1 категории","")," 2 категории","")," 3 категории","")))))</f>
        <v>контролер отк</v>
      </c>
      <c r="H360" s="11" t="n">
        <f aca="false">IFERROR(INDEX(Соответствие!$B$2:$B$76,MATCH(G360,Соответствие!$A$2:$A$76,0)),"?")</f>
        <v>13</v>
      </c>
      <c r="I360" s="8" t="str">
        <f aca="false">IFERROR(INDEX('Перечень должностей'!$C$2:$C$46,MATCH(H360,'Перечень должностей'!$A$2:$A$46,0)),"")</f>
        <v>п.4.4, п.5.1, п.5.2</v>
      </c>
      <c r="J360" s="11" t="n">
        <f aca="false">IFERROR(INDEX('Перечень должностей'!$D$2:$D$46,MATCH(H360,'Перечень должностей'!$A$2:$A$46,0)),12)</f>
        <v>12</v>
      </c>
      <c r="K360" s="16"/>
      <c r="L360" s="16"/>
      <c r="M360" s="15" t="str">
        <f aca="false">IF(K360="","",EDATE(IF(L360&lt;&gt;"",L360,K360),J360))</f>
        <v/>
      </c>
      <c r="N360" s="11" t="str">
        <f aca="false">IFERROR(INDEX('Перечень должностей'!$F$2:$F$46,MATCH(H360,'Перечень должностей'!$A$2:$A$46,0)),"")</f>
        <v>-</v>
      </c>
      <c r="O360" s="16"/>
      <c r="P360" s="15" t="str">
        <f aca="false">IF(O360="","",EDATE(O360,60))</f>
        <v/>
      </c>
      <c r="Q360" s="11" t="str">
        <f aca="false">IF(AND(K360&lt;&gt;"",F360&lt;&gt;"",K360&gt;F360),"ДА","")</f>
        <v/>
      </c>
      <c r="R360" s="8"/>
    </row>
    <row r="361" customFormat="false" ht="23.85" hidden="false" customHeight="false" outlineLevel="0" collapsed="false">
      <c r="A361" s="14" t="n">
        <v>360</v>
      </c>
      <c r="B361" s="11" t="s">
        <v>50</v>
      </c>
      <c r="C361" s="14" t="s">
        <v>47</v>
      </c>
      <c r="D361" s="14" t="s">
        <v>48</v>
      </c>
      <c r="E361" s="14" t="s">
        <v>49</v>
      </c>
      <c r="F361" s="15" t="n">
        <v>46286</v>
      </c>
      <c r="G361" s="4" t="str">
        <f aca="false">IF(TRIM(SUBSTITUTE(SUBSTITUTE(SUBSTITUTE(SUBSTITUTE(SUBSTITUTE(SUBSTITUTE(SUBSTITUTE(SUBSTITUTE(SUBSTITUTE(SUBSTITUTE(SUBSTITUTE(LOWER(TRIM(D361)),"ё","е")," -","-"),"- ","-")," 2 разряда","")," 3 разряда","")," 4 разряда","")," 5 разряда","")," 6 разряда","")," 1 категории","")," 2 категории","")," 3 категории",""))="инженер",IF(AND(ISNUMBER(SEARCH("техническ",E361)),ISNUMBER(SEARCH("контрол",E361))),"инженер отк",IF(ISNUMBER(SEARCH("диспетч",E361)),"инженер пдо",TRIM(SUBSTITUTE(SUBSTITUTE(SUBSTITUTE(SUBSTITUTE(SUBSTITUTE(SUBSTITUTE(SUBSTITUTE(SUBSTITUTE(SUBSTITUTE(SUBSTITUTE(SUBSTITUTE(LOWER(TRIM(D361)),"ё","е"),"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категории","")))),IF(TRIM(SUBSTITUTE(SUBSTITUTE(SUBSTITUTE(SUBSTITUTE(SUBSTITUTE(SUBSTITUTE(SUBSTITUTE(SUBSTITUTE(SUBSTITUTE(SUBSTITUTE(SUBSTITUTE(LOWER(TRIM(D361)),"ё","е")," -","-"),"- ","-")," 2 разряда","")," 3 разряда","")," 4 разряда","")," 5 разряда","")," 6 разряда","")," 1 категории","")," 2 категории","")," 3 категории",""))="ведущий инженер",IF(ISNUMBER(SEARCH("диспетч",E361)),"ведущий инженер пдо",TRIM(SUBSTITUTE(SUBSTITUTE(SUBSTITUTE(SUBSTITUTE(SUBSTITUTE(SUBSTITUTE(SUBSTITUTE(SUBSTITUTE(SUBSTITUTE(SUBSTITUTE(SUBSTITUTE(LOWER(TRIM(D361)),"ё","е"),"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отк",TRIM(SUBSTITUTE(SUBSTITUTE(SUBSTITUTE(SUBSTITUTE(SUBSTITUTE(SUBSTITUTE(SUBSTITUTE(SUBSTITUTE(SUBSTITUTE(SUBSTITUTE(SUBSTITUTE(LOWER(TRIM(D361)),"ё","е")," -","-"),"- ","-")," 2 разряда","")," 3 разряда","")," 4 разряда","")," 5 разряда","")," 6 разряда","")," 1 категории","")," 2 категории","")," 3 категории","")))))</f>
        <v>сборщик стеклопластиковых изделий</v>
      </c>
      <c r="H361" s="11" t="n">
        <f aca="false">IFERROR(INDEX(Соответствие!$B$2:$B$76,MATCH(G361,Соответствие!$A$2:$A$76,0)),"?")</f>
        <v>26</v>
      </c>
      <c r="I361" s="8" t="str">
        <f aca="false">IFERROR(INDEX('Перечень должностей'!$C$2:$C$46,MATCH(H361,'Перечень должностей'!$A$2:$A$46,0)),"")</f>
        <v>п.1.37.1, п.3.1.8.3, п.4.3.1, п.4.4, п.5.1, п.15</v>
      </c>
      <c r="J361" s="11" t="n">
        <f aca="false">IFERROR(INDEX('Перечень должностей'!$D$2:$D$46,MATCH(H361,'Перечень должностей'!$A$2:$A$46,0)),12)</f>
        <v>12</v>
      </c>
      <c r="K361" s="16"/>
      <c r="L361" s="16"/>
      <c r="M361" s="15" t="str">
        <f aca="false">IF(K361="","",EDATE(IF(L361&lt;&gt;"",L361,K361),J361))</f>
        <v/>
      </c>
      <c r="N361" s="11" t="str">
        <f aca="false">IFERROR(INDEX('Перечень должностей'!$F$2:$F$46,MATCH(H361,'Перечень должностей'!$A$2:$A$46,0)),"")</f>
        <v>Нет</v>
      </c>
      <c r="O361" s="16"/>
      <c r="P361" s="15" t="str">
        <f aca="false">IF(O361="","",EDATE(O361,60))</f>
        <v/>
      </c>
      <c r="Q361" s="11" t="str">
        <f aca="false">IF(AND(K361&lt;&gt;"",F361&lt;&gt;"",K361&gt;F361),"ДА","")</f>
        <v/>
      </c>
      <c r="R361" s="18" t="s">
        <v>51</v>
      </c>
    </row>
    <row r="362" customFormat="false" ht="46.25" hidden="false" customHeight="false" outlineLevel="0" collapsed="false">
      <c r="A362" s="14" t="n">
        <v>361</v>
      </c>
      <c r="B362" s="11" t="s">
        <v>50</v>
      </c>
      <c r="C362" s="14" t="s">
        <v>52</v>
      </c>
      <c r="D362" s="14" t="s">
        <v>53</v>
      </c>
      <c r="E362" s="14" t="s">
        <v>49</v>
      </c>
      <c r="F362" s="15" t="n">
        <v>46163</v>
      </c>
      <c r="G362" s="4" t="str">
        <f aca="false">IF(TRIM(SUBSTITUTE(SUBSTITUTE(SUBSTITUTE(SUBSTITUTE(SUBSTITUTE(SUBSTITUTE(SUBSTITUTE(SUBSTITUTE(SUBSTITUTE(SUBSTITUTE(SUBSTITUTE(LOWER(TRIM(D362)),"ё","е")," -","-"),"- ","-")," 2 разряда","")," 3 разряда","")," 4 разряда","")," 5 разряда","")," 6 разряда","")," 1 категории","")," 2 категории","")," 3 категории",""))="инженер",IF(AND(ISNUMBER(SEARCH("техническ",E362)),ISNUMBER(SEARCH("контрол",E362))),"инженер отк",IF(ISNUMBER(SEARCH("диспетч",E362)),"инженер пдо",TRIM(SUBSTITUTE(SUBSTITUTE(SUBSTITUTE(SUBSTITUTE(SUBSTITUTE(SUBSTITUTE(SUBSTITUTE(SUBSTITUTE(SUBSTITUTE(SUBSTITUTE(SUBSTITUTE(LOWER(TRIM(D362)),"ё","е"),"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категории","")))),IF(TRIM(SUBSTITUTE(SUBSTITUTE(SUBSTITUTE(SUBSTITUTE(SUBSTITUTE(SUBSTITUTE(SUBSTITUTE(SUBSTITUTE(SUBSTITUTE(SUBSTITUTE(SUBSTITUTE(LOWER(TRIM(D362)),"ё","е")," -","-"),"- ","-")," 2 разряда","")," 3 разряда","")," 4 разряда","")," 5 разряда","")," 6 разряда","")," 1 категории","")," 2 категории","")," 3 категории",""))="ведущий инженер",IF(ISNUMBER(SEARCH("диспетч",E362)),"ведущий инженер пдо",TRIM(SUBSTITUTE(SUBSTITUTE(SUBSTITUTE(SUBSTITUTE(SUBSTITUTE(SUBSTITUTE(SUBSTITUTE(SUBSTITUTE(SUBSTITUTE(SUBSTITUTE(SUBSTITUTE(LOWER(TRIM(D362)),"ё","е"),"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отк",TRIM(SUBSTITUTE(SUBSTITUTE(SUBSTITUTE(SUBSTITUTE(SUBSTITUTE(SUBSTITUTE(SUBSTITUTE(SUBSTITUTE(SUBSTITUTE(SUBSTITUTE(SUBSTITUTE(LOWER(TRIM(D362)),"ё","е")," -","-"),"- ","-")," 2 разряда","")," 3 разряда","")," 4 разряда","")," 5 разряда","")," 6 разряда","")," 1 категории","")," 2 категории","")," 3 категории","")))))</f>
        <v>техник-сборщик</v>
      </c>
      <c r="H362" s="11" t="n">
        <f aca="false">IFERROR(INDEX(Соответствие!$B$2:$B$76,MATCH(G362,Соответствие!$A$2:$A$76,0)),"?")</f>
        <v>21</v>
      </c>
      <c r="I362" s="8" t="str">
        <f aca="false">IFERROR(INDEX('Перечень должностей'!$C$2:$C$46,MATCH(H362,'Перечень должностей'!$A$2:$A$46,0)),"")</f>
        <v>п.1.49.2, п.1.49.14, п.4.3.1, п.4.3.2, п.4.4, п.5.1, п.15</v>
      </c>
      <c r="J362" s="11" t="n">
        <f aca="false">IFERROR(INDEX('Перечень должностей'!$D$2:$D$46,MATCH(H362,'Перечень должностей'!$A$2:$A$46,0)),12)</f>
        <v>12</v>
      </c>
      <c r="K362" s="16"/>
      <c r="L362" s="16"/>
      <c r="M362" s="15" t="str">
        <f aca="false">IF(K362="","",EDATE(IF(L362&lt;&gt;"",L362,K362),J362))</f>
        <v/>
      </c>
      <c r="N362" s="11" t="str">
        <f aca="false">IFERROR(INDEX('Перечень должностей'!$F$2:$F$46,MATCH(H362,'Перечень должностей'!$A$2:$A$46,0)),"")</f>
        <v>-</v>
      </c>
      <c r="O362" s="16"/>
      <c r="P362" s="15" t="str">
        <f aca="false">IF(O362="","",EDATE(O362,60))</f>
        <v/>
      </c>
      <c r="Q362" s="11" t="str">
        <f aca="false">IF(AND(K362&lt;&gt;"",F362&lt;&gt;"",K362&gt;F362),"ДА","")</f>
        <v/>
      </c>
      <c r="R362" s="18" t="s">
        <v>54</v>
      </c>
    </row>
    <row r="363" customFormat="false" ht="46.25" hidden="false" customHeight="false" outlineLevel="0" collapsed="false">
      <c r="A363" s="14" t="n">
        <v>362</v>
      </c>
      <c r="B363" s="11" t="s">
        <v>50</v>
      </c>
      <c r="C363" s="14" t="s">
        <v>55</v>
      </c>
      <c r="D363" s="14" t="s">
        <v>56</v>
      </c>
      <c r="E363" s="14" t="s">
        <v>57</v>
      </c>
      <c r="F363" s="15" t="n">
        <v>46267</v>
      </c>
      <c r="G363" s="4" t="str">
        <f aca="false">IF(TRIM(SUBSTITUTE(SUBSTITUTE(SUBSTITUTE(SUBSTITUTE(SUBSTITUTE(SUBSTITUTE(SUBSTITUTE(SUBSTITUTE(SUBSTITUTE(SUBSTITUTE(SUBSTITUTE(LOWER(TRIM(D363)),"ё","е")," -","-"),"- ","-")," 2 разряда","")," 3 разряда","")," 4 разряда","")," 5 разряда","")," 6 разряда","")," 1 категории","")," 2 категории","")," 3 категории",""))="инженер",IF(AND(ISNUMBER(SEARCH("техническ",E363)),ISNUMBER(SEARCH("контрол",E363))),"инженер отк",IF(ISNUMBER(SEARCH("диспетч",E363)),"инженер пдо",TRIM(SUBSTITUTE(SUBSTITUTE(SUBSTITUTE(SUBSTITUTE(SUBSTITUTE(SUBSTITUTE(SUBSTITUTE(SUBSTITUTE(SUBSTITUTE(SUBSTITUTE(SUBSTITUTE(LOWER(TRIM(D363)),"ё","е"),"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категории","")))),IF(TRIM(SUBSTITUTE(SUBSTITUTE(SUBSTITUTE(SUBSTITUTE(SUBSTITUTE(SUBSTITUTE(SUBSTITUTE(SUBSTITUTE(SUBSTITUTE(SUBSTITUTE(SUBSTITUTE(LOWER(TRIM(D363)),"ё","е")," -","-"),"- ","-")," 2 разряда","")," 3 разряда","")," 4 разряда","")," 5 разряда","")," 6 разряда","")," 1 категории","")," 2 категории","")," 3 категории",""))="ведущий инженер",IF(ISNUMBER(SEARCH("диспетч",E363)),"ведущий инженер пдо",TRIM(SUBSTITUTE(SUBSTITUTE(SUBSTITUTE(SUBSTITUTE(SUBSTITUTE(SUBSTITUTE(SUBSTITUTE(SUBSTITUTE(SUBSTITUTE(SUBSTITUTE(SUBSTITUTE(LOWER(TRIM(D363)),"ё","е"),"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категории",""))),IF(TRIM(SUBSTITUTE(SUBSTITUTE(SUBSTITUTE(SUBSTITUTE(SUBSTITUTE(SUBSTITUTE(SUBSTITUTE(SUBSTITUTE(SUBSTITUTE(SUBSTITUTE(SUBSTITUTE(LOWER(TRIM(D363)),"ё","е"),"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отк",TRIM(SUBSTITUTE(SUBSTITUTE(SUBSTITUTE(SUBSTITUTE(SUBSTITUTE(SUBSTITUTE(SUBSTITUTE(SUBSTITUTE(SUBSTITUTE(SUBSTITUTE(SUBSTITUTE(LOWER(TRIM(D363)),"ё","е")," -","-"),"- ","-")," 2 разряда","")," 3 разряда","")," 4 разряда","")," 5 разряда","")," 6 разряда","")," 1 категории","")," 2 категории","")," 3 категории","")))))</f>
        <v>техник</v>
      </c>
      <c r="H363" s="11" t="n">
        <f aca="false">IFERROR(INDEX(Соответствие!$B$2:$B$76,MATCH(G363,Соответствие!$A$2:$A$76,0)),"?")</f>
        <v>36</v>
      </c>
      <c r="I363" s="8" t="str">
        <f aca="false">IFERROR(INDEX('Перечень должностей'!$C$2:$C$46,MATCH(H363,'Перечень должностей'!$A$2:$A$46,0)),"")</f>
        <v>п.1.14.2, п.1.36, п.1.37.1, п.1.45.1, п.1.45.2, п.1.50, п.4.3.1, п.4.4, п.5.1, п.17</v>
      </c>
      <c r="J363" s="11" t="n">
        <f aca="false">IFERROR(INDEX('Перечень должностей'!$D$2:$D$46,MATCH(H363,'Перечень должностей'!$A$2:$A$46,0)),12)</f>
        <v>12</v>
      </c>
      <c r="K363" s="16"/>
      <c r="L363" s="16"/>
      <c r="M363" s="15" t="str">
        <f aca="false">IF(K363="","",EDATE(IF(L363&lt;&gt;"",L363,K363),J363))</f>
        <v/>
      </c>
      <c r="N363" s="11" t="str">
        <f aca="false">IFERROR(INDEX('Перечень должностей'!$F$2:$F$46,MATCH(H363,'Перечень должностей'!$A$2:$A$46,0)),"")</f>
        <v>-</v>
      </c>
      <c r="O363" s="16"/>
      <c r="P363" s="15" t="str">
        <f aca="false">IF(O363="","",EDATE(O363,60))</f>
        <v/>
      </c>
      <c r="Q363" s="11" t="str">
        <f aca="false">IF(AND(K363&lt;&gt;"",F363&lt;&gt;"",K363&gt;F363),"ДА","")</f>
        <v/>
      </c>
      <c r="R363" s="18" t="s">
        <v>58</v>
      </c>
    </row>
    <row r="364" customFormat="false" ht="23.85" hidden="false" customHeight="false" outlineLevel="0" collapsed="false">
      <c r="A364" s="14" t="n">
        <v>363</v>
      </c>
      <c r="B364" s="11" t="s">
        <v>50</v>
      </c>
      <c r="C364" s="14" t="s">
        <v>59</v>
      </c>
      <c r="D364" s="14" t="s">
        <v>60</v>
      </c>
      <c r="E364" s="14" t="s">
        <v>61</v>
      </c>
      <c r="F364" s="15" t="n">
        <v>46290</v>
      </c>
      <c r="G364" s="4" t="str">
        <f aca="false">IF(TRIM(SUBSTITUTE(SUBSTITUTE(SUBSTITUTE(SUBSTITUTE(SUBSTITUTE(SUBSTITUTE(SUBSTITUTE(SUBSTITUTE(SUBSTITUTE(SUBSTITUTE(SUBSTITUTE(LOWER(TRIM(D364)),"ё","е")," -","-"),"- ","-")," 2 разряда","")," 3 разряда","")," 4 разряда","")," 5 разряда","")," 6 разряда","")," 1 категории","")," 2 категории","")," 3 категории",""))="инженер",IF(AND(ISNUMBER(SEARCH("техническ",E364)),ISNUMBER(SEARCH("контрол",E364))),"инженер отк",IF(ISNUMBER(SEARCH("диспетч",E364)),"инженер пдо",TRIM(SUBSTITUTE(SUBSTITUTE(SUBSTITUTE(SUBSTITUTE(SUBSTITUTE(SUBSTITUTE(SUBSTITUTE(SUBSTITUTE(SUBSTITUTE(SUBSTITUTE(SUBSTITUTE(LOWER(TRIM(D364)),"ё","е"),"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категории","")))),IF(TRIM(SUBSTITUTE(SUBSTITUTE(SUBSTITUTE(SUBSTITUTE(SUBSTITUTE(SUBSTITUTE(SUBSTITUTE(SUBSTITUTE(SUBSTITUTE(SUBSTITUTE(SUBSTITUTE(LOWER(TRIM(D364)),"ё","е")," -","-"),"- ","-")," 2 разряда","")," 3 разряда","")," 4 разряда","")," 5 разряда","")," 6 разряда","")," 1 категории","")," 2 категории","")," 3 категории",""))="ведущий инженер",IF(ISNUMBER(SEARCH("диспетч",E364)),"ведущий инженер пдо",TRIM(SUBSTITUTE(SUBSTITUTE(SUBSTITUTE(SUBSTITUTE(SUBSTITUTE(SUBSTITUTE(SUBSTITUTE(SUBSTITUTE(SUBSTITUTE(SUBSTITUTE(SUBSTITUTE(LOWER(TRIM(D364)),"ё","е"),"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категории",""))),IF(TRIM(SUBSTITUTE(SUBSTITUTE(SUBSTITUTE(SUBSTITUTE(SUBSTITUTE(SUBSTITUTE(SUBSTITUTE(SUBSTITUTE(SUBSTITUTE(SUBSTITUTE(SUBSTITUTE(LOWER(TRIM(D364)),"ё","е"),"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отк",TRIM(SUBSTITUTE(SUBSTITUTE(SUBSTITUTE(SUBSTITUTE(SUBSTITUTE(SUBSTITUTE(SUBSTITUTE(SUBSTITUTE(SUBSTITUTE(SUBSTITUTE(SUBSTITUTE(LOWER(TRIM(D364)),"ё","е")," -","-"),"- ","-")," 2 разряда","")," 3 разряда","")," 4 разряда","")," 5 разряда","")," 6 разряда","")," 1 категории","")," 2 категории","")," 3 категории","")))))</f>
        <v>мастер участка</v>
      </c>
      <c r="H364" s="11" t="n">
        <f aca="false">IFERROR(INDEX(Соответствие!$B$2:$B$76,MATCH(G364,Соответствие!$A$2:$A$76,0)),"?")</f>
        <v>18</v>
      </c>
      <c r="I364" s="8" t="str">
        <f aca="false">IFERROR(INDEX('Перечень должностей'!$C$2:$C$46,MATCH(H364,'Перечень должностей'!$A$2:$A$46,0)),"")</f>
        <v>п.4.4, п.5.1, п.5.2</v>
      </c>
      <c r="J364" s="11" t="n">
        <f aca="false">IFERROR(INDEX('Перечень должностей'!$D$2:$D$46,MATCH(H364,'Перечень должностей'!$A$2:$A$46,0)),12)</f>
        <v>12</v>
      </c>
      <c r="K364" s="16"/>
      <c r="L364" s="16"/>
      <c r="M364" s="15" t="str">
        <f aca="false">IF(K364="","",EDATE(IF(L364&lt;&gt;"",L364,K364),J364))</f>
        <v/>
      </c>
      <c r="N364" s="11" t="str">
        <f aca="false">IFERROR(INDEX('Перечень должностей'!$F$2:$F$46,MATCH(H364,'Перечень должностей'!$A$2:$A$46,0)),"")</f>
        <v>-</v>
      </c>
      <c r="O364" s="16"/>
      <c r="P364" s="15" t="str">
        <f aca="false">IF(O364="","",EDATE(O364,60))</f>
        <v/>
      </c>
      <c r="Q364" s="11" t="str">
        <f aca="false">IF(AND(K364&lt;&gt;"",F364&lt;&gt;"",K364&gt;F364),"ДА","")</f>
        <v/>
      </c>
      <c r="R364" s="18" t="s">
        <v>62</v>
      </c>
    </row>
    <row r="365" customFormat="false" ht="46.25" hidden="false" customHeight="false" outlineLevel="0" collapsed="false">
      <c r="A365" s="14" t="n">
        <v>364</v>
      </c>
      <c r="B365" s="11" t="s">
        <v>50</v>
      </c>
      <c r="C365" s="14" t="s">
        <v>63</v>
      </c>
      <c r="D365" s="14" t="s">
        <v>64</v>
      </c>
      <c r="E365" s="14" t="s">
        <v>61</v>
      </c>
      <c r="F365" s="15" t="n">
        <v>46286</v>
      </c>
      <c r="G365" s="4" t="str">
        <f aca="false">IF(TRIM(SUBSTITUTE(SUBSTITUTE(SUBSTITUTE(SUBSTITUTE(SUBSTITUTE(SUBSTITUTE(SUBSTITUTE(SUBSTITUTE(SUBSTITUTE(SUBSTITUTE(SUBSTITUTE(LOWER(TRIM(D365)),"ё","е")," -","-"),"- ","-")," 2 разряда","")," 3 разряда","")," 4 разряда","")," 5 разряда","")," 6 разряда","")," 1 категории","")," 2 категории","")," 3 категории",""))="инженер",IF(AND(ISNUMBER(SEARCH("техническ",E365)),ISNUMBER(SEARCH("контрол",E365))),"инженер отк",IF(ISNUMBER(SEARCH("диспетч",E365)),"инженер пдо",TRIM(SUBSTITUTE(SUBSTITUTE(SUBSTITUTE(SUBSTITUTE(SUBSTITUTE(SUBSTITUTE(SUBSTITUTE(SUBSTITUTE(SUBSTITUTE(SUBSTITUTE(SUBSTITUTE(LOWER(TRIM(D365)),"ё","е"),"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категории","")))),IF(TRIM(SUBSTITUTE(SUBSTITUTE(SUBSTITUTE(SUBSTITUTE(SUBSTITUTE(SUBSTITUTE(SUBSTITUTE(SUBSTITUTE(SUBSTITUTE(SUBSTITUTE(SUBSTITUTE(LOWER(TRIM(D365)),"ё","е")," -","-"),"- ","-")," 2 разряда","")," 3 разряда","")," 4 разряда","")," 5 разряда","")," 6 разряда","")," 1 категории","")," 2 категории","")," 3 категории",""))="ведущий инженер",IF(ISNUMBER(SEARCH("диспетч",E365)),"ведущий инженер пдо",TRIM(SUBSTITUTE(SUBSTITUTE(SUBSTITUTE(SUBSTITUTE(SUBSTITUTE(SUBSTITUTE(SUBSTITUTE(SUBSTITUTE(SUBSTITUTE(SUBSTITUTE(SUBSTITUTE(LOWER(TRIM(D365)),"ё","е"),"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категории",""))),IF(TRIM(SUBSTITUTE(SUBSTITUTE(SUBSTITUTE(SUBSTITUTE(SUBSTITUTE(SUBSTITUTE(SUBSTITUTE(SUBSTITUTE(SUBSTITUTE(SUBSTITUTE(SUBSTITUTE(LOWER(TRIM(D365)),"ё","е"),"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отк",TRIM(SUBSTITUTE(SUBSTITUTE(SUBSTITUTE(SUBSTITUTE(SUBSTITUTE(SUBSTITUTE(SUBSTITUTE(SUBSTITUTE(SUBSTITUTE(SUBSTITUTE(SUBSTITUTE(LOWER(TRIM(D365)),"ё","е")," -","-"),"- ","-")," 2 разряда","")," 3 разряда","")," 4 разряда","")," 5 разряда","")," 6 разряда","")," 1 категории","")," 2 категории","")," 3 категории","")))))</f>
        <v>оператор станков с чпу</v>
      </c>
      <c r="H365" s="11" t="n">
        <f aca="false">IFERROR(INDEX(Соответствие!$B$2:$B$76,MATCH(G365,Соответствие!$A$2:$A$76,0)),"?")</f>
        <v>30</v>
      </c>
      <c r="I365" s="8" t="str">
        <f aca="false">IFERROR(INDEX('Перечень должностей'!$C$2:$C$46,MATCH(H365,'Перечень должностей'!$A$2:$A$46,0)),"")</f>
        <v>п.4.3.1, п.4.3.2, п.4.4, п.5.1, п.5.2, п.15</v>
      </c>
      <c r="J365" s="11" t="n">
        <f aca="false">IFERROR(INDEX('Перечень должностей'!$D$2:$D$46,MATCH(H365,'Перечень должностей'!$A$2:$A$46,0)),12)</f>
        <v>12</v>
      </c>
      <c r="K365" s="16"/>
      <c r="L365" s="16"/>
      <c r="M365" s="15" t="str">
        <f aca="false">IF(K365="","",EDATE(IF(L365&lt;&gt;"",L365,K365),J365))</f>
        <v/>
      </c>
      <c r="N365" s="11" t="str">
        <f aca="false">IFERROR(INDEX('Перечень должностей'!$F$2:$F$46,MATCH(H365,'Перечень должностей'!$A$2:$A$46,0)),"")</f>
        <v>-</v>
      </c>
      <c r="O365" s="16"/>
      <c r="P365" s="15" t="str">
        <f aca="false">IF(O365="","",EDATE(O365,60))</f>
        <v/>
      </c>
      <c r="Q365" s="11" t="str">
        <f aca="false">IF(AND(K365&lt;&gt;"",F365&lt;&gt;"",K365&gt;F365),"ДА","")</f>
        <v/>
      </c>
      <c r="R365" s="18" t="s">
        <v>65</v>
      </c>
    </row>
    <row r="366" customFormat="false" ht="35.05" hidden="false" customHeight="false" outlineLevel="0" collapsed="false">
      <c r="A366" s="14" t="n">
        <v>365</v>
      </c>
      <c r="B366" s="11" t="s">
        <v>50</v>
      </c>
      <c r="C366" s="14" t="s">
        <v>66</v>
      </c>
      <c r="D366" s="14" t="s">
        <v>67</v>
      </c>
      <c r="E366" s="14" t="s">
        <v>61</v>
      </c>
      <c r="F366" s="15" t="n">
        <v>46296</v>
      </c>
      <c r="G366" s="4" t="str">
        <f aca="false">IF(TRIM(SUBSTITUTE(SUBSTITUTE(SUBSTITUTE(SUBSTITUTE(SUBSTITUTE(SUBSTITUTE(SUBSTITUTE(SUBSTITUTE(SUBSTITUTE(SUBSTITUTE(SUBSTITUTE(LOWER(TRIM(D366)),"ё","е")," -","-"),"- ","-")," 2 разряда","")," 3 разряда","")," 4 разряда","")," 5 разряда","")," 6 разряда","")," 1 категории","")," 2 категории","")," 3 категории",""))="инженер",IF(AND(ISNUMBER(SEARCH("техническ",E366)),ISNUMBER(SEARCH("контрол",E366))),"инженер отк",IF(ISNUMBER(SEARCH("диспетч",E366)),"инженер пдо",TRIM(SUBSTITUTE(SUBSTITUTE(SUBSTITUTE(SUBSTITUTE(SUBSTITUTE(SUBSTITUTE(SUBSTITUTE(SUBSTITUTE(SUBSTITUTE(SUBSTITUTE(SUBSTITUTE(LOWER(TRIM(D366)),"ё","е"),"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категории","")))),IF(TRIM(SUBSTITUTE(SUBSTITUTE(SUBSTITUTE(SUBSTITUTE(SUBSTITUTE(SUBSTITUTE(SUBSTITUTE(SUBSTITUTE(SUBSTITUTE(SUBSTITUTE(SUBSTITUTE(LOWER(TRIM(D366)),"ё","е")," -","-"),"- ","-")," 2 разряда","")," 3 разряда","")," 4 разряда","")," 5 разряда","")," 6 разряда","")," 1 категории","")," 2 категории","")," 3 категории",""))="ведущий инженер",IF(ISNUMBER(SEARCH("диспетч",E366)),"ведущий инженер пдо",TRIM(SUBSTITUTE(SUBSTITUTE(SUBSTITUTE(SUBSTITUTE(SUBSTITUTE(SUBSTITUTE(SUBSTITUTE(SUBSTITUTE(SUBSTITUTE(SUBSTITUTE(SUBSTITUTE(LOWER(TRIM(D366)),"ё","е"),"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категории",""))),IF(TRIM(SUBSTITUTE(SUBSTITUTE(SUBSTITUTE(SUBSTITUTE(SUBSTITUTE(SUBSTITUTE(SUBSTITUTE(SUBSTITUTE(SUBSTITUTE(SUBSTITUTE(SUBSTITUTE(LOWER(TRIM(D366)),"ё","е"),"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отк",TRIM(SUBSTITUTE(SUBSTITUTE(SUBSTITUTE(SUBSTITUTE(SUBSTITUTE(SUBSTITUTE(SUBSTITUTE(SUBSTITUTE(SUBSTITUTE(SUBSTITUTE(SUBSTITUTE(LOWER(TRIM(D366)),"ё","е")," -","-"),"- ","-")," 2 разряда","")," 3 разряда","")," 4 разряда","")," 5 разряда","")," 6 разряда","")," 1 категории","")," 2 категории","")," 3 категории","")))))</f>
        <v>оператор станков с чпу</v>
      </c>
      <c r="H366" s="11" t="n">
        <f aca="false">IFERROR(INDEX(Соответствие!$B$2:$B$76,MATCH(G366,Соответствие!$A$2:$A$76,0)),"?")</f>
        <v>30</v>
      </c>
      <c r="I366" s="8" t="str">
        <f aca="false">IFERROR(INDEX('Перечень должностей'!$C$2:$C$46,MATCH(H366,'Перечень должностей'!$A$2:$A$46,0)),"")</f>
        <v>п.4.3.1, п.4.3.2, п.4.4, п.5.1, п.5.2, п.15</v>
      </c>
      <c r="J366" s="11" t="n">
        <f aca="false">IFERROR(INDEX('Перечень должностей'!$D$2:$D$46,MATCH(H366,'Перечень должностей'!$A$2:$A$46,0)),12)</f>
        <v>12</v>
      </c>
      <c r="K366" s="16"/>
      <c r="L366" s="16"/>
      <c r="M366" s="15" t="str">
        <f aca="false">IF(K366="","",EDATE(IF(L366&lt;&gt;"",L366,K366),J366))</f>
        <v/>
      </c>
      <c r="N366" s="11" t="str">
        <f aca="false">IFERROR(INDEX('Перечень должностей'!$F$2:$F$46,MATCH(H366,'Перечень должностей'!$A$2:$A$46,0)),"")</f>
        <v>-</v>
      </c>
      <c r="O366" s="16"/>
      <c r="P366" s="15" t="str">
        <f aca="false">IF(O366="","",EDATE(O366,60))</f>
        <v/>
      </c>
      <c r="Q366" s="11" t="str">
        <f aca="false">IF(AND(K366&lt;&gt;"",F366&lt;&gt;"",K366&gt;F366),"ДА","")</f>
        <v/>
      </c>
      <c r="R366" s="18" t="s">
        <v>68</v>
      </c>
    </row>
    <row r="367" customFormat="false" ht="23.85" hidden="false" customHeight="false" outlineLevel="0" collapsed="false">
      <c r="A367" s="14" t="n">
        <v>366</v>
      </c>
      <c r="B367" s="11" t="s">
        <v>72</v>
      </c>
      <c r="C367" s="14" t="s">
        <v>69</v>
      </c>
      <c r="D367" s="14" t="s">
        <v>70</v>
      </c>
      <c r="E367" s="14" t="s">
        <v>71</v>
      </c>
      <c r="F367" s="15" t="n">
        <v>46296</v>
      </c>
      <c r="G367" s="4" t="str">
        <f aca="false">IF(TRIM(SUBSTITUTE(SUBSTITUTE(SUBSTITUTE(SUBSTITUTE(SUBSTITUTE(SUBSTITUTE(SUBSTITUTE(SUBSTITUTE(SUBSTITUTE(SUBSTITUTE(SUBSTITUTE(LOWER(TRIM(D367)),"ё","е")," -","-"),"- ","-")," 2 разряда","")," 3 разряда","")," 4 разряда","")," 5 разряда","")," 6 разряда","")," 1 категории","")," 2 категории","")," 3 категории",""))="инженер",IF(AND(ISNUMBER(SEARCH("техническ",E367)),ISNUMBER(SEARCH("контрол",E367))),"инженер отк",IF(ISNUMBER(SEARCH("диспетч",E367)),"инженер пдо",TRIM(SUBSTITUTE(SUBSTITUTE(SUBSTITUTE(SUBSTITUTE(SUBSTITUTE(SUBSTITUTE(SUBSTITUTE(SUBSTITUTE(SUBSTITUTE(SUBSTITUTE(SUBSTITUTE(LOWER(TRIM(D367)),"ё","е"),"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категории","")))),IF(TRIM(SUBSTITUTE(SUBSTITUTE(SUBSTITUTE(SUBSTITUTE(SUBSTITUTE(SUBSTITUTE(SUBSTITUTE(SUBSTITUTE(SUBSTITUTE(SUBSTITUTE(SUBSTITUTE(LOWER(TRIM(D367)),"ё","е")," -","-"),"- ","-")," 2 разряда","")," 3 разряда","")," 4 разряда","")," 5 разряда","")," 6 разряда","")," 1 категории","")," 2 категории","")," 3 категории",""))="ведущий инженер",IF(ISNUMBER(SEARCH("диспетч",E367)),"ведущий инженер пдо",TRIM(SUBSTITUTE(SUBSTITUTE(SUBSTITUTE(SUBSTITUTE(SUBSTITUTE(SUBSTITUTE(SUBSTITUTE(SUBSTITUTE(SUBSTITUTE(SUBSTITUTE(SUBSTITUTE(LOWER(TRIM(D367)),"ё","е"),"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категории",""))),IF(TRIM(SUBSTITUTE(SUBSTITUTE(SUBSTITUTE(SUBSTITUTE(SUBSTITUTE(SUBSTITUTE(SUBSTITUTE(SUBSTITUTE(SUBSTITUTE(SUBSTITUTE(SUBSTITUTE(LOWER(TRIM(D367)),"ё","е"),"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отк",TRIM(SUBSTITUTE(SUBSTITUTE(SUBSTITUTE(SUBSTITUTE(SUBSTITUTE(SUBSTITUTE(SUBSTITUTE(SUBSTITUTE(SUBSTITUTE(SUBSTITUTE(SUBSTITUTE(LOWER(TRIM(D367)),"ё","е")," -","-"),"- ","-")," 2 разряда","")," 3 разряда","")," 4 разряда","")," 5 разряда","")," 6 разряда","")," 1 категории","")," 2 категории","")," 3 категории","")))))</f>
        <v>инженер-механик</v>
      </c>
      <c r="H367" s="11" t="n">
        <f aca="false">IFERROR(INDEX(Соответствие!$B$2:$B$76,MATCH(G367,Соответствие!$A$2:$A$76,0)),"?")</f>
        <v>11</v>
      </c>
      <c r="I367" s="8" t="str">
        <f aca="false">IFERROR(INDEX('Перечень должностей'!$C$2:$C$46,MATCH(H367,'Перечень должностей'!$A$2:$A$46,0)),"")</f>
        <v>п.4.3.1, п.4.3.2, п.4.4, п.4.6, п.5.1, п.6.2</v>
      </c>
      <c r="J367" s="11" t="n">
        <f aca="false">IFERROR(INDEX('Перечень должностей'!$D$2:$D$46,MATCH(H367,'Перечень должностей'!$A$2:$A$46,0)),12)</f>
        <v>12</v>
      </c>
      <c r="K367" s="16"/>
      <c r="L367" s="16"/>
      <c r="M367" s="15" t="str">
        <f aca="false">IF(K367="","",EDATE(IF(L367&lt;&gt;"",L367,K367),J367))</f>
        <v/>
      </c>
      <c r="N367" s="11" t="str">
        <f aca="false">IFERROR(INDEX('Перечень должностей'!$F$2:$F$46,MATCH(H367,'Перечень должностей'!$A$2:$A$46,0)),"")</f>
        <v>-</v>
      </c>
      <c r="O367" s="16"/>
      <c r="P367" s="15" t="str">
        <f aca="false">IF(O367="","",EDATE(O367,60))</f>
        <v/>
      </c>
      <c r="Q367" s="11" t="str">
        <f aca="false">IF(AND(K367&lt;&gt;"",F367&lt;&gt;"",K367&gt;F367),"ДА","")</f>
        <v/>
      </c>
      <c r="R367" s="18" t="s">
        <v>73</v>
      </c>
    </row>
    <row r="368" customFormat="false" ht="23.85" hidden="false" customHeight="false" outlineLevel="0" collapsed="false">
      <c r="A368" s="14" t="n">
        <v>367</v>
      </c>
      <c r="B368" s="11" t="s">
        <v>72</v>
      </c>
      <c r="C368" s="14" t="s">
        <v>74</v>
      </c>
      <c r="D368" s="14" t="s">
        <v>75</v>
      </c>
      <c r="E368" s="14" t="s">
        <v>76</v>
      </c>
      <c r="F368" s="15" t="n">
        <v>46297</v>
      </c>
      <c r="G368" s="4" t="str">
        <f aca="false">IF(TRIM(SUBSTITUTE(SUBSTITUTE(SUBSTITUTE(SUBSTITUTE(SUBSTITUTE(SUBSTITUTE(SUBSTITUTE(SUBSTITUTE(SUBSTITUTE(SUBSTITUTE(SUBSTITUTE(LOWER(TRIM(D368)),"ё","е")," -","-"),"- ","-")," 2 разряда","")," 3 разряда","")," 4 разряда","")," 5 разряда","")," 6 разряда","")," 1 категории","")," 2 категории","")," 3 категории",""))="инженер",IF(AND(ISNUMBER(SEARCH("техническ",E368)),ISNUMBER(SEARCH("контрол",E368))),"инженер отк",IF(ISNUMBER(SEARCH("диспетч",E368)),"инженер пдо",TRIM(SUBSTITUTE(SUBSTITUTE(SUBSTITUTE(SUBSTITUTE(SUBSTITUTE(SUBSTITUTE(SUBSTITUTE(SUBSTITUTE(SUBSTITUTE(SUBSTITUTE(SUBSTITUTE(LOWER(TRIM(D368)),"ё","е"),"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категории","")))),IF(TRIM(SUBSTITUTE(SUBSTITUTE(SUBSTITUTE(SUBSTITUTE(SUBSTITUTE(SUBSTITUTE(SUBSTITUTE(SUBSTITUTE(SUBSTITUTE(SUBSTITUTE(SUBSTITUTE(LOWER(TRIM(D368)),"ё","е")," -","-"),"- ","-")," 2 разряда","")," 3 разряда","")," 4 разряда","")," 5 разряда","")," 6 разряда","")," 1 категории","")," 2 категории","")," 3 категории",""))="ведущий инженер",IF(ISNUMBER(SEARCH("диспетч",E368)),"ведущий инженер пдо",TRIM(SUBSTITUTE(SUBSTITUTE(SUBSTITUTE(SUBSTITUTE(SUBSTITUTE(SUBSTITUTE(SUBSTITUTE(SUBSTITUTE(SUBSTITUTE(SUBSTITUTE(SUBSTITUTE(LOWER(TRIM(D368)),"ё","е"),"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категории",""))),IF(TRIM(SUBSTITUTE(SUBSTITUTE(SUBSTITUTE(SUBSTITUTE(SUBSTITUTE(SUBSTITUTE(SUBSTITUTE(SUBSTITUTE(SUBSTITUTE(SUBSTITUTE(SUBSTITUTE(LOWER(TRIM(D368)),"ё","е"),"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отк",TRIM(SUBSTITUTE(SUBSTITUTE(SUBSTITUTE(SUBSTITUTE(SUBSTITUTE(SUBSTITUTE(SUBSTITUTE(SUBSTITUTE(SUBSTITUTE(SUBSTITUTE(SUBSTITUTE(LOWER(TRIM(D368)),"ё","е")," -","-"),"- ","-")," 2 разряда","")," 3 разряда","")," 4 разряда","")," 5 разряда","")," 6 разряда","")," 1 категории","")," 2 категории","")," 3 категории","")))))</f>
        <v>кладовщик</v>
      </c>
      <c r="H368" s="11" t="n">
        <f aca="false">IFERROR(INDEX(Соответствие!$B$2:$B$76,MATCH(G368,Соответствие!$A$2:$A$76,0)),"?")</f>
        <v>14</v>
      </c>
      <c r="I368" s="8" t="str">
        <f aca="false">IFERROR(INDEX('Перечень должностей'!$C$2:$C$46,MATCH(H368,'Перечень должностей'!$A$2:$A$46,0)),"")</f>
        <v>п.4.4, п.5.1, п.6.2</v>
      </c>
      <c r="J368" s="11" t="n">
        <f aca="false">IFERROR(INDEX('Перечень должностей'!$D$2:$D$46,MATCH(H368,'Перечень должностей'!$A$2:$A$46,0)),12)</f>
        <v>12</v>
      </c>
      <c r="K368" s="16"/>
      <c r="L368" s="16"/>
      <c r="M368" s="15" t="str">
        <f aca="false">IF(K368="","",EDATE(IF(L368&lt;&gt;"",L368,K368),J368))</f>
        <v/>
      </c>
      <c r="N368" s="11" t="str">
        <f aca="false">IFERROR(INDEX('Перечень должностей'!$F$2:$F$46,MATCH(H368,'Перечень должностей'!$A$2:$A$46,0)),"")</f>
        <v>-</v>
      </c>
      <c r="O368" s="16"/>
      <c r="P368" s="15" t="str">
        <f aca="false">IF(O368="","",EDATE(O368,60))</f>
        <v/>
      </c>
      <c r="Q368" s="11" t="str">
        <f aca="false">IF(AND(K368&lt;&gt;"",F368&lt;&gt;"",K368&gt;F368),"ДА","")</f>
        <v/>
      </c>
      <c r="R368" s="18" t="s">
        <v>77</v>
      </c>
    </row>
    <row r="369" customFormat="false" ht="23.85" hidden="false" customHeight="false" outlineLevel="0" collapsed="false">
      <c r="A369" s="14" t="n">
        <v>368</v>
      </c>
      <c r="B369" s="11" t="s">
        <v>81</v>
      </c>
      <c r="C369" s="14" t="s">
        <v>78</v>
      </c>
      <c r="D369" s="14" t="s">
        <v>79</v>
      </c>
      <c r="E369" s="14" t="s">
        <v>80</v>
      </c>
      <c r="F369" s="15" t="n">
        <v>46293</v>
      </c>
      <c r="G369" s="4" t="str">
        <f aca="false">IF(TRIM(SUBSTITUTE(SUBSTITUTE(SUBSTITUTE(SUBSTITUTE(SUBSTITUTE(SUBSTITUTE(SUBSTITUTE(SUBSTITUTE(SUBSTITUTE(SUBSTITUTE(SUBSTITUTE(LOWER(TRIM(D369)),"ё","е")," -","-"),"- ","-")," 2 разряда","")," 3 разряда","")," 4 разряда","")," 5 разряда","")," 6 разряда","")," 1 категории","")," 2 категории","")," 3 категории",""))="инженер",IF(AND(ISNUMBER(SEARCH("техническ",E369)),ISNUMBER(SEARCH("контрол",E369))),"инженер отк",IF(ISNUMBER(SEARCH("диспетч",E369)),"инженер пдо",TRIM(SUBSTITUTE(SUBSTITUTE(SUBSTITUTE(SUBSTITUTE(SUBSTITUTE(SUBSTITUTE(SUBSTITUTE(SUBSTITUTE(SUBSTITUTE(SUBSTITUTE(SUBSTITUTE(LOWER(TRIM(D369)),"ё","е"),"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категории","")))),IF(TRIM(SUBSTITUTE(SUBSTITUTE(SUBSTITUTE(SUBSTITUTE(SUBSTITUTE(SUBSTITUTE(SUBSTITUTE(SUBSTITUTE(SUBSTITUTE(SUBSTITUTE(SUBSTITUTE(LOWER(TRIM(D369)),"ё","е")," -","-"),"- ","-")," 2 разряда","")," 3 разряда","")," 4 разряда","")," 5 разряда","")," 6 разряда","")," 1 категории","")," 2 категории","")," 3 категории",""))="ведущий инженер",IF(ISNUMBER(SEARCH("диспетч",E369)),"ведущий инженер пдо",TRIM(SUBSTITUTE(SUBSTITUTE(SUBSTITUTE(SUBSTITUTE(SUBSTITUTE(SUBSTITUTE(SUBSTITUTE(SUBSTITUTE(SUBSTITUTE(SUBSTITUTE(SUBSTITUTE(LOWER(TRIM(D369)),"ё","е"),"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категории",""))),IF(TRIM(SUBSTITUTE(SUBSTITUTE(SUBSTITUTE(SUBSTITUTE(SUBSTITUTE(SUBSTITUTE(SUBSTITUTE(SUBSTITUTE(SUBSTITUTE(SUBSTITUTE(SUBSTITUTE(LOWER(TRIM(D369)),"ё","е"),"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отк",TRIM(SUBSTITUTE(SUBSTITUTE(SUBSTITUTE(SUBSTITUTE(SUBSTITUTE(SUBSTITUTE(SUBSTITUTE(SUBSTITUTE(SUBSTITUTE(SUBSTITUTE(SUBSTITUTE(LOWER(TRIM(D369)),"ё","е")," -","-"),"- ","-")," 2 разряда","")," 3 разряда","")," 4 разряда","")," 5 разряда","")," 6 разряда","")," 1 категории","")," 2 категории","")," 3 категории","")))))</f>
        <v>электромонтажник</v>
      </c>
      <c r="H369" s="11" t="n">
        <f aca="false">IFERROR(INDEX(Соответствие!$B$2:$B$76,MATCH(G369,Соответствие!$A$2:$A$76,0)),"?")</f>
        <v>20</v>
      </c>
      <c r="I369" s="8" t="str">
        <f aca="false">IFERROR(INDEX('Перечень должностей'!$C$2:$C$46,MATCH(H369,'Перечень должностей'!$A$2:$A$46,0)),"")</f>
        <v>п.4.3.1, п.4.3.2, п.4.4, п.4.9, п.5.1, п.5.2, п.6.2, п.9</v>
      </c>
      <c r="J369" s="11" t="n">
        <f aca="false">IFERROR(INDEX('Перечень должностей'!$D$2:$D$46,MATCH(H369,'Перечень должностей'!$A$2:$A$46,0)),12)</f>
        <v>12</v>
      </c>
      <c r="K369" s="16"/>
      <c r="L369" s="16"/>
      <c r="M369" s="15" t="str">
        <f aca="false">IF(K369="","",EDATE(IF(L369&lt;&gt;"",L369,K369),J369))</f>
        <v/>
      </c>
      <c r="N369" s="11" t="str">
        <f aca="false">IFERROR(INDEX('Перечень должностей'!$F$2:$F$46,MATCH(H369,'Перечень должностей'!$A$2:$A$46,0)),"")</f>
        <v>Да</v>
      </c>
      <c r="O369" s="16"/>
      <c r="P369" s="15" t="str">
        <f aca="false">IF(O369="","",EDATE(O369,60))</f>
        <v/>
      </c>
      <c r="Q369" s="11" t="str">
        <f aca="false">IF(AND(K369&lt;&gt;"",F369&lt;&gt;"",K369&gt;F369),"ДА","")</f>
        <v/>
      </c>
      <c r="R369" s="18" t="s">
        <v>82</v>
      </c>
    </row>
    <row r="370" customFormat="false" ht="23.85" hidden="false" customHeight="false" outlineLevel="0" collapsed="false">
      <c r="A370" s="14" t="n">
        <v>369</v>
      </c>
      <c r="B370" s="11" t="s">
        <v>81</v>
      </c>
      <c r="C370" s="14" t="s">
        <v>83</v>
      </c>
      <c r="D370" s="14" t="s">
        <v>84</v>
      </c>
      <c r="E370" s="14" t="s">
        <v>85</v>
      </c>
      <c r="F370" s="15" t="n">
        <v>46296</v>
      </c>
      <c r="G370" s="4" t="str">
        <f aca="false">IF(TRIM(SUBSTITUTE(SUBSTITUTE(SUBSTITUTE(SUBSTITUTE(SUBSTITUTE(SUBSTITUTE(SUBSTITUTE(SUBSTITUTE(SUBSTITUTE(SUBSTITUTE(SUBSTITUTE(LOWER(TRIM(D370)),"ё","е")," -","-"),"- ","-")," 2 разряда","")," 3 разряда","")," 4 разряда","")," 5 разряда","")," 6 разряда","")," 1 категории","")," 2 категории","")," 3 категории",""))="инженер",IF(AND(ISNUMBER(SEARCH("техническ",E370)),ISNUMBER(SEARCH("контрол",E370))),"инженер отк",IF(ISNUMBER(SEARCH("диспетч",E370)),"инженер пдо",TRIM(SUBSTITUTE(SUBSTITUTE(SUBSTITUTE(SUBSTITUTE(SUBSTITUTE(SUBSTITUTE(SUBSTITUTE(SUBSTITUTE(SUBSTITUTE(SUBSTITUTE(SUBSTITUTE(LOWER(TRIM(D370)),"ё","е"),"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категории","")))),IF(TRIM(SUBSTITUTE(SUBSTITUTE(SUBSTITUTE(SUBSTITUTE(SUBSTITUTE(SUBSTITUTE(SUBSTITUTE(SUBSTITUTE(SUBSTITUTE(SUBSTITUTE(SUBSTITUTE(LOWER(TRIM(D370)),"ё","е")," -","-"),"- ","-")," 2 разряда","")," 3 разряда","")," 4 разряда","")," 5 разряда","")," 6 разряда","")," 1 категории","")," 2 категории","")," 3 категории",""))="ведущий инженер",IF(ISNUMBER(SEARCH("диспетч",E370)),"ведущий инженер пдо",TRIM(SUBSTITUTE(SUBSTITUTE(SUBSTITUTE(SUBSTITUTE(SUBSTITUTE(SUBSTITUTE(SUBSTITUTE(SUBSTITUTE(SUBSTITUTE(SUBSTITUTE(SUBSTITUTE(LOWER(TRIM(D370)),"ё","е"),"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категории",""))),IF(TRIM(SUBSTITUTE(SUBSTITUTE(SUBSTITUTE(SUBSTITUTE(SUBSTITUTE(SUBSTITUTE(SUBSTITUTE(SUBSTITUTE(SUBSTITUTE(SUBSTITUTE(SUBSTITUTE(LOWER(TRIM(D370)),"ё","е"),"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отк",TRIM(SUBSTITUTE(SUBSTITUTE(SUBSTITUTE(SUBSTITUTE(SUBSTITUTE(SUBSTITUTE(SUBSTITUTE(SUBSTITUTE(SUBSTITUTE(SUBSTITUTE(SUBSTITUTE(LOWER(TRIM(D370)),"ё","е")," -","-"),"- ","-")," 2 разряда","")," 3 разряда","")," 4 разряда","")," 5 разряда","")," 6 разряда","")," 1 категории","")," 2 категории","")," 3 категории","")))))</f>
        <v>слесарь-сборщик</v>
      </c>
      <c r="H370" s="11" t="n">
        <f aca="false">IFERROR(INDEX(Соответствие!$B$2:$B$76,MATCH(G370,Соответствие!$A$2:$A$76,0)),"?")</f>
        <v>19</v>
      </c>
      <c r="I370" s="8" t="str">
        <f aca="false">IFERROR(INDEX('Перечень должностей'!$C$2:$C$46,MATCH(H370,'Перечень должностей'!$A$2:$A$46,0)),"")</f>
        <v>п.4.3.1, п.4.3.2, п.4.4, п.5.1, п.6.2, п.15</v>
      </c>
      <c r="J370" s="11" t="n">
        <f aca="false">IFERROR(INDEX('Перечень должностей'!$D$2:$D$46,MATCH(H370,'Перечень должностей'!$A$2:$A$46,0)),12)</f>
        <v>12</v>
      </c>
      <c r="K370" s="16"/>
      <c r="L370" s="16"/>
      <c r="M370" s="15" t="str">
        <f aca="false">IF(K370="","",EDATE(IF(L370&lt;&gt;"",L370,K370),J370))</f>
        <v/>
      </c>
      <c r="N370" s="11" t="str">
        <f aca="false">IFERROR(INDEX('Перечень должностей'!$F$2:$F$46,MATCH(H370,'Перечень должностей'!$A$2:$A$46,0)),"")</f>
        <v>-</v>
      </c>
      <c r="O370" s="16"/>
      <c r="P370" s="15" t="str">
        <f aca="false">IF(O370="","",EDATE(O370,60))</f>
        <v/>
      </c>
      <c r="Q370" s="11" t="str">
        <f aca="false">IF(AND(K370&lt;&gt;"",F370&lt;&gt;"",K370&gt;F370),"ДА","")</f>
        <v/>
      </c>
      <c r="R370" s="18" t="s">
        <v>73</v>
      </c>
    </row>
    <row r="371" customFormat="false" ht="23.85" hidden="false" customHeight="false" outlineLevel="0" collapsed="false">
      <c r="A371" s="14" t="n">
        <v>370</v>
      </c>
      <c r="B371" s="11" t="s">
        <v>81</v>
      </c>
      <c r="C371" s="14" t="s">
        <v>86</v>
      </c>
      <c r="D371" s="14" t="s">
        <v>84</v>
      </c>
      <c r="E371" s="14" t="s">
        <v>85</v>
      </c>
      <c r="F371" s="15" t="n">
        <v>46286</v>
      </c>
      <c r="G371" s="4" t="str">
        <f aca="false">IF(TRIM(SUBSTITUTE(SUBSTITUTE(SUBSTITUTE(SUBSTITUTE(SUBSTITUTE(SUBSTITUTE(SUBSTITUTE(SUBSTITUTE(SUBSTITUTE(SUBSTITUTE(SUBSTITUTE(LOWER(TRIM(D371)),"ё","е")," -","-"),"- ","-")," 2 разряда","")," 3 разряда","")," 4 разряда","")," 5 разряда","")," 6 разряда","")," 1 категории","")," 2 категории","")," 3 категории",""))="инженер",IF(AND(ISNUMBER(SEARCH("техническ",E371)),ISNUMBER(SEARCH("контрол",E371))),"инженер отк",IF(ISNUMBER(SEARCH("диспетч",E371)),"инженер пдо",TRIM(SUBSTITUTE(SUBSTITUTE(SUBSTITUTE(SUBSTITUTE(SUBSTITUTE(SUBSTITUTE(SUBSTITUTE(SUBSTITUTE(SUBSTITUTE(SUBSTITUTE(SUBSTITUTE(LOWER(TRIM(D371)),"ё","е"),"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категории","")))),IF(TRIM(SUBSTITUTE(SUBSTITUTE(SUBSTITUTE(SUBSTITUTE(SUBSTITUTE(SUBSTITUTE(SUBSTITUTE(SUBSTITUTE(SUBSTITUTE(SUBSTITUTE(SUBSTITUTE(LOWER(TRIM(D371)),"ё","е")," -","-"),"- ","-")," 2 разряда","")," 3 разряда","")," 4 разряда","")," 5 разряда","")," 6 разряда","")," 1 категории","")," 2 категории","")," 3 категории",""))="ведущий инженер",IF(ISNUMBER(SEARCH("диспетч",E371)),"ведущий инженер пдо",TRIM(SUBSTITUTE(SUBSTITUTE(SUBSTITUTE(SUBSTITUTE(SUBSTITUTE(SUBSTITUTE(SUBSTITUTE(SUBSTITUTE(SUBSTITUTE(SUBSTITUTE(SUBSTITUTE(LOWER(TRIM(D371)),"ё","е"),"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категории",""))),IF(TRIM(SUBSTITUTE(SUBSTITUTE(SUBSTITUTE(SUBSTITUTE(SUBSTITUTE(SUBSTITUTE(SUBSTITUTE(SUBSTITUTE(SUBSTITUTE(SUBSTITUTE(SUBSTITUTE(LOWER(TRIM(D371)),"ё","е"),"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отк",TRIM(SUBSTITUTE(SUBSTITUTE(SUBSTITUTE(SUBSTITUTE(SUBSTITUTE(SUBSTITUTE(SUBSTITUTE(SUBSTITUTE(SUBSTITUTE(SUBSTITUTE(SUBSTITUTE(LOWER(TRIM(D371)),"ё","е")," -","-"),"- ","-")," 2 разряда","")," 3 разряда","")," 4 разряда","")," 5 разряда","")," 6 разряда","")," 1 категории","")," 2 категории","")," 3 категории","")))))</f>
        <v>слесарь-сборщик</v>
      </c>
      <c r="H371" s="11" t="n">
        <f aca="false">IFERROR(INDEX(Соответствие!$B$2:$B$76,MATCH(G371,Соответствие!$A$2:$A$76,0)),"?")</f>
        <v>19</v>
      </c>
      <c r="I371" s="8" t="str">
        <f aca="false">IFERROR(INDEX('Перечень должностей'!$C$2:$C$46,MATCH(H371,'Перечень должностей'!$A$2:$A$46,0)),"")</f>
        <v>п.4.3.1, п.4.3.2, п.4.4, п.5.1, п.6.2, п.15</v>
      </c>
      <c r="J371" s="11" t="n">
        <f aca="false">IFERROR(INDEX('Перечень должностей'!$D$2:$D$46,MATCH(H371,'Перечень должностей'!$A$2:$A$46,0)),12)</f>
        <v>12</v>
      </c>
      <c r="K371" s="16"/>
      <c r="L371" s="16"/>
      <c r="M371" s="15" t="str">
        <f aca="false">IF(K371="","",EDATE(IF(L371&lt;&gt;"",L371,K371),J371))</f>
        <v/>
      </c>
      <c r="N371" s="11" t="str">
        <f aca="false">IFERROR(INDEX('Перечень должностей'!$F$2:$F$46,MATCH(H371,'Перечень должностей'!$A$2:$A$46,0)),"")</f>
        <v>-</v>
      </c>
      <c r="O371" s="16"/>
      <c r="P371" s="15" t="str">
        <f aca="false">IF(O371="","",EDATE(O371,60))</f>
        <v/>
      </c>
      <c r="Q371" s="11" t="str">
        <f aca="false">IF(AND(K371&lt;&gt;"",F371&lt;&gt;"",K371&gt;F371),"ДА","")</f>
        <v/>
      </c>
      <c r="R371" s="18" t="s">
        <v>51</v>
      </c>
    </row>
    <row r="372" customFormat="false" ht="23.85" hidden="false" customHeight="false" outlineLevel="0" collapsed="false">
      <c r="A372" s="14" t="n">
        <v>371</v>
      </c>
      <c r="B372" s="11" t="s">
        <v>81</v>
      </c>
      <c r="C372" s="14" t="s">
        <v>87</v>
      </c>
      <c r="D372" s="14" t="s">
        <v>75</v>
      </c>
      <c r="E372" s="14" t="s">
        <v>88</v>
      </c>
      <c r="F372" s="15" t="n">
        <v>46269</v>
      </c>
      <c r="G372" s="4" t="str">
        <f aca="false">IF(TRIM(SUBSTITUTE(SUBSTITUTE(SUBSTITUTE(SUBSTITUTE(SUBSTITUTE(SUBSTITUTE(SUBSTITUTE(SUBSTITUTE(SUBSTITUTE(SUBSTITUTE(SUBSTITUTE(LOWER(TRIM(D372)),"ё","е")," -","-"),"- ","-")," 2 разряда","")," 3 разряда","")," 4 разряда","")," 5 разряда","")," 6 разряда","")," 1 категории","")," 2 категории","")," 3 категории",""))="инженер",IF(AND(ISNUMBER(SEARCH("техническ",E372)),ISNUMBER(SEARCH("контрол",E372))),"инженер отк",IF(ISNUMBER(SEARCH("диспетч",E372)),"инженер пдо",TRIM(SUBSTITUTE(SUBSTITUTE(SUBSTITUTE(SUBSTITUTE(SUBSTITUTE(SUBSTITUTE(SUBSTITUTE(SUBSTITUTE(SUBSTITUTE(SUBSTITUTE(SUBSTITUTE(LOWER(TRIM(D372)),"ё","е"),"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категории","")))),IF(TRIM(SUBSTITUTE(SUBSTITUTE(SUBSTITUTE(SUBSTITUTE(SUBSTITUTE(SUBSTITUTE(SUBSTITUTE(SUBSTITUTE(SUBSTITUTE(SUBSTITUTE(SUBSTITUTE(LOWER(TRIM(D372)),"ё","е")," -","-"),"- ","-")," 2 разряда","")," 3 разряда","")," 4 разряда","")," 5 разряда","")," 6 разряда","")," 1 категории","")," 2 категории","")," 3 категории",""))="ведущий инженер",IF(ISNUMBER(SEARCH("диспетч",E372)),"ведущий инженер пдо",TRIM(SUBSTITUTE(SUBSTITUTE(SUBSTITUTE(SUBSTITUTE(SUBSTITUTE(SUBSTITUTE(SUBSTITUTE(SUBSTITUTE(SUBSTITUTE(SUBSTITUTE(SUBSTITUTE(LOWER(TRIM(D372)),"ё","е")," -","-"),"- ","-")," 2 разряда","")," 3 разряда","")," 4 разряда","")," 5 разряда","")," 6 разряда","")," 1 категории","")," 2 категории","")," 3 категории",""))),IF(TRIM(SUBSTITUTE(SUBSTITUTE(SUBSTITUTE(SUBSTITUTE(SUBSTITUTE(SUBSTITUTE(SUBSTITUTE(SUBSTITUTE(SUBSTITUTE(SUBSTITUTE(SUBSTITUTE(LOWER(TRIM(D372)),"ё","е")," -","-"),"- ","-")," 2 разряда","")," 3 разряда","")," 4 разряда","")," 5 разряда","")," 6 разряда","")," 1 категории","")," 2 категории","")," 3 категории",""))="контролер","контролер отк",TRIM(SUBSTITUTE(SUBSTITUTE(SUBSTITUTE(SUBSTITUTE(SUBSTITUTE(SUBSTITUTE(SUBSTITUTE(SUBSTITUTE(SUBSTITUTE(SUBSTITUTE(SUBSTITUTE(LOWER(TRIM(D372)),"ё","е")," -","-"),"- ","-")," 2 разряда","")," 3 разряда","")," 4 разряда","")," 5 разряда","")," 6 разряда","")," 1 категории","")," 2 категории","")," 3 категории","")))))</f>
        <v>кладовщик</v>
      </c>
      <c r="H372" s="11" t="n">
        <f aca="false">IFERROR(INDEX(Соответствие!$B$2:$B$76,MATCH(G372,Соответствие!$A$2:$A$76,0)),"?")</f>
        <v>14</v>
      </c>
      <c r="I372" s="8" t="str">
        <f aca="false">IFERROR(INDEX('Перечень должностей'!$C$2:$C$46,MATCH(H372,'Перечень должностей'!$A$2:$A$46,0)),"")</f>
        <v>п.4.4, п.5.1, п.6.2</v>
      </c>
      <c r="J372" s="11" t="n">
        <f aca="false">IFERROR(INDEX('Перечень должностей'!$D$2:$D$46,MATCH(H372,'Перечень должностей'!$A$2:$A$46,0)),12)</f>
        <v>12</v>
      </c>
      <c r="K372" s="16"/>
      <c r="L372" s="16"/>
      <c r="M372" s="15" t="str">
        <f aca="false">IF(K372="","",EDATE(IF(L372&lt;&gt;"",L372,K372),J372))</f>
        <v/>
      </c>
      <c r="N372" s="11" t="str">
        <f aca="false">IFERROR(INDEX('Перечень должностей'!$F$2:$F$46,MATCH(H372,'Перечень должностей'!$A$2:$A$46,0)),"")</f>
        <v>-</v>
      </c>
      <c r="O372" s="16"/>
      <c r="P372" s="15" t="str">
        <f aca="false">IF(O372="","",EDATE(O372,60))</f>
        <v/>
      </c>
      <c r="Q372" s="11" t="str">
        <f aca="false">IF(AND(K372&lt;&gt;"",F372&lt;&gt;"",K372&gt;F372),"ДА","")</f>
        <v/>
      </c>
      <c r="R372" s="18" t="s">
        <v>89</v>
      </c>
    </row>
  </sheetData>
  <autoFilter ref="A1:R372"/>
  <conditionalFormatting sqref="K2:K372">
    <cfRule type="expression" priority="2" aboveAverage="0" equalAverage="0" bottom="0" percent="0" rank="0" text="" dxfId="13">
      <formula>K2=""</formula>
    </cfRule>
  </conditionalFormatting>
  <conditionalFormatting sqref="M2:M372">
    <cfRule type="expression" priority="3" aboveAverage="0" equalAverage="0" bottom="0" percent="0" rank="0" text="" dxfId="14">
      <formula>AND(M2&lt;&gt;"",M2&lt;TODAY())</formula>
    </cfRule>
    <cfRule type="expression" priority="4" aboveAverage="0" equalAverage="0" bottom="0" percent="0" rank="0" text="" dxfId="15">
      <formula>AND(M2&lt;&gt;"",M2&gt;=TODAY(),M2-TODAY()&lt;=30)</formula>
    </cfRule>
    <cfRule type="expression" priority="5" aboveAverage="0" equalAverage="0" bottom="0" percent="0" rank="0" text="" dxfId="16">
      <formula>AND(M2&lt;&gt;"",M2-TODAY()&gt;30)</formula>
    </cfRule>
  </conditionalFormatting>
  <conditionalFormatting sqref="N2:N372">
    <cfRule type="expression" priority="6" aboveAverage="0" equalAverage="0" bottom="0" percent="0" rank="0" text="" dxfId="17">
      <formula>EXACT(N2,"Да")</formula>
    </cfRule>
    <cfRule type="expression" priority="7" aboveAverage="0" equalAverage="0" bottom="0" percent="0" rank="0" text="" dxfId="18">
      <formula>EXACT(N2,"Проверить")</formula>
    </cfRule>
  </conditionalFormatting>
  <conditionalFormatting sqref="P2:P372">
    <cfRule type="expression" priority="8" aboveAverage="0" equalAverage="0" bottom="0" percent="0" rank="0" text="" dxfId="14">
      <formula>AND(P2&lt;&gt;"",P2&lt;TODAY())</formula>
    </cfRule>
    <cfRule type="expression" priority="9" aboveAverage="0" equalAverage="0" bottom="0" percent="0" rank="0" text="" dxfId="15">
      <formula>AND(P2&lt;&gt;"",P2&gt;=TODAY(),P2-TODAY()&lt;=30)</formula>
    </cfRule>
    <cfRule type="expression" priority="10" aboveAverage="0" equalAverage="0" bottom="0" percent="0" rank="0" text="" dxfId="16">
      <formula>AND(P2&lt;&gt;"",P2-TODAY()&gt;30)</formula>
    </cfRule>
  </conditionalFormatting>
  <conditionalFormatting sqref="Q2:Q372">
    <cfRule type="expression" priority="11" aboveAverage="0" equalAverage="0" bottom="0" percent="0" rank="0" text="" dxfId="14">
      <formula>Q2="ДА"</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625" defaultRowHeight="14.25" zeroHeight="false" outlineLevelRow="0" outlineLevelCol="0"/>
  <cols>
    <col collapsed="false" customWidth="true" hidden="false" outlineLevel="0" max="1" min="1" style="0" width="45"/>
    <col collapsed="false" customWidth="true" hidden="false" outlineLevel="0" max="2" min="2" style="0" width="16"/>
    <col collapsed="false" customWidth="true" hidden="false" outlineLevel="0" max="3" min="3" style="0" width="3"/>
    <col collapsed="false" customWidth="true" hidden="false" outlineLevel="0" max="4" min="4" style="0" width="20"/>
    <col collapsed="false" customWidth="true" hidden="false" outlineLevel="0" max="5" min="5" style="0" width="16"/>
  </cols>
  <sheetData>
    <row r="1" customFormat="false" ht="17.25" hidden="false" customHeight="true" outlineLevel="0" collapsed="false">
      <c r="A1" s="1" t="s">
        <v>806</v>
      </c>
    </row>
    <row r="2" customFormat="false" ht="14.25" hidden="false" customHeight="false" outlineLevel="0" collapsed="false">
      <c r="A2" s="5" t="s">
        <v>807</v>
      </c>
    </row>
    <row r="4" customFormat="false" ht="14.25" hidden="false" customHeight="false" outlineLevel="0" collapsed="false">
      <c r="A4" s="19" t="s">
        <v>31</v>
      </c>
      <c r="B4" s="10" t="s">
        <v>808</v>
      </c>
    </row>
    <row r="5" customFormat="false" ht="14.25" hidden="false" customHeight="false" outlineLevel="0" collapsed="false">
      <c r="A5" s="14" t="s">
        <v>809</v>
      </c>
      <c r="B5" s="20" t="n">
        <f aca="false">COUNTA('Учёт медосмотров'!$C$2:$C$372)</f>
        <v>371</v>
      </c>
    </row>
    <row r="6" customFormat="false" ht="14.25" hidden="false" customHeight="false" outlineLevel="0" collapsed="false">
      <c r="A6" s="14" t="s">
        <v>810</v>
      </c>
      <c r="B6" s="20" t="n">
        <f aca="false">COUNTIF('Учёт медосмотров'!$K$2:$K$372,"&lt;&gt;")</f>
        <v>63</v>
      </c>
    </row>
    <row r="7" customFormat="false" ht="14.25" hidden="false" customHeight="false" outlineLevel="0" collapsed="false">
      <c r="A7" s="14" t="s">
        <v>811</v>
      </c>
      <c r="B7" s="20" t="n">
        <f aca="false">COUNTBLANK('Учёт медосмотров'!$K$2:$K$372)</f>
        <v>308</v>
      </c>
    </row>
    <row r="8" customFormat="false" ht="14.25" hidden="false" customHeight="false" outlineLevel="0" collapsed="false">
      <c r="A8" s="14" t="s">
        <v>812</v>
      </c>
      <c r="B8" s="20" t="n">
        <f aca="false">COUNTIF('Учёт медосмотров'!$L$2:$L$372,"&lt;&gt;")</f>
        <v>0</v>
      </c>
    </row>
    <row r="9" customFormat="false" ht="14.25" hidden="false" customHeight="false" outlineLevel="0" collapsed="false">
      <c r="A9" s="14" t="s">
        <v>813</v>
      </c>
      <c r="B9" s="20" t="n">
        <f aca="true">COUNTIFS('Учёт медосмотров'!$M$2:$M$372,"&lt;&gt;",'Учёт медосмотров'!$M$2:$M$372,"&lt;"&amp;TODAY())</f>
        <v>33</v>
      </c>
    </row>
    <row r="10" customFormat="false" ht="14.25" hidden="false" customHeight="false" outlineLevel="0" collapsed="false">
      <c r="A10" s="14" t="s">
        <v>814</v>
      </c>
      <c r="B10" s="20" t="n">
        <f aca="true">COUNTIFS('Учёт медосмотров'!$M$2:$M$372,"&lt;&gt;",'Учёт медосмотров'!$M$2:$M$372,"&gt;="&amp;TODAY(),'Учёт медосмотров'!$M$2:$M$372,"&lt;="&amp;(TODAY()+30))</f>
        <v>7</v>
      </c>
    </row>
    <row r="11" customFormat="false" ht="14.25" hidden="false" customHeight="false" outlineLevel="0" collapsed="false">
      <c r="A11" s="14" t="s">
        <v>815</v>
      </c>
      <c r="B11" s="20" t="n">
        <f aca="true">COUNTIFS('Учёт медосмотров'!$F$2:$F$372,"&lt;"&amp;(TODAY()-365),'Учёт медосмотров'!$K$2:$K$372,"")</f>
        <v>223</v>
      </c>
    </row>
    <row r="12" customFormat="false" ht="14.25" hidden="false" customHeight="false" outlineLevel="0" collapsed="false">
      <c r="A12" s="14" t="s">
        <v>816</v>
      </c>
      <c r="B12" s="20" t="n">
        <f aca="false">COUNTIF('Учёт медосмотров'!$Q$2:$Q$372,"ДА")</f>
        <v>5</v>
      </c>
    </row>
    <row r="13" customFormat="false" ht="14.25" hidden="false" customHeight="false" outlineLevel="0" collapsed="false">
      <c r="A13" s="14" t="s">
        <v>817</v>
      </c>
      <c r="B13" s="20" t="n">
        <f aca="false">COUNTIF('Учёт медосмотров'!$N$2:$N$372,"Да")</f>
        <v>50</v>
      </c>
    </row>
    <row r="14" customFormat="false" ht="14.25" hidden="false" customHeight="false" outlineLevel="0" collapsed="false">
      <c r="A14" s="14" t="s">
        <v>818</v>
      </c>
      <c r="B14" s="20" t="n">
        <f aca="false">COUNTIF('Учёт медосмотров'!$N$2:$N$372,"Проверить")</f>
        <v>0</v>
      </c>
    </row>
    <row r="15" customFormat="false" ht="14.25" hidden="false" customHeight="false" outlineLevel="0" collapsed="false">
      <c r="A15" s="14" t="s">
        <v>819</v>
      </c>
      <c r="B15" s="20" t="n">
        <f aca="false">COUNTIFS('Учёт медосмотров'!$N$2:$N$372,"Да",'Учёт медосмотров'!$O$2:$O$372,"&lt;&gt;")</f>
        <v>0</v>
      </c>
    </row>
    <row r="16" customFormat="false" ht="14.25" hidden="false" customHeight="false" outlineLevel="0" collapsed="false">
      <c r="A16" s="14" t="s">
        <v>820</v>
      </c>
      <c r="B16" s="20" t="n">
        <f aca="true">COUNTIFS('Учёт медосмотров'!$P$2:$P$372,"&lt;&gt;",'Учёт медосмотров'!$P$2:$P$372,"&lt;"&amp;TODAY())</f>
        <v>0</v>
      </c>
    </row>
    <row r="18" customFormat="false" ht="14.25" hidden="false" customHeight="false" outlineLevel="0" collapsed="false">
      <c r="A18" s="2" t="s">
        <v>821</v>
      </c>
    </row>
    <row r="19" customFormat="false" ht="26.25" hidden="false" customHeight="true" outlineLevel="0" collapsed="false">
      <c r="A19" s="19" t="s">
        <v>44</v>
      </c>
      <c r="B19" s="10" t="s">
        <v>822</v>
      </c>
      <c r="D19" s="10" t="s">
        <v>823</v>
      </c>
    </row>
    <row r="20" customFormat="false" ht="14.25" hidden="false" customHeight="false" outlineLevel="0" collapsed="false">
      <c r="A20" s="14" t="s">
        <v>400</v>
      </c>
      <c r="B20" s="11" t="n">
        <f aca="false">COUNTIF('Учёт медосмотров'!$B$2:$B$372,A20)</f>
        <v>10</v>
      </c>
      <c r="D20" s="11" t="n">
        <f aca="true">COUNTIFS('Учёт медосмотров'!$B$2:$B$372,A20,'Учёт медосмотров'!$M$2:$M$372,"&lt;&gt;",'Учёт медосмотров'!$M$2:$M$372,"&lt;"&amp;TODAY())</f>
        <v>1</v>
      </c>
    </row>
    <row r="21" customFormat="false" ht="14.25" hidden="false" customHeight="false" outlineLevel="0" collapsed="false">
      <c r="A21" s="14" t="s">
        <v>81</v>
      </c>
      <c r="B21" s="11" t="n">
        <f aca="false">COUNTIF('Учёт медосмотров'!$B$2:$B$372,A21)</f>
        <v>65</v>
      </c>
      <c r="D21" s="11" t="n">
        <f aca="true">COUNTIFS('Учёт медосмотров'!$B$2:$B$372,A21,'Учёт медосмотров'!$M$2:$M$372,"&lt;&gt;",'Учёт медосмотров'!$M$2:$M$372,"&lt;"&amp;TODAY())</f>
        <v>14</v>
      </c>
    </row>
    <row r="22" customFormat="false" ht="14.25" hidden="false" customHeight="false" outlineLevel="0" collapsed="false">
      <c r="A22" s="14" t="s">
        <v>717</v>
      </c>
      <c r="B22" s="11" t="n">
        <f aca="false">COUNTIF('Учёт медосмотров'!$B$2:$B$372,A22)</f>
        <v>1</v>
      </c>
      <c r="D22" s="11" t="n">
        <f aca="true">COUNTIFS('Учёт медосмотров'!$B$2:$B$372,A22,'Учёт медосмотров'!$M$2:$M$372,"&lt;&gt;",'Учёт медосмотров'!$M$2:$M$372,"&lt;"&amp;TODAY())</f>
        <v>0</v>
      </c>
    </row>
    <row r="23" customFormat="false" ht="14.25" hidden="false" customHeight="false" outlineLevel="0" collapsed="false">
      <c r="A23" s="14" t="s">
        <v>373</v>
      </c>
      <c r="B23" s="11" t="n">
        <f aca="false">COUNTIF('Учёт медосмотров'!$B$2:$B$372,A23)</f>
        <v>16</v>
      </c>
      <c r="D23" s="11" t="n">
        <f aca="true">COUNTIFS('Учёт медосмотров'!$B$2:$B$372,A23,'Учёт медосмотров'!$M$2:$M$372,"&lt;&gt;",'Учёт медосмотров'!$M$2:$M$372,"&lt;"&amp;TODAY())</f>
        <v>4</v>
      </c>
    </row>
    <row r="24" customFormat="false" ht="14.25" hidden="false" customHeight="false" outlineLevel="0" collapsed="false">
      <c r="A24" s="14" t="s">
        <v>50</v>
      </c>
      <c r="B24" s="11" t="n">
        <f aca="false">COUNTIF('Учёт медосмотров'!$B$2:$B$372,A24)</f>
        <v>176</v>
      </c>
      <c r="D24" s="11" t="n">
        <f aca="true">COUNTIFS('Учёт медосмотров'!$B$2:$B$372,A24,'Учёт медосмотров'!$M$2:$M$372,"&lt;&gt;",'Учёт медосмотров'!$M$2:$M$372,"&lt;"&amp;TODAY())</f>
        <v>5</v>
      </c>
    </row>
    <row r="25" customFormat="false" ht="14.25" hidden="false" customHeight="false" outlineLevel="0" collapsed="false">
      <c r="A25" s="14" t="s">
        <v>377</v>
      </c>
      <c r="B25" s="11" t="n">
        <f aca="false">COUNTIF('Учёт медосмотров'!$B$2:$B$372,A25)</f>
        <v>14</v>
      </c>
      <c r="D25" s="11" t="n">
        <f aca="true">COUNTIFS('Учёт медосмотров'!$B$2:$B$372,A25,'Учёт медосмотров'!$M$2:$M$372,"&lt;&gt;",'Учёт медосмотров'!$M$2:$M$372,"&lt;"&amp;TODAY())</f>
        <v>0</v>
      </c>
    </row>
    <row r="26" customFormat="false" ht="14.25" hidden="false" customHeight="false" outlineLevel="0" collapsed="false">
      <c r="A26" s="14" t="s">
        <v>72</v>
      </c>
      <c r="B26" s="11" t="n">
        <f aca="false">COUNTIF('Учёт медосмотров'!$B$2:$B$372,A26)</f>
        <v>69</v>
      </c>
      <c r="D26" s="11" t="n">
        <f aca="true">COUNTIFS('Учёт медосмотров'!$B$2:$B$372,A26,'Учёт медосмотров'!$M$2:$M$372,"&lt;&gt;",'Учёт медосмотров'!$M$2:$M$372,"&lt;"&amp;TODAY())</f>
        <v>5</v>
      </c>
    </row>
    <row r="27" customFormat="false" ht="14.25" hidden="false" customHeight="false" outlineLevel="0" collapsed="false">
      <c r="A27" s="14" t="s">
        <v>369</v>
      </c>
      <c r="B27" s="11" t="n">
        <f aca="false">COUNTIF('Учёт медосмотров'!$B$2:$B$372,A27)</f>
        <v>20</v>
      </c>
      <c r="D27" s="11" t="n">
        <f aca="true">COUNTIFS('Учёт медосмотров'!$B$2:$B$372,A27,'Учёт медосмотров'!$M$2:$M$372,"&lt;&gt;",'Учёт медосмотров'!$M$2:$M$372,"&lt;"&amp;TODAY())</f>
        <v>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625" defaultRowHeight="14.25" zeroHeight="false" outlineLevelRow="0" outlineLevelCol="0"/>
  <cols>
    <col collapsed="false" customWidth="true" hidden="false" outlineLevel="0" max="1" min="1" style="0" width="45"/>
    <col collapsed="false" customWidth="true" hidden="false" outlineLevel="0" max="2" min="2" style="0" width="16"/>
  </cols>
  <sheetData>
    <row r="1" customFormat="false" ht="26.25" hidden="false" customHeight="true" outlineLevel="0" collapsed="false">
      <c r="A1" s="10" t="s">
        <v>824</v>
      </c>
      <c r="B1" s="10" t="s">
        <v>358</v>
      </c>
      <c r="D1" s="5" t="s">
        <v>825</v>
      </c>
    </row>
    <row r="2" customFormat="false" ht="14.25" hidden="false" customHeight="false" outlineLevel="0" collapsed="false">
      <c r="A2" s="4" t="s">
        <v>826</v>
      </c>
      <c r="B2" s="21" t="n">
        <v>18</v>
      </c>
    </row>
    <row r="3" customFormat="false" ht="14.25" hidden="false" customHeight="false" outlineLevel="0" collapsed="false">
      <c r="A3" s="4" t="s">
        <v>827</v>
      </c>
      <c r="B3" s="21" t="n">
        <v>19</v>
      </c>
    </row>
    <row r="4" customFormat="false" ht="14.25" hidden="false" customHeight="false" outlineLevel="0" collapsed="false">
      <c r="A4" s="4" t="s">
        <v>828</v>
      </c>
      <c r="B4" s="21" t="n">
        <v>28</v>
      </c>
    </row>
    <row r="5" customFormat="false" ht="14.25" hidden="false" customHeight="false" outlineLevel="0" collapsed="false">
      <c r="A5" s="4" t="s">
        <v>829</v>
      </c>
      <c r="B5" s="21" t="n">
        <v>28</v>
      </c>
    </row>
    <row r="6" customFormat="false" ht="14.25" hidden="false" customHeight="false" outlineLevel="0" collapsed="false">
      <c r="A6" s="4" t="s">
        <v>830</v>
      </c>
      <c r="B6" s="21" t="n">
        <v>27</v>
      </c>
    </row>
    <row r="7" customFormat="false" ht="14.25" hidden="false" customHeight="false" outlineLevel="0" collapsed="false">
      <c r="A7" s="4" t="s">
        <v>831</v>
      </c>
      <c r="B7" s="21" t="n">
        <v>9</v>
      </c>
    </row>
    <row r="8" customFormat="false" ht="14.25" hidden="false" customHeight="false" outlineLevel="0" collapsed="false">
      <c r="A8" s="4" t="s">
        <v>832</v>
      </c>
      <c r="B8" s="21" t="n">
        <v>27</v>
      </c>
    </row>
    <row r="9" customFormat="false" ht="14.25" hidden="false" customHeight="false" outlineLevel="0" collapsed="false">
      <c r="A9" s="4" t="s">
        <v>833</v>
      </c>
      <c r="B9" s="21" t="n">
        <v>27</v>
      </c>
    </row>
    <row r="10" customFormat="false" ht="14.25" hidden="false" customHeight="false" outlineLevel="0" collapsed="false">
      <c r="A10" s="4" t="s">
        <v>834</v>
      </c>
      <c r="B10" s="21" t="n">
        <v>39</v>
      </c>
    </row>
    <row r="11" customFormat="false" ht="14.25" hidden="false" customHeight="false" outlineLevel="0" collapsed="false">
      <c r="A11" s="4" t="s">
        <v>835</v>
      </c>
      <c r="B11" s="21" t="n">
        <v>39</v>
      </c>
    </row>
    <row r="12" customFormat="false" ht="14.25" hidden="false" customHeight="false" outlineLevel="0" collapsed="false">
      <c r="A12" s="4" t="s">
        <v>836</v>
      </c>
      <c r="B12" s="21" t="n">
        <v>38</v>
      </c>
    </row>
    <row r="13" customFormat="false" ht="14.25" hidden="false" customHeight="false" outlineLevel="0" collapsed="false">
      <c r="A13" s="4" t="s">
        <v>837</v>
      </c>
      <c r="B13" s="21" t="n">
        <v>6</v>
      </c>
    </row>
    <row r="14" customFormat="false" ht="14.25" hidden="false" customHeight="false" outlineLevel="0" collapsed="false">
      <c r="A14" s="4" t="s">
        <v>838</v>
      </c>
      <c r="B14" s="21" t="n">
        <v>5</v>
      </c>
    </row>
    <row r="15" customFormat="false" ht="14.25" hidden="false" customHeight="false" outlineLevel="0" collapsed="false">
      <c r="A15" s="4" t="s">
        <v>839</v>
      </c>
      <c r="B15" s="21" t="n">
        <v>28</v>
      </c>
    </row>
    <row r="16" customFormat="false" ht="14.25" hidden="false" customHeight="false" outlineLevel="0" collapsed="false">
      <c r="A16" s="4" t="s">
        <v>840</v>
      </c>
      <c r="B16" s="21" t="n">
        <v>28</v>
      </c>
    </row>
    <row r="17" customFormat="false" ht="14.25" hidden="false" customHeight="false" outlineLevel="0" collapsed="false">
      <c r="A17" s="4" t="s">
        <v>841</v>
      </c>
      <c r="B17" s="21" t="n">
        <v>42</v>
      </c>
    </row>
    <row r="18" customFormat="false" ht="14.25" hidden="false" customHeight="false" outlineLevel="0" collapsed="false">
      <c r="A18" s="4" t="s">
        <v>842</v>
      </c>
      <c r="B18" s="21" t="n">
        <v>42</v>
      </c>
    </row>
    <row r="19" customFormat="false" ht="14.25" hidden="false" customHeight="false" outlineLevel="0" collapsed="false">
      <c r="A19" s="4" t="s">
        <v>843</v>
      </c>
      <c r="B19" s="21" t="n">
        <v>13</v>
      </c>
    </row>
    <row r="20" customFormat="false" ht="14.25" hidden="false" customHeight="false" outlineLevel="0" collapsed="false">
      <c r="A20" s="4" t="s">
        <v>844</v>
      </c>
      <c r="B20" s="21" t="n">
        <v>27</v>
      </c>
    </row>
    <row r="21" customFormat="false" ht="14.25" hidden="false" customHeight="false" outlineLevel="0" collapsed="false">
      <c r="A21" s="4" t="s">
        <v>845</v>
      </c>
      <c r="B21" s="21" t="n">
        <v>40</v>
      </c>
    </row>
    <row r="22" customFormat="false" ht="14.25" hidden="false" customHeight="false" outlineLevel="0" collapsed="false">
      <c r="A22" s="4" t="s">
        <v>846</v>
      </c>
      <c r="B22" s="21" t="n">
        <v>17</v>
      </c>
    </row>
    <row r="23" customFormat="false" ht="14.25" hidden="false" customHeight="false" outlineLevel="0" collapsed="false">
      <c r="A23" s="4" t="s">
        <v>847</v>
      </c>
      <c r="B23" s="21" t="n">
        <v>4</v>
      </c>
    </row>
    <row r="24" customFormat="false" ht="14.25" hidden="false" customHeight="false" outlineLevel="0" collapsed="false">
      <c r="A24" s="4" t="s">
        <v>848</v>
      </c>
      <c r="B24" s="21" t="n">
        <v>11</v>
      </c>
    </row>
    <row r="25" customFormat="false" ht="14.25" hidden="false" customHeight="false" outlineLevel="0" collapsed="false">
      <c r="A25" s="4" t="s">
        <v>849</v>
      </c>
      <c r="B25" s="21" t="n">
        <v>2</v>
      </c>
    </row>
    <row r="26" customFormat="false" ht="14.25" hidden="false" customHeight="false" outlineLevel="0" collapsed="false">
      <c r="A26" s="4" t="s">
        <v>850</v>
      </c>
      <c r="B26" s="21" t="n">
        <v>14</v>
      </c>
    </row>
    <row r="27" customFormat="false" ht="14.25" hidden="false" customHeight="false" outlineLevel="0" collapsed="false">
      <c r="A27" s="4" t="s">
        <v>851</v>
      </c>
      <c r="B27" s="21" t="n">
        <v>14</v>
      </c>
    </row>
    <row r="28" customFormat="false" ht="14.25" hidden="false" customHeight="false" outlineLevel="0" collapsed="false">
      <c r="A28" s="4" t="s">
        <v>852</v>
      </c>
      <c r="B28" s="21" t="n">
        <v>13</v>
      </c>
    </row>
    <row r="29" customFormat="false" ht="14.25" hidden="false" customHeight="false" outlineLevel="0" collapsed="false">
      <c r="A29" s="4" t="s">
        <v>853</v>
      </c>
      <c r="B29" s="21" t="n">
        <v>15</v>
      </c>
    </row>
    <row r="30" customFormat="false" ht="14.25" hidden="false" customHeight="false" outlineLevel="0" collapsed="false">
      <c r="A30" s="4" t="s">
        <v>854</v>
      </c>
      <c r="B30" s="21" t="n">
        <v>36</v>
      </c>
    </row>
    <row r="31" customFormat="false" ht="14.25" hidden="false" customHeight="false" outlineLevel="0" collapsed="false">
      <c r="A31" s="4" t="s">
        <v>855</v>
      </c>
      <c r="B31" s="21" t="n">
        <v>18</v>
      </c>
    </row>
    <row r="32" customFormat="false" ht="14.25" hidden="false" customHeight="false" outlineLevel="0" collapsed="false">
      <c r="A32" s="4" t="s">
        <v>856</v>
      </c>
      <c r="B32" s="21" t="n">
        <v>18</v>
      </c>
    </row>
    <row r="33" customFormat="false" ht="14.25" hidden="false" customHeight="false" outlineLevel="0" collapsed="false">
      <c r="A33" s="4" t="s">
        <v>857</v>
      </c>
      <c r="B33" s="21" t="n">
        <v>29</v>
      </c>
    </row>
    <row r="34" customFormat="false" ht="14.25" hidden="false" customHeight="false" outlineLevel="0" collapsed="false">
      <c r="A34" s="4" t="s">
        <v>858</v>
      </c>
      <c r="B34" s="21" t="n">
        <v>29</v>
      </c>
    </row>
    <row r="35" customFormat="false" ht="14.25" hidden="false" customHeight="false" outlineLevel="0" collapsed="false">
      <c r="A35" s="4" t="s">
        <v>859</v>
      </c>
      <c r="B35" s="21" t="n">
        <v>22</v>
      </c>
    </row>
    <row r="36" customFormat="false" ht="14.25" hidden="false" customHeight="false" outlineLevel="0" collapsed="false">
      <c r="A36" s="4" t="s">
        <v>860</v>
      </c>
      <c r="B36" s="21" t="n">
        <v>3</v>
      </c>
    </row>
    <row r="37" customFormat="false" ht="14.25" hidden="false" customHeight="false" outlineLevel="0" collapsed="false">
      <c r="A37" s="4" t="s">
        <v>861</v>
      </c>
      <c r="B37" s="21" t="n">
        <v>11</v>
      </c>
    </row>
    <row r="38" customFormat="false" ht="14.25" hidden="false" customHeight="false" outlineLevel="0" collapsed="false">
      <c r="A38" s="4" t="s">
        <v>862</v>
      </c>
      <c r="B38" s="21" t="n">
        <v>37</v>
      </c>
    </row>
    <row r="39" customFormat="false" ht="14.25" hidden="false" customHeight="false" outlineLevel="0" collapsed="false">
      <c r="A39" s="4" t="s">
        <v>863</v>
      </c>
      <c r="B39" s="21" t="n">
        <v>23</v>
      </c>
    </row>
    <row r="40" customFormat="false" ht="14.25" hidden="false" customHeight="false" outlineLevel="0" collapsed="false">
      <c r="A40" s="4" t="s">
        <v>864</v>
      </c>
      <c r="B40" s="21" t="n">
        <v>45</v>
      </c>
    </row>
    <row r="41" customFormat="false" ht="14.25" hidden="false" customHeight="false" outlineLevel="0" collapsed="false">
      <c r="A41" s="4" t="s">
        <v>865</v>
      </c>
      <c r="B41" s="21" t="n">
        <v>31</v>
      </c>
    </row>
    <row r="42" customFormat="false" ht="14.25" hidden="false" customHeight="false" outlineLevel="0" collapsed="false">
      <c r="A42" s="4" t="s">
        <v>866</v>
      </c>
      <c r="B42" s="21" t="n">
        <v>35</v>
      </c>
    </row>
    <row r="43" customFormat="false" ht="14.25" hidden="false" customHeight="false" outlineLevel="0" collapsed="false">
      <c r="A43" s="4" t="s">
        <v>867</v>
      </c>
      <c r="B43" s="21" t="n">
        <v>16</v>
      </c>
    </row>
    <row r="44" customFormat="false" ht="14.25" hidden="false" customHeight="false" outlineLevel="0" collapsed="false">
      <c r="A44" s="4" t="s">
        <v>868</v>
      </c>
      <c r="B44" s="21" t="n">
        <v>30</v>
      </c>
    </row>
    <row r="45" customFormat="false" ht="14.25" hidden="false" customHeight="false" outlineLevel="0" collapsed="false">
      <c r="A45" s="4" t="s">
        <v>869</v>
      </c>
      <c r="B45" s="21" t="n">
        <v>43</v>
      </c>
    </row>
    <row r="46" customFormat="false" ht="14.25" hidden="false" customHeight="false" outlineLevel="0" collapsed="false">
      <c r="A46" s="4" t="s">
        <v>870</v>
      </c>
      <c r="B46" s="21" t="n">
        <v>25</v>
      </c>
    </row>
    <row r="47" customFormat="false" ht="14.25" hidden="false" customHeight="false" outlineLevel="0" collapsed="false">
      <c r="A47" s="4" t="s">
        <v>871</v>
      </c>
      <c r="B47" s="21" t="n">
        <v>1</v>
      </c>
    </row>
    <row r="48" customFormat="false" ht="14.25" hidden="false" customHeight="false" outlineLevel="0" collapsed="false">
      <c r="A48" s="4" t="s">
        <v>872</v>
      </c>
      <c r="B48" s="21" t="n">
        <v>7</v>
      </c>
    </row>
    <row r="49" customFormat="false" ht="14.25" hidden="false" customHeight="false" outlineLevel="0" collapsed="false">
      <c r="A49" s="4" t="s">
        <v>873</v>
      </c>
      <c r="B49" s="21" t="n">
        <v>9</v>
      </c>
    </row>
    <row r="50" customFormat="false" ht="14.25" hidden="false" customHeight="false" outlineLevel="0" collapsed="false">
      <c r="A50" s="4" t="s">
        <v>874</v>
      </c>
      <c r="B50" s="21" t="n">
        <v>26</v>
      </c>
    </row>
    <row r="51" customFormat="false" ht="14.25" hidden="false" customHeight="false" outlineLevel="0" collapsed="false">
      <c r="A51" s="4" t="s">
        <v>875</v>
      </c>
      <c r="B51" s="21" t="n">
        <v>32</v>
      </c>
    </row>
    <row r="52" customFormat="false" ht="14.25" hidden="false" customHeight="false" outlineLevel="0" collapsed="false">
      <c r="A52" s="4" t="s">
        <v>876</v>
      </c>
      <c r="B52" s="21" t="n">
        <v>41</v>
      </c>
    </row>
    <row r="53" customFormat="false" ht="14.25" hidden="false" customHeight="false" outlineLevel="0" collapsed="false">
      <c r="A53" s="4" t="s">
        <v>877</v>
      </c>
      <c r="B53" s="21" t="n">
        <v>8</v>
      </c>
    </row>
    <row r="54" customFormat="false" ht="14.25" hidden="false" customHeight="false" outlineLevel="0" collapsed="false">
      <c r="A54" s="4" t="s">
        <v>878</v>
      </c>
      <c r="B54" s="21" t="n">
        <v>19</v>
      </c>
    </row>
    <row r="55" customFormat="false" ht="14.25" hidden="false" customHeight="false" outlineLevel="0" collapsed="false">
      <c r="A55" s="4" t="s">
        <v>879</v>
      </c>
      <c r="B55" s="21" t="n">
        <v>19</v>
      </c>
    </row>
    <row r="56" customFormat="false" ht="14.25" hidden="false" customHeight="false" outlineLevel="0" collapsed="false">
      <c r="A56" s="4" t="s">
        <v>880</v>
      </c>
      <c r="B56" s="21" t="n">
        <v>12</v>
      </c>
    </row>
    <row r="57" customFormat="false" ht="14.25" hidden="false" customHeight="false" outlineLevel="0" collapsed="false">
      <c r="A57" s="4" t="s">
        <v>881</v>
      </c>
      <c r="B57" s="21" t="n">
        <v>44</v>
      </c>
    </row>
    <row r="58" customFormat="false" ht="14.25" hidden="false" customHeight="false" outlineLevel="0" collapsed="false">
      <c r="A58" s="4" t="s">
        <v>882</v>
      </c>
      <c r="B58" s="21" t="n">
        <v>14</v>
      </c>
    </row>
    <row r="59" customFormat="false" ht="14.25" hidden="false" customHeight="false" outlineLevel="0" collapsed="false">
      <c r="A59" s="4" t="s">
        <v>883</v>
      </c>
      <c r="B59" s="21" t="n">
        <v>45</v>
      </c>
    </row>
    <row r="60" customFormat="false" ht="14.25" hidden="false" customHeight="false" outlineLevel="0" collapsed="false">
      <c r="A60" s="4" t="s">
        <v>884</v>
      </c>
      <c r="B60" s="21" t="n">
        <v>45</v>
      </c>
    </row>
    <row r="61" customFormat="false" ht="14.25" hidden="false" customHeight="false" outlineLevel="0" collapsed="false">
      <c r="A61" s="4" t="s">
        <v>885</v>
      </c>
      <c r="B61" s="21" t="n">
        <v>44</v>
      </c>
    </row>
    <row r="62" customFormat="false" ht="14.25" hidden="false" customHeight="false" outlineLevel="0" collapsed="false">
      <c r="A62" s="4" t="s">
        <v>886</v>
      </c>
      <c r="B62" s="21" t="n">
        <v>45</v>
      </c>
    </row>
    <row r="63" customFormat="false" ht="14.25" hidden="false" customHeight="false" outlineLevel="0" collapsed="false">
      <c r="A63" s="4" t="s">
        <v>887</v>
      </c>
      <c r="B63" s="21" t="n">
        <v>10</v>
      </c>
    </row>
    <row r="64" customFormat="false" ht="14.25" hidden="false" customHeight="false" outlineLevel="0" collapsed="false">
      <c r="A64" s="4" t="s">
        <v>888</v>
      </c>
      <c r="B64" s="21" t="n">
        <v>21</v>
      </c>
    </row>
    <row r="65" customFormat="false" ht="14.25" hidden="false" customHeight="false" outlineLevel="0" collapsed="false">
      <c r="A65" s="4" t="s">
        <v>889</v>
      </c>
      <c r="B65" s="21" t="n">
        <v>24</v>
      </c>
    </row>
    <row r="66" customFormat="false" ht="14.25" hidden="false" customHeight="false" outlineLevel="0" collapsed="false">
      <c r="A66" s="4" t="s">
        <v>890</v>
      </c>
      <c r="B66" s="21" t="n">
        <v>45</v>
      </c>
    </row>
    <row r="67" customFormat="false" ht="14.25" hidden="false" customHeight="false" outlineLevel="0" collapsed="false">
      <c r="A67" s="4" t="s">
        <v>891</v>
      </c>
      <c r="B67" s="21" t="n">
        <v>10</v>
      </c>
    </row>
    <row r="68" customFormat="false" ht="14.25" hidden="false" customHeight="false" outlineLevel="0" collapsed="false">
      <c r="A68" s="4" t="s">
        <v>892</v>
      </c>
      <c r="B68" s="21" t="n">
        <v>34</v>
      </c>
    </row>
    <row r="69" customFormat="false" ht="14.25" hidden="false" customHeight="false" outlineLevel="0" collapsed="false">
      <c r="A69" s="4" t="s">
        <v>893</v>
      </c>
      <c r="B69" s="21" t="n">
        <v>10</v>
      </c>
    </row>
    <row r="70" customFormat="false" ht="14.25" hidden="false" customHeight="false" outlineLevel="0" collapsed="false">
      <c r="A70" s="4" t="s">
        <v>894</v>
      </c>
      <c r="B70" s="21" t="n">
        <v>10</v>
      </c>
    </row>
    <row r="71" customFormat="false" ht="14.25" hidden="false" customHeight="false" outlineLevel="0" collapsed="false">
      <c r="A71" s="4" t="s">
        <v>895</v>
      </c>
      <c r="B71" s="21" t="n">
        <v>33</v>
      </c>
    </row>
    <row r="72" customFormat="false" ht="14.25" hidden="false" customHeight="false" outlineLevel="0" collapsed="false">
      <c r="A72" s="4" t="s">
        <v>896</v>
      </c>
      <c r="B72" s="21" t="n">
        <v>20</v>
      </c>
    </row>
    <row r="73" customFormat="false" ht="14.25" hidden="false" customHeight="false" outlineLevel="0" collapsed="false">
      <c r="A73" s="4" t="s">
        <v>897</v>
      </c>
      <c r="B73" s="21" t="n">
        <v>2</v>
      </c>
    </row>
    <row r="74" customFormat="false" ht="14.25" hidden="false" customHeight="false" outlineLevel="0" collapsed="false">
      <c r="A74" s="4" t="s">
        <v>898</v>
      </c>
      <c r="B74" s="21" t="n">
        <v>30</v>
      </c>
      <c r="C74" s="22" t="s">
        <v>899</v>
      </c>
    </row>
    <row r="75" customFormat="false" ht="14.25" hidden="false" customHeight="false" outlineLevel="0" collapsed="false">
      <c r="A75" s="4" t="s">
        <v>900</v>
      </c>
      <c r="B75" s="21" t="n">
        <v>21</v>
      </c>
      <c r="C75" s="22" t="s">
        <v>901</v>
      </c>
    </row>
    <row r="76" customFormat="false" ht="14.25" hidden="false" customHeight="false" outlineLevel="0" collapsed="false">
      <c r="A76" s="4" t="s">
        <v>902</v>
      </c>
      <c r="B76" s="21" t="n">
        <v>36</v>
      </c>
      <c r="C76" s="22" t="s">
        <v>901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3" min="3" style="0" width="34"/>
    <col collapsed="false" customWidth="true" hidden="false" outlineLevel="0" max="4" min="4" style="0" width="38"/>
    <col collapsed="false" customWidth="true" hidden="false" outlineLevel="0" max="5" min="5" style="0" width="30"/>
    <col collapsed="false" customWidth="true" hidden="false" outlineLevel="0" max="6" min="6" style="0" width="13"/>
    <col collapsed="false" customWidth="true" hidden="false" outlineLevel="0" max="7" min="7" style="0" width="18"/>
  </cols>
  <sheetData>
    <row r="1" customFormat="false" ht="16.15" hidden="false" customHeight="false" outlineLevel="0" collapsed="false">
      <c r="A1" s="6" t="s">
        <v>903</v>
      </c>
    </row>
    <row r="2" customFormat="false" ht="15" hidden="false" customHeight="false" outlineLevel="0" collapsed="false">
      <c r="A2" s="4" t="s">
        <v>904</v>
      </c>
    </row>
    <row r="4" customFormat="false" ht="35.05" hidden="false" customHeight="false" outlineLevel="0" collapsed="false">
      <c r="A4" s="7" t="s">
        <v>905</v>
      </c>
      <c r="B4" s="7" t="s">
        <v>44</v>
      </c>
      <c r="C4" s="7" t="s">
        <v>41</v>
      </c>
      <c r="D4" s="7" t="s">
        <v>42</v>
      </c>
      <c r="E4" s="7" t="s">
        <v>43</v>
      </c>
      <c r="F4" s="7" t="s">
        <v>45</v>
      </c>
      <c r="G4" s="7" t="s">
        <v>361</v>
      </c>
    </row>
    <row r="5" customFormat="false" ht="23.85" hidden="false" customHeight="false" outlineLevel="0" collapsed="false">
      <c r="A5" s="8" t="n">
        <v>52</v>
      </c>
      <c r="B5" s="8" t="s">
        <v>81</v>
      </c>
      <c r="C5" s="8" t="s">
        <v>91</v>
      </c>
      <c r="D5" s="8" t="s">
        <v>75</v>
      </c>
      <c r="E5" s="8" t="s">
        <v>92</v>
      </c>
      <c r="F5" s="9" t="n">
        <v>45770</v>
      </c>
      <c r="G5" s="8"/>
    </row>
    <row r="6" customFormat="false" ht="15" hidden="false" customHeight="false" outlineLevel="0" collapsed="false">
      <c r="A6" s="8" t="n">
        <v>98</v>
      </c>
      <c r="B6" s="8" t="s">
        <v>50</v>
      </c>
      <c r="C6" s="8" t="s">
        <v>94</v>
      </c>
      <c r="D6" s="8" t="s">
        <v>95</v>
      </c>
      <c r="E6" s="8" t="s">
        <v>96</v>
      </c>
      <c r="F6" s="9" t="n">
        <v>46139</v>
      </c>
      <c r="G6" s="9" t="n">
        <v>46127</v>
      </c>
    </row>
    <row r="7" customFormat="false" ht="15" hidden="false" customHeight="false" outlineLevel="0" collapsed="false">
      <c r="A7" s="8" t="n">
        <v>302</v>
      </c>
      <c r="B7" s="8" t="s">
        <v>72</v>
      </c>
      <c r="C7" s="8" t="s">
        <v>98</v>
      </c>
      <c r="D7" s="8" t="s">
        <v>99</v>
      </c>
      <c r="E7" s="8" t="s">
        <v>100</v>
      </c>
      <c r="F7" s="9" t="n">
        <v>46140</v>
      </c>
      <c r="G7" s="9" t="n">
        <v>46134</v>
      </c>
    </row>
    <row r="8" customFormat="false" ht="15" hidden="false" customHeight="false" outlineLevel="0" collapsed="false">
      <c r="A8" s="8" t="n">
        <v>304</v>
      </c>
      <c r="B8" s="8" t="s">
        <v>72</v>
      </c>
      <c r="C8" s="8" t="s">
        <v>101</v>
      </c>
      <c r="D8" s="8" t="s">
        <v>60</v>
      </c>
      <c r="E8" s="8" t="s">
        <v>100</v>
      </c>
      <c r="F8" s="9" t="n">
        <v>46036</v>
      </c>
      <c r="G8" s="8"/>
    </row>
    <row r="9" customFormat="false" ht="15" hidden="false" customHeight="false" outlineLevel="0" collapsed="false">
      <c r="A9" s="8" t="n">
        <v>318</v>
      </c>
      <c r="B9" s="8" t="s">
        <v>72</v>
      </c>
      <c r="C9" s="8" t="s">
        <v>102</v>
      </c>
      <c r="D9" s="8" t="s">
        <v>84</v>
      </c>
      <c r="E9" s="8" t="s">
        <v>100</v>
      </c>
      <c r="F9" s="9" t="n">
        <v>45950</v>
      </c>
      <c r="G9" s="9" t="n">
        <v>45941</v>
      </c>
    </row>
    <row r="10" customFormat="false" ht="15" hidden="false" customHeight="false" outlineLevel="0" collapsed="false">
      <c r="A10" s="8" t="n">
        <v>322</v>
      </c>
      <c r="B10" s="8" t="s">
        <v>72</v>
      </c>
      <c r="C10" s="8" t="s">
        <v>103</v>
      </c>
      <c r="D10" s="8" t="s">
        <v>104</v>
      </c>
      <c r="E10" s="8" t="s">
        <v>100</v>
      </c>
      <c r="F10" s="9" t="n">
        <v>46156</v>
      </c>
      <c r="G10" s="9" t="n">
        <v>46147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2026-09-10T05:40:05Z</dcterms:created>
  <dc:creator>openpyxl</dc:creator>
  <dc:description/>
  <dc:language>en-US</dc:language>
  <cp:lastModifiedBy>Айкешева Айгуль Кайргалиевна</cp:lastModifiedBy>
  <dcterms:modified xsi:type="dcterms:W3CDTF">2026-10-13T09:09:20Z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